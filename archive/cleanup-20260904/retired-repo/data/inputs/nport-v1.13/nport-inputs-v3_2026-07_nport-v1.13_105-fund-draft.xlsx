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omments57.xml" ContentType="application/vnd.openxmlformats-officedocument.spreadsheetml.comments+xml"/>
  <Override PartName="/xl/comments58.xml" ContentType="application/vnd.openxmlformats-officedocument.spreadsheetml.comments+xml"/>
  <Override PartName="/xl/comments59.xml" ContentType="application/vnd.openxmlformats-officedocument.spreadsheetml.comments+xml"/>
  <Override PartName="/xl/comments60.xml" ContentType="application/vnd.openxmlformats-officedocument.spreadsheetml.comments+xml"/>
  <Override PartName="/xl/comments61.xml" ContentType="application/vnd.openxmlformats-officedocument.spreadsheetml.comments+xml"/>
  <Override PartName="/xl/comments62.xml" ContentType="application/vnd.openxmlformats-officedocument.spreadsheetml.comments+xml"/>
  <Override PartName="/xl/comments63.xml" ContentType="application/vnd.openxmlformats-officedocument.spreadsheetml.comments+xml"/>
  <Override PartName="/xl/comments64.xml" ContentType="application/vnd.openxmlformats-officedocument.spreadsheetml.comments+xml"/>
  <Override PartName="/xl/comments65.xml" ContentType="application/vnd.openxmlformats-officedocument.spreadsheetml.comments+xml"/>
  <Override PartName="/xl/comments66.xml" ContentType="application/vnd.openxmlformats-officedocument.spreadsheetml.comments+xml"/>
  <Override PartName="/xl/comments67.xml" ContentType="application/vnd.openxmlformats-officedocument.spreadsheetml.comments+xml"/>
  <Override PartName="/xl/comments68.xml" ContentType="application/vnd.openxmlformats-officedocument.spreadsheetml.comments+xml"/>
  <Override PartName="/xl/comments69.xml" ContentType="application/vnd.openxmlformats-officedocument.spreadsheetml.comments+xml"/>
  <Override PartName="/xl/comments70.xml" ContentType="application/vnd.openxmlformats-officedocument.spreadsheetml.comments+xml"/>
  <Override PartName="/xl/comments71.xml" ContentType="application/vnd.openxmlformats-officedocument.spreadsheetml.comments+xml"/>
  <Override PartName="/xl/comments72.xml" ContentType="application/vnd.openxmlformats-officedocument.spreadsheetml.comments+xml"/>
  <Override PartName="/xl/comments73.xml" ContentType="application/vnd.openxmlformats-officedocument.spreadsheetml.comments+xml"/>
  <Override PartName="/xl/comments74.xml" ContentType="application/vnd.openxmlformats-officedocument.spreadsheetml.comments+xml"/>
  <Override PartName="/xl/comments75.xml" ContentType="application/vnd.openxmlformats-officedocument.spreadsheetml.comments+xml"/>
  <Override PartName="/xl/comments76.xml" ContentType="application/vnd.openxmlformats-officedocument.spreadsheetml.comments+xml"/>
  <Override PartName="/xl/comments77.xml" ContentType="application/vnd.openxmlformats-officedocument.spreadsheetml.comments+xml"/>
  <Override PartName="/xl/comments78.xml" ContentType="application/vnd.openxmlformats-officedocument.spreadsheetml.comments+xml"/>
  <Override PartName="/xl/comments79.xml" ContentType="application/vnd.openxmlformats-officedocument.spreadsheetml.comments+xml"/>
  <Override PartName="/xl/comments80.xml" ContentType="application/vnd.openxmlformats-officedocument.spreadsheetml.comments+xml"/>
  <Override PartName="/xl/comments81.xml" ContentType="application/vnd.openxmlformats-officedocument.spreadsheetml.comments+xml"/>
  <Override PartName="/xl/comments82.xml" ContentType="application/vnd.openxmlformats-officedocument.spreadsheetml.comments+xml"/>
  <Override PartName="/xl/comments83.xml" ContentType="application/vnd.openxmlformats-officedocument.spreadsheetml.comments+xml"/>
  <Override PartName="/xl/comments84.xml" ContentType="application/vnd.openxmlformats-officedocument.spreadsheetml.comments+xml"/>
  <Override PartName="/xl/comments85.xml" ContentType="application/vnd.openxmlformats-officedocument.spreadsheetml.comments+xml"/>
  <Override PartName="/xl/comments86.xml" ContentType="application/vnd.openxmlformats-officedocument.spreadsheetml.comments+xml"/>
  <Override PartName="/xl/comments87.xml" ContentType="application/vnd.openxmlformats-officedocument.spreadsheetml.comments+xml"/>
  <Override PartName="/xl/comments88.xml" ContentType="application/vnd.openxmlformats-officedocument.spreadsheetml.comments+xml"/>
  <Override PartName="/xl/comments89.xml" ContentType="application/vnd.openxmlformats-officedocument.spreadsheetml.comments+xml"/>
  <Override PartName="/xl/comments90.xml" ContentType="application/vnd.openxmlformats-officedocument.spreadsheetml.comments+xml"/>
  <Override PartName="/xl/comments91.xml" ContentType="application/vnd.openxmlformats-officedocument.spreadsheetml.comments+xml"/>
  <Override PartName="/xl/comments92.xml" ContentType="application/vnd.openxmlformats-officedocument.spreadsheetml.comments+xml"/>
  <Override PartName="/xl/comments93.xml" ContentType="application/vnd.openxmlformats-officedocument.spreadsheetml.comments+xml"/>
  <Override PartName="/xl/comments94.xml" ContentType="application/vnd.openxmlformats-officedocument.spreadsheetml.comments+xml"/>
  <Override PartName="/xl/comments95.xml" ContentType="application/vnd.openxmlformats-officedocument.spreadsheetml.comments+xml"/>
  <Override PartName="/xl/comments96.xml" ContentType="application/vnd.openxmlformats-officedocument.spreadsheetml.comments+xml"/>
  <Override PartName="/xl/comments97.xml" ContentType="application/vnd.openxmlformats-officedocument.spreadsheetml.comments+xml"/>
  <Override PartName="/xl/comments98.xml" ContentType="application/vnd.openxmlformats-officedocument.spreadsheetml.comments+xml"/>
  <Override PartName="/xl/comments99.xml" ContentType="application/vnd.openxmlformats-officedocument.spreadsheetml.comments+xml"/>
  <Override PartName="/xl/comments100.xml" ContentType="application/vnd.openxmlformats-officedocument.spreadsheetml.comments+xml"/>
  <Override PartName="/xl/comments101.xml" ContentType="application/vnd.openxmlformats-officedocument.spreadsheetml.comments+xml"/>
  <Override PartName="/xl/comments102.xml" ContentType="application/vnd.openxmlformats-officedocument.spreadsheetml.comments+xml"/>
  <Override PartName="/xl/comments103.xml" ContentType="application/vnd.openxmlformats-officedocument.spreadsheetml.comments+xml"/>
  <Override PartName="/xl/comments104.xml" ContentType="application/vnd.openxmlformats-officedocument.spreadsheetml.comments+xml"/>
  <Override PartName="/xl/comments105.xml" ContentType="application/vnd.openxmlformats-officedocument.spreadsheetml.comments+xml"/>
  <Override PartName="/xl/comments106.xml" ContentType="application/vnd.openxmlformats-officedocument.spreadsheetml.comments+xml"/>
  <Override PartName="/xl/comments107.xml" ContentType="application/vnd.openxmlformats-officedocument.spreadsheetml.comments+xml"/>
  <Override PartName="/xl/comments108.xml" ContentType="application/vnd.openxmlformats-officedocument.spreadsheetml.comments+xml"/>
  <Override PartName="/xl/comments109.xml" ContentType="application/vnd.openxmlformats-officedocument.spreadsheetml.comments+xml"/>
  <Override PartName="/xl/comments110.xml" ContentType="application/vnd.openxmlformats-officedocument.spreadsheetml.comments+xml"/>
  <Override PartName="/xl/comments111.xml" ContentType="application/vnd.openxmlformats-officedocument.spreadsheetml.comments+xml"/>
  <Override PartName="/xl/comments112.xml" ContentType="application/vnd.openxmlformats-officedocument.spreadsheetml.comments+xml"/>
  <Override PartName="/xl/comments113.xml" ContentType="application/vnd.openxmlformats-officedocument.spreadsheetml.comments+xml"/>
  <Override PartName="/xl/comments114.xml" ContentType="application/vnd.openxmlformats-officedocument.spreadsheetml.comments+xml"/>
  <Override PartName="/xl/comments115.xml" ContentType="application/vnd.openxmlformats-officedocument.spreadsheetml.comments+xml"/>
  <Override PartName="/xl/comments116.xml" ContentType="application/vnd.openxmlformats-officedocument.spreadsheetml.comments+xml"/>
  <Override PartName="/xl/comments117.xml" ContentType="application/vnd.openxmlformats-officedocument.spreadsheetml.comments+xml"/>
  <Override PartName="/xl/comments118.xml" ContentType="application/vnd.openxmlformats-officedocument.spreadsheetml.comments+xml"/>
  <Override PartName="/xl/comments119.xml" ContentType="application/vnd.openxmlformats-officedocument.spreadsheetml.comments+xml"/>
  <Override PartName="/xl/comments120.xml" ContentType="application/vnd.openxmlformats-officedocument.spreadsheetml.comments+xml"/>
  <Override PartName="/xl/comments121.xml" ContentType="application/vnd.openxmlformats-officedocument.spreadsheetml.comments+xml"/>
  <Override PartName="/xl/comments122.xml" ContentType="application/vnd.openxmlformats-officedocument.spreadsheetml.comments+xml"/>
  <Override PartName="/xl/comments123.xml" ContentType="application/vnd.openxmlformats-officedocument.spreadsheetml.comments+xml"/>
  <Override PartName="/xl/comments124.xml" ContentType="application/vnd.openxmlformats-officedocument.spreadsheetml.comments+xml"/>
  <Override PartName="/xl/comments125.xml" ContentType="application/vnd.openxmlformats-officedocument.spreadsheetml.comments+xml"/>
  <Override PartName="/xl/comments126.xml" ContentType="application/vnd.openxmlformats-officedocument.spreadsheetml.comments+xml"/>
  <Override PartName="/xl/comments127.xml" ContentType="application/vnd.openxmlformats-officedocument.spreadsheetml.comments+xml"/>
  <Override PartName="/xl/comments128.xml" ContentType="application/vnd.openxmlformats-officedocument.spreadsheetml.comments+xml"/>
  <Override PartName="/xl/comments129.xml" ContentType="application/vnd.openxmlformats-officedocument.spreadsheetml.comments+xml"/>
  <Override PartName="/xl/comments130.xml" ContentType="application/vnd.openxmlformats-officedocument.spreadsheetml.comments+xml"/>
  <Override PartName="/xl/comments131.xml" ContentType="application/vnd.openxmlformats-officedocument.spreadsheetml.comments+xml"/>
  <Override PartName="/xl/comments132.xml" ContentType="application/vnd.openxmlformats-officedocument.spreadsheetml.comments+xml"/>
  <Override PartName="/xl/comments133.xml" ContentType="application/vnd.openxmlformats-officedocument.spreadsheetml.comments+xml"/>
  <Override PartName="/xl/comments134.xml" ContentType="application/vnd.openxmlformats-officedocument.spreadsheetml.comments+xml"/>
  <Override PartName="/xl/comments135.xml" ContentType="application/vnd.openxmlformats-officedocument.spreadsheetml.comments+xml"/>
  <Override PartName="/xl/comments136.xml" ContentType="application/vnd.openxmlformats-officedocument.spreadsheetml.comments+xml"/>
  <Override PartName="/xl/comments137.xml" ContentType="application/vnd.openxmlformats-officedocument.spreadsheetml.comments+xml"/>
  <Override PartName="/xl/comments138.xml" ContentType="application/vnd.openxmlformats-officedocument.spreadsheetml.comments+xml"/>
  <Override PartName="/xl/comments139.xml" ContentType="application/vnd.openxmlformats-officedocument.spreadsheetml.comments+xml"/>
  <Override PartName="/xl/comments140.xml" ContentType="application/vnd.openxmlformats-officedocument.spreadsheetml.comments+xml"/>
  <Override PartName="/xl/comments141.xml" ContentType="application/vnd.openxmlformats-officedocument.spreadsheetml.comments+xml"/>
  <Override PartName="/xl/comments142.xml" ContentType="application/vnd.openxmlformats-officedocument.spreadsheetml.comments+xml"/>
  <Override PartName="/xl/comments143.xml" ContentType="application/vnd.openxmlformats-officedocument.spreadsheetml.comments+xml"/>
  <Override PartName="/xl/comments144.xml" ContentType="application/vnd.openxmlformats-officedocument.spreadsheetml.comments+xml"/>
  <Override PartName="/xl/comments145.xml" ContentType="application/vnd.openxmlformats-officedocument.spreadsheetml.comments+xml"/>
  <Override PartName="/xl/comments146.xml" ContentType="application/vnd.openxmlformats-officedocument.spreadsheetml.comments+xml"/>
  <Override PartName="/xl/comments147.xml" ContentType="application/vnd.openxmlformats-officedocument.spreadsheetml.comments+xml"/>
  <Override PartName="/xl/comments148.xml" ContentType="application/vnd.openxmlformats-officedocument.spreadsheetml.comments+xml"/>
  <Override PartName="/xl/comments149.xml" ContentType="application/vnd.openxmlformats-officedocument.spreadsheetml.comments+xml"/>
  <Override PartName="/xl/comments150.xml" ContentType="application/vnd.openxmlformats-officedocument.spreadsheetml.comments+xml"/>
  <Override PartName="/xl/comments151.xml" ContentType="application/vnd.openxmlformats-officedocument.spreadsheetml.comments+xml"/>
  <Override PartName="/xl/comments152.xml" ContentType="application/vnd.openxmlformats-officedocument.spreadsheetml.comments+xml"/>
  <Override PartName="/xl/comments153.xml" ContentType="application/vnd.openxmlformats-officedocument.spreadsheetml.comments+xml"/>
  <Override PartName="/xl/comments154.xml" ContentType="application/vnd.openxmlformats-officedocument.spreadsheetml.comments+xml"/>
  <Override PartName="/xl/comments155.xml" ContentType="application/vnd.openxmlformats-officedocument.spreadsheetml.comments+xml"/>
  <Override PartName="/xl/comments156.xml" ContentType="application/vnd.openxmlformats-officedocument.spreadsheetml.comments+xml"/>
  <Override PartName="/xl/comments157.xml" ContentType="application/vnd.openxmlformats-officedocument.spreadsheetml.comments+xml"/>
  <Override PartName="/xl/comments158.xml" ContentType="application/vnd.openxmlformats-officedocument.spreadsheetml.comments+xml"/>
  <Override PartName="/xl/comments159.xml" ContentType="application/vnd.openxmlformats-officedocument.spreadsheetml.comments+xml"/>
  <Override PartName="/xl/comments160.xml" ContentType="application/vnd.openxmlformats-officedocument.spreadsheetml.comments+xml"/>
  <Override PartName="/xl/comments161.xml" ContentType="application/vnd.openxmlformats-officedocument.spreadsheetml.comments+xml"/>
  <Override PartName="/xl/comments162.xml" ContentType="application/vnd.openxmlformats-officedocument.spreadsheetml.comments+xml"/>
  <Override PartName="/xl/comments163.xml" ContentType="application/vnd.openxmlformats-officedocument.spreadsheetml.comments+xml"/>
  <Override PartName="/xl/comments164.xml" ContentType="application/vnd.openxmlformats-officedocument.spreadsheetml.comments+xml"/>
  <Override PartName="/xl/comments165.xml" ContentType="application/vnd.openxmlformats-officedocument.spreadsheetml.comments+xml"/>
  <Override PartName="/xl/comments166.xml" ContentType="application/vnd.openxmlformats-officedocument.spreadsheetml.comments+xml"/>
  <Override PartName="/xl/comments167.xml" ContentType="application/vnd.openxmlformats-officedocument.spreadsheetml.comments+xml"/>
  <Override PartName="/xl/comments168.xml" ContentType="application/vnd.openxmlformats-officedocument.spreadsheetml.comments+xml"/>
  <Override PartName="/xl/comments169.xml" ContentType="application/vnd.openxmlformats-officedocument.spreadsheetml.comments+xml"/>
  <Override PartName="/xl/comments170.xml" ContentType="application/vnd.openxmlformats-officedocument.spreadsheetml.comments+xml"/>
  <Override PartName="/xl/comments171.xml" ContentType="application/vnd.openxmlformats-officedocument.spreadsheetml.comments+xml"/>
  <Override PartName="/xl/comments172.xml" ContentType="application/vnd.openxmlformats-officedocument.spreadsheetml.comments+xml"/>
  <Override PartName="/xl/comments173.xml" ContentType="application/vnd.openxmlformats-officedocument.spreadsheetml.comments+xml"/>
  <Override PartName="/xl/comments174.xml" ContentType="application/vnd.openxmlformats-officedocument.spreadsheetml.comments+xml"/>
  <Override PartName="/xl/comments175.xml" ContentType="application/vnd.openxmlformats-officedocument.spreadsheetml.comments+xml"/>
  <Override PartName="/xl/comments176.xml" ContentType="application/vnd.openxmlformats-officedocument.spreadsheetml.comments+xml"/>
  <Override PartName="/xl/comments177.xml" ContentType="application/vnd.openxmlformats-officedocument.spreadsheetml.comments+xml"/>
  <Override PartName="/xl/comments178.xml" ContentType="application/vnd.openxmlformats-officedocument.spreadsheetml.comments+xml"/>
  <Override PartName="/xl/comments179.xml" ContentType="application/vnd.openxmlformats-officedocument.spreadsheetml.comments+xml"/>
  <Override PartName="/xl/comments180.xml" ContentType="application/vnd.openxmlformats-officedocument.spreadsheetml.comments+xml"/>
  <Override PartName="/xl/comments181.xml" ContentType="application/vnd.openxmlformats-officedocument.spreadsheetml.comments+xml"/>
  <Override PartName="/xl/comments182.xml" ContentType="application/vnd.openxmlformats-officedocument.spreadsheetml.comments+xml"/>
  <Override PartName="/xl/comments183.xml" ContentType="application/vnd.openxmlformats-officedocument.spreadsheetml.comments+xml"/>
  <Override PartName="/xl/comments184.xml" ContentType="application/vnd.openxmlformats-officedocument.spreadsheetml.comments+xml"/>
  <Override PartName="/xl/comments185.xml" ContentType="application/vnd.openxmlformats-officedocument.spreadsheetml.comments+xml"/>
  <Override PartName="/xl/comments186.xml" ContentType="application/vnd.openxmlformats-officedocument.spreadsheetml.comments+xml"/>
  <Override PartName="/xl/comments187.xml" ContentType="application/vnd.openxmlformats-officedocument.spreadsheetml.comments+xml"/>
  <Override PartName="/xl/comments188.xml" ContentType="application/vnd.openxmlformats-officedocument.spreadsheetml.comments+xml"/>
  <Override PartName="/xl/comments189.xml" ContentType="application/vnd.openxmlformats-officedocument.spreadsheetml.comments+xml"/>
  <Override PartName="/xl/comments190.xml" ContentType="application/vnd.openxmlformats-officedocument.spreadsheetml.comments+xml"/>
  <Override PartName="/xl/comments191.xml" ContentType="application/vnd.openxmlformats-officedocument.spreadsheetml.comments+xml"/>
  <Override PartName="/xl/comments192.xml" ContentType="application/vnd.openxmlformats-officedocument.spreadsheetml.comments+xml"/>
  <Override PartName="/xl/comments193.xml" ContentType="application/vnd.openxmlformats-officedocument.spreadsheetml.comments+xml"/>
  <Override PartName="/xl/comments194.xml" ContentType="application/vnd.openxmlformats-officedocument.spreadsheetml.comments+xml"/>
  <Override PartName="/xl/comments195.xml" ContentType="application/vnd.openxmlformats-officedocument.spreadsheetml.comments+xml"/>
  <Override PartName="/xl/comments196.xml" ContentType="application/vnd.openxmlformats-officedocument.spreadsheetml.comments+xml"/>
  <Override PartName="/xl/comments197.xml" ContentType="application/vnd.openxmlformats-officedocument.spreadsheetml.comments+xml"/>
  <Override PartName="/xl/comments198.xml" ContentType="application/vnd.openxmlformats-officedocument.spreadsheetml.comments+xml"/>
  <Override PartName="/xl/comments199.xml" ContentType="application/vnd.openxmlformats-officedocument.spreadsheetml.comments+xml"/>
  <Override PartName="/xl/comments200.xml" ContentType="application/vnd.openxmlformats-officedocument.spreadsheetml.comments+xml"/>
  <Override PartName="/xl/comments201.xml" ContentType="application/vnd.openxmlformats-officedocument.spreadsheetml.comments+xml"/>
  <Override PartName="/xl/comments202.xml" ContentType="application/vnd.openxmlformats-officedocument.spreadsheetml.comments+xml"/>
  <Override PartName="/xl/comments203.xml" ContentType="application/vnd.openxmlformats-officedocument.spreadsheetml.comments+xml"/>
  <Override PartName="/xl/comments204.xml" ContentType="application/vnd.openxmlformats-officedocument.spreadsheetml.comments+xml"/>
  <Override PartName="/xl/comments205.xml" ContentType="application/vnd.openxmlformats-officedocument.spreadsheetml.comments+xml"/>
  <Override PartName="/xl/comments206.xml" ContentType="application/vnd.openxmlformats-officedocument.spreadsheetml.comments+xml"/>
  <Override PartName="/xl/comments207.xml" ContentType="application/vnd.openxmlformats-officedocument.spreadsheetml.comments+xml"/>
  <Override PartName="/xl/comments208.xml" ContentType="application/vnd.openxmlformats-officedocument.spreadsheetml.comments+xml"/>
  <Override PartName="/xl/comments209.xml" ContentType="application/vnd.openxmlformats-officedocument.spreadsheetml.comments+xml"/>
  <Override PartName="/xl/comments210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mie\nportvalidation\data\inputs\nport-v1.13\"/>
    </mc:Choice>
  </mc:AlternateContent>
  <xr:revisionPtr revIDLastSave="0" documentId="13_ncr:1_{663D4FED-7711-41F2-8249-7F0048B7E982}" xr6:coauthVersionLast="47" xr6:coauthVersionMax="47" xr10:uidLastSave="{00000000-0000-0000-0000-000000000000}"/>
  <bookViews>
    <workbookView xWindow="-120" yWindow="-120" windowWidth="38640" windowHeight="21120" firstSheet="29" activeTab="35" xr2:uid="{00000000-000D-0000-FFFF-FFFF00000000}"/>
  </bookViews>
  <sheets>
    <sheet name="ACLZ_Config" sheetId="1" r:id="rId1"/>
    <sheet name="ACLZ_FundData" sheetId="2" r:id="rId2"/>
    <sheet name="ACLZ_Positions" sheetId="3" r:id="rId3"/>
    <sheet name="ACMM_Config" sheetId="4" r:id="rId4"/>
    <sheet name="ACMM_FundData" sheetId="5" r:id="rId5"/>
    <sheet name="ACMM_Positions" sheetId="6" r:id="rId6"/>
    <sheet name="AV_Config" sheetId="7" r:id="rId7"/>
    <sheet name="AV_FundData" sheetId="8" r:id="rId8"/>
    <sheet name="AV_Positions" sheetId="9" r:id="rId9"/>
    <sheet name="BAY_Config" sheetId="10" r:id="rId10"/>
    <sheet name="BAY_FundData" sheetId="11" r:id="rId11"/>
    <sheet name="BAY_Positions" sheetId="12" r:id="rId12"/>
    <sheet name="BLCK_Config" sheetId="13" r:id="rId13"/>
    <sheet name="BLCK_FundData" sheetId="14" r:id="rId14"/>
    <sheet name="BLCK_Positions" sheetId="15" r:id="rId15"/>
    <sheet name="BREW_Config" sheetId="16" r:id="rId16"/>
    <sheet name="BREW_FundData" sheetId="17" r:id="rId17"/>
    <sheet name="BREW_Positions" sheetId="18" r:id="rId18"/>
    <sheet name="BRZX_Config" sheetId="19" r:id="rId19"/>
    <sheet name="BRZX_FundData" sheetId="20" r:id="rId20"/>
    <sheet name="BRZX_Positions" sheetId="21" r:id="rId21"/>
    <sheet name="BZZ_Config" sheetId="22" r:id="rId22"/>
    <sheet name="BZZ_FundData" sheetId="23" r:id="rId23"/>
    <sheet name="BZZ_Positions" sheetId="24" r:id="rId24"/>
    <sheet name="CAMC_Config" sheetId="25" r:id="rId25"/>
    <sheet name="CAMC_FundData" sheetId="26" r:id="rId26"/>
    <sheet name="CAMC_Positions" sheetId="27" r:id="rId27"/>
    <sheet name="CARX_Config" sheetId="28" r:id="rId28"/>
    <sheet name="CARX_FundData" sheetId="29" r:id="rId29"/>
    <sheet name="CARX_Positions" sheetId="30" r:id="rId30"/>
    <sheet name="CBIL_Config" sheetId="31" r:id="rId31"/>
    <sheet name="CBIL_FundData" sheetId="32" r:id="rId32"/>
    <sheet name="CBIL_Positions" sheetId="33" r:id="rId33"/>
    <sheet name="CBOT_Config" sheetId="34" r:id="rId34"/>
    <sheet name="CBOT_FundData" sheetId="35" r:id="rId35"/>
    <sheet name="CBOT_Positions" sheetId="36" r:id="rId36"/>
    <sheet name="CCPX_Config" sheetId="37" r:id="rId37"/>
    <sheet name="CCPX_FundData" sheetId="38" r:id="rId38"/>
    <sheet name="CCPX_Positions" sheetId="39" r:id="rId39"/>
    <sheet name="CGOV_Config" sheetId="40" r:id="rId40"/>
    <sheet name="CGOV_FundData" sheetId="41" r:id="rId41"/>
    <sheet name="CGOV_Positions" sheetId="42" r:id="rId42"/>
    <sheet name="CHYG_Config" sheetId="43" r:id="rId43"/>
    <sheet name="CHYG_FundData" sheetId="44" r:id="rId44"/>
    <sheet name="CHYG_Positions" sheetId="45" r:id="rId45"/>
    <sheet name="CIEI_Config" sheetId="46" r:id="rId46"/>
    <sheet name="CIEI_FundData" sheetId="47" r:id="rId47"/>
    <sheet name="CIEI_Positions" sheetId="48" r:id="rId48"/>
    <sheet name="CIVG_Config" sheetId="49" r:id="rId49"/>
    <sheet name="CIVG_FundData" sheetId="50" r:id="rId50"/>
    <sheet name="CIVG_Positions" sheetId="51" r:id="rId51"/>
    <sheet name="CJUN_Config" sheetId="52" r:id="rId52"/>
    <sheet name="CJUN_FundData" sheetId="53" r:id="rId53"/>
    <sheet name="CJUN_Positions" sheetId="54" r:id="rId54"/>
    <sheet name="CMAG_Config" sheetId="55" r:id="rId55"/>
    <sheet name="CMAG_FundData" sheetId="56" r:id="rId56"/>
    <sheet name="CMAG_Positions" sheetId="57" r:id="rId57"/>
    <sheet name="CMAY_Config" sheetId="58" r:id="rId58"/>
    <sheet name="CMAY_FundData" sheetId="59" r:id="rId59"/>
    <sheet name="CMAY_Positions" sheetId="60" r:id="rId60"/>
    <sheet name="CQTM_Config" sheetId="61" r:id="rId61"/>
    <sheet name="CQTM_FundData" sheetId="62" r:id="rId62"/>
    <sheet name="CQTM_Positions" sheetId="63" r:id="rId63"/>
    <sheet name="CRUC_Config" sheetId="64" r:id="rId64"/>
    <sheet name="CRUC_FundData" sheetId="65" r:id="rId65"/>
    <sheet name="CRUC_Positions" sheetId="66" r:id="rId66"/>
    <sheet name="CTJN_Config" sheetId="67" r:id="rId67"/>
    <sheet name="CTJN_FundData" sheetId="68" r:id="rId68"/>
    <sheet name="CTJN_Positions" sheetId="69" r:id="rId69"/>
    <sheet name="CTMA_Config" sheetId="70" r:id="rId70"/>
    <sheet name="CTMA_FundData" sheetId="71" r:id="rId71"/>
    <sheet name="CTMA_Positions" sheetId="72" r:id="rId72"/>
    <sheet name="CUST_Config" sheetId="73" r:id="rId73"/>
    <sheet name="CUST_FundData" sheetId="74" r:id="rId74"/>
    <sheet name="CUST_Positions" sheetId="75" r:id="rId75"/>
    <sheet name="DIPR_Config" sheetId="76" r:id="rId76"/>
    <sheet name="DIPR_FundData" sheetId="77" r:id="rId77"/>
    <sheet name="DIPR_Positions" sheetId="78" r:id="rId78"/>
    <sheet name="DOCK_Config" sheetId="79" r:id="rId79"/>
    <sheet name="DOCK_FundData" sheetId="80" r:id="rId80"/>
    <sheet name="DOCK_Positions" sheetId="81" r:id="rId81"/>
    <sheet name="EMJN_Config" sheetId="82" r:id="rId82"/>
    <sheet name="EMJN_FundData" sheetId="83" r:id="rId83"/>
    <sheet name="EMJN_Positions" sheetId="84" r:id="rId84"/>
    <sheet name="EMMY_Config" sheetId="85" r:id="rId85"/>
    <sheet name="EMMY_FundData" sheetId="86" r:id="rId86"/>
    <sheet name="EMMY_Positions" sheetId="87" r:id="rId87"/>
    <sheet name="EMXX_Config" sheetId="88" r:id="rId88"/>
    <sheet name="EMXX_FundData" sheetId="89" r:id="rId89"/>
    <sheet name="EMXX_Positions" sheetId="90" r:id="rId90"/>
    <sheet name="EUV_Config" sheetId="91" r:id="rId91"/>
    <sheet name="EUV_FundData" sheetId="92" r:id="rId92"/>
    <sheet name="EUV_Positions" sheetId="93" r:id="rId93"/>
    <sheet name="EUVX_Config" sheetId="94" r:id="rId94"/>
    <sheet name="EUVX_FundData" sheetId="95" r:id="rId95"/>
    <sheet name="EUVX_Positions" sheetId="96" r:id="rId96"/>
    <sheet name="EYES_Config" sheetId="97" r:id="rId97"/>
    <sheet name="EYES_FundData" sheetId="98" r:id="rId98"/>
    <sheet name="EYES_Positions" sheetId="99" r:id="rId99"/>
    <sheet name="FDRS_Config" sheetId="100" r:id="rId100"/>
    <sheet name="FDRS_FundData" sheetId="101" r:id="rId101"/>
    <sheet name="FDRS_Positions" sheetId="102" r:id="rId102"/>
    <sheet name="FDRX_Config" sheetId="103" r:id="rId103"/>
    <sheet name="FDRX_FundData" sheetId="104" r:id="rId104"/>
    <sheet name="FDRX_Positions" sheetId="105" r:id="rId105"/>
    <sheet name="GASZ_Config" sheetId="106" r:id="rId106"/>
    <sheet name="GASZ_FundData" sheetId="107" r:id="rId107"/>
    <sheet name="GASZ_Positions" sheetId="108" r:id="rId108"/>
    <sheet name="GLAM_Config" sheetId="109" r:id="rId109"/>
    <sheet name="GLAM_FundData" sheetId="110" r:id="rId110"/>
    <sheet name="GLAM_Positions" sheetId="111" r:id="rId111"/>
    <sheet name="GNMX_Config" sheetId="112" r:id="rId112"/>
    <sheet name="GNMX_FundData" sheetId="113" r:id="rId113"/>
    <sheet name="GNMX_Positions" sheetId="114" r:id="rId114"/>
    <sheet name="GPTZ_Config" sheetId="115" r:id="rId115"/>
    <sheet name="GPTZ_FundData" sheetId="116" r:id="rId116"/>
    <sheet name="GPTZ_Positions" sheetId="117" r:id="rId117"/>
    <sheet name="HJUN_Config" sheetId="118" r:id="rId118"/>
    <sheet name="HJUN_FundData" sheetId="119" r:id="rId119"/>
    <sheet name="HJUN_Positions" sheetId="120" r:id="rId120"/>
    <sheet name="HMAY_Config" sheetId="121" r:id="rId121"/>
    <sheet name="HMAY_FundData" sheetId="122" r:id="rId122"/>
    <sheet name="HMAY_Positions" sheetId="123" r:id="rId123"/>
    <sheet name="HULL_Config" sheetId="124" r:id="rId124"/>
    <sheet name="HULL_FundData" sheetId="125" r:id="rId125"/>
    <sheet name="HULL_Positions" sheetId="126" r:id="rId126"/>
    <sheet name="IDJN_Config" sheetId="127" r:id="rId127"/>
    <sheet name="IDJN_FundData" sheetId="128" r:id="rId128"/>
    <sheet name="IDJN_Positions" sheetId="129" r:id="rId129"/>
    <sheet name="IDMY_Config" sheetId="130" r:id="rId130"/>
    <sheet name="IDMY_FundData" sheetId="131" r:id="rId131"/>
    <sheet name="IDMY_Positions" sheetId="132" r:id="rId132"/>
    <sheet name="JOUL_Config" sheetId="133" r:id="rId133"/>
    <sheet name="JOUL_FundData" sheetId="134" r:id="rId134"/>
    <sheet name="JOUL_Positions" sheetId="135" r:id="rId135"/>
    <sheet name="JUNC_Config" sheetId="136" r:id="rId136"/>
    <sheet name="JUNC_FundData" sheetId="137" r:id="rId137"/>
    <sheet name="JUNC_Positions" sheetId="138" r:id="rId138"/>
    <sheet name="KEYX_Config" sheetId="139" r:id="rId139"/>
    <sheet name="KEYX_FundData" sheetId="140" r:id="rId140"/>
    <sheet name="KEYX_Positions" sheetId="141" r:id="rId141"/>
    <sheet name="KRWX_Config" sheetId="142" r:id="rId142"/>
    <sheet name="KRWX_FundData" sheetId="143" r:id="rId143"/>
    <sheet name="KRWX_Positions" sheetId="144" r:id="rId144"/>
    <sheet name="KYC_Config" sheetId="145" r:id="rId145"/>
    <sheet name="KYC_FundData" sheetId="146" r:id="rId146"/>
    <sheet name="KYC_Positions" sheetId="147" r:id="rId147"/>
    <sheet name="LASC_Config" sheetId="148" r:id="rId148"/>
    <sheet name="LASC_FundData" sheetId="149" r:id="rId149"/>
    <sheet name="LASC_Positions" sheetId="150" r:id="rId150"/>
    <sheet name="LATR_Config" sheetId="151" r:id="rId151"/>
    <sheet name="LATR_FundData" sheetId="152" r:id="rId152"/>
    <sheet name="LATR_Positions" sheetId="153" r:id="rId153"/>
    <sheet name="LRNX_Config" sheetId="154" r:id="rId154"/>
    <sheet name="LRNX_FundData" sheetId="155" r:id="rId155"/>
    <sheet name="LRNX_Positions" sheetId="156" r:id="rId156"/>
    <sheet name="MAYC_Config" sheetId="157" r:id="rId157"/>
    <sheet name="MAYC_FundData" sheetId="158" r:id="rId158"/>
    <sheet name="MAYC_Positions" sheetId="159" r:id="rId159"/>
    <sheet name="MGKX_Config" sheetId="160" r:id="rId160"/>
    <sheet name="MGKX_FundData" sheetId="161" r:id="rId161"/>
    <sheet name="MGKX_Positions" sheetId="162" r:id="rId162"/>
    <sheet name="MNSX_Config" sheetId="163" r:id="rId163"/>
    <sheet name="MNSX_FundData" sheetId="164" r:id="rId164"/>
    <sheet name="MNSX_Positions" sheetId="165" r:id="rId165"/>
    <sheet name="MSIX_Config" sheetId="166" r:id="rId166"/>
    <sheet name="MSIX_FundData" sheetId="167" r:id="rId167"/>
    <sheet name="MSIX_Positions" sheetId="168" r:id="rId168"/>
    <sheet name="NYNY_Config" sheetId="169" r:id="rId169"/>
    <sheet name="NYNY_FundData" sheetId="170" r:id="rId170"/>
    <sheet name="NYNY_Positions" sheetId="171" r:id="rId171"/>
    <sheet name="ODDZ_Config" sheetId="172" r:id="rId172"/>
    <sheet name="ODDZ_FundData" sheetId="173" r:id="rId173"/>
    <sheet name="ODDZ_Positions" sheetId="174" r:id="rId174"/>
    <sheet name="ONTX_Config" sheetId="175" r:id="rId175"/>
    <sheet name="ONTX_FundData" sheetId="176" r:id="rId176"/>
    <sheet name="ONTX_Positions" sheetId="177" r:id="rId177"/>
    <sheet name="OWN_Config" sheetId="178" r:id="rId178"/>
    <sheet name="OWN_FundData" sheetId="179" r:id="rId179"/>
    <sheet name="OWN_Positions" sheetId="180" r:id="rId180"/>
    <sheet name="PTNT_Config" sheetId="181" r:id="rId181"/>
    <sheet name="PTNT_FundData" sheetId="182" r:id="rId182"/>
    <sheet name="PTNT_Positions" sheetId="183" r:id="rId183"/>
    <sheet name="QJN_Config" sheetId="184" r:id="rId184"/>
    <sheet name="QJN_FundData" sheetId="185" r:id="rId185"/>
    <sheet name="QJN_Positions" sheetId="186" r:id="rId186"/>
    <sheet name="QMY_Config" sheetId="187" r:id="rId187"/>
    <sheet name="QMY_FundData" sheetId="188" r:id="rId188"/>
    <sheet name="QMY_Positions" sheetId="189" r:id="rId189"/>
    <sheet name="QQJN_Config" sheetId="190" r:id="rId190"/>
    <sheet name="QQJN_FundData" sheetId="191" r:id="rId191"/>
    <sheet name="QQJN_Positions" sheetId="192" r:id="rId192"/>
    <sheet name="QQMY_Config" sheetId="193" r:id="rId193"/>
    <sheet name="QQMY_FundData" sheetId="194" r:id="rId194"/>
    <sheet name="QQMY_Positions" sheetId="195" r:id="rId195"/>
    <sheet name="RMBC_Config" sheetId="196" r:id="rId196"/>
    <sheet name="RMBC_FundData" sheetId="197" r:id="rId197"/>
    <sheet name="RMBC_Positions" sheetId="198" r:id="rId198"/>
    <sheet name="SCJN_Config" sheetId="199" r:id="rId199"/>
    <sheet name="SCJN_FundData" sheetId="200" r:id="rId200"/>
    <sheet name="SCJN_Positions" sheetId="201" r:id="rId201"/>
    <sheet name="SCMY_Config" sheetId="202" r:id="rId202"/>
    <sheet name="SCMY_FundData" sheetId="203" r:id="rId203"/>
    <sheet name="SCMY_Positions" sheetId="204" r:id="rId204"/>
    <sheet name="SIMX_Config" sheetId="205" r:id="rId205"/>
    <sheet name="SIMX_FundData" sheetId="206" r:id="rId206"/>
    <sheet name="SIMX_Positions" sheetId="207" r:id="rId207"/>
    <sheet name="STYL_Config" sheetId="208" r:id="rId208"/>
    <sheet name="STYL_FundData" sheetId="209" r:id="rId209"/>
    <sheet name="STYL_Positions" sheetId="210" r:id="rId210"/>
    <sheet name="TAJX_Config" sheetId="211" r:id="rId211"/>
    <sheet name="TAJX_FundData" sheetId="212" r:id="rId212"/>
    <sheet name="TAJX_Positions" sheetId="213" r:id="rId213"/>
    <sheet name="TPLX_Config" sheetId="214" r:id="rId214"/>
    <sheet name="TPLX_FundData" sheetId="215" r:id="rId215"/>
    <sheet name="TPLX_Positions" sheetId="216" r:id="rId216"/>
    <sheet name="UMCX_Config" sheetId="217" r:id="rId217"/>
    <sheet name="UMCX_FundData" sheetId="218" r:id="rId218"/>
    <sheet name="UMCX_Positions" sheetId="219" r:id="rId219"/>
    <sheet name="USX_Config" sheetId="220" r:id="rId220"/>
    <sheet name="USX_FundData" sheetId="221" r:id="rId221"/>
    <sheet name="USX_Positions" sheetId="222" r:id="rId222"/>
    <sheet name="VBX_Config" sheetId="223" r:id="rId223"/>
    <sheet name="VBX_FundData" sheetId="224" r:id="rId224"/>
    <sheet name="VBX_Positions" sheetId="225" r:id="rId225"/>
    <sheet name="VOOX_Config" sheetId="226" r:id="rId226"/>
    <sheet name="VOOX_FundData" sheetId="227" r:id="rId227"/>
    <sheet name="VOOX_Positions" sheetId="228" r:id="rId228"/>
    <sheet name="WATS_Config" sheetId="229" r:id="rId229"/>
    <sheet name="WATS_FundData" sheetId="230" r:id="rId230"/>
    <sheet name="WATS_Positions" sheetId="231" r:id="rId231"/>
    <sheet name="WEBX_Config" sheetId="232" r:id="rId232"/>
    <sheet name="WEBX_FundData" sheetId="233" r:id="rId233"/>
    <sheet name="WEBX_Positions" sheetId="234" r:id="rId234"/>
    <sheet name="WNDR_Config" sheetId="235" r:id="rId235"/>
    <sheet name="WNDR_FundData" sheetId="236" r:id="rId236"/>
    <sheet name="WNDR_Positions" sheetId="237" r:id="rId237"/>
    <sheet name="WR_Config" sheetId="238" r:id="rId238"/>
    <sheet name="WR_FundData" sheetId="239" r:id="rId239"/>
    <sheet name="WR_Positions" sheetId="240" r:id="rId240"/>
    <sheet name="WX_Config" sheetId="241" r:id="rId241"/>
    <sheet name="WX_FundData" sheetId="242" r:id="rId242"/>
    <sheet name="WX_Positions" sheetId="243" r:id="rId243"/>
    <sheet name="XA_Config" sheetId="244" r:id="rId244"/>
    <sheet name="XA_FundData" sheetId="245" r:id="rId245"/>
    <sheet name="XA_Positions" sheetId="246" r:id="rId246"/>
    <sheet name="XAGI_Config" sheetId="247" r:id="rId247"/>
    <sheet name="XAGI_FundData" sheetId="248" r:id="rId248"/>
    <sheet name="XAGI_Positions" sheetId="249" r:id="rId249"/>
    <sheet name="XBIX_Config" sheetId="250" r:id="rId250"/>
    <sheet name="XBIX_FundData" sheetId="251" r:id="rId251"/>
    <sheet name="XBIX_Positions" sheetId="252" r:id="rId252"/>
    <sheet name="XCOM_Config" sheetId="253" r:id="rId253"/>
    <sheet name="XCOM_FundData" sheetId="254" r:id="rId254"/>
    <sheet name="XCOM_Positions" sheetId="255" r:id="rId255"/>
    <sheet name="XEUR_Config" sheetId="256" r:id="rId256"/>
    <sheet name="XEUR_FundData" sheetId="257" r:id="rId257"/>
    <sheet name="XEUR_Positions" sheetId="258" r:id="rId258"/>
    <sheet name="XHOA_Config" sheetId="259" r:id="rId259"/>
    <sheet name="XHOA_FundData" sheetId="260" r:id="rId260"/>
    <sheet name="XHOA_Positions" sheetId="261" r:id="rId261"/>
    <sheet name="XIWC_Config" sheetId="262" r:id="rId262"/>
    <sheet name="XIWC_FundData" sheetId="263" r:id="rId263"/>
    <sheet name="XIWC_Positions" sheetId="264" r:id="rId264"/>
    <sheet name="XKRE_Config" sheetId="265" r:id="rId265"/>
    <sheet name="XKRE_FundData" sheetId="266" r:id="rId266"/>
    <sheet name="XKRE_Positions" sheetId="267" r:id="rId267"/>
    <sheet name="XLBX_Config" sheetId="268" r:id="rId268"/>
    <sheet name="XLBX_FundData" sheetId="269" r:id="rId269"/>
    <sheet name="XLBX_Positions" sheetId="270" r:id="rId270"/>
    <sheet name="XLEX_Config" sheetId="271" r:id="rId271"/>
    <sheet name="XLEX_FundData" sheetId="272" r:id="rId272"/>
    <sheet name="XLEX_Positions" sheetId="273" r:id="rId273"/>
    <sheet name="XLFX_Config" sheetId="274" r:id="rId274"/>
    <sheet name="XLFX_FundData" sheetId="275" r:id="rId275"/>
    <sheet name="XLFX_Positions" sheetId="276" r:id="rId276"/>
    <sheet name="XLIX_Config" sheetId="277" r:id="rId277"/>
    <sheet name="XLIX_FundData" sheetId="278" r:id="rId278"/>
    <sheet name="XLIX_Positions" sheetId="279" r:id="rId279"/>
    <sheet name="XLKX_Config" sheetId="280" r:id="rId280"/>
    <sheet name="XLKX_FundData" sheetId="281" r:id="rId281"/>
    <sheet name="XLKX_Positions" sheetId="282" r:id="rId282"/>
    <sheet name="XLPX_Config" sheetId="283" r:id="rId283"/>
    <sheet name="XLPX_FundData" sheetId="284" r:id="rId284"/>
    <sheet name="XLPX_Positions" sheetId="285" r:id="rId285"/>
    <sheet name="XLUX_Config" sheetId="286" r:id="rId286"/>
    <sheet name="XLUX_FundData" sheetId="287" r:id="rId287"/>
    <sheet name="XLUX_Positions" sheetId="288" r:id="rId288"/>
    <sheet name="XLVX_Config" sheetId="289" r:id="rId289"/>
    <sheet name="XLVX_FundData" sheetId="290" r:id="rId290"/>
    <sheet name="XLVX_Positions" sheetId="291" r:id="rId291"/>
    <sheet name="XLYX_Config" sheetId="292" r:id="rId292"/>
    <sheet name="XLYX_FundData" sheetId="293" r:id="rId293"/>
    <sheet name="XLYX_Positions" sheetId="294" r:id="rId294"/>
    <sheet name="XPAV_Config" sheetId="295" r:id="rId295"/>
    <sheet name="XPAV_FundData" sheetId="296" r:id="rId296"/>
    <sheet name="XPAV_Positions" sheetId="297" r:id="rId297"/>
    <sheet name="XSEM_Config" sheetId="298" r:id="rId298"/>
    <sheet name="XSEM_FundData" sheetId="299" r:id="rId299"/>
    <sheet name="XSEM_Positions" sheetId="300" r:id="rId300"/>
    <sheet name="XTAI_Config" sheetId="301" r:id="rId301"/>
    <sheet name="XTAI_FundData" sheetId="302" r:id="rId302"/>
    <sheet name="XTAI_Positions" sheetId="303" r:id="rId303"/>
    <sheet name="XVO_Config" sheetId="304" r:id="rId304"/>
    <sheet name="XVO_FundData" sheetId="305" r:id="rId305"/>
    <sheet name="XVO_Positions" sheetId="306" r:id="rId306"/>
    <sheet name="XVUG_Config" sheetId="307" r:id="rId307"/>
    <sheet name="XVUG_FundData" sheetId="308" r:id="rId308"/>
    <sheet name="XVUG_Positions" sheetId="309" r:id="rId309"/>
    <sheet name="XW_Config" sheetId="310" r:id="rId310"/>
    <sheet name="XW_FundData" sheetId="311" r:id="rId311"/>
    <sheet name="XW_Positions" sheetId="312" r:id="rId312"/>
    <sheet name="YUNG_Config" sheetId="313" r:id="rId313"/>
    <sheet name="YUNG_FundData" sheetId="314" r:id="rId314"/>
    <sheet name="YUNG_Positions" sheetId="315" r:id="rId315"/>
    <sheet name="Orders" sheetId="316" r:id="rId316"/>
  </sheets>
  <definedNames>
    <definedName name="_xlnm._FilterDatabase" localSheetId="0" hidden="1">ACLZ_Config!$A$1:$B$27</definedName>
    <definedName name="_xlnm._FilterDatabase" localSheetId="1" hidden="1">ACLZ_FundData!$A$1:$C$52</definedName>
    <definedName name="_xlnm._FilterDatabase" localSheetId="2" hidden="1">ACLZ_Positions!$A$1:$CH$2</definedName>
    <definedName name="_xlnm._FilterDatabase" localSheetId="3" hidden="1">ACMM_Config!$A$1:$B$27</definedName>
    <definedName name="_xlnm._FilterDatabase" localSheetId="4" hidden="1">ACMM_FundData!$A$1:$C$52</definedName>
    <definedName name="_xlnm._FilterDatabase" localSheetId="5" hidden="1">ACMM_Positions!$A$1:$CH$2</definedName>
    <definedName name="_xlnm._FilterDatabase" localSheetId="6" hidden="1">AV_Config!$A$1:$B$27</definedName>
    <definedName name="_xlnm._FilterDatabase" localSheetId="7" hidden="1">AV_FundData!$A$1:$C$52</definedName>
    <definedName name="_xlnm._FilterDatabase" localSheetId="8" hidden="1">AV_Positions!$A$1:$CH$2</definedName>
    <definedName name="_xlnm._FilterDatabase" localSheetId="9" hidden="1">BAY_Config!$A$1:$B$27</definedName>
    <definedName name="_xlnm._FilterDatabase" localSheetId="10" hidden="1">BAY_FundData!$A$1:$C$52</definedName>
    <definedName name="_xlnm._FilterDatabase" localSheetId="11" hidden="1">BAY_Positions!$A$1:$CH$2</definedName>
    <definedName name="_xlnm._FilterDatabase" localSheetId="12" hidden="1">BLCK_Config!$A$1:$B$27</definedName>
    <definedName name="_xlnm._FilterDatabase" localSheetId="13" hidden="1">BLCK_FundData!$A$1:$C$52</definedName>
    <definedName name="_xlnm._FilterDatabase" localSheetId="14" hidden="1">BLCK_Positions!$A$1:$CH$2</definedName>
    <definedName name="_xlnm._FilterDatabase" localSheetId="15" hidden="1">BREW_Config!$A$1:$B$27</definedName>
    <definedName name="_xlnm._FilterDatabase" localSheetId="16" hidden="1">BREW_FundData!$A$1:$C$52</definedName>
    <definedName name="_xlnm._FilterDatabase" localSheetId="17" hidden="1">BREW_Positions!$A$1:$CH$2</definedName>
    <definedName name="_xlnm._FilterDatabase" localSheetId="18" hidden="1">BRZX_Config!$A$1:$B$27</definedName>
    <definedName name="_xlnm._FilterDatabase" localSheetId="19" hidden="1">BRZX_FundData!$A$1:$C$52</definedName>
    <definedName name="_xlnm._FilterDatabase" localSheetId="20" hidden="1">BRZX_Positions!$A$1:$CH$2</definedName>
    <definedName name="_xlnm._FilterDatabase" localSheetId="21" hidden="1">BZZ_Config!$A$1:$B$27</definedName>
    <definedName name="_xlnm._FilterDatabase" localSheetId="22" hidden="1">BZZ_FundData!$A$1:$C$52</definedName>
    <definedName name="_xlnm._FilterDatabase" localSheetId="23" hidden="1">BZZ_Positions!$A$1:$CH$2</definedName>
    <definedName name="_xlnm._FilterDatabase" localSheetId="24" hidden="1">CAMC_Config!$A$1:$B$27</definedName>
    <definedName name="_xlnm._FilterDatabase" localSheetId="25" hidden="1">CAMC_FundData!$A$1:$C$52</definedName>
    <definedName name="_xlnm._FilterDatabase" localSheetId="26" hidden="1">CAMC_Positions!$A$1:$CH$2</definedName>
    <definedName name="_xlnm._FilterDatabase" localSheetId="27" hidden="1">CARX_Config!$A$1:$B$27</definedName>
    <definedName name="_xlnm._FilterDatabase" localSheetId="28" hidden="1">CARX_FundData!$A$1:$C$52</definedName>
    <definedName name="_xlnm._FilterDatabase" localSheetId="29" hidden="1">CARX_Positions!$A$1:$CH$2</definedName>
    <definedName name="_xlnm._FilterDatabase" localSheetId="30" hidden="1">CBIL_Config!$A$1:$B$27</definedName>
    <definedName name="_xlnm._FilterDatabase" localSheetId="31" hidden="1">CBIL_FundData!$A$1:$C$52</definedName>
    <definedName name="_xlnm._FilterDatabase" localSheetId="32" hidden="1">CBIL_Positions!$A$1:$CH$2</definedName>
    <definedName name="_xlnm._FilterDatabase" localSheetId="33" hidden="1">CBOT_Config!$A$1:$B$27</definedName>
    <definedName name="_xlnm._FilterDatabase" localSheetId="34" hidden="1">CBOT_FundData!$A$1:$C$52</definedName>
    <definedName name="_xlnm._FilterDatabase" localSheetId="35" hidden="1">CBOT_Positions!$A$1:$CH$2</definedName>
    <definedName name="_xlnm._FilterDatabase" localSheetId="36" hidden="1">CCPX_Config!$A$1:$B$27</definedName>
    <definedName name="_xlnm._FilterDatabase" localSheetId="37" hidden="1">CCPX_FundData!$A$1:$C$52</definedName>
    <definedName name="_xlnm._FilterDatabase" localSheetId="38" hidden="1">CCPX_Positions!$A$1:$CH$2</definedName>
    <definedName name="_xlnm._FilterDatabase" localSheetId="39" hidden="1">CGOV_Config!$A$1:$B$27</definedName>
    <definedName name="_xlnm._FilterDatabase" localSheetId="40" hidden="1">CGOV_FundData!$A$1:$C$52</definedName>
    <definedName name="_xlnm._FilterDatabase" localSheetId="41" hidden="1">CGOV_Positions!$A$1:$CH$2</definedName>
    <definedName name="_xlnm._FilterDatabase" localSheetId="42" hidden="1">CHYG_Config!$A$1:$B$27</definedName>
    <definedName name="_xlnm._FilterDatabase" localSheetId="43" hidden="1">CHYG_FundData!$A$1:$C$52</definedName>
    <definedName name="_xlnm._FilterDatabase" localSheetId="44" hidden="1">CHYG_Positions!$A$1:$CH$2</definedName>
    <definedName name="_xlnm._FilterDatabase" localSheetId="45" hidden="1">CIEI_Config!$A$1:$B$27</definedName>
    <definedName name="_xlnm._FilterDatabase" localSheetId="46" hidden="1">CIEI_FundData!$A$1:$C$52</definedName>
    <definedName name="_xlnm._FilterDatabase" localSheetId="47" hidden="1">CIEI_Positions!$A$1:$CH$2</definedName>
    <definedName name="_xlnm._FilterDatabase" localSheetId="48" hidden="1">CIVG_Config!$A$1:$B$27</definedName>
    <definedName name="_xlnm._FilterDatabase" localSheetId="49" hidden="1">CIVG_FundData!$A$1:$C$52</definedName>
    <definedName name="_xlnm._FilterDatabase" localSheetId="50" hidden="1">CIVG_Positions!$A$1:$CH$2</definedName>
    <definedName name="_xlnm._FilterDatabase" localSheetId="51" hidden="1">CJUN_Config!$A$1:$B$27</definedName>
    <definedName name="_xlnm._FilterDatabase" localSheetId="52" hidden="1">CJUN_FundData!$A$1:$C$52</definedName>
    <definedName name="_xlnm._FilterDatabase" localSheetId="53" hidden="1">CJUN_Positions!$A$1:$CH$2</definedName>
    <definedName name="_xlnm._FilterDatabase" localSheetId="54" hidden="1">CMAG_Config!$A$1:$B$27</definedName>
    <definedName name="_xlnm._FilterDatabase" localSheetId="55" hidden="1">CMAG_FundData!$A$1:$C$52</definedName>
    <definedName name="_xlnm._FilterDatabase" localSheetId="56" hidden="1">CMAG_Positions!$A$1:$CH$2</definedName>
    <definedName name="_xlnm._FilterDatabase" localSheetId="57" hidden="1">CMAY_Config!$A$1:$B$27</definedName>
    <definedName name="_xlnm._FilterDatabase" localSheetId="58" hidden="1">CMAY_FundData!$A$1:$C$52</definedName>
    <definedName name="_xlnm._FilterDatabase" localSheetId="59" hidden="1">CMAY_Positions!$A$1:$CH$2</definedName>
    <definedName name="_xlnm._FilterDatabase" localSheetId="60" hidden="1">CQTM_Config!$A$1:$B$27</definedName>
    <definedName name="_xlnm._FilterDatabase" localSheetId="61" hidden="1">CQTM_FundData!$A$1:$C$52</definedName>
    <definedName name="_xlnm._FilterDatabase" localSheetId="62" hidden="1">CQTM_Positions!$A$1:$CH$2</definedName>
    <definedName name="_xlnm._FilterDatabase" localSheetId="63" hidden="1">CRUC_Config!$A$1:$B$27</definedName>
    <definedName name="_xlnm._FilterDatabase" localSheetId="64" hidden="1">CRUC_FundData!$A$1:$C$52</definedName>
    <definedName name="_xlnm._FilterDatabase" localSheetId="65" hidden="1">CRUC_Positions!$A$1:$CH$2</definedName>
    <definedName name="_xlnm._FilterDatabase" localSheetId="66" hidden="1">CTJN_Config!$A$1:$B$27</definedName>
    <definedName name="_xlnm._FilterDatabase" localSheetId="67" hidden="1">CTJN_FundData!$A$1:$C$52</definedName>
    <definedName name="_xlnm._FilterDatabase" localSheetId="68" hidden="1">CTJN_Positions!$A$1:$CH$2</definedName>
    <definedName name="_xlnm._FilterDatabase" localSheetId="69" hidden="1">CTMA_Config!$A$1:$B$27</definedName>
    <definedName name="_xlnm._FilterDatabase" localSheetId="70" hidden="1">CTMA_FundData!$A$1:$C$52</definedName>
    <definedName name="_xlnm._FilterDatabase" localSheetId="71" hidden="1">CTMA_Positions!$A$1:$CH$2</definedName>
    <definedName name="_xlnm._FilterDatabase" localSheetId="72" hidden="1">CUST_Config!$A$1:$B$27</definedName>
    <definedName name="_xlnm._FilterDatabase" localSheetId="73" hidden="1">CUST_FundData!$A$1:$C$52</definedName>
    <definedName name="_xlnm._FilterDatabase" localSheetId="74" hidden="1">CUST_Positions!$A$1:$CH$2</definedName>
    <definedName name="_xlnm._FilterDatabase" localSheetId="75" hidden="1">DIPR_Config!$A$1:$B$27</definedName>
    <definedName name="_xlnm._FilterDatabase" localSheetId="76" hidden="1">DIPR_FundData!$A$1:$C$52</definedName>
    <definedName name="_xlnm._FilterDatabase" localSheetId="77" hidden="1">DIPR_Positions!$A$1:$CH$2</definedName>
    <definedName name="_xlnm._FilterDatabase" localSheetId="78" hidden="1">DOCK_Config!$A$1:$B$27</definedName>
    <definedName name="_xlnm._FilterDatabase" localSheetId="79" hidden="1">DOCK_FundData!$A$1:$C$52</definedName>
    <definedName name="_xlnm._FilterDatabase" localSheetId="80" hidden="1">DOCK_Positions!$A$1:$CH$2</definedName>
    <definedName name="_xlnm._FilterDatabase" localSheetId="81" hidden="1">EMJN_Config!$A$1:$B$27</definedName>
    <definedName name="_xlnm._FilterDatabase" localSheetId="82" hidden="1">EMJN_FundData!$A$1:$C$52</definedName>
    <definedName name="_xlnm._FilterDatabase" localSheetId="83" hidden="1">EMJN_Positions!$A$1:$CH$2</definedName>
    <definedName name="_xlnm._FilterDatabase" localSheetId="84" hidden="1">EMMY_Config!$A$1:$B$27</definedName>
    <definedName name="_xlnm._FilterDatabase" localSheetId="85" hidden="1">EMMY_FundData!$A$1:$C$52</definedName>
    <definedName name="_xlnm._FilterDatabase" localSheetId="86" hidden="1">EMMY_Positions!$A$1:$CH$2</definedName>
    <definedName name="_xlnm._FilterDatabase" localSheetId="87" hidden="1">EMXX_Config!$A$1:$B$27</definedName>
    <definedName name="_xlnm._FilterDatabase" localSheetId="88" hidden="1">EMXX_FundData!$A$1:$C$52</definedName>
    <definedName name="_xlnm._FilterDatabase" localSheetId="89" hidden="1">EMXX_Positions!$A$1:$CH$2</definedName>
    <definedName name="_xlnm._FilterDatabase" localSheetId="90" hidden="1">EUV_Config!$A$1:$B$27</definedName>
    <definedName name="_xlnm._FilterDatabase" localSheetId="91" hidden="1">EUV_FundData!$A$1:$C$52</definedName>
    <definedName name="_xlnm._FilterDatabase" localSheetId="92" hidden="1">EUV_Positions!$A$1:$CH$2</definedName>
    <definedName name="_xlnm._FilterDatabase" localSheetId="93" hidden="1">EUVX_Config!$A$1:$B$27</definedName>
    <definedName name="_xlnm._FilterDatabase" localSheetId="94" hidden="1">EUVX_FundData!$A$1:$C$52</definedName>
    <definedName name="_xlnm._FilterDatabase" localSheetId="95" hidden="1">EUVX_Positions!$A$1:$CH$2</definedName>
    <definedName name="_xlnm._FilterDatabase" localSheetId="96" hidden="1">EYES_Config!$A$1:$B$27</definedName>
    <definedName name="_xlnm._FilterDatabase" localSheetId="97" hidden="1">EYES_FundData!$A$1:$C$52</definedName>
    <definedName name="_xlnm._FilterDatabase" localSheetId="98" hidden="1">EYES_Positions!$A$1:$CH$2</definedName>
    <definedName name="_xlnm._FilterDatabase" localSheetId="99" hidden="1">FDRS_Config!$A$1:$B$27</definedName>
    <definedName name="_xlnm._FilterDatabase" localSheetId="100" hidden="1">FDRS_FundData!$A$1:$C$52</definedName>
    <definedName name="_xlnm._FilterDatabase" localSheetId="101" hidden="1">FDRS_Positions!$A$1:$CH$2</definedName>
    <definedName name="_xlnm._FilterDatabase" localSheetId="102" hidden="1">FDRX_Config!$A$1:$B$27</definedName>
    <definedName name="_xlnm._FilterDatabase" localSheetId="103" hidden="1">FDRX_FundData!$A$1:$C$52</definedName>
    <definedName name="_xlnm._FilterDatabase" localSheetId="104" hidden="1">FDRX_Positions!$A$1:$CH$2</definedName>
    <definedName name="_xlnm._FilterDatabase" localSheetId="105" hidden="1">GASZ_Config!$A$1:$B$27</definedName>
    <definedName name="_xlnm._FilterDatabase" localSheetId="106" hidden="1">GASZ_FundData!$A$1:$C$52</definedName>
    <definedName name="_xlnm._FilterDatabase" localSheetId="107" hidden="1">GASZ_Positions!$A$1:$CH$2</definedName>
    <definedName name="_xlnm._FilterDatabase" localSheetId="108" hidden="1">GLAM_Config!$A$1:$B$27</definedName>
    <definedName name="_xlnm._FilterDatabase" localSheetId="109" hidden="1">GLAM_FundData!$A$1:$C$52</definedName>
    <definedName name="_xlnm._FilterDatabase" localSheetId="110" hidden="1">GLAM_Positions!$A$1:$CH$2</definedName>
    <definedName name="_xlnm._FilterDatabase" localSheetId="111" hidden="1">GNMX_Config!$A$1:$B$27</definedName>
    <definedName name="_xlnm._FilterDatabase" localSheetId="112" hidden="1">GNMX_FundData!$A$1:$C$52</definedName>
    <definedName name="_xlnm._FilterDatabase" localSheetId="113" hidden="1">GNMX_Positions!$A$1:$CH$2</definedName>
    <definedName name="_xlnm._FilterDatabase" localSheetId="114" hidden="1">GPTZ_Config!$A$1:$B$27</definedName>
    <definedName name="_xlnm._FilterDatabase" localSheetId="115" hidden="1">GPTZ_FundData!$A$1:$C$52</definedName>
    <definedName name="_xlnm._FilterDatabase" localSheetId="116" hidden="1">GPTZ_Positions!$A$1:$CH$2</definedName>
    <definedName name="_xlnm._FilterDatabase" localSheetId="117" hidden="1">HJUN_Config!$A$1:$B$27</definedName>
    <definedName name="_xlnm._FilterDatabase" localSheetId="118" hidden="1">HJUN_FundData!$A$1:$C$52</definedName>
    <definedName name="_xlnm._FilterDatabase" localSheetId="119" hidden="1">HJUN_Positions!$A$1:$CH$2</definedName>
    <definedName name="_xlnm._FilterDatabase" localSheetId="120" hidden="1">HMAY_Config!$A$1:$B$27</definedName>
    <definedName name="_xlnm._FilterDatabase" localSheetId="121" hidden="1">HMAY_FundData!$A$1:$C$52</definedName>
    <definedName name="_xlnm._FilterDatabase" localSheetId="122" hidden="1">HMAY_Positions!$A$1:$CH$2</definedName>
    <definedName name="_xlnm._FilterDatabase" localSheetId="123" hidden="1">HULL_Config!$A$1:$B$27</definedName>
    <definedName name="_xlnm._FilterDatabase" localSheetId="124" hidden="1">HULL_FundData!$A$1:$C$52</definedName>
    <definedName name="_xlnm._FilterDatabase" localSheetId="125" hidden="1">HULL_Positions!$A$1:$CH$2</definedName>
    <definedName name="_xlnm._FilterDatabase" localSheetId="126" hidden="1">IDJN_Config!$A$1:$B$27</definedName>
    <definedName name="_xlnm._FilterDatabase" localSheetId="127" hidden="1">IDJN_FundData!$A$1:$C$52</definedName>
    <definedName name="_xlnm._FilterDatabase" localSheetId="128" hidden="1">IDJN_Positions!$A$1:$CH$2</definedName>
    <definedName name="_xlnm._FilterDatabase" localSheetId="129" hidden="1">IDMY_Config!$A$1:$B$27</definedName>
    <definedName name="_xlnm._FilterDatabase" localSheetId="130" hidden="1">IDMY_FundData!$A$1:$C$52</definedName>
    <definedName name="_xlnm._FilterDatabase" localSheetId="131" hidden="1">IDMY_Positions!$A$1:$CH$2</definedName>
    <definedName name="_xlnm._FilterDatabase" localSheetId="132" hidden="1">JOUL_Config!$A$1:$B$27</definedName>
    <definedName name="_xlnm._FilterDatabase" localSheetId="133" hidden="1">JOUL_FundData!$A$1:$C$52</definedName>
    <definedName name="_xlnm._FilterDatabase" localSheetId="134" hidden="1">JOUL_Positions!$A$1:$CH$2</definedName>
    <definedName name="_xlnm._FilterDatabase" localSheetId="135" hidden="1">JUNC_Config!$A$1:$B$27</definedName>
    <definedName name="_xlnm._FilterDatabase" localSheetId="136" hidden="1">JUNC_FundData!$A$1:$C$52</definedName>
    <definedName name="_xlnm._FilterDatabase" localSheetId="137" hidden="1">JUNC_Positions!$A$1:$CH$2</definedName>
    <definedName name="_xlnm._FilterDatabase" localSheetId="138" hidden="1">KEYX_Config!$A$1:$B$27</definedName>
    <definedName name="_xlnm._FilterDatabase" localSheetId="139" hidden="1">KEYX_FundData!$A$1:$C$52</definedName>
    <definedName name="_xlnm._FilterDatabase" localSheetId="140" hidden="1">KEYX_Positions!$A$1:$CH$2</definedName>
    <definedName name="_xlnm._FilterDatabase" localSheetId="141" hidden="1">KRWX_Config!$A$1:$B$27</definedName>
    <definedName name="_xlnm._FilterDatabase" localSheetId="142" hidden="1">KRWX_FundData!$A$1:$C$52</definedName>
    <definedName name="_xlnm._FilterDatabase" localSheetId="143" hidden="1">KRWX_Positions!$A$1:$CH$2</definedName>
    <definedName name="_xlnm._FilterDatabase" localSheetId="144" hidden="1">KYC_Config!$A$1:$B$27</definedName>
    <definedName name="_xlnm._FilterDatabase" localSheetId="145" hidden="1">KYC_FundData!$A$1:$C$52</definedName>
    <definedName name="_xlnm._FilterDatabase" localSheetId="146" hidden="1">KYC_Positions!$A$1:$CH$2</definedName>
    <definedName name="_xlnm._FilterDatabase" localSheetId="147" hidden="1">LASC_Config!$A$1:$B$27</definedName>
    <definedName name="_xlnm._FilterDatabase" localSheetId="148" hidden="1">LASC_FundData!$A$1:$C$52</definedName>
    <definedName name="_xlnm._FilterDatabase" localSheetId="149" hidden="1">LASC_Positions!$A$1:$CH$2</definedName>
    <definedName name="_xlnm._FilterDatabase" localSheetId="150" hidden="1">LATR_Config!$A$1:$B$27</definedName>
    <definedName name="_xlnm._FilterDatabase" localSheetId="151" hidden="1">LATR_FundData!$A$1:$C$52</definedName>
    <definedName name="_xlnm._FilterDatabase" localSheetId="152" hidden="1">LATR_Positions!$A$1:$CH$2</definedName>
    <definedName name="_xlnm._FilterDatabase" localSheetId="153" hidden="1">LRNX_Config!$A$1:$B$27</definedName>
    <definedName name="_xlnm._FilterDatabase" localSheetId="154" hidden="1">LRNX_FundData!$A$1:$C$52</definedName>
    <definedName name="_xlnm._FilterDatabase" localSheetId="155" hidden="1">LRNX_Positions!$A$1:$CH$2</definedName>
    <definedName name="_xlnm._FilterDatabase" localSheetId="156" hidden="1">MAYC_Config!$A$1:$B$27</definedName>
    <definedName name="_xlnm._FilterDatabase" localSheetId="157" hidden="1">MAYC_FundData!$A$1:$C$52</definedName>
    <definedName name="_xlnm._FilterDatabase" localSheetId="158" hidden="1">MAYC_Positions!$A$1:$CH$2</definedName>
    <definedName name="_xlnm._FilterDatabase" localSheetId="159" hidden="1">MGKX_Config!$A$1:$B$27</definedName>
    <definedName name="_xlnm._FilterDatabase" localSheetId="160" hidden="1">MGKX_FundData!$A$1:$C$52</definedName>
    <definedName name="_xlnm._FilterDatabase" localSheetId="161" hidden="1">MGKX_Positions!$A$1:$CH$2</definedName>
    <definedName name="_xlnm._FilterDatabase" localSheetId="162" hidden="1">MNSX_Config!$A$1:$B$27</definedName>
    <definedName name="_xlnm._FilterDatabase" localSheetId="163" hidden="1">MNSX_FundData!$A$1:$C$52</definedName>
    <definedName name="_xlnm._FilterDatabase" localSheetId="164" hidden="1">MNSX_Positions!$A$1:$CH$2</definedName>
    <definedName name="_xlnm._FilterDatabase" localSheetId="165" hidden="1">MSIX_Config!$A$1:$B$27</definedName>
    <definedName name="_xlnm._FilterDatabase" localSheetId="166" hidden="1">MSIX_FundData!$A$1:$C$52</definedName>
    <definedName name="_xlnm._FilterDatabase" localSheetId="167" hidden="1">MSIX_Positions!$A$1:$CH$2</definedName>
    <definedName name="_xlnm._FilterDatabase" localSheetId="168" hidden="1">NYNY_Config!$A$1:$B$27</definedName>
    <definedName name="_xlnm._FilterDatabase" localSheetId="169" hidden="1">NYNY_FundData!$A$1:$C$52</definedName>
    <definedName name="_xlnm._FilterDatabase" localSheetId="170" hidden="1">NYNY_Positions!$A$1:$CH$2</definedName>
    <definedName name="_xlnm._FilterDatabase" localSheetId="171" hidden="1">ODDZ_Config!$A$1:$B$27</definedName>
    <definedName name="_xlnm._FilterDatabase" localSheetId="172" hidden="1">ODDZ_FundData!$A$1:$C$52</definedName>
    <definedName name="_xlnm._FilterDatabase" localSheetId="173" hidden="1">ODDZ_Positions!$A$1:$CH$2</definedName>
    <definedName name="_xlnm._FilterDatabase" localSheetId="174" hidden="1">ONTX_Config!$A$1:$B$27</definedName>
    <definedName name="_xlnm._FilterDatabase" localSheetId="175" hidden="1">ONTX_FundData!$A$1:$C$52</definedName>
    <definedName name="_xlnm._FilterDatabase" localSheetId="176" hidden="1">ONTX_Positions!$A$1:$CH$2</definedName>
    <definedName name="_xlnm._FilterDatabase" localSheetId="315" hidden="1">Orders!$A$1:$G$106</definedName>
    <definedName name="_xlnm._FilterDatabase" localSheetId="177" hidden="1">OWN_Config!$A$1:$B$27</definedName>
    <definedName name="_xlnm._FilterDatabase" localSheetId="178" hidden="1">OWN_FundData!$A$1:$C$52</definedName>
    <definedName name="_xlnm._FilterDatabase" localSheetId="179" hidden="1">OWN_Positions!$A$1:$CH$2</definedName>
    <definedName name="_xlnm._FilterDatabase" localSheetId="180" hidden="1">PTNT_Config!$A$1:$B$27</definedName>
    <definedName name="_xlnm._FilterDatabase" localSheetId="181" hidden="1">PTNT_FundData!$A$1:$C$52</definedName>
    <definedName name="_xlnm._FilterDatabase" localSheetId="182" hidden="1">PTNT_Positions!$A$1:$CH$2</definedName>
    <definedName name="_xlnm._FilterDatabase" localSheetId="183" hidden="1">QJN_Config!$A$1:$B$27</definedName>
    <definedName name="_xlnm._FilterDatabase" localSheetId="184" hidden="1">QJN_FundData!$A$1:$C$52</definedName>
    <definedName name="_xlnm._FilterDatabase" localSheetId="185" hidden="1">QJN_Positions!$A$1:$CH$2</definedName>
    <definedName name="_xlnm._FilterDatabase" localSheetId="186" hidden="1">QMY_Config!$A$1:$B$27</definedName>
    <definedName name="_xlnm._FilterDatabase" localSheetId="187" hidden="1">QMY_FundData!$A$1:$C$52</definedName>
    <definedName name="_xlnm._FilterDatabase" localSheetId="188" hidden="1">QMY_Positions!$A$1:$CH$2</definedName>
    <definedName name="_xlnm._FilterDatabase" localSheetId="189" hidden="1">QQJN_Config!$A$1:$B$27</definedName>
    <definedName name="_xlnm._FilterDatabase" localSheetId="190" hidden="1">QQJN_FundData!$A$1:$C$52</definedName>
    <definedName name="_xlnm._FilterDatabase" localSheetId="191" hidden="1">QQJN_Positions!$A$1:$CH$2</definedName>
    <definedName name="_xlnm._FilterDatabase" localSheetId="192" hidden="1">QQMY_Config!$A$1:$B$27</definedName>
    <definedName name="_xlnm._FilterDatabase" localSheetId="193" hidden="1">QQMY_FundData!$A$1:$C$52</definedName>
    <definedName name="_xlnm._FilterDatabase" localSheetId="194" hidden="1">QQMY_Positions!$A$1:$CH$2</definedName>
    <definedName name="_xlnm._FilterDatabase" localSheetId="195" hidden="1">RMBC_Config!$A$1:$B$27</definedName>
    <definedName name="_xlnm._FilterDatabase" localSheetId="196" hidden="1">RMBC_FundData!$A$1:$C$52</definedName>
    <definedName name="_xlnm._FilterDatabase" localSheetId="197" hidden="1">RMBC_Positions!$A$1:$CH$2</definedName>
    <definedName name="_xlnm._FilterDatabase" localSheetId="198" hidden="1">SCJN_Config!$A$1:$B$27</definedName>
    <definedName name="_xlnm._FilterDatabase" localSheetId="199" hidden="1">SCJN_FundData!$A$1:$C$52</definedName>
    <definedName name="_xlnm._FilterDatabase" localSheetId="200" hidden="1">SCJN_Positions!$A$1:$CH$2</definedName>
    <definedName name="_xlnm._FilterDatabase" localSheetId="201" hidden="1">SCMY_Config!$A$1:$B$27</definedName>
    <definedName name="_xlnm._FilterDatabase" localSheetId="202" hidden="1">SCMY_FundData!$A$1:$C$52</definedName>
    <definedName name="_xlnm._FilterDatabase" localSheetId="203" hidden="1">SCMY_Positions!$A$1:$CH$2</definedName>
    <definedName name="_xlnm._FilterDatabase" localSheetId="204" hidden="1">SIMX_Config!$A$1:$B$27</definedName>
    <definedName name="_xlnm._FilterDatabase" localSheetId="205" hidden="1">SIMX_FundData!$A$1:$C$52</definedName>
    <definedName name="_xlnm._FilterDatabase" localSheetId="206" hidden="1">SIMX_Positions!$A$1:$CH$2</definedName>
    <definedName name="_xlnm._FilterDatabase" localSheetId="207" hidden="1">STYL_Config!$A$1:$B$27</definedName>
    <definedName name="_xlnm._FilterDatabase" localSheetId="208" hidden="1">STYL_FundData!$A$1:$C$52</definedName>
    <definedName name="_xlnm._FilterDatabase" localSheetId="209" hidden="1">STYL_Positions!$A$1:$CH$2</definedName>
    <definedName name="_xlnm._FilterDatabase" localSheetId="210" hidden="1">TAJX_Config!$A$1:$B$27</definedName>
    <definedName name="_xlnm._FilterDatabase" localSheetId="211" hidden="1">TAJX_FundData!$A$1:$C$52</definedName>
    <definedName name="_xlnm._FilterDatabase" localSheetId="212" hidden="1">TAJX_Positions!$A$1:$CH$2</definedName>
    <definedName name="_xlnm._FilterDatabase" localSheetId="213" hidden="1">TPLX_Config!$A$1:$B$27</definedName>
    <definedName name="_xlnm._FilterDatabase" localSheetId="214" hidden="1">TPLX_FundData!$A$1:$C$52</definedName>
    <definedName name="_xlnm._FilterDatabase" localSheetId="215" hidden="1">TPLX_Positions!$A$1:$CH$2</definedName>
    <definedName name="_xlnm._FilterDatabase" localSheetId="216" hidden="1">UMCX_Config!$A$1:$B$27</definedName>
    <definedName name="_xlnm._FilterDatabase" localSheetId="217" hidden="1">UMCX_FundData!$A$1:$C$52</definedName>
    <definedName name="_xlnm._FilterDatabase" localSheetId="218" hidden="1">UMCX_Positions!$A$1:$CH$2</definedName>
    <definedName name="_xlnm._FilterDatabase" localSheetId="219" hidden="1">USX_Config!$A$1:$B$27</definedName>
    <definedName name="_xlnm._FilterDatabase" localSheetId="220" hidden="1">USX_FundData!$A$1:$C$52</definedName>
    <definedName name="_xlnm._FilterDatabase" localSheetId="221" hidden="1">USX_Positions!$A$1:$CH$2</definedName>
    <definedName name="_xlnm._FilterDatabase" localSheetId="222" hidden="1">VBX_Config!$A$1:$B$27</definedName>
    <definedName name="_xlnm._FilterDatabase" localSheetId="223" hidden="1">VBX_FundData!$A$1:$C$52</definedName>
    <definedName name="_xlnm._FilterDatabase" localSheetId="224" hidden="1">VBX_Positions!$A$1:$CH$2</definedName>
    <definedName name="_xlnm._FilterDatabase" localSheetId="225" hidden="1">VOOX_Config!$A$1:$B$27</definedName>
    <definedName name="_xlnm._FilterDatabase" localSheetId="226" hidden="1">VOOX_FundData!$A$1:$C$52</definedName>
    <definedName name="_xlnm._FilterDatabase" localSheetId="227" hidden="1">VOOX_Positions!$A$1:$CH$2</definedName>
    <definedName name="_xlnm._FilterDatabase" localSheetId="228" hidden="1">WATS_Config!$A$1:$B$27</definedName>
    <definedName name="_xlnm._FilterDatabase" localSheetId="229" hidden="1">WATS_FundData!$A$1:$C$52</definedName>
    <definedName name="_xlnm._FilterDatabase" localSheetId="230" hidden="1">WATS_Positions!$A$1:$CH$2</definedName>
    <definedName name="_xlnm._FilterDatabase" localSheetId="231" hidden="1">WEBX_Config!$A$1:$B$27</definedName>
    <definedName name="_xlnm._FilterDatabase" localSheetId="232" hidden="1">WEBX_FundData!$A$1:$C$52</definedName>
    <definedName name="_xlnm._FilterDatabase" localSheetId="233" hidden="1">WEBX_Positions!$A$1:$CH$2</definedName>
    <definedName name="_xlnm._FilterDatabase" localSheetId="234" hidden="1">WNDR_Config!$A$1:$B$27</definedName>
    <definedName name="_xlnm._FilterDatabase" localSheetId="235" hidden="1">WNDR_FundData!$A$1:$C$52</definedName>
    <definedName name="_xlnm._FilterDatabase" localSheetId="236" hidden="1">WNDR_Positions!$A$1:$CH$2</definedName>
    <definedName name="_xlnm._FilterDatabase" localSheetId="237" hidden="1">WR_Config!$A$1:$B$27</definedName>
    <definedName name="_xlnm._FilterDatabase" localSheetId="238" hidden="1">WR_FundData!$A$1:$C$52</definedName>
    <definedName name="_xlnm._FilterDatabase" localSheetId="239" hidden="1">WR_Positions!$A$1:$CH$2</definedName>
    <definedName name="_xlnm._FilterDatabase" localSheetId="240" hidden="1">WX_Config!$A$1:$B$27</definedName>
    <definedName name="_xlnm._FilterDatabase" localSheetId="241" hidden="1">WX_FundData!$A$1:$C$52</definedName>
    <definedName name="_xlnm._FilterDatabase" localSheetId="242" hidden="1">WX_Positions!$A$1:$CH$2</definedName>
    <definedName name="_xlnm._FilterDatabase" localSheetId="243" hidden="1">XA_Config!$A$1:$B$27</definedName>
    <definedName name="_xlnm._FilterDatabase" localSheetId="244" hidden="1">XA_FundData!$A$1:$C$52</definedName>
    <definedName name="_xlnm._FilterDatabase" localSheetId="245" hidden="1">XA_Positions!$A$1:$CH$2</definedName>
    <definedName name="_xlnm._FilterDatabase" localSheetId="246" hidden="1">XAGI_Config!$A$1:$B$27</definedName>
    <definedName name="_xlnm._FilterDatabase" localSheetId="247" hidden="1">XAGI_FundData!$A$1:$C$52</definedName>
    <definedName name="_xlnm._FilterDatabase" localSheetId="248" hidden="1">XAGI_Positions!$A$1:$CH$2</definedName>
    <definedName name="_xlnm._FilterDatabase" localSheetId="249" hidden="1">XBIX_Config!$A$1:$B$27</definedName>
    <definedName name="_xlnm._FilterDatabase" localSheetId="250" hidden="1">XBIX_FundData!$A$1:$C$52</definedName>
    <definedName name="_xlnm._FilterDatabase" localSheetId="251" hidden="1">XBIX_Positions!$A$1:$CH$2</definedName>
    <definedName name="_xlnm._FilterDatabase" localSheetId="252" hidden="1">XCOM_Config!$A$1:$B$27</definedName>
    <definedName name="_xlnm._FilterDatabase" localSheetId="253" hidden="1">XCOM_FundData!$A$1:$C$52</definedName>
    <definedName name="_xlnm._FilterDatabase" localSheetId="254" hidden="1">XCOM_Positions!$A$1:$CH$2</definedName>
    <definedName name="_xlnm._FilterDatabase" localSheetId="255" hidden="1">XEUR_Config!$A$1:$B$27</definedName>
    <definedName name="_xlnm._FilterDatabase" localSheetId="256" hidden="1">XEUR_FundData!$A$1:$C$52</definedName>
    <definedName name="_xlnm._FilterDatabase" localSheetId="257" hidden="1">XEUR_Positions!$A$1:$CH$2</definedName>
    <definedName name="_xlnm._FilterDatabase" localSheetId="258" hidden="1">XHOA_Config!$A$1:$B$27</definedName>
    <definedName name="_xlnm._FilterDatabase" localSheetId="259" hidden="1">XHOA_FundData!$A$1:$C$52</definedName>
    <definedName name="_xlnm._FilterDatabase" localSheetId="260" hidden="1">XHOA_Positions!$A$1:$CH$2</definedName>
    <definedName name="_xlnm._FilterDatabase" localSheetId="261" hidden="1">XIWC_Config!$A$1:$B$27</definedName>
    <definedName name="_xlnm._FilterDatabase" localSheetId="262" hidden="1">XIWC_FundData!$A$1:$C$52</definedName>
    <definedName name="_xlnm._FilterDatabase" localSheetId="263" hidden="1">XIWC_Positions!$A$1:$CH$2</definedName>
    <definedName name="_xlnm._FilterDatabase" localSheetId="264" hidden="1">XKRE_Config!$A$1:$B$27</definedName>
    <definedName name="_xlnm._FilterDatabase" localSheetId="265" hidden="1">XKRE_FundData!$A$1:$C$52</definedName>
    <definedName name="_xlnm._FilterDatabase" localSheetId="266" hidden="1">XKRE_Positions!$A$1:$CH$2</definedName>
    <definedName name="_xlnm._FilterDatabase" localSheetId="267" hidden="1">XLBX_Config!$A$1:$B$27</definedName>
    <definedName name="_xlnm._FilterDatabase" localSheetId="268" hidden="1">XLBX_FundData!$A$1:$C$52</definedName>
    <definedName name="_xlnm._FilterDatabase" localSheetId="269" hidden="1">XLBX_Positions!$A$1:$CH$2</definedName>
    <definedName name="_xlnm._FilterDatabase" localSheetId="270" hidden="1">XLEX_Config!$A$1:$B$27</definedName>
    <definedName name="_xlnm._FilterDatabase" localSheetId="271" hidden="1">XLEX_FundData!$A$1:$C$52</definedName>
    <definedName name="_xlnm._FilterDatabase" localSheetId="272" hidden="1">XLEX_Positions!$A$1:$CH$2</definedName>
    <definedName name="_xlnm._FilterDatabase" localSheetId="273" hidden="1">XLFX_Config!$A$1:$B$27</definedName>
    <definedName name="_xlnm._FilterDatabase" localSheetId="274" hidden="1">XLFX_FundData!$A$1:$C$52</definedName>
    <definedName name="_xlnm._FilterDatabase" localSheetId="275" hidden="1">XLFX_Positions!$A$1:$CH$2</definedName>
    <definedName name="_xlnm._FilterDatabase" localSheetId="276" hidden="1">XLIX_Config!$A$1:$B$27</definedName>
    <definedName name="_xlnm._FilterDatabase" localSheetId="277" hidden="1">XLIX_FundData!$A$1:$C$52</definedName>
    <definedName name="_xlnm._FilterDatabase" localSheetId="278" hidden="1">XLIX_Positions!$A$1:$CH$2</definedName>
    <definedName name="_xlnm._FilterDatabase" localSheetId="279" hidden="1">XLKX_Config!$A$1:$B$27</definedName>
    <definedName name="_xlnm._FilterDatabase" localSheetId="280" hidden="1">XLKX_FundData!$A$1:$C$52</definedName>
    <definedName name="_xlnm._FilterDatabase" localSheetId="281" hidden="1">XLKX_Positions!$A$1:$CH$2</definedName>
    <definedName name="_xlnm._FilterDatabase" localSheetId="282" hidden="1">XLPX_Config!$A$1:$B$27</definedName>
    <definedName name="_xlnm._FilterDatabase" localSheetId="283" hidden="1">XLPX_FundData!$A$1:$C$52</definedName>
    <definedName name="_xlnm._FilterDatabase" localSheetId="284" hidden="1">XLPX_Positions!$A$1:$CH$2</definedName>
    <definedName name="_xlnm._FilterDatabase" localSheetId="285" hidden="1">XLUX_Config!$A$1:$B$27</definedName>
    <definedName name="_xlnm._FilterDatabase" localSheetId="286" hidden="1">XLUX_FundData!$A$1:$C$52</definedName>
    <definedName name="_xlnm._FilterDatabase" localSheetId="287" hidden="1">XLUX_Positions!$A$1:$CH$2</definedName>
    <definedName name="_xlnm._FilterDatabase" localSheetId="288" hidden="1">XLVX_Config!$A$1:$B$27</definedName>
    <definedName name="_xlnm._FilterDatabase" localSheetId="289" hidden="1">XLVX_FundData!$A$1:$C$52</definedName>
    <definedName name="_xlnm._FilterDatabase" localSheetId="290" hidden="1">XLVX_Positions!$A$1:$CH$2</definedName>
    <definedName name="_xlnm._FilterDatabase" localSheetId="291" hidden="1">XLYX_Config!$A$1:$B$27</definedName>
    <definedName name="_xlnm._FilterDatabase" localSheetId="292" hidden="1">XLYX_FundData!$A$1:$C$52</definedName>
    <definedName name="_xlnm._FilterDatabase" localSheetId="293" hidden="1">XLYX_Positions!$A$1:$CH$2</definedName>
    <definedName name="_xlnm._FilterDatabase" localSheetId="294" hidden="1">XPAV_Config!$A$1:$B$27</definedName>
    <definedName name="_xlnm._FilterDatabase" localSheetId="295" hidden="1">XPAV_FundData!$A$1:$C$52</definedName>
    <definedName name="_xlnm._FilterDatabase" localSheetId="296" hidden="1">XPAV_Positions!$A$1:$CH$2</definedName>
    <definedName name="_xlnm._FilterDatabase" localSheetId="297" hidden="1">XSEM_Config!$A$1:$B$27</definedName>
    <definedName name="_xlnm._FilterDatabase" localSheetId="298" hidden="1">XSEM_FundData!$A$1:$C$52</definedName>
    <definedName name="_xlnm._FilterDatabase" localSheetId="299" hidden="1">XSEM_Positions!$A$1:$CH$2</definedName>
    <definedName name="_xlnm._FilterDatabase" localSheetId="300" hidden="1">XTAI_Config!$A$1:$B$27</definedName>
    <definedName name="_xlnm._FilterDatabase" localSheetId="301" hidden="1">XTAI_FundData!$A$1:$C$52</definedName>
    <definedName name="_xlnm._FilterDatabase" localSheetId="302" hidden="1">XTAI_Positions!$A$1:$CH$2</definedName>
    <definedName name="_xlnm._FilterDatabase" localSheetId="303" hidden="1">XVO_Config!$A$1:$B$27</definedName>
    <definedName name="_xlnm._FilterDatabase" localSheetId="304" hidden="1">XVO_FundData!$A$1:$C$52</definedName>
    <definedName name="_xlnm._FilterDatabase" localSheetId="305" hidden="1">XVO_Positions!$A$1:$CH$2</definedName>
    <definedName name="_xlnm._FilterDatabase" localSheetId="306" hidden="1">XVUG_Config!$A$1:$B$27</definedName>
    <definedName name="_xlnm._FilterDatabase" localSheetId="307" hidden="1">XVUG_FundData!$A$1:$C$52</definedName>
    <definedName name="_xlnm._FilterDatabase" localSheetId="308" hidden="1">XVUG_Positions!$A$1:$CH$2</definedName>
    <definedName name="_xlnm._FilterDatabase" localSheetId="309" hidden="1">XW_Config!$A$1:$B$27</definedName>
    <definedName name="_xlnm._FilterDatabase" localSheetId="310" hidden="1">XW_FundData!$A$1:$C$52</definedName>
    <definedName name="_xlnm._FilterDatabase" localSheetId="311" hidden="1">XW_Positions!$A$1:$CH$2</definedName>
    <definedName name="_xlnm._FilterDatabase" localSheetId="312" hidden="1">YUNG_Config!$A$1:$B$27</definedName>
    <definedName name="_xlnm._FilterDatabase" localSheetId="313" hidden="1">YUNG_FundData!$A$1:$C$52</definedName>
    <definedName name="_xlnm._FilterDatabase" localSheetId="314" hidden="1">YUNG_Positions!$A$1:$CH$2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1" l="1"/>
  <c r="C22" i="293"/>
  <c r="C22" i="65"/>
  <c r="C22" i="305"/>
  <c r="C22" i="2"/>
  <c r="C22" i="230"/>
  <c r="C22" i="149"/>
  <c r="C22" i="146"/>
  <c r="C22" i="53"/>
  <c r="C22" i="182"/>
  <c r="C23" i="302"/>
  <c r="C23" i="182"/>
  <c r="C23" i="140"/>
  <c r="C23" i="95"/>
  <c r="C23" i="275"/>
  <c r="C23" i="176"/>
  <c r="C23" i="215"/>
  <c r="C23" i="290"/>
  <c r="C23" i="161"/>
  <c r="C23" i="197"/>
  <c r="C22" i="245"/>
  <c r="C22" i="260"/>
  <c r="C22" i="95"/>
  <c r="C22" i="110"/>
  <c r="C22" i="209"/>
  <c r="C22" i="263"/>
  <c r="C22" i="242"/>
  <c r="C22" i="215"/>
  <c r="C22" i="68"/>
  <c r="C22" i="221"/>
  <c r="C22" i="47"/>
  <c r="C22" i="299"/>
  <c r="C22" i="269"/>
  <c r="C22" i="8"/>
  <c r="C22" i="170"/>
  <c r="C21" i="32"/>
  <c r="C21" i="56"/>
  <c r="C21" i="71"/>
  <c r="C21" i="149"/>
  <c r="C21" i="2"/>
  <c r="C21" i="173"/>
  <c r="C21" i="8"/>
  <c r="C21" i="200"/>
  <c r="C21" i="59"/>
  <c r="C21" i="101"/>
  <c r="C23" i="272"/>
  <c r="C23" i="230"/>
  <c r="C23" i="164"/>
  <c r="C23" i="206"/>
  <c r="C23" i="152"/>
  <c r="C23" i="65"/>
  <c r="C23" i="83"/>
  <c r="C23" i="260"/>
  <c r="C23" i="245"/>
  <c r="C23" i="11"/>
  <c r="C23" i="35"/>
  <c r="C23" i="74"/>
  <c r="C23" i="221"/>
  <c r="C23" i="227"/>
  <c r="C23" i="119"/>
  <c r="C23" i="113"/>
  <c r="C23" i="224"/>
  <c r="C23" i="308"/>
  <c r="C23" i="128"/>
  <c r="C23" i="218"/>
  <c r="C23" i="191"/>
  <c r="C23" i="14"/>
  <c r="C23" i="80"/>
  <c r="C23" i="311"/>
  <c r="C23" i="5"/>
  <c r="C23" i="209"/>
  <c r="C23" i="131"/>
  <c r="C23" i="104"/>
  <c r="C23" i="53"/>
  <c r="C23" i="59"/>
  <c r="C21" i="167"/>
  <c r="C21" i="14"/>
  <c r="C21" i="305"/>
  <c r="C21" i="5"/>
  <c r="C21" i="155"/>
  <c r="C21" i="308"/>
  <c r="C21" i="206"/>
  <c r="C21" i="128"/>
  <c r="C21" i="254"/>
  <c r="C21" i="164"/>
  <c r="C23" i="155"/>
  <c r="C23" i="149"/>
  <c r="C23" i="314"/>
  <c r="C23" i="179"/>
  <c r="C23" i="134"/>
  <c r="C23" i="137"/>
  <c r="C23" i="242"/>
  <c r="C23" i="167"/>
  <c r="C23" i="20"/>
  <c r="C23" i="305"/>
  <c r="C21" i="245"/>
  <c r="C21" i="281"/>
  <c r="C21" i="65"/>
  <c r="C21" i="227"/>
  <c r="C21" i="293"/>
  <c r="C21" i="137"/>
  <c r="C21" i="35"/>
  <c r="C21" i="179"/>
  <c r="C21" i="314"/>
  <c r="C21" i="116"/>
  <c r="C23" i="170"/>
  <c r="C23" i="38"/>
  <c r="C23" i="86"/>
  <c r="C23" i="236"/>
  <c r="C23" i="41"/>
  <c r="C23" i="68"/>
  <c r="C23" i="17"/>
  <c r="C23" i="125"/>
  <c r="C23" i="77"/>
  <c r="C23" i="32"/>
  <c r="C23" i="8"/>
  <c r="C23" i="254"/>
  <c r="C23" i="158"/>
  <c r="C23" i="233"/>
  <c r="C23" i="122"/>
  <c r="C23" i="293"/>
  <c r="C23" i="200"/>
  <c r="C23" i="47"/>
  <c r="C23" i="203"/>
  <c r="C23" i="92"/>
  <c r="C21" i="302"/>
  <c r="C21" i="188"/>
  <c r="C21" i="152"/>
  <c r="C21" i="257"/>
  <c r="C21" i="185"/>
  <c r="C21" i="50"/>
  <c r="C21" i="269"/>
  <c r="C21" i="218"/>
  <c r="C21" i="251"/>
  <c r="C21" i="224"/>
  <c r="C23" i="239"/>
  <c r="C23" i="248"/>
  <c r="C23" i="50"/>
  <c r="C23" i="269"/>
  <c r="C23" i="89"/>
  <c r="C23" i="146"/>
  <c r="C23" i="143"/>
  <c r="C23" i="284"/>
  <c r="C23" i="251"/>
  <c r="C23" i="107"/>
  <c r="C21" i="104"/>
  <c r="C21" i="209"/>
  <c r="C21" i="260"/>
  <c r="C21" i="95"/>
  <c r="C21" i="107"/>
  <c r="C21" i="230"/>
  <c r="C21" i="233"/>
  <c r="C21" i="62"/>
  <c r="C21" i="170"/>
  <c r="C21" i="272"/>
  <c r="C22" i="71"/>
  <c r="C22" i="50"/>
  <c r="C22" i="167"/>
  <c r="C22" i="266"/>
  <c r="C22" i="308"/>
  <c r="C22" i="206"/>
  <c r="C22" i="197"/>
  <c r="C22" i="218"/>
  <c r="C22" i="143"/>
  <c r="C22" i="77"/>
  <c r="C22" i="14"/>
  <c r="C22" i="89"/>
  <c r="C22" i="41"/>
  <c r="C22" i="62"/>
  <c r="C22" i="281"/>
  <c r="C22" i="59"/>
  <c r="C22" i="236"/>
  <c r="C22" i="164"/>
  <c r="C22" i="119"/>
  <c r="C22" i="98"/>
  <c r="C22" i="116"/>
  <c r="C22" i="137"/>
  <c r="C22" i="185"/>
  <c r="C22" i="290"/>
  <c r="C22" i="155"/>
  <c r="C22" i="128"/>
  <c r="C22" i="5"/>
  <c r="C22" i="107"/>
  <c r="C22" i="80"/>
  <c r="C22" i="179"/>
  <c r="C21" i="203"/>
  <c r="C21" i="212"/>
  <c r="C21" i="119"/>
  <c r="C21" i="122"/>
  <c r="C21" i="278"/>
  <c r="C21" i="41"/>
  <c r="C21" i="194"/>
  <c r="C21" i="17"/>
  <c r="C21" i="83"/>
  <c r="C21" i="11"/>
  <c r="C22" i="188"/>
  <c r="C22" i="287"/>
  <c r="C22" i="257"/>
  <c r="C22" i="311"/>
  <c r="C22" i="131"/>
  <c r="C22" i="176"/>
  <c r="C22" i="35"/>
  <c r="C22" i="74"/>
  <c r="C22" i="284"/>
  <c r="C22" i="278"/>
  <c r="C22" i="32"/>
  <c r="C22" i="23"/>
  <c r="C22" i="56"/>
  <c r="C22" i="272"/>
  <c r="C22" i="26"/>
  <c r="C22" i="125"/>
  <c r="C22" i="254"/>
  <c r="C22" i="239"/>
  <c r="C22" i="248"/>
  <c r="C22" i="92"/>
  <c r="C22" i="191"/>
  <c r="C22" i="296"/>
  <c r="C22" i="20"/>
  <c r="C22" i="104"/>
  <c r="C22" i="161"/>
  <c r="C22" i="140"/>
  <c r="C22" i="101"/>
  <c r="C22" i="122"/>
  <c r="C22" i="17"/>
  <c r="C22" i="233"/>
  <c r="C21" i="29"/>
  <c r="C21" i="287"/>
  <c r="C21" i="23"/>
  <c r="C21" i="80"/>
  <c r="C21" i="215"/>
  <c r="C23" i="29"/>
  <c r="C23" i="44"/>
  <c r="C23" i="263"/>
  <c r="C23" i="287"/>
  <c r="C23" i="212"/>
  <c r="C23" i="299"/>
  <c r="C23" i="2"/>
  <c r="C23" i="23"/>
  <c r="C23" i="56"/>
  <c r="C23" i="278"/>
  <c r="C21" i="125"/>
  <c r="C21" i="248"/>
  <c r="C21" i="92"/>
  <c r="C21" i="26"/>
  <c r="C21" i="131"/>
  <c r="C21" i="275"/>
  <c r="C21" i="311"/>
  <c r="C21" i="68"/>
  <c r="C21" i="44"/>
  <c r="C21" i="77"/>
  <c r="C23" i="116"/>
  <c r="C23" i="296"/>
  <c r="C23" i="194"/>
  <c r="C23" i="281"/>
  <c r="C23" i="185"/>
  <c r="C22" i="227"/>
  <c r="C22" i="314"/>
  <c r="C22" i="38"/>
  <c r="C22" i="194"/>
  <c r="C22" i="44"/>
  <c r="C22" i="302"/>
  <c r="C22" i="86"/>
  <c r="C22" i="152"/>
  <c r="C22" i="113"/>
  <c r="C22" i="212"/>
  <c r="C21" i="20"/>
  <c r="C21" i="266"/>
  <c r="C21" i="113"/>
  <c r="C21" i="221"/>
  <c r="C21" i="38"/>
  <c r="C21" i="191"/>
  <c r="C21" i="146"/>
  <c r="C21" i="158"/>
  <c r="C21" i="236"/>
  <c r="C21" i="263"/>
  <c r="C21" i="89"/>
  <c r="C21" i="242"/>
  <c r="C21" i="143"/>
  <c r="C21" i="110"/>
  <c r="C21" i="86"/>
  <c r="C21" i="176"/>
  <c r="C21" i="98"/>
  <c r="C21" i="47"/>
  <c r="C21" i="197"/>
  <c r="C21" i="134"/>
  <c r="C22" i="158"/>
  <c r="C22" i="251"/>
  <c r="C22" i="224"/>
  <c r="C22" i="29"/>
  <c r="C22" i="134"/>
  <c r="C22" i="203"/>
  <c r="C22" i="200"/>
  <c r="C22" i="83"/>
  <c r="C22" i="275"/>
  <c r="C22" i="173"/>
  <c r="C23" i="101"/>
  <c r="C23" i="26"/>
  <c r="C23" i="98"/>
  <c r="C23" i="71"/>
  <c r="C23" i="173"/>
  <c r="C23" i="110"/>
  <c r="C23" i="62"/>
  <c r="C23" i="188"/>
  <c r="C23" i="257"/>
  <c r="C23" i="266"/>
  <c r="C21" i="290"/>
  <c r="C21" i="182"/>
  <c r="C21" i="296"/>
  <c r="C21" i="284"/>
  <c r="C21" i="53"/>
  <c r="C21" i="299"/>
  <c r="C21" i="74"/>
  <c r="C21" i="140"/>
  <c r="C21" i="239"/>
  <c r="C21" i="161"/>
  <c r="AZ2" i="315"/>
  <c r="AY2" i="315"/>
  <c r="AW2" i="315"/>
  <c r="AV2" i="315"/>
  <c r="AD2" i="315"/>
  <c r="AC2" i="315"/>
  <c r="AB2" i="315"/>
  <c r="Q2" i="315"/>
  <c r="G2" i="315"/>
  <c r="D2" i="315"/>
  <c r="AZ2" i="312"/>
  <c r="AY2" i="312"/>
  <c r="AW2" i="312"/>
  <c r="AV2" i="312"/>
  <c r="AD2" i="312"/>
  <c r="AC2" i="312"/>
  <c r="AB2" i="312"/>
  <c r="Q2" i="312"/>
  <c r="G2" i="312"/>
  <c r="D2" i="312"/>
  <c r="AZ2" i="309"/>
  <c r="AY2" i="309"/>
  <c r="AW2" i="309"/>
  <c r="AV2" i="309"/>
  <c r="AD2" i="309"/>
  <c r="AC2" i="309"/>
  <c r="AB2" i="309"/>
  <c r="Q2" i="309"/>
  <c r="G2" i="309"/>
  <c r="D2" i="309"/>
  <c r="AZ2" i="306"/>
  <c r="AY2" i="306"/>
  <c r="AW2" i="306"/>
  <c r="AV2" i="306"/>
  <c r="AD2" i="306"/>
  <c r="AC2" i="306"/>
  <c r="AB2" i="306"/>
  <c r="Q2" i="306"/>
  <c r="G2" i="306"/>
  <c r="D2" i="306"/>
  <c r="AZ2" i="303"/>
  <c r="AY2" i="303"/>
  <c r="AW2" i="303"/>
  <c r="AV2" i="303"/>
  <c r="AD2" i="303"/>
  <c r="AC2" i="303"/>
  <c r="AB2" i="303"/>
  <c r="Q2" i="303"/>
  <c r="G2" i="303"/>
  <c r="D2" i="303"/>
  <c r="AZ2" i="300"/>
  <c r="AY2" i="300"/>
  <c r="AW2" i="300"/>
  <c r="AV2" i="300"/>
  <c r="AD2" i="300"/>
  <c r="AC2" i="300"/>
  <c r="AB2" i="300"/>
  <c r="Q2" i="300"/>
  <c r="G2" i="300"/>
  <c r="D2" i="300"/>
  <c r="AZ2" i="297"/>
  <c r="AY2" i="297"/>
  <c r="AW2" i="297"/>
  <c r="AV2" i="297"/>
  <c r="AD2" i="297"/>
  <c r="AC2" i="297"/>
  <c r="AB2" i="297"/>
  <c r="Q2" i="297"/>
  <c r="G2" i="297"/>
  <c r="D2" i="297"/>
  <c r="AZ2" i="294"/>
  <c r="AY2" i="294"/>
  <c r="AW2" i="294"/>
  <c r="AV2" i="294"/>
  <c r="AD2" i="294"/>
  <c r="AC2" i="294"/>
  <c r="AB2" i="294"/>
  <c r="Q2" i="294"/>
  <c r="G2" i="294"/>
  <c r="D2" i="294"/>
  <c r="AZ2" i="291"/>
  <c r="AY2" i="291"/>
  <c r="AW2" i="291"/>
  <c r="AV2" i="291"/>
  <c r="AD2" i="291"/>
  <c r="AC2" i="291"/>
  <c r="AB2" i="291"/>
  <c r="Q2" i="291"/>
  <c r="G2" i="291"/>
  <c r="D2" i="291"/>
  <c r="AZ2" i="288"/>
  <c r="AY2" i="288"/>
  <c r="AW2" i="288"/>
  <c r="AV2" i="288"/>
  <c r="AD2" i="288"/>
  <c r="AC2" i="288"/>
  <c r="AB2" i="288"/>
  <c r="Q2" i="288"/>
  <c r="G2" i="288"/>
  <c r="D2" i="288"/>
  <c r="AZ2" i="285"/>
  <c r="AY2" i="285"/>
  <c r="AW2" i="285"/>
  <c r="AV2" i="285"/>
  <c r="AD2" i="285"/>
  <c r="AC2" i="285"/>
  <c r="AB2" i="285"/>
  <c r="Q2" i="285"/>
  <c r="G2" i="285"/>
  <c r="D2" i="285"/>
  <c r="AZ2" i="282"/>
  <c r="AY2" i="282"/>
  <c r="AW2" i="282"/>
  <c r="AV2" i="282"/>
  <c r="AD2" i="282"/>
  <c r="AC2" i="282"/>
  <c r="AB2" i="282"/>
  <c r="Q2" i="282"/>
  <c r="G2" i="282"/>
  <c r="D2" i="282"/>
  <c r="AZ2" i="279"/>
  <c r="AY2" i="279"/>
  <c r="AW2" i="279"/>
  <c r="AV2" i="279"/>
  <c r="AD2" i="279"/>
  <c r="AC2" i="279"/>
  <c r="AB2" i="279"/>
  <c r="Q2" i="279"/>
  <c r="G2" i="279"/>
  <c r="D2" i="279"/>
  <c r="AZ2" i="276"/>
  <c r="AY2" i="276"/>
  <c r="AW2" i="276"/>
  <c r="AV2" i="276"/>
  <c r="AD2" i="276"/>
  <c r="AC2" i="276"/>
  <c r="AB2" i="276"/>
  <c r="Q2" i="276"/>
  <c r="G2" i="276"/>
  <c r="D2" i="276"/>
  <c r="AZ2" i="273"/>
  <c r="AY2" i="273"/>
  <c r="AW2" i="273"/>
  <c r="AV2" i="273"/>
  <c r="AD2" i="273"/>
  <c r="AC2" i="273"/>
  <c r="AB2" i="273"/>
  <c r="Q2" i="273"/>
  <c r="G2" i="273"/>
  <c r="D2" i="273"/>
  <c r="AZ2" i="270"/>
  <c r="AY2" i="270"/>
  <c r="AW2" i="270"/>
  <c r="AV2" i="270"/>
  <c r="AD2" i="270"/>
  <c r="AC2" i="270"/>
  <c r="AB2" i="270"/>
  <c r="Q2" i="270"/>
  <c r="G2" i="270"/>
  <c r="D2" i="270"/>
  <c r="AZ2" i="267"/>
  <c r="AY2" i="267"/>
  <c r="AW2" i="267"/>
  <c r="AV2" i="267"/>
  <c r="AD2" i="267"/>
  <c r="AC2" i="267"/>
  <c r="AB2" i="267"/>
  <c r="Q2" i="267"/>
  <c r="G2" i="267"/>
  <c r="D2" i="267"/>
  <c r="AZ2" i="264"/>
  <c r="AY2" i="264"/>
  <c r="AW2" i="264"/>
  <c r="AV2" i="264"/>
  <c r="AD2" i="264"/>
  <c r="AC2" i="264"/>
  <c r="AB2" i="264"/>
  <c r="Q2" i="264"/>
  <c r="G2" i="264"/>
  <c r="D2" i="264"/>
  <c r="AZ2" i="261"/>
  <c r="AY2" i="261"/>
  <c r="AW2" i="261"/>
  <c r="AV2" i="261"/>
  <c r="AD2" i="261"/>
  <c r="AC2" i="261"/>
  <c r="AB2" i="261"/>
  <c r="Q2" i="261"/>
  <c r="G2" i="261"/>
  <c r="D2" i="261"/>
  <c r="AZ2" i="258"/>
  <c r="AY2" i="258"/>
  <c r="AW2" i="258"/>
  <c r="AV2" i="258"/>
  <c r="AD2" i="258"/>
  <c r="AC2" i="258"/>
  <c r="AB2" i="258"/>
  <c r="Q2" i="258"/>
  <c r="G2" i="258"/>
  <c r="D2" i="258"/>
  <c r="AZ2" i="255"/>
  <c r="AY2" i="255"/>
  <c r="AW2" i="255"/>
  <c r="AV2" i="255"/>
  <c r="AD2" i="255"/>
  <c r="AC2" i="255"/>
  <c r="AB2" i="255"/>
  <c r="Q2" i="255"/>
  <c r="G2" i="255"/>
  <c r="D2" i="255"/>
  <c r="AZ2" i="252"/>
  <c r="AY2" i="252"/>
  <c r="AW2" i="252"/>
  <c r="AV2" i="252"/>
  <c r="AD2" i="252"/>
  <c r="AC2" i="252"/>
  <c r="AB2" i="252"/>
  <c r="Q2" i="252"/>
  <c r="G2" i="252"/>
  <c r="D2" i="252"/>
  <c r="AZ2" i="249"/>
  <c r="AY2" i="249"/>
  <c r="AW2" i="249"/>
  <c r="AV2" i="249"/>
  <c r="AD2" i="249"/>
  <c r="AC2" i="249"/>
  <c r="AB2" i="249"/>
  <c r="Q2" i="249"/>
  <c r="G2" i="249"/>
  <c r="D2" i="249"/>
  <c r="AZ2" i="246"/>
  <c r="AY2" i="246"/>
  <c r="AW2" i="246"/>
  <c r="AV2" i="246"/>
  <c r="AD2" i="246"/>
  <c r="AC2" i="246"/>
  <c r="AB2" i="246"/>
  <c r="Q2" i="246"/>
  <c r="G2" i="246"/>
  <c r="D2" i="246"/>
  <c r="AZ2" i="243"/>
  <c r="AY2" i="243"/>
  <c r="AW2" i="243"/>
  <c r="AV2" i="243"/>
  <c r="AD2" i="243"/>
  <c r="AC2" i="243"/>
  <c r="AB2" i="243"/>
  <c r="Q2" i="243"/>
  <c r="G2" i="243"/>
  <c r="D2" i="243"/>
  <c r="AZ2" i="240"/>
  <c r="AY2" i="240"/>
  <c r="AW2" i="240"/>
  <c r="AV2" i="240"/>
  <c r="AD2" i="240"/>
  <c r="AC2" i="240"/>
  <c r="AB2" i="240"/>
  <c r="Q2" i="240"/>
  <c r="G2" i="240"/>
  <c r="D2" i="240"/>
  <c r="AZ2" i="237"/>
  <c r="AY2" i="237"/>
  <c r="AW2" i="237"/>
  <c r="AV2" i="237"/>
  <c r="AD2" i="237"/>
  <c r="AC2" i="237"/>
  <c r="AB2" i="237"/>
  <c r="Q2" i="237"/>
  <c r="G2" i="237"/>
  <c r="D2" i="237"/>
  <c r="AZ2" i="234"/>
  <c r="AY2" i="234"/>
  <c r="AW2" i="234"/>
  <c r="AV2" i="234"/>
  <c r="AD2" i="234"/>
  <c r="AC2" i="234"/>
  <c r="AB2" i="234"/>
  <c r="Q2" i="234"/>
  <c r="G2" i="234"/>
  <c r="D2" i="234"/>
  <c r="AZ2" i="231"/>
  <c r="AY2" i="231"/>
  <c r="AW2" i="231"/>
  <c r="AV2" i="231"/>
  <c r="AD2" i="231"/>
  <c r="AC2" i="231"/>
  <c r="AB2" i="231"/>
  <c r="Q2" i="231"/>
  <c r="G2" i="231"/>
  <c r="D2" i="231"/>
  <c r="AZ2" i="228"/>
  <c r="AY2" i="228"/>
  <c r="AW2" i="228"/>
  <c r="AV2" i="228"/>
  <c r="AD2" i="228"/>
  <c r="AC2" i="228"/>
  <c r="AB2" i="228"/>
  <c r="Q2" i="228"/>
  <c r="G2" i="228"/>
  <c r="D2" i="228"/>
  <c r="AZ2" i="225"/>
  <c r="AY2" i="225"/>
  <c r="AW2" i="225"/>
  <c r="AV2" i="225"/>
  <c r="AD2" i="225"/>
  <c r="AC2" i="225"/>
  <c r="AB2" i="225"/>
  <c r="Q2" i="225"/>
  <c r="G2" i="225"/>
  <c r="D2" i="225"/>
  <c r="AZ2" i="222"/>
  <c r="AY2" i="222"/>
  <c r="AW2" i="222"/>
  <c r="AV2" i="222"/>
  <c r="AD2" i="222"/>
  <c r="AC2" i="222"/>
  <c r="AB2" i="222"/>
  <c r="Q2" i="222"/>
  <c r="G2" i="222"/>
  <c r="D2" i="222"/>
  <c r="AZ2" i="219"/>
  <c r="AY2" i="219"/>
  <c r="AW2" i="219"/>
  <c r="AV2" i="219"/>
  <c r="AD2" i="219"/>
  <c r="AC2" i="219"/>
  <c r="AB2" i="219"/>
  <c r="Q2" i="219"/>
  <c r="G2" i="219"/>
  <c r="D2" i="219"/>
  <c r="AZ2" i="216"/>
  <c r="AY2" i="216"/>
  <c r="AW2" i="216"/>
  <c r="AV2" i="216"/>
  <c r="AD2" i="216"/>
  <c r="AC2" i="216"/>
  <c r="AB2" i="216"/>
  <c r="Q2" i="216"/>
  <c r="G2" i="216"/>
  <c r="D2" i="216"/>
  <c r="AZ2" i="213"/>
  <c r="AY2" i="213"/>
  <c r="AW2" i="213"/>
  <c r="AV2" i="213"/>
  <c r="AD2" i="213"/>
  <c r="AC2" i="213"/>
  <c r="AB2" i="213"/>
  <c r="Q2" i="213"/>
  <c r="G2" i="213"/>
  <c r="D2" i="213"/>
  <c r="AZ2" i="210"/>
  <c r="AY2" i="210"/>
  <c r="AW2" i="210"/>
  <c r="AV2" i="210"/>
  <c r="AD2" i="210"/>
  <c r="AC2" i="210"/>
  <c r="AB2" i="210"/>
  <c r="Q2" i="210"/>
  <c r="G2" i="210"/>
  <c r="D2" i="210"/>
  <c r="AZ2" i="207"/>
  <c r="AY2" i="207"/>
  <c r="AW2" i="207"/>
  <c r="AV2" i="207"/>
  <c r="AD2" i="207"/>
  <c r="AC2" i="207"/>
  <c r="AB2" i="207"/>
  <c r="Q2" i="207"/>
  <c r="G2" i="207"/>
  <c r="D2" i="207"/>
  <c r="AZ2" i="204"/>
  <c r="AY2" i="204"/>
  <c r="AW2" i="204"/>
  <c r="AV2" i="204"/>
  <c r="AD2" i="204"/>
  <c r="AC2" i="204"/>
  <c r="AB2" i="204"/>
  <c r="Q2" i="204"/>
  <c r="G2" i="204"/>
  <c r="D2" i="204"/>
  <c r="AZ2" i="201"/>
  <c r="AY2" i="201"/>
  <c r="AW2" i="201"/>
  <c r="AV2" i="201"/>
  <c r="AD2" i="201"/>
  <c r="AC2" i="201"/>
  <c r="AB2" i="201"/>
  <c r="Q2" i="201"/>
  <c r="G2" i="201"/>
  <c r="D2" i="201"/>
  <c r="AZ2" i="198"/>
  <c r="AY2" i="198"/>
  <c r="AW2" i="198"/>
  <c r="AV2" i="198"/>
  <c r="AD2" i="198"/>
  <c r="AC2" i="198"/>
  <c r="AB2" i="198"/>
  <c r="Q2" i="198"/>
  <c r="G2" i="198"/>
  <c r="D2" i="198"/>
  <c r="AZ2" i="195"/>
  <c r="AY2" i="195"/>
  <c r="AW2" i="195"/>
  <c r="AV2" i="195"/>
  <c r="AD2" i="195"/>
  <c r="AC2" i="195"/>
  <c r="AB2" i="195"/>
  <c r="Q2" i="195"/>
  <c r="G2" i="195"/>
  <c r="D2" i="195"/>
  <c r="AZ2" i="192"/>
  <c r="AY2" i="192"/>
  <c r="AW2" i="192"/>
  <c r="AV2" i="192"/>
  <c r="AD2" i="192"/>
  <c r="AC2" i="192"/>
  <c r="AB2" i="192"/>
  <c r="Q2" i="192"/>
  <c r="G2" i="192"/>
  <c r="D2" i="192"/>
  <c r="AZ2" i="189"/>
  <c r="AY2" i="189"/>
  <c r="AW2" i="189"/>
  <c r="AV2" i="189"/>
  <c r="AD2" i="189"/>
  <c r="AC2" i="189"/>
  <c r="AB2" i="189"/>
  <c r="Q2" i="189"/>
  <c r="G2" i="189"/>
  <c r="D2" i="189"/>
  <c r="AZ2" i="186"/>
  <c r="AY2" i="186"/>
  <c r="AW2" i="186"/>
  <c r="AV2" i="186"/>
  <c r="AD2" i="186"/>
  <c r="AC2" i="186"/>
  <c r="AB2" i="186"/>
  <c r="Q2" i="186"/>
  <c r="G2" i="186"/>
  <c r="D2" i="186"/>
  <c r="AZ2" i="183"/>
  <c r="AY2" i="183"/>
  <c r="AW2" i="183"/>
  <c r="AV2" i="183"/>
  <c r="AD2" i="183"/>
  <c r="AC2" i="183"/>
  <c r="AB2" i="183"/>
  <c r="Q2" i="183"/>
  <c r="G2" i="183"/>
  <c r="D2" i="183"/>
  <c r="AZ2" i="180"/>
  <c r="AY2" i="180"/>
  <c r="AW2" i="180"/>
  <c r="AV2" i="180"/>
  <c r="AD2" i="180"/>
  <c r="AC2" i="180"/>
  <c r="AB2" i="180"/>
  <c r="Q2" i="180"/>
  <c r="G2" i="180"/>
  <c r="D2" i="180"/>
  <c r="AZ2" i="177"/>
  <c r="AY2" i="177"/>
  <c r="AW2" i="177"/>
  <c r="AV2" i="177"/>
  <c r="AD2" i="177"/>
  <c r="AC2" i="177"/>
  <c r="AB2" i="177"/>
  <c r="Q2" i="177"/>
  <c r="G2" i="177"/>
  <c r="D2" i="177"/>
  <c r="AZ2" i="174"/>
  <c r="AY2" i="174"/>
  <c r="AW2" i="174"/>
  <c r="AV2" i="174"/>
  <c r="AD2" i="174"/>
  <c r="AC2" i="174"/>
  <c r="AB2" i="174"/>
  <c r="Q2" i="174"/>
  <c r="G2" i="174"/>
  <c r="D2" i="174"/>
  <c r="AZ2" i="171"/>
  <c r="AY2" i="171"/>
  <c r="AW2" i="171"/>
  <c r="AV2" i="171"/>
  <c r="AD2" i="171"/>
  <c r="AC2" i="171"/>
  <c r="AB2" i="171"/>
  <c r="Q2" i="171"/>
  <c r="G2" i="171"/>
  <c r="D2" i="171"/>
  <c r="AZ2" i="168"/>
  <c r="AY2" i="168"/>
  <c r="AW2" i="168"/>
  <c r="AV2" i="168"/>
  <c r="AD2" i="168"/>
  <c r="AC2" i="168"/>
  <c r="AB2" i="168"/>
  <c r="Q2" i="168"/>
  <c r="G2" i="168"/>
  <c r="D2" i="168"/>
  <c r="AZ2" i="165"/>
  <c r="AY2" i="165"/>
  <c r="AW2" i="165"/>
  <c r="AV2" i="165"/>
  <c r="AD2" i="165"/>
  <c r="AC2" i="165"/>
  <c r="AB2" i="165"/>
  <c r="Q2" i="165"/>
  <c r="G2" i="165"/>
  <c r="D2" i="165"/>
  <c r="AZ2" i="162"/>
  <c r="AY2" i="162"/>
  <c r="AW2" i="162"/>
  <c r="AV2" i="162"/>
  <c r="AD2" i="162"/>
  <c r="AC2" i="162"/>
  <c r="AB2" i="162"/>
  <c r="Q2" i="162"/>
  <c r="G2" i="162"/>
  <c r="D2" i="162"/>
  <c r="AZ2" i="159"/>
  <c r="AY2" i="159"/>
  <c r="AW2" i="159"/>
  <c r="AV2" i="159"/>
  <c r="AD2" i="159"/>
  <c r="AC2" i="159"/>
  <c r="AB2" i="159"/>
  <c r="Q2" i="159"/>
  <c r="G2" i="159"/>
  <c r="D2" i="159"/>
  <c r="AZ2" i="156"/>
  <c r="AY2" i="156"/>
  <c r="AW2" i="156"/>
  <c r="AV2" i="156"/>
  <c r="AD2" i="156"/>
  <c r="AC2" i="156"/>
  <c r="AB2" i="156"/>
  <c r="Q2" i="156"/>
  <c r="G2" i="156"/>
  <c r="D2" i="156"/>
  <c r="AZ2" i="153"/>
  <c r="AY2" i="153"/>
  <c r="AW2" i="153"/>
  <c r="AV2" i="153"/>
  <c r="AD2" i="153"/>
  <c r="AC2" i="153"/>
  <c r="AB2" i="153"/>
  <c r="Q2" i="153"/>
  <c r="G2" i="153"/>
  <c r="D2" i="153"/>
  <c r="AZ2" i="150"/>
  <c r="AY2" i="150"/>
  <c r="AW2" i="150"/>
  <c r="AV2" i="150"/>
  <c r="AD2" i="150"/>
  <c r="AC2" i="150"/>
  <c r="AB2" i="150"/>
  <c r="Q2" i="150"/>
  <c r="G2" i="150"/>
  <c r="D2" i="150"/>
  <c r="AZ2" i="147"/>
  <c r="AY2" i="147"/>
  <c r="AW2" i="147"/>
  <c r="AV2" i="147"/>
  <c r="AD2" i="147"/>
  <c r="AC2" i="147"/>
  <c r="AB2" i="147"/>
  <c r="Q2" i="147"/>
  <c r="G2" i="147"/>
  <c r="D2" i="147"/>
  <c r="AZ2" i="144"/>
  <c r="AY2" i="144"/>
  <c r="AW2" i="144"/>
  <c r="AV2" i="144"/>
  <c r="AD2" i="144"/>
  <c r="AC2" i="144"/>
  <c r="AB2" i="144"/>
  <c r="Q2" i="144"/>
  <c r="G2" i="144"/>
  <c r="D2" i="144"/>
  <c r="AZ2" i="141"/>
  <c r="AY2" i="141"/>
  <c r="AW2" i="141"/>
  <c r="AV2" i="141"/>
  <c r="AD2" i="141"/>
  <c r="AC2" i="141"/>
  <c r="AB2" i="141"/>
  <c r="Q2" i="141"/>
  <c r="G2" i="141"/>
  <c r="D2" i="141"/>
  <c r="AZ2" i="138"/>
  <c r="AY2" i="138"/>
  <c r="AW2" i="138"/>
  <c r="AV2" i="138"/>
  <c r="AD2" i="138"/>
  <c r="AC2" i="138"/>
  <c r="AB2" i="138"/>
  <c r="Q2" i="138"/>
  <c r="G2" i="138"/>
  <c r="D2" i="138"/>
  <c r="AZ2" i="135"/>
  <c r="AY2" i="135"/>
  <c r="AW2" i="135"/>
  <c r="AV2" i="135"/>
  <c r="AD2" i="135"/>
  <c r="AC2" i="135"/>
  <c r="AB2" i="135"/>
  <c r="Q2" i="135"/>
  <c r="G2" i="135"/>
  <c r="D2" i="135"/>
  <c r="AZ2" i="132"/>
  <c r="AY2" i="132"/>
  <c r="AW2" i="132"/>
  <c r="AV2" i="132"/>
  <c r="AD2" i="132"/>
  <c r="AC2" i="132"/>
  <c r="AB2" i="132"/>
  <c r="Q2" i="132"/>
  <c r="G2" i="132"/>
  <c r="D2" i="132"/>
  <c r="AZ2" i="129"/>
  <c r="AY2" i="129"/>
  <c r="AW2" i="129"/>
  <c r="AV2" i="129"/>
  <c r="AD2" i="129"/>
  <c r="AC2" i="129"/>
  <c r="AB2" i="129"/>
  <c r="Q2" i="129"/>
  <c r="G2" i="129"/>
  <c r="D2" i="129"/>
  <c r="AZ2" i="126"/>
  <c r="AY2" i="126"/>
  <c r="AW2" i="126"/>
  <c r="AV2" i="126"/>
  <c r="AD2" i="126"/>
  <c r="AC2" i="126"/>
  <c r="AB2" i="126"/>
  <c r="Q2" i="126"/>
  <c r="G2" i="126"/>
  <c r="D2" i="126"/>
  <c r="AZ2" i="123"/>
  <c r="AY2" i="123"/>
  <c r="AW2" i="123"/>
  <c r="AV2" i="123"/>
  <c r="AD2" i="123"/>
  <c r="AC2" i="123"/>
  <c r="AB2" i="123"/>
  <c r="Q2" i="123"/>
  <c r="G2" i="123"/>
  <c r="D2" i="123"/>
  <c r="AZ2" i="120"/>
  <c r="AY2" i="120"/>
  <c r="AW2" i="120"/>
  <c r="AV2" i="120"/>
  <c r="AD2" i="120"/>
  <c r="AC2" i="120"/>
  <c r="AB2" i="120"/>
  <c r="Q2" i="120"/>
  <c r="G2" i="120"/>
  <c r="D2" i="120"/>
  <c r="AZ2" i="117"/>
  <c r="AY2" i="117"/>
  <c r="AW2" i="117"/>
  <c r="AV2" i="117"/>
  <c r="AD2" i="117"/>
  <c r="AC2" i="117"/>
  <c r="AB2" i="117"/>
  <c r="Q2" i="117"/>
  <c r="G2" i="117"/>
  <c r="D2" i="117"/>
  <c r="AZ2" i="114"/>
  <c r="AY2" i="114"/>
  <c r="AW2" i="114"/>
  <c r="AV2" i="114"/>
  <c r="AD2" i="114"/>
  <c r="AC2" i="114"/>
  <c r="AB2" i="114"/>
  <c r="Q2" i="114"/>
  <c r="G2" i="114"/>
  <c r="D2" i="114"/>
  <c r="AZ2" i="111"/>
  <c r="AY2" i="111"/>
  <c r="AW2" i="111"/>
  <c r="AV2" i="111"/>
  <c r="AD2" i="111"/>
  <c r="AC2" i="111"/>
  <c r="AB2" i="111"/>
  <c r="Q2" i="111"/>
  <c r="G2" i="111"/>
  <c r="D2" i="111"/>
  <c r="AZ2" i="108"/>
  <c r="AY2" i="108"/>
  <c r="AW2" i="108"/>
  <c r="AV2" i="108"/>
  <c r="AD2" i="108"/>
  <c r="AC2" i="108"/>
  <c r="AB2" i="108"/>
  <c r="Q2" i="108"/>
  <c r="G2" i="108"/>
  <c r="D2" i="108"/>
  <c r="AZ2" i="105"/>
  <c r="AY2" i="105"/>
  <c r="AW2" i="105"/>
  <c r="AV2" i="105"/>
  <c r="AD2" i="105"/>
  <c r="AC2" i="105"/>
  <c r="AB2" i="105"/>
  <c r="Q2" i="105"/>
  <c r="G2" i="105"/>
  <c r="D2" i="105"/>
  <c r="AZ2" i="102"/>
  <c r="AY2" i="102"/>
  <c r="AW2" i="102"/>
  <c r="AV2" i="102"/>
  <c r="AD2" i="102"/>
  <c r="AC2" i="102"/>
  <c r="AB2" i="102"/>
  <c r="Q2" i="102"/>
  <c r="G2" i="102"/>
  <c r="D2" i="102"/>
  <c r="AZ2" i="99"/>
  <c r="AY2" i="99"/>
  <c r="AW2" i="99"/>
  <c r="AV2" i="99"/>
  <c r="AD2" i="99"/>
  <c r="AC2" i="99"/>
  <c r="AB2" i="99"/>
  <c r="Q2" i="99"/>
  <c r="G2" i="99"/>
  <c r="D2" i="99"/>
  <c r="AZ2" i="96"/>
  <c r="AY2" i="96"/>
  <c r="AW2" i="96"/>
  <c r="AV2" i="96"/>
  <c r="AD2" i="96"/>
  <c r="AC2" i="96"/>
  <c r="AB2" i="96"/>
  <c r="Q2" i="96"/>
  <c r="G2" i="96"/>
  <c r="D2" i="96"/>
  <c r="AZ2" i="93"/>
  <c r="AY2" i="93"/>
  <c r="AW2" i="93"/>
  <c r="AV2" i="93"/>
  <c r="AD2" i="93"/>
  <c r="AC2" i="93"/>
  <c r="AB2" i="93"/>
  <c r="Q2" i="93"/>
  <c r="G2" i="93"/>
  <c r="D2" i="93"/>
  <c r="AZ2" i="90"/>
  <c r="AY2" i="90"/>
  <c r="AW2" i="90"/>
  <c r="AV2" i="90"/>
  <c r="AD2" i="90"/>
  <c r="AC2" i="90"/>
  <c r="AB2" i="90"/>
  <c r="Q2" i="90"/>
  <c r="G2" i="90"/>
  <c r="D2" i="90"/>
  <c r="AZ2" i="87"/>
  <c r="AY2" i="87"/>
  <c r="AW2" i="87"/>
  <c r="AV2" i="87"/>
  <c r="AD2" i="87"/>
  <c r="AC2" i="87"/>
  <c r="AB2" i="87"/>
  <c r="Q2" i="87"/>
  <c r="G2" i="87"/>
  <c r="D2" i="87"/>
  <c r="AZ2" i="84"/>
  <c r="AY2" i="84"/>
  <c r="AW2" i="84"/>
  <c r="AV2" i="84"/>
  <c r="AD2" i="84"/>
  <c r="AC2" i="84"/>
  <c r="AB2" i="84"/>
  <c r="Q2" i="84"/>
  <c r="G2" i="84"/>
  <c r="D2" i="84"/>
  <c r="AZ2" i="81"/>
  <c r="AY2" i="81"/>
  <c r="AW2" i="81"/>
  <c r="AV2" i="81"/>
  <c r="AD2" i="81"/>
  <c r="AC2" i="81"/>
  <c r="AB2" i="81"/>
  <c r="Q2" i="81"/>
  <c r="G2" i="81"/>
  <c r="D2" i="81"/>
  <c r="AZ2" i="78"/>
  <c r="AY2" i="78"/>
  <c r="AW2" i="78"/>
  <c r="AV2" i="78"/>
  <c r="AD2" i="78"/>
  <c r="AC2" i="78"/>
  <c r="AB2" i="78"/>
  <c r="Q2" i="78"/>
  <c r="G2" i="78"/>
  <c r="D2" i="78"/>
  <c r="AZ2" i="75"/>
  <c r="AY2" i="75"/>
  <c r="AW2" i="75"/>
  <c r="AV2" i="75"/>
  <c r="AD2" i="75"/>
  <c r="AC2" i="75"/>
  <c r="AB2" i="75"/>
  <c r="Q2" i="75"/>
  <c r="G2" i="75"/>
  <c r="D2" i="75"/>
  <c r="AZ2" i="72"/>
  <c r="AY2" i="72"/>
  <c r="AW2" i="72"/>
  <c r="AV2" i="72"/>
  <c r="AD2" i="72"/>
  <c r="AC2" i="72"/>
  <c r="AB2" i="72"/>
  <c r="Q2" i="72"/>
  <c r="G2" i="72"/>
  <c r="D2" i="72"/>
  <c r="AZ2" i="69"/>
  <c r="AY2" i="69"/>
  <c r="AW2" i="69"/>
  <c r="AV2" i="69"/>
  <c r="AD2" i="69"/>
  <c r="AC2" i="69"/>
  <c r="AB2" i="69"/>
  <c r="Q2" i="69"/>
  <c r="G2" i="69"/>
  <c r="D2" i="69"/>
  <c r="AZ2" i="66"/>
  <c r="AY2" i="66"/>
  <c r="AW2" i="66"/>
  <c r="AV2" i="66"/>
  <c r="AD2" i="66"/>
  <c r="AC2" i="66"/>
  <c r="AB2" i="66"/>
  <c r="Q2" i="66"/>
  <c r="G2" i="66"/>
  <c r="D2" i="66"/>
  <c r="AZ2" i="63"/>
  <c r="AY2" i="63"/>
  <c r="AW2" i="63"/>
  <c r="AV2" i="63"/>
  <c r="AD2" i="63"/>
  <c r="AC2" i="63"/>
  <c r="AB2" i="63"/>
  <c r="Q2" i="63"/>
  <c r="G2" i="63"/>
  <c r="D2" i="63"/>
  <c r="AZ2" i="60"/>
  <c r="AY2" i="60"/>
  <c r="AW2" i="60"/>
  <c r="AV2" i="60"/>
  <c r="AD2" i="60"/>
  <c r="AC2" i="60"/>
  <c r="AB2" i="60"/>
  <c r="Q2" i="60"/>
  <c r="G2" i="60"/>
  <c r="D2" i="60"/>
  <c r="AZ2" i="57"/>
  <c r="AY2" i="57"/>
  <c r="AW2" i="57"/>
  <c r="AV2" i="57"/>
  <c r="AD2" i="57"/>
  <c r="AC2" i="57"/>
  <c r="AB2" i="57"/>
  <c r="Q2" i="57"/>
  <c r="G2" i="57"/>
  <c r="D2" i="57"/>
  <c r="AZ2" i="54"/>
  <c r="AY2" i="54"/>
  <c r="AW2" i="54"/>
  <c r="AV2" i="54"/>
  <c r="AD2" i="54"/>
  <c r="AC2" i="54"/>
  <c r="AB2" i="54"/>
  <c r="Q2" i="54"/>
  <c r="G2" i="54"/>
  <c r="D2" i="54"/>
  <c r="AZ2" i="51"/>
  <c r="AY2" i="51"/>
  <c r="AW2" i="51"/>
  <c r="AV2" i="51"/>
  <c r="AD2" i="51"/>
  <c r="AC2" i="51"/>
  <c r="AB2" i="51"/>
  <c r="Q2" i="51"/>
  <c r="G2" i="51"/>
  <c r="D2" i="51"/>
  <c r="AZ2" i="48"/>
  <c r="AY2" i="48"/>
  <c r="AW2" i="48"/>
  <c r="AV2" i="48"/>
  <c r="AD2" i="48"/>
  <c r="AC2" i="48"/>
  <c r="AB2" i="48"/>
  <c r="Q2" i="48"/>
  <c r="G2" i="48"/>
  <c r="D2" i="48"/>
  <c r="AZ2" i="45"/>
  <c r="AY2" i="45"/>
  <c r="AW2" i="45"/>
  <c r="AV2" i="45"/>
  <c r="AD2" i="45"/>
  <c r="AC2" i="45"/>
  <c r="AB2" i="45"/>
  <c r="Q2" i="45"/>
  <c r="G2" i="45"/>
  <c r="D2" i="45"/>
  <c r="AZ2" i="42"/>
  <c r="AY2" i="42"/>
  <c r="AW2" i="42"/>
  <c r="AV2" i="42"/>
  <c r="AD2" i="42"/>
  <c r="AC2" i="42"/>
  <c r="AB2" i="42"/>
  <c r="Q2" i="42"/>
  <c r="G2" i="42"/>
  <c r="D2" i="42"/>
  <c r="AZ2" i="39"/>
  <c r="AY2" i="39"/>
  <c r="AW2" i="39"/>
  <c r="AV2" i="39"/>
  <c r="AD2" i="39"/>
  <c r="AC2" i="39"/>
  <c r="AB2" i="39"/>
  <c r="Q2" i="39"/>
  <c r="G2" i="39"/>
  <c r="D2" i="39"/>
  <c r="AZ2" i="36"/>
  <c r="AY2" i="36"/>
  <c r="AW2" i="36"/>
  <c r="AV2" i="36"/>
  <c r="AD2" i="36"/>
  <c r="AC2" i="36"/>
  <c r="AB2" i="36"/>
  <c r="Q2" i="36"/>
  <c r="G2" i="36"/>
  <c r="D2" i="36"/>
  <c r="AZ2" i="33"/>
  <c r="AY2" i="33"/>
  <c r="AW2" i="33"/>
  <c r="AV2" i="33"/>
  <c r="AD2" i="33"/>
  <c r="AC2" i="33"/>
  <c r="AB2" i="33"/>
  <c r="Q2" i="33"/>
  <c r="G2" i="33"/>
  <c r="D2" i="33"/>
  <c r="AZ2" i="30"/>
  <c r="AY2" i="30"/>
  <c r="AW2" i="30"/>
  <c r="AV2" i="30"/>
  <c r="AD2" i="30"/>
  <c r="AC2" i="30"/>
  <c r="AB2" i="30"/>
  <c r="Q2" i="30"/>
  <c r="G2" i="30"/>
  <c r="D2" i="30"/>
  <c r="AZ2" i="27"/>
  <c r="AY2" i="27"/>
  <c r="AW2" i="27"/>
  <c r="AV2" i="27"/>
  <c r="AD2" i="27"/>
  <c r="AC2" i="27"/>
  <c r="AB2" i="27"/>
  <c r="Q2" i="27"/>
  <c r="G2" i="27"/>
  <c r="D2" i="27"/>
  <c r="AZ2" i="24"/>
  <c r="AY2" i="24"/>
  <c r="AW2" i="24"/>
  <c r="AV2" i="24"/>
  <c r="AD2" i="24"/>
  <c r="AC2" i="24"/>
  <c r="AB2" i="24"/>
  <c r="Q2" i="24"/>
  <c r="G2" i="24"/>
  <c r="D2" i="24"/>
  <c r="AZ2" i="21"/>
  <c r="AY2" i="21"/>
  <c r="AW2" i="21"/>
  <c r="AV2" i="21"/>
  <c r="AD2" i="21"/>
  <c r="AC2" i="21"/>
  <c r="AB2" i="21"/>
  <c r="Q2" i="21"/>
  <c r="G2" i="21"/>
  <c r="D2" i="21"/>
  <c r="AZ2" i="18"/>
  <c r="AY2" i="18"/>
  <c r="AW2" i="18"/>
  <c r="AV2" i="18"/>
  <c r="AD2" i="18"/>
  <c r="AC2" i="18"/>
  <c r="AB2" i="18"/>
  <c r="Q2" i="18"/>
  <c r="G2" i="18"/>
  <c r="D2" i="18"/>
  <c r="AZ2" i="15"/>
  <c r="AY2" i="15"/>
  <c r="AW2" i="15"/>
  <c r="AV2" i="15"/>
  <c r="AD2" i="15"/>
  <c r="AC2" i="15"/>
  <c r="AB2" i="15"/>
  <c r="Q2" i="15"/>
  <c r="G2" i="15"/>
  <c r="D2" i="15"/>
  <c r="AZ2" i="12"/>
  <c r="AY2" i="12"/>
  <c r="AW2" i="12"/>
  <c r="AV2" i="12"/>
  <c r="AD2" i="12"/>
  <c r="AC2" i="12"/>
  <c r="AB2" i="12"/>
  <c r="Q2" i="12"/>
  <c r="G2" i="12"/>
  <c r="D2" i="12"/>
  <c r="AZ2" i="9"/>
  <c r="AY2" i="9"/>
  <c r="AW2" i="9"/>
  <c r="AV2" i="9"/>
  <c r="AD2" i="9"/>
  <c r="AC2" i="9"/>
  <c r="AB2" i="9"/>
  <c r="Q2" i="9"/>
  <c r="G2" i="9"/>
  <c r="D2" i="9"/>
  <c r="AZ2" i="6"/>
  <c r="AY2" i="6"/>
  <c r="AW2" i="6"/>
  <c r="AV2" i="6"/>
  <c r="AD2" i="6"/>
  <c r="AC2" i="6"/>
  <c r="AB2" i="6"/>
  <c r="Q2" i="6"/>
  <c r="G2" i="6"/>
  <c r="D2" i="6"/>
  <c r="AZ2" i="3"/>
  <c r="AY2" i="3"/>
  <c r="AW2" i="3"/>
  <c r="AV2" i="3"/>
  <c r="AD2" i="3"/>
  <c r="AC2" i="3"/>
  <c r="AB2" i="3"/>
  <c r="Q2" i="3"/>
  <c r="G2" i="3"/>
  <c r="D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0D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0D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0D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10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10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10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13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13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13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16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16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16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19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19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19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1A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1A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1A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1A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1A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1A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1A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1A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1A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1A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1C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1C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1C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1D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1D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1D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1D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1D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1D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1D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1D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1D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1D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1F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1F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1F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22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22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22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25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25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25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28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28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28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2B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2B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2B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2E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2E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2E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31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31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31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34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34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34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37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37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37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3A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3A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3A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3D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3D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3D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40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40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40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43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43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43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46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46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46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49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49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49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4A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4A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4A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4A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4A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4A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4A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4A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4A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4A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4C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4C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4C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4D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4D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4D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4D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4D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4D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4D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4D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4D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4D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4F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4F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4F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50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50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50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50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50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50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50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50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50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50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52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52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52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53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53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53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53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53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53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53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53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53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53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55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55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55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56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56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56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56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56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56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56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56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56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56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58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58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58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59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59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59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59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59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59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59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59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59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59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5B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5B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5B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6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5C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5C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5C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5C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5C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5C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5C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5C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5C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5C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6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5E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5E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5E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6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5F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5F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5F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5F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5F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5F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5F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5F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5F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5F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6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61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61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61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6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62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62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62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62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62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62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62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62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62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62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6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64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64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64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6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65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65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65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65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65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65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65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65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65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65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6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67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67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67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7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68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68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68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68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68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68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68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68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68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68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7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6A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6A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6A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7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6B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6B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6B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6B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6B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6B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6B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6B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6B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6B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7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6D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6D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6D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7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6E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6E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6E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6E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6E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6E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6E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6E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6E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6E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7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70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70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70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7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71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71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71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71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71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71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71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71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71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71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7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73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73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73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7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74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74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74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74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74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74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74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74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74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74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7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76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76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76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8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77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77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77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77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77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77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77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77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77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77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8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79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79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79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8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7A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7A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7A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7A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7A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7A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7A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7A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7A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7A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8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7C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7C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7C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8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7D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7D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7D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7D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7D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7D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7D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7D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7D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7D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8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7F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7F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7F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8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80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80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80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80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80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80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80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80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80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80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8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82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82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82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8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83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83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83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83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83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83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83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83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83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83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8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85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85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85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9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86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86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86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86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86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86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86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86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86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86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9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88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88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88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9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89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89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89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89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89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89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89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89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89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89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9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8B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8B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8B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9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8C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8C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8C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8C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8C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8C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8C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8C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8C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8C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9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8E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8E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8E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9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8F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8F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8F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8F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8F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8F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8F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8F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8F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8F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9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91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91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91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9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92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92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92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92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92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92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92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92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92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92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9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94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94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94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0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95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95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95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95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95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95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95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95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95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95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0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97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97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97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0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98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98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98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98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98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98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98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98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98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98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0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9A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9A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9A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0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9B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9B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9B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9B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9B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9B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9B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9B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9B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9B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0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9D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9D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9D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0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9E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9E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9E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9E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9E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9E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9E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9E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9E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9E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0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A0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A0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A0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0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A1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A1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A1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A1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A1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A1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A1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A1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A1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A1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0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A3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A3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A3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A4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A4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A4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A4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A4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A4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A4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A4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A4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A4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A6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A6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A6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A7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A7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A7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A7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A7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A7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A7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A7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A7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A7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A9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A9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A9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AA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AA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AA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AA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AA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AA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AA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AA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AA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AA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AC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AC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AC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AD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AD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AD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AD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AD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AD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AD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AD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AD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AD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AF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AF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AF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B0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B0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B0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B0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B0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B0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B0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B0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B0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B0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B2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B2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B2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B3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B3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B3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B3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B3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B3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B3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B3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B3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B3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B5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B5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B5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B6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B6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B6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B6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B6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B6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B6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B6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B6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B6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B8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B8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B8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B9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B9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B9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B9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B9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B9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B9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B9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B9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B9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BB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BB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BB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BC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BC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BC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BC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BC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BC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BC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BC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BC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BC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BE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BE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BE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BF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BF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BF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BF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BF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BF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BF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BF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BF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BF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C1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C1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C1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C2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C2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C2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C2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C2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C2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C2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C2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C2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C2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C4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C4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C4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C5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C5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C5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C5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C5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C5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C5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C5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C5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C5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C7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C7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C7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C8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C8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C8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C8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C8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C8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C8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C8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C8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C8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CA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CA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CA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CB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CB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CB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CB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CB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CB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CB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CB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CB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CB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CD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CD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CD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CE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CE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CE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CE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CE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CE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CE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CE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CE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CE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D0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D0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D0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D1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D1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D1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D1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D1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D1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D1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D1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D1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D1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D3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D3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D3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D4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D4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D4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D4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D4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D4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D4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D4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D4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D4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D6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D6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D6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D7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D7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D7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D7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D7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D7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D7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D7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D7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D7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D9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D9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D9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DA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DA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DA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DA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DA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DA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DA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DA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DA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DA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DC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DC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DC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DD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DD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DD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DD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DD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DD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DD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DD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DD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DD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DF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DF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DF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E0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E0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E0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E0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E0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E0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E0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E0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E0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E0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E2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E2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E2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E3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E3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E3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E3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E3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E3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E3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E3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E3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E3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E5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E5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E5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E6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E6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E6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E6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E6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E6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E6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E6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E6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E6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E8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E8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E8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E9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E9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E9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E9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E9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E9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E9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E9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E9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E9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EB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EB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EB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EC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EC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EC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EC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EC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EC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EC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EC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EC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EC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EE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EE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EE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EF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EF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EF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EF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EF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EF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EF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EF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EF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EF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F1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F1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F1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6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F2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F2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F2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F2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F2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F2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F2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F2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F2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F2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6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F4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F4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F4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6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F5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F5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F5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F5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F5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F5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F5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F5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F5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F5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6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F7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F7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F7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6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F8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F8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F8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F8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F8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F8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F8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F8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F8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F8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6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FA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FA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FA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6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FB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FB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FB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FB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FB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FB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FB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FB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FB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FB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6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FD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FD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FD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7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FE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FE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FE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FE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FE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FE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FE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FE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FE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FE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7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00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00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00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7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01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01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01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01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01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01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01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01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01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01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7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03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03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03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7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04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04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04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04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04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04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04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04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04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04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7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06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06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06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7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07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07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07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07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07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07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07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07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07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07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7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09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09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09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7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0A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0A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0A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0A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0A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0A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0A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0A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0A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0A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7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0C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0C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0C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8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0D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0D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0D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0D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0D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0D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0D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0D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0D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0D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8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0F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0F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0F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8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10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10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10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10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10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10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10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10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10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10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8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12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12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12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8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13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13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13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13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13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13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13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13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13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13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8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15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15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15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8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16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16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16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16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16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16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16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16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16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16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8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18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18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18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8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19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19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19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19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19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19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19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19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19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19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8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1B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1B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1B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9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1C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1C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1C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1C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1C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1C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1C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1C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1C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1C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9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1E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1E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1E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9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1F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1F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1F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1F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1F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1F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1F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1F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1F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1F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9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21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21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21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9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22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22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22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22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22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22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22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22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22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22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9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24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24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24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9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25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25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25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25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25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25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25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25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25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25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9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27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27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27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9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28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28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28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28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28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28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28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28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28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28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9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2A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2A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2A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0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2B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2B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2B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2B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2B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2B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2B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2B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2B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2B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0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2D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2D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2D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0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2E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2E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2E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2E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2E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2E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2E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2E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2E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2E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0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30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30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30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0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31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31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31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31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31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31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31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31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31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31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0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33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33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33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0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34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34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34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34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34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34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34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34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34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34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0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36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36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36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0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37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37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37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37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37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37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37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37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37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37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0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39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39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39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3A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3A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3A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3A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3A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3A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3A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3A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3A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3A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sharedStrings.xml><?xml version="1.0" encoding="utf-8"?>
<sst xmlns="http://schemas.openxmlformats.org/spreadsheetml/2006/main" count="23726" uniqueCount="353">
  <si>
    <t>fieldName</t>
  </si>
  <si>
    <t>value</t>
  </si>
  <si>
    <t>cik</t>
  </si>
  <si>
    <t>0002078265</t>
  </si>
  <si>
    <t>ccc</t>
  </si>
  <si>
    <t>regName</t>
  </si>
  <si>
    <t>Corgi ETF Trust I</t>
  </si>
  <si>
    <t>regFileNumber</t>
  </si>
  <si>
    <t>811-24117</t>
  </si>
  <si>
    <t>regCik</t>
  </si>
  <si>
    <t>regLei</t>
  </si>
  <si>
    <t>529900HSQC73ZP7RGT16</t>
  </si>
  <si>
    <t>regStreet1</t>
  </si>
  <si>
    <t>425 Bush St.</t>
  </si>
  <si>
    <t>regStreet2</t>
  </si>
  <si>
    <t>Suite 500</t>
  </si>
  <si>
    <t>regCity</t>
  </si>
  <si>
    <t>San Francisco</t>
  </si>
  <si>
    <t>regState</t>
  </si>
  <si>
    <t>US-CA</t>
  </si>
  <si>
    <t>regCountry</t>
  </si>
  <si>
    <t>US</t>
  </si>
  <si>
    <t>regZipOrPostalCode</t>
  </si>
  <si>
    <t>94104</t>
  </si>
  <si>
    <t>regPhone</t>
  </si>
  <si>
    <t>855-552-6744</t>
  </si>
  <si>
    <t>seriesName</t>
  </si>
  <si>
    <t>Corgi ACLS 2x Daily ETF</t>
  </si>
  <si>
    <t>seriesId</t>
  </si>
  <si>
    <t>S000104886</t>
  </si>
  <si>
    <t>seriesLei</t>
  </si>
  <si>
    <t>529900OLSFD3UQGAG510</t>
  </si>
  <si>
    <t>classId</t>
  </si>
  <si>
    <t>C000275537</t>
  </si>
  <si>
    <t>signerOrg</t>
  </si>
  <si>
    <t>signerName</t>
  </si>
  <si>
    <t>Emily Yuan</t>
  </si>
  <si>
    <t>signerTitle</t>
  </si>
  <si>
    <t>President &amp; PEO</t>
  </si>
  <si>
    <t>fiscalYearEndMMDD</t>
  </si>
  <si>
    <t>derivativesRegimePolicy</t>
  </si>
  <si>
    <t>liquidityRequired</t>
  </si>
  <si>
    <t>cashB2fRequired</t>
  </si>
  <si>
    <t>policyEffectiveFrom</t>
  </si>
  <si>
    <t>policyEffectiveTo</t>
  </si>
  <si>
    <t>Period</t>
  </si>
  <si>
    <t>2026-07</t>
  </si>
  <si>
    <t>isFinalFiling</t>
  </si>
  <si>
    <t>dateSigned</t>
  </si>
  <si>
    <t>totAssets</t>
  </si>
  <si>
    <t>totLiabs</t>
  </si>
  <si>
    <t>netAssets</t>
  </si>
  <si>
    <t>assetsAttrMiscSec</t>
  </si>
  <si>
    <t>assetsInvested</t>
  </si>
  <si>
    <t>amtPayOneYrBanksBorr</t>
  </si>
  <si>
    <t>amtPayOneYrCtrldComp</t>
  </si>
  <si>
    <t>amtPayOneYrOthAffil</t>
  </si>
  <si>
    <t>amtPayOneYrOther</t>
  </si>
  <si>
    <t>amtPayAftOneYrBanksBorr</t>
  </si>
  <si>
    <t>amtPayAftOneYrCtrldComp</t>
  </si>
  <si>
    <t>amtPayAftOneYrOthAffil</t>
  </si>
  <si>
    <t>amtPayAftOneYrOther</t>
  </si>
  <si>
    <t>delayDeliv</t>
  </si>
  <si>
    <t>standByCommit</t>
  </si>
  <si>
    <t>liquidPref</t>
  </si>
  <si>
    <t>isNonCashCollateral</t>
  </si>
  <si>
    <t>rtn1</t>
  </si>
  <si>
    <t>rtn2</t>
  </si>
  <si>
    <t>rtn3</t>
  </si>
  <si>
    <t>netRealizedGainMon1</t>
  </si>
  <si>
    <t>netUnrealizedApprMon1</t>
  </si>
  <si>
    <t>netRealizedGainMon2</t>
  </si>
  <si>
    <t>netUnrealizedApprMon2</t>
  </si>
  <si>
    <t>netRealizedGainMon3</t>
  </si>
  <si>
    <t>netUnrealizedApprMon3</t>
  </si>
  <si>
    <t>mon1Sales</t>
  </si>
  <si>
    <t>mon1Redemption</t>
  </si>
  <si>
    <t>mon1Reinvestment</t>
  </si>
  <si>
    <t>mon2Sales</t>
  </si>
  <si>
    <t>mon2Redemption</t>
  </si>
  <si>
    <t>mon2Reinvestment</t>
  </si>
  <si>
    <t>mon3Sales</t>
  </si>
  <si>
    <t>mon3Redemption</t>
  </si>
  <si>
    <t>mon3Reinvestment</t>
  </si>
  <si>
    <t>nameDesignatedIndex</t>
  </si>
  <si>
    <t>indexIdentifier</t>
  </si>
  <si>
    <t>curMetricsJson</t>
  </si>
  <si>
    <t>creditSprdRiskIgJson</t>
  </si>
  <si>
    <t>creditSprdRiskNonigJson</t>
  </si>
  <si>
    <t>cashNotReportedInCOrD</t>
  </si>
  <si>
    <t>monthlyReturnCategoriesJson</t>
  </si>
  <si>
    <t>derivExposurePct</t>
  </si>
  <si>
    <t>derivCurrencyExposurePct</t>
  </si>
  <si>
    <t>derivInterestRateExposurePct</t>
  </si>
  <si>
    <t>derivDaysInExcess</t>
  </si>
  <si>
    <t>medianDailyVarPct</t>
  </si>
  <si>
    <t>medianVarRatioPct</t>
  </si>
  <si>
    <t>backtestingExceptions</t>
  </si>
  <si>
    <t>holdingId</t>
  </si>
  <si>
    <t>name</t>
  </si>
  <si>
    <t>lei</t>
  </si>
  <si>
    <t>title</t>
  </si>
  <si>
    <t>cusip</t>
  </si>
  <si>
    <t>isin</t>
  </si>
  <si>
    <t>ticker</t>
  </si>
  <si>
    <t>balance</t>
  </si>
  <si>
    <t>units</t>
  </si>
  <si>
    <t>curCd</t>
  </si>
  <si>
    <t>valUSD</t>
  </si>
  <si>
    <t>pctVal</t>
  </si>
  <si>
    <t>payoffProfile</t>
  </si>
  <si>
    <t>assetCat</t>
  </si>
  <si>
    <t>issuerCat</t>
  </si>
  <si>
    <t>invCountry</t>
  </si>
  <si>
    <t>isRestrictedSec</t>
  </si>
  <si>
    <t>fairValLevel</t>
  </si>
  <si>
    <t>isCashCollateral</t>
  </si>
  <si>
    <t>isLoanByFund</t>
  </si>
  <si>
    <t>issuerConditionalDesc</t>
  </si>
  <si>
    <t>assetConditionalDesc</t>
  </si>
  <si>
    <t>otherDesc</t>
  </si>
  <si>
    <t>otherValue</t>
  </si>
  <si>
    <t>exchangeRt</t>
  </si>
  <si>
    <t>maturityDt</t>
  </si>
  <si>
    <t>couponKind</t>
  </si>
  <si>
    <t>annualizedRt</t>
  </si>
  <si>
    <t>isDefault</t>
  </si>
  <si>
    <t>areIntrstPmntsInArrs</t>
  </si>
  <si>
    <t>isPaidKind</t>
  </si>
  <si>
    <t>derivCat</t>
  </si>
  <si>
    <t>counterpartyName</t>
  </si>
  <si>
    <t>counterpartyLei</t>
  </si>
  <si>
    <t>unrealizedAppr</t>
  </si>
  <si>
    <t>putOrCall</t>
  </si>
  <si>
    <t>writtenOrPur</t>
  </si>
  <si>
    <t>shareNo</t>
  </si>
  <si>
    <t>exercisePrice</t>
  </si>
  <si>
    <t>exercisePriceCurCd</t>
  </si>
  <si>
    <t>expDt</t>
  </si>
  <si>
    <t>delta</t>
  </si>
  <si>
    <t>refInstType</t>
  </si>
  <si>
    <t>refIndexName</t>
  </si>
  <si>
    <t>refIndexIdentifier</t>
  </si>
  <si>
    <t>refIssuerName</t>
  </si>
  <si>
    <t>refIssueTitle</t>
  </si>
  <si>
    <t>refCusip</t>
  </si>
  <si>
    <t>refIsin</t>
  </si>
  <si>
    <t>refTicker</t>
  </si>
  <si>
    <t>swapFlag</t>
  </si>
  <si>
    <t>terminationDt</t>
  </si>
  <si>
    <t>upfrontPmnt</t>
  </si>
  <si>
    <t>pmntCurCd</t>
  </si>
  <si>
    <t>upfrontRcpt</t>
  </si>
  <si>
    <t>rcptCurCd</t>
  </si>
  <si>
    <t>notionalAmt</t>
  </si>
  <si>
    <t>swapCurCd</t>
  </si>
  <si>
    <t>recFixedOrFloating</t>
  </si>
  <si>
    <t>recFixedRt</t>
  </si>
  <si>
    <t>recFloatingRtIndex</t>
  </si>
  <si>
    <t>recFloatingRtSpread</t>
  </si>
  <si>
    <t>recPmntAmt</t>
  </si>
  <si>
    <t>recCurCd</t>
  </si>
  <si>
    <t>recRateTenor</t>
  </si>
  <si>
    <t>recRateUnit</t>
  </si>
  <si>
    <t>recResetDt</t>
  </si>
  <si>
    <t>recResetUnit</t>
  </si>
  <si>
    <t>recDesc</t>
  </si>
  <si>
    <t>pmntFixedOrFloating</t>
  </si>
  <si>
    <t>pmntFixedRt</t>
  </si>
  <si>
    <t>pmntFloatingRtIndex</t>
  </si>
  <si>
    <t>pmntFloatingRtSpread</t>
  </si>
  <si>
    <t>pmntPmntAmt</t>
  </si>
  <si>
    <t>pmntCurCdLeg</t>
  </si>
  <si>
    <t>pmntRateTenor</t>
  </si>
  <si>
    <t>pmntRateUnit</t>
  </si>
  <si>
    <t>pmntResetDt</t>
  </si>
  <si>
    <t>pmntResetUnit</t>
  </si>
  <si>
    <t>pmntDesc</t>
  </si>
  <si>
    <t>payoffProfDeriv</t>
  </si>
  <si>
    <t>otherDerivDesc</t>
  </si>
  <si>
    <t>liquidityClassificationJson</t>
  </si>
  <si>
    <t>liquidityCircumstancesJson</t>
  </si>
  <si>
    <t>Corgi ACMR 2x Daily ETF</t>
  </si>
  <si>
    <t>S000104894</t>
  </si>
  <si>
    <t>529900O8Y7QG1UGQ1C43</t>
  </si>
  <si>
    <t>C000275545</t>
  </si>
  <si>
    <t>Corgi CAMT 2x Daily ETF</t>
  </si>
  <si>
    <t>S000104888</t>
  </si>
  <si>
    <t>529900LDPVJA1CZU3F75</t>
  </si>
  <si>
    <t>C000275539</t>
  </si>
  <si>
    <t>Corgi CART 2x Daily ETF</t>
  </si>
  <si>
    <t>S000104904</t>
  </si>
  <si>
    <t>529900QSGQ9KDKSV1580</t>
  </si>
  <si>
    <t>C000275555</t>
  </si>
  <si>
    <t>Corgi CRUS 2x Daily ETF</t>
  </si>
  <si>
    <t>S000104890</t>
  </si>
  <si>
    <t>529900QCDGSHCN1GO703</t>
  </si>
  <si>
    <t>C000275541</t>
  </si>
  <si>
    <t>Founder-Led ETF</t>
  </si>
  <si>
    <t>S000096625</t>
  </si>
  <si>
    <t>529900Y4TPD7LE3K2C21</t>
  </si>
  <si>
    <t>C000265520</t>
  </si>
  <si>
    <t>Corgi KEYS 2x Daily ETF</t>
  </si>
  <si>
    <t>S000104897</t>
  </si>
  <si>
    <t>5299002CXWYWFHDI3875</t>
  </si>
  <si>
    <t>C000275548</t>
  </si>
  <si>
    <t>Corgi LASR 2x Daily ETF</t>
  </si>
  <si>
    <t>S000104885</t>
  </si>
  <si>
    <t>529900QXHMGKCCK24V42</t>
  </si>
  <si>
    <t>C000275536</t>
  </si>
  <si>
    <t>Corgi LRN 2x Daily ETF</t>
  </si>
  <si>
    <t>S000104880</t>
  </si>
  <si>
    <t>5299002VYW14Q3WU9R63</t>
  </si>
  <si>
    <t>C000275531</t>
  </si>
  <si>
    <t>Corgi MNST 2x Daily ETF</t>
  </si>
  <si>
    <t>S000104889</t>
  </si>
  <si>
    <t>5299003W0IC4ONDFN239</t>
  </si>
  <si>
    <t>C000275540</t>
  </si>
  <si>
    <t>Corgi MSI 2x Daily ETF</t>
  </si>
  <si>
    <t>S000104903</t>
  </si>
  <si>
    <t>529900TUMOX1IJ7II463</t>
  </si>
  <si>
    <t>C000275554</t>
  </si>
  <si>
    <t>Corgi ONTO 2x Daily ETF</t>
  </si>
  <si>
    <t>S000104896</t>
  </si>
  <si>
    <t>52990064AEKULLSJDQ35</t>
  </si>
  <si>
    <t>C000275547</t>
  </si>
  <si>
    <t>Corgi RMBS 2x Daily ETF</t>
  </si>
  <si>
    <t>S000104898</t>
  </si>
  <si>
    <t>529900CPM179BARR5Z30</t>
  </si>
  <si>
    <t>C000275549</t>
  </si>
  <si>
    <t>Corgi SIMO 2x Daily ETF</t>
  </si>
  <si>
    <t>S000104887</t>
  </si>
  <si>
    <t>529900F5CZ2UFJ9IW106</t>
  </si>
  <si>
    <t>C000275538</t>
  </si>
  <si>
    <t>Corgi TPL 2x Daily ETF</t>
  </si>
  <si>
    <t>S000104900</t>
  </si>
  <si>
    <t>529900WKT5VRGPIOXM49</t>
  </si>
  <si>
    <t>C000275551</t>
  </si>
  <si>
    <t>Corgi UMC 2x Daily ETF</t>
  </si>
  <si>
    <t>S000104892</t>
  </si>
  <si>
    <t>529900RZZE1Q6YGQU845</t>
  </si>
  <si>
    <t>C000275543</t>
  </si>
  <si>
    <t>Fund</t>
  </si>
  <si>
    <t>Ticker</t>
  </si>
  <si>
    <t>Side</t>
  </si>
  <si>
    <t>Trade Date</t>
  </si>
  <si>
    <t>Notional</t>
  </si>
  <si>
    <t>Status</t>
  </si>
  <si>
    <t>ACLZ</t>
  </si>
  <si>
    <t>ACMM</t>
  </si>
  <si>
    <t>AV</t>
  </si>
  <si>
    <t>BAY</t>
  </si>
  <si>
    <t>BLCK</t>
  </si>
  <si>
    <t>BREW</t>
  </si>
  <si>
    <t>BRZX</t>
  </si>
  <si>
    <t>BZZ</t>
  </si>
  <si>
    <t>CAMC</t>
  </si>
  <si>
    <t>CARX</t>
  </si>
  <si>
    <t>CBIL</t>
  </si>
  <si>
    <t>CBOT</t>
  </si>
  <si>
    <t>CCPX</t>
  </si>
  <si>
    <t>CGOV</t>
  </si>
  <si>
    <t>CHYG</t>
  </si>
  <si>
    <t>CIEI</t>
  </si>
  <si>
    <t>CIVG</t>
  </si>
  <si>
    <t>CJUN</t>
  </si>
  <si>
    <t>CMAG</t>
  </si>
  <si>
    <t>CMAY</t>
  </si>
  <si>
    <t>CQTM</t>
  </si>
  <si>
    <t>CRUC</t>
  </si>
  <si>
    <t>CTJN</t>
  </si>
  <si>
    <t>CTMA</t>
  </si>
  <si>
    <t>CUST</t>
  </si>
  <si>
    <t>DIPR</t>
  </si>
  <si>
    <t>DOCK</t>
  </si>
  <si>
    <t>EMJN</t>
  </si>
  <si>
    <t>EMMY</t>
  </si>
  <si>
    <t>EMXX</t>
  </si>
  <si>
    <t>EUV</t>
  </si>
  <si>
    <t>EUVX</t>
  </si>
  <si>
    <t>EYES</t>
  </si>
  <si>
    <t>FDRS</t>
  </si>
  <si>
    <t>FDRX</t>
  </si>
  <si>
    <t>GASZ</t>
  </si>
  <si>
    <t>GLAM</t>
  </si>
  <si>
    <t>GNMX</t>
  </si>
  <si>
    <t>GPTZ</t>
  </si>
  <si>
    <t>HJUN</t>
  </si>
  <si>
    <t>HMAY</t>
  </si>
  <si>
    <t>HULL</t>
  </si>
  <si>
    <t>IDJN</t>
  </si>
  <si>
    <t>IDMY</t>
  </si>
  <si>
    <t>JOUL</t>
  </si>
  <si>
    <t>JUNC</t>
  </si>
  <si>
    <t>KEYX</t>
  </si>
  <si>
    <t>KRWX</t>
  </si>
  <si>
    <t>KYC</t>
  </si>
  <si>
    <t>LASC</t>
  </si>
  <si>
    <t>LATR</t>
  </si>
  <si>
    <t>LRNX</t>
  </si>
  <si>
    <t>MAYC</t>
  </si>
  <si>
    <t>MGKX</t>
  </si>
  <si>
    <t>MNSX</t>
  </si>
  <si>
    <t>MSIX</t>
  </si>
  <si>
    <t>NYNY</t>
  </si>
  <si>
    <t>ODDZ</t>
  </si>
  <si>
    <t>ONTX</t>
  </si>
  <si>
    <t>OWN</t>
  </si>
  <si>
    <t>PTNT</t>
  </si>
  <si>
    <t>QJN</t>
  </si>
  <si>
    <t>QMY</t>
  </si>
  <si>
    <t>QQJN</t>
  </si>
  <si>
    <t>QQMY</t>
  </si>
  <si>
    <t>RMBC</t>
  </si>
  <si>
    <t>SCJN</t>
  </si>
  <si>
    <t>SCMY</t>
  </si>
  <si>
    <t>SIMX</t>
  </si>
  <si>
    <t>STYL</t>
  </si>
  <si>
    <t>TAJX</t>
  </si>
  <si>
    <t>TPLX</t>
  </si>
  <si>
    <t>UMCX</t>
  </si>
  <si>
    <t>USX</t>
  </si>
  <si>
    <t>VBX</t>
  </si>
  <si>
    <t>VOOX</t>
  </si>
  <si>
    <t>WATS</t>
  </si>
  <si>
    <t>WEBX</t>
  </si>
  <si>
    <t>WNDR</t>
  </si>
  <si>
    <t>WR</t>
  </si>
  <si>
    <t>WX</t>
  </si>
  <si>
    <t>XA</t>
  </si>
  <si>
    <t>XAGI</t>
  </si>
  <si>
    <t>XBIX</t>
  </si>
  <si>
    <t>XCOM</t>
  </si>
  <si>
    <t>XEUR</t>
  </si>
  <si>
    <t>XHOA</t>
  </si>
  <si>
    <t>XIWC</t>
  </si>
  <si>
    <t>XKRE</t>
  </si>
  <si>
    <t>XLBX</t>
  </si>
  <si>
    <t>XLEX</t>
  </si>
  <si>
    <t>XLFX</t>
  </si>
  <si>
    <t>XLIX</t>
  </si>
  <si>
    <t>XLKX</t>
  </si>
  <si>
    <t>XLPX</t>
  </si>
  <si>
    <t>XLUX</t>
  </si>
  <si>
    <t>XLVX</t>
  </si>
  <si>
    <t>XLYX</t>
  </si>
  <si>
    <t>XPAV</t>
  </si>
  <si>
    <t>XSEM</t>
  </si>
  <si>
    <t>XTAI</t>
  </si>
  <si>
    <t>XVO</t>
  </si>
  <si>
    <t>XVUG</t>
  </si>
  <si>
    <t>XW</t>
  </si>
  <si>
    <t>YUNG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</si>
</sst>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ptos"/>
    </font>
    <font>
      <sz val="10"/>
      <color rgb="FF666666"/>
      <name val="Aptos"/>
    </font>
    <font>
      <sz val="10"/>
      <color rgb="FF0000FF"/>
      <name val="Aptos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7365D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top"/>
    </xf>
    <xf numFmtId="0" fontId="3" fillId="4" borderId="2" xfId="0" applyFont="1" applyFill="1" applyBorder="1" applyAlignment="1">
      <alignment vertical="top"/>
    </xf>
    <xf numFmtId="0" fontId="3" fillId="5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BDP|10638741581756933338</stp>
        <tr r="C21" s="176"/>
      </tp>
      <tp t="s">
        <v>#N/A N/A</v>
        <stp/>
        <stp>BDP|14367555086286828516</stp>
        <tr r="C21" s="218"/>
      </tp>
      <tp t="s">
        <v>#N/A N/A</v>
        <stp/>
        <stp>BDP|15750896117712763448</stp>
        <tr r="C22" s="221"/>
      </tp>
      <tp t="s">
        <v>#N/A N/A</v>
        <stp/>
        <stp>BDP|18132631576347734490</stp>
        <tr r="C22" s="95"/>
      </tp>
      <tp t="s">
        <v>#N/A N/A</v>
        <stp/>
        <stp>BDP|10445546865489245093</stp>
        <tr r="C23" s="302"/>
      </tp>
      <tp t="s">
        <v>#N/A N/A</v>
        <stp/>
        <stp>BDP|18394368625525929685</stp>
        <tr r="C21" s="29"/>
      </tp>
      <tp t="s">
        <v>#N/A N/A</v>
        <stp/>
        <stp>BDP|17719501184750041022</stp>
        <tr r="C22" s="257"/>
      </tp>
      <tp t="s">
        <v>#N/A N/A</v>
        <stp/>
        <stp>BDP|14266723001829919081</stp>
        <tr r="C23" s="227"/>
      </tp>
      <tp t="s">
        <v>#N/A N/A</v>
        <stp/>
        <stp>BDP|10754662711788062559</stp>
        <tr r="C22" s="155"/>
      </tp>
      <tp t="s">
        <v>#N/A N/A</v>
        <stp/>
        <stp>BDP|16288704945099571675</stp>
        <tr r="C22" s="278"/>
      </tp>
      <tp t="s">
        <v>#N/A N/A</v>
        <stp/>
        <stp>BDP|12217513016799626571</stp>
        <tr r="C21" s="146"/>
      </tp>
      <tp t="s">
        <v>#N/A N/A</v>
        <stp/>
        <stp>BDP|13993427618469765534</stp>
        <tr r="C23" s="113"/>
      </tp>
      <tp t="s">
        <v>#N/A N/A</v>
        <stp/>
        <stp>BDP|10386318396456393608</stp>
        <tr r="C23" s="182"/>
      </tp>
      <tp t="s">
        <v>#N/A N/A</v>
        <stp/>
        <stp>BDP|10668118499001138265</stp>
        <tr r="C22" s="5"/>
      </tp>
      <tp t="s">
        <v>#N/A N/A</v>
        <stp/>
        <stp>BDP|16471294606898169726</stp>
        <tr r="C22" s="74"/>
      </tp>
      <tp t="s">
        <v>#N/A N/A</v>
        <stp/>
        <stp>BDP|11686245150428954511</stp>
        <tr r="C23" s="170"/>
      </tp>
      <tp t="s">
        <v>#N/A N/A</v>
        <stp/>
        <stp>BDP|13317885645384055021</stp>
        <tr r="C23" s="119"/>
      </tp>
      <tp t="s">
        <v>#N/A N/A</v>
        <stp/>
        <stp>BDP|15369375430446102853</stp>
        <tr r="C22" s="170"/>
      </tp>
      <tp t="s">
        <v>#N/A N/A</v>
        <stp/>
        <stp>BDP|16543738601602157857</stp>
        <tr r="C21" s="299"/>
      </tp>
      <tp t="s">
        <v>#N/A N/A</v>
        <stp/>
        <stp>BDP|16857130239188258731</stp>
        <tr r="C23" s="56"/>
      </tp>
      <tp t="s">
        <v>#N/A N/A</v>
        <stp/>
        <stp>BDP|11284951230513979392</stp>
        <tr r="C21" s="242"/>
      </tp>
      <tp t="s">
        <v>#N/A N/A</v>
        <stp/>
        <stp>BDP|18313183725038860806</stp>
        <tr r="C23" s="296"/>
      </tp>
      <tp t="s">
        <v>#N/A N/A</v>
        <stp/>
        <stp>BDP|14437470748598949745</stp>
        <tr r="C21" s="269"/>
      </tp>
      <tp t="s">
        <v>#N/A N/A</v>
        <stp/>
        <stp>BDP|12875828832465415469</stp>
        <tr r="C23" s="179"/>
      </tp>
      <tp t="s">
        <v>#N/A N/A</v>
        <stp/>
        <stp>BDP|12458798533036206815</stp>
        <tr r="C23" s="137"/>
      </tp>
      <tp t="s">
        <v>#N/A N/A</v>
        <stp/>
        <stp>BDP|14911917819546420294</stp>
        <tr r="C21" s="257"/>
      </tp>
      <tp t="s">
        <v>#N/A N/A</v>
        <stp/>
        <stp>BDP|11551891163434570357</stp>
        <tr r="C21" s="263"/>
      </tp>
      <tp t="s">
        <v>#N/A N/A</v>
        <stp/>
        <stp>BDP|15731426690828061875</stp>
        <tr r="C22" s="299"/>
      </tp>
      <tp t="s">
        <v>#N/A N/A</v>
        <stp/>
        <stp>BDP|15962750645117864952</stp>
        <tr r="C22" s="68"/>
      </tp>
      <tp t="s">
        <v>#N/A N/A</v>
        <stp/>
        <stp>BDP|12772236487268864928</stp>
        <tr r="C23" s="314"/>
      </tp>
      <tp t="s">
        <v>#N/A N/A</v>
        <stp/>
        <stp>BDP|15618693654049510661</stp>
        <tr r="C23" s="110"/>
      </tp>
      <tp t="s">
        <v>#N/A N/A</v>
        <stp/>
        <stp>BDP|12742624893382935672</stp>
        <tr r="C23" s="134"/>
      </tp>
      <tp t="s">
        <v>#N/A N/A</v>
        <stp/>
        <stp>BDP|15192659488915519719</stp>
        <tr r="C22" s="167"/>
      </tp>
      <tp t="s">
        <v>#N/A N/A</v>
        <stp/>
        <stp>BDP|11732215525370923801</stp>
        <tr r="C21" s="236"/>
      </tp>
      <tp t="s">
        <v>#N/A N/A</v>
        <stp/>
        <stp>BDP|14119942637383803452</stp>
        <tr r="C21" s="224"/>
      </tp>
      <tp t="s">
        <v>#N/A N/A</v>
        <stp/>
        <stp>BDP|14163636884824362741</stp>
        <tr r="C22" s="206"/>
      </tp>
      <tp t="s">
        <v>#N/A N/A</v>
        <stp/>
        <stp>BDP|15229460894703544247</stp>
        <tr r="C22" s="50"/>
      </tp>
      <tp t="s">
        <v>#N/A N/A</v>
        <stp/>
        <stp>BDP|12522872160484250109</stp>
        <tr r="C22" s="119"/>
      </tp>
      <tp t="s">
        <v>#N/A N/A</v>
        <stp/>
        <stp>BDP|14320245680273628450</stp>
        <tr r="C23" s="221"/>
      </tp>
      <tp t="s">
        <v>#N/A N/A</v>
        <stp/>
        <stp>BDP|12473193489916174426</stp>
        <tr r="C21" s="38"/>
      </tp>
      <tp t="s">
        <v>#N/A N/A</v>
        <stp/>
        <stp>BDP|14498454493382716235</stp>
        <tr r="C23" s="74"/>
      </tp>
      <tp t="s">
        <v>#N/A N/A</v>
        <stp/>
        <stp>BDP|13660379185938683947</stp>
        <tr r="C22" s="14"/>
      </tp>
      <tp t="s">
        <v>#N/A N/A</v>
        <stp/>
        <stp>BDP|17720212948108278758</stp>
        <tr r="C23" s="263"/>
      </tp>
      <tp t="s">
        <v>#N/A N/A</v>
        <stp/>
        <stp>BDP|17993302631839927083</stp>
        <tr r="C23" s="29"/>
      </tp>
      <tp t="s">
        <v>#N/A N/A</v>
        <stp/>
        <stp>BDP|16907011512751895883</stp>
        <tr r="C23" s="23"/>
      </tp>
      <tp t="s">
        <v>#N/A N/A</v>
        <stp/>
        <stp>BDP|18362695602358386877</stp>
        <tr r="C21" s="287"/>
      </tp>
      <tp t="s">
        <v>#N/A N/A</v>
        <stp/>
        <stp>BDP|11829411364525892858</stp>
        <tr r="C22" s="185"/>
      </tp>
      <tp t="s">
        <v>#N/A N/A</v>
        <stp/>
        <stp>BDP|13036938123034778244</stp>
        <tr r="C23" s="128"/>
      </tp>
      <tp t="s">
        <v>#N/A N/A</v>
        <stp/>
        <stp>BDP|18107468490998791335</stp>
        <tr r="C22" s="110"/>
      </tp>
      <tp t="s">
        <v>#N/A N/A</v>
        <stp/>
        <stp>BDP|13518056437267772936</stp>
        <tr r="C21" s="20"/>
      </tp>
      <tp t="s">
        <v>#N/A N/A</v>
        <stp/>
        <stp>BDP|14708548521028384536</stp>
        <tr r="C21" s="185"/>
      </tp>
      <tp t="s">
        <v>#N/A N/A</v>
        <stp/>
        <stp>BDP|10019664341039451560</stp>
        <tr r="C22" s="179"/>
      </tp>
      <tp t="s">
        <v>#N/A N/A</v>
        <stp/>
        <stp>BDP|10637339867058023342</stp>
        <tr r="C21" s="47"/>
      </tp>
      <tp t="s">
        <v>#N/A N/A</v>
        <stp/>
        <stp>BDP|12888850228740144629</stp>
        <tr r="C22" s="59"/>
      </tp>
      <tp t="s">
        <v>#N/A N/A</v>
        <stp/>
        <stp>BDP|13779132469689333260</stp>
        <tr r="C22" s="77"/>
      </tp>
      <tp t="s">
        <v>#N/A N/A</v>
        <stp/>
        <stp>BDP|10931012791734991288</stp>
        <tr r="C23" s="17"/>
      </tp>
      <tp t="s">
        <v>#N/A N/A</v>
        <stp/>
        <stp>BDP|14723497634649226521</stp>
        <tr r="C23" s="35"/>
      </tp>
      <tp t="s">
        <v>#N/A N/A</v>
        <stp/>
        <stp>BDP|16435888642412892748</stp>
        <tr r="C22" s="284"/>
      </tp>
      <tp t="s">
        <v>#N/A N/A</v>
        <stp/>
        <stp>BDP|18303389138914659329</stp>
        <tr r="C22" s="245"/>
      </tp>
      <tp t="s">
        <v>#N/A N/A</v>
        <stp/>
        <stp>BDP|11478041520318048475</stp>
        <tr r="C23" s="38"/>
      </tp>
      <tp t="s">
        <v>#N/A N/A</v>
        <stp/>
        <stp>BDP|18432272524893679477</stp>
        <tr r="C23" s="116"/>
      </tp>
      <tp t="s">
        <v>#N/A N/A</v>
        <stp/>
        <stp>BDP|17967768140338012066</stp>
        <tr r="C21" s="215"/>
      </tp>
      <tp t="s">
        <v>#N/A N/A</v>
        <stp/>
        <stp>BDP|17344482757709065355</stp>
        <tr r="C22" s="131"/>
      </tp>
      <tp t="s">
        <v>#N/A N/A</v>
        <stp/>
        <stp>BDP|15830429385731395449</stp>
        <tr r="C23" s="71"/>
      </tp>
      <tp t="s">
        <v>#N/A N/A</v>
        <stp/>
        <stp>BDP|18148862862353076981</stp>
        <tr r="C23" s="194"/>
      </tp>
      <tp t="s">
        <v>#N/A N/A</v>
        <stp/>
        <stp>BDP|17420698286817257257</stp>
        <tr r="C23" s="287"/>
      </tp>
      <tp t="s">
        <v>#N/A N/A</v>
        <stp/>
        <stp>BDP|12173914563814480598</stp>
        <tr r="C21" s="158"/>
      </tp>
      <tp t="s">
        <v>#N/A N/A</v>
        <stp/>
        <stp>BDP|16657270504841400952</stp>
        <tr r="C21" s="53"/>
      </tp>
      <tp t="s">
        <v>#N/A N/A</v>
        <stp/>
        <stp>BDP|12381484585621767231</stp>
        <tr r="C23" s="242"/>
      </tp>
      <tp t="s">
        <v>#N/A N/A</v>
        <stp/>
        <stp>BDP|16074880755501438730</stp>
        <tr r="C23" s="101"/>
      </tp>
      <tp t="s">
        <v>#N/A N/A</v>
        <stp/>
        <stp>BDP|15869915672893595501</stp>
        <tr r="C23" s="98"/>
      </tp>
      <tp t="s">
        <v>#N/A N/A</v>
        <stp/>
        <stp>BDP|12094775287104677460</stp>
        <tr r="C23" s="305"/>
      </tp>
      <tp t="s">
        <v>#N/A N/A</v>
        <stp/>
        <stp>BDP|12545000321694452966</stp>
        <tr r="C22" s="164"/>
      </tp>
      <tp t="s">
        <v>#N/A N/A</v>
        <stp/>
        <stp>BDP|17859311313184250313</stp>
        <tr r="C21" s="290"/>
      </tp>
      <tp t="s">
        <v>#N/A N/A</v>
        <stp/>
        <stp>BDP|12234392632152823287</stp>
        <tr r="C21" s="191"/>
      </tp>
      <tp t="s">
        <v>#N/A N/A</v>
        <stp/>
        <stp>BDP|12580678543656952438</stp>
        <tr r="C21" s="221"/>
      </tp>
      <tp t="s">
        <v>#N/A N/A</v>
        <stp/>
        <stp>BDP|16260177768075252638</stp>
        <tr r="C21" s="239"/>
      </tp>
      <tp t="s">
        <v>#N/A N/A</v>
        <stp/>
        <stp>BDP|15321256844597375600</stp>
        <tr r="C22" s="71"/>
      </tp>
      <tp t="s">
        <v>#N/A N/A</v>
        <stp/>
        <stp>BDP|14084073411340392772</stp>
        <tr r="C22" s="218"/>
      </tp>
      <tp t="s">
        <v>#N/A N/A</v>
        <stp/>
        <stp>BDP|10561089939703840297</stp>
        <tr r="C21" s="98"/>
      </tp>
      <tp t="s">
        <v>#N/A N/A</v>
        <stp/>
        <stp>BDP|18353195398204005672</stp>
        <tr r="C21" s="23"/>
      </tp>
      <tp t="s">
        <v>#N/A N/A</v>
        <stp/>
        <stp>BDP|18136045384412296074</stp>
        <tr r="C23" s="281"/>
      </tp>
      <tp t="s">
        <v>#N/A N/A</v>
        <stp/>
        <stp>BDP|12243662441653134100</stp>
        <tr r="C23" s="20"/>
      </tp>
      <tp t="s">
        <v>#N/A N/A</v>
        <stp/>
        <stp>BDP|16841357528107941282</stp>
        <tr r="C22" s="35"/>
      </tp>
      <tp t="s">
        <v>#N/A N/A</v>
        <stp/>
        <stp>BDP|11841092139340994060</stp>
        <tr r="C22" s="98"/>
      </tp>
      <tp t="s">
        <v>#N/A N/A</v>
        <stp/>
        <stp>BDP|11299568779964956539</stp>
        <tr r="C21" s="89"/>
      </tp>
      <tp t="s">
        <v>#N/A N/A</v>
        <stp/>
        <stp>BDP|15775366165956815574</stp>
        <tr r="C21" s="161"/>
      </tp>
      <tp t="s">
        <v>#N/A N/A</v>
        <stp/>
        <stp>BDP|15749067233652157798</stp>
        <tr r="C22" s="47"/>
      </tp>
      <tp t="s">
        <v>#N/A N/A</v>
        <stp/>
        <stp>BDP|15626410059625387213</stp>
        <tr r="C21" s="302"/>
      </tp>
      <tp t="s">
        <v>#N/A N/A</v>
        <stp/>
        <stp>BDP|10714495838212164682</stp>
        <tr r="C23" s="77"/>
      </tp>
      <tp t="s">
        <v>#N/A N/A</v>
        <stp/>
        <stp>BDP|16428254378393003389</stp>
        <tr r="C21" s="74"/>
      </tp>
      <tp t="s">
        <v>#N/A N/A</v>
        <stp/>
        <stp>BDP|10870812475218624490</stp>
        <tr r="C21" s="110"/>
      </tp>
      <tp t="s">
        <v>#N/A N/A</v>
        <stp/>
        <stp>BDP|17360719050671694718</stp>
        <tr r="C23" s="212"/>
      </tp>
      <tp t="s">
        <v>#N/A N/A</v>
        <stp/>
        <stp>BDP|10101358375795616223</stp>
        <tr r="C23" s="140"/>
      </tp>
      <tp t="s">
        <v>#N/A N/A</v>
        <stp/>
        <stp>BDP|15705634530507562445</stp>
        <tr r="C23" s="173"/>
      </tp>
      <tp t="s">
        <v>#N/A N/A</v>
        <stp/>
        <stp>BDP|13620768755564121619</stp>
        <tr r="C23" s="224"/>
      </tp>
      <tp t="s">
        <v>#N/A N/A</v>
        <stp/>
        <stp>BDP|13049611629361861560</stp>
        <tr r="C22" s="281"/>
      </tp>
      <tp t="s">
        <v>#N/A N/A</v>
        <stp/>
        <stp>BDP|17323098927814650122</stp>
        <tr r="C22" s="176"/>
      </tp>
      <tp t="s">
        <v>#N/A N/A</v>
        <stp/>
        <stp>BDP|15280112813782307789</stp>
        <tr r="C23" s="188"/>
      </tp>
      <tp t="s">
        <v>#N/A N/A</v>
        <stp/>
        <stp>BDP|11180582671017687427</stp>
        <tr r="C23" s="86"/>
      </tp>
      <tp t="s">
        <v>#N/A N/A</v>
        <stp/>
        <stp>BDP|18080146794133817360</stp>
        <tr r="C23" s="185"/>
      </tp>
      <tp t="s">
        <v>#N/A N/A</v>
        <stp/>
        <stp>BDP|16444604715199734882</stp>
        <tr r="C23" s="26"/>
      </tp>
      <tp t="s">
        <v>#N/A N/A</v>
        <stp/>
        <stp>BDP|11105764814294520374</stp>
        <tr r="C22" s="128"/>
      </tp>
      <tp t="s">
        <v>#N/A N/A</v>
        <stp/>
        <stp>BDP|11310282249133058471</stp>
        <tr r="C23" s="236"/>
      </tp>
      <tp t="s">
        <v>#N/A N/A</v>
        <stp/>
        <stp>BDP|18130831034305361603</stp>
        <tr r="C21" s="80"/>
      </tp>
      <tp t="s">
        <v>#N/A N/A</v>
        <stp/>
        <stp>BDP|12663029032517357623</stp>
        <tr r="C21" s="113"/>
      </tp>
      <tp t="s">
        <v>#N/A N/A</v>
        <stp/>
        <stp>BDP|11101487477276445538</stp>
        <tr r="C23" s="68"/>
      </tp>
      <tp t="s">
        <v>#N/A N/A</v>
        <stp/>
        <stp>BDP|13216019845261998742</stp>
        <tr r="C23" s="218"/>
      </tp>
      <tp t="s">
        <v>#N/A N/A</v>
        <stp/>
        <stp>BDP|13035958699910692209</stp>
        <tr r="C21" s="266"/>
      </tp>
      <tp t="s">
        <v>#N/A N/A</v>
        <stp/>
        <stp>BDP|17124587785459257241</stp>
        <tr r="C21" s="182"/>
      </tp>
      <tp t="s">
        <v>#N/A N/A</v>
        <stp/>
        <stp>BDP|10656395024885724520</stp>
        <tr r="C22" s="107"/>
      </tp>
      <tp t="s">
        <v>#N/A N/A</v>
        <stp/>
        <stp>BDP|15786492136817689403</stp>
        <tr r="C22" s="215"/>
      </tp>
      <tp t="s">
        <v>#N/A N/A</v>
        <stp/>
        <stp>BDP|14640958491303500676</stp>
        <tr r="C22" s="308"/>
      </tp>
      <tp t="s">
        <v>#N/A N/A</v>
        <stp/>
        <stp>BDP|13426082768260682424</stp>
        <tr r="C22" s="89"/>
      </tp>
      <tp t="s">
        <v>#N/A N/A</v>
        <stp/>
        <stp>BDP|15392003118757981248</stp>
        <tr r="C21" s="188"/>
      </tp>
      <tp t="s">
        <v>#N/A N/A</v>
        <stp/>
        <stp>BDP|15372178546623382277</stp>
        <tr r="C21" s="152"/>
      </tp>
      <tp t="s">
        <v>#N/A N/A</v>
        <stp/>
        <stp>BDP|10325131626982871744</stp>
        <tr r="C22" s="80"/>
      </tp>
      <tp t="s">
        <v>#N/A N/A</v>
        <stp/>
        <stp>BDP|15982122646864732264</stp>
        <tr r="C22" s="242"/>
      </tp>
      <tp t="s">
        <v>#N/A N/A</v>
        <stp/>
        <stp>BDP|17527123223182356086</stp>
        <tr r="C22" s="311"/>
      </tp>
      <tp t="s">
        <v>#N/A N/A</v>
        <stp/>
        <stp>BDP|13001400660922273526</stp>
        <tr r="C22" s="62"/>
      </tp>
      <tp t="s">
        <v>#N/A N/A</v>
        <stp/>
        <stp>BDP|17765036813647637713</stp>
        <tr r="C22" s="188"/>
      </tp>
      <tp t="s">
        <v>#N/A N/A</v>
        <stp/>
        <stp>BDP|11108007544446571530</stp>
        <tr r="C21" s="143"/>
      </tp>
      <tp t="s">
        <v>#N/A N/A</v>
        <stp/>
        <stp>BDP|13962049267174823702</stp>
        <tr r="C21" s="251"/>
      </tp>
      <tp t="s">
        <v>#N/A N/A</v>
        <stp/>
        <stp>BDP|16521305432030257012</stp>
        <tr r="C23" s="278"/>
      </tp>
      <tp t="s">
        <v>#N/A N/A</v>
        <stp/>
        <stp>BDP|11392595821303212221</stp>
        <tr r="C22" s="137"/>
      </tp>
      <tp t="s">
        <v>#N/A N/A</v>
        <stp/>
        <stp>BDP|14770785711300530518</stp>
        <tr r="C23" s="266"/>
      </tp>
      <tp t="s">
        <v>#N/A N/A</v>
        <stp/>
        <stp>BDP|12247679001672208186</stp>
        <tr r="C23" s="167"/>
      </tp>
      <tp t="s">
        <v>#N/A N/A</v>
        <stp/>
        <stp>BDP|15479265234546672528</stp>
        <tr r="C22" s="269"/>
      </tp>
      <tp t="s">
        <v>#N/A N/A</v>
        <stp/>
        <stp>BDP|10860434450180944675</stp>
        <tr r="C21" s="86"/>
      </tp>
      <tp t="s">
        <v>#N/A N/A</v>
        <stp/>
        <stp>BDP|13396260766829170973</stp>
        <tr r="C22" s="41"/>
      </tp>
      <tp t="s">
        <v>#N/A N/A</v>
        <stp/>
        <stp>BDP|13942303209963520412</stp>
        <tr r="C22" s="143"/>
      </tp>
      <tp t="s">
        <v>#N/A N/A</v>
        <stp/>
        <stp>BDP|17461444876547543476</stp>
        <tr r="C21" s="296"/>
      </tp>
      <tp t="s">
        <v>#N/A N/A</v>
        <stp/>
        <stp>BDP|15065758421206275112</stp>
        <tr r="C23" s="257"/>
      </tp>
      <tp t="s">
        <v>#N/A N/A</v>
        <stp/>
        <stp>BDP|11647920596704339263</stp>
        <tr r="C22" s="116"/>
      </tp>
      <tp t="s">
        <v>#N/A N/A</v>
        <stp/>
        <stp>BDP|17348400174680541344</stp>
        <tr r="C23" s="299"/>
      </tp>
      <tp t="s">
        <v>#N/A N/A</v>
        <stp/>
        <stp>BDP|12927042879680968161</stp>
        <tr r="C23" s="155"/>
      </tp>
      <tp t="s">
        <v>#N/A N/A</v>
        <stp/>
        <stp>BDP|16208912469849754470</stp>
        <tr r="C22" s="263"/>
      </tp>
      <tp t="s">
        <v>#N/A N/A</v>
        <stp/>
        <stp>BDP|15573087681221455854</stp>
        <tr r="C23" s="62"/>
      </tp>
      <tp t="s">
        <v>#N/A N/A</v>
        <stp/>
        <stp>BDP|15457087327021349243</stp>
        <tr r="C22" s="8"/>
      </tp>
      <tp t="s">
        <v>#N/A N/A</v>
        <stp/>
        <stp>BDP|17914672743813328215</stp>
        <tr r="C23" s="44"/>
      </tp>
      <tp t="s">
        <v>#N/A N/A</v>
        <stp/>
        <stp>BDP|13993822664209247034</stp>
        <tr r="C22" s="197"/>
      </tp>
      <tp t="s">
        <v>#N/A N/A</v>
        <stp/>
        <stp>BDP|14571165100240904143</stp>
        <tr r="C21" s="50"/>
      </tp>
      <tp t="s">
        <v>#N/A N/A</v>
        <stp/>
        <stp>BDP|13006746665311701767</stp>
        <tr r="C23" s="149"/>
      </tp>
      <tp t="s">
        <v>#N/A N/A</v>
        <stp/>
        <stp>BDP|10565215410514594348</stp>
        <tr r="C23" s="32"/>
      </tp>
      <tp t="s">
        <v>#N/A N/A</v>
        <stp/>
        <stp>BDP|11385909434078277715</stp>
        <tr r="C22" s="290"/>
      </tp>
      <tp t="s">
        <v>#N/A N/A</v>
        <stp/>
        <stp>BDP|18028151913778429457</stp>
        <tr r="C22" s="209"/>
      </tp>
      <tp t="s">
        <v>#N/A N/A</v>
        <stp/>
        <stp>BDP|17724498555441401388</stp>
        <tr r="C22" s="287"/>
      </tp>
      <tp t="s">
        <v>#N/A N/A</v>
        <stp/>
        <stp>BDP|14801011569700899713</stp>
        <tr r="C22" s="266"/>
      </tp>
      <tp t="s">
        <v>#N/A N/A</v>
        <stp/>
        <stp>BDP|10265218671587934729</stp>
        <tr r="C21" s="197"/>
      </tp>
      <tp t="s">
        <v>#N/A N/A</v>
        <stp/>
        <stp>BDP|17008050615181411288</stp>
        <tr r="C23" s="2"/>
      </tp>
      <tp t="s">
        <v>#N/A N/A</v>
        <stp/>
        <stp>BDP|18137904857900850100</stp>
        <tr r="C22" s="260"/>
      </tp>
      <tp t="s">
        <v>#N/A N/A</v>
        <stp/>
        <stp>BDP|11143200850721642257</stp>
        <tr r="C23" s="41"/>
      </tp>
      <tp t="s">
        <v>#N/A N/A</v>
        <stp/>
        <stp>BDP|13271611504379388913</stp>
        <tr r="C23" s="308"/>
      </tp>
      <tp t="s">
        <v>#N/A N/A</v>
        <stp/>
        <stp>BDP|10798492808654711557</stp>
        <tr r="C23" s="125"/>
      </tp>
      <tp t="s">
        <v>#N/A N/A</v>
        <stp/>
        <stp>BDP|12650943988687992175</stp>
        <tr r="C22" s="236"/>
      </tp>
      <tp t="s">
        <v>#N/A N/A</v>
        <stp/>
        <stp>BDP|16280338294241439866</stp>
        <tr r="C21" s="140"/>
      </tp>
      <tp t="s">
        <v>#N/A N/A</v>
        <stp/>
        <stp>BDP|16790498305996406197</stp>
        <tr r="C21" s="284"/>
      </tp>
    </main>
    <main first="bofaddin.rtdserver">
      <tp t="s">
        <v>#N/A N/A</v>
        <stp/>
        <stp>BDP|7914028936628430011</stp>
        <tr r="C21" s="281"/>
      </tp>
      <tp t="s">
        <v>#N/A N/A</v>
        <stp/>
        <stp>BDP|7299705397672276787</stp>
        <tr r="C23" s="293"/>
      </tp>
      <tp t="s">
        <v>#N/A N/A</v>
        <stp/>
        <stp>BDP|8284997150639592139</stp>
        <tr r="C23" s="8"/>
      </tp>
      <tp t="s">
        <v>#N/A N/A</v>
        <stp/>
        <stp>BDP|1253870055441980148</stp>
        <tr r="C23" s="164"/>
      </tp>
      <tp t="s">
        <v>#N/A N/A</v>
        <stp/>
        <stp>BDP|6901564035359254550</stp>
        <tr r="C22" s="122"/>
      </tp>
      <tp t="s">
        <v>#N/A N/A</v>
        <stp/>
        <stp>BDP|5691142183875125522</stp>
        <tr r="C23" s="5"/>
      </tp>
      <tp t="s">
        <v>#N/A N/A</v>
        <stp/>
        <stp>BDP|2734973862659217819</stp>
        <tr r="C22" s="32"/>
      </tp>
      <tp t="s">
        <v>#N/A N/A</v>
        <stp/>
        <stp>BDP|1007207317318414626</stp>
        <tr r="C23" s="83"/>
      </tp>
      <tp t="s">
        <v>#N/A N/A</v>
        <stp/>
        <stp>BDP|8230744067006579305</stp>
        <tr r="C21" s="272"/>
      </tp>
      <tp t="s">
        <v>#N/A N/A</v>
        <stp/>
        <stp>BDP|7674149775818583577</stp>
        <tr r="C21" s="65"/>
      </tp>
      <tp t="s">
        <v>#N/A N/A</v>
        <stp/>
        <stp>BDP|1222655895415967632</stp>
        <tr r="C22" s="248"/>
      </tp>
      <tp t="s">
        <v>#N/A N/A</v>
        <stp/>
        <stp>BDP|3036762011738741096</stp>
        <tr r="C21" s="56"/>
      </tp>
      <tp t="s">
        <v>#N/A N/A</v>
        <stp/>
        <stp>BDP|9302134634813336582</stp>
        <tr r="C22" s="146"/>
      </tp>
      <tp t="s">
        <v>#N/A N/A</v>
        <stp/>
        <stp>BDP|6908906158685898250</stp>
        <tr r="C21" s="179"/>
      </tp>
      <tp t="s">
        <v>#N/A N/A</v>
        <stp/>
        <stp>BDP|9549763672902551695</stp>
        <tr r="C21" s="260"/>
      </tp>
      <tp t="s">
        <v>#N/A N/A</v>
        <stp/>
        <stp>BDP|4528564262959591349</stp>
        <tr r="C21" s="41"/>
      </tp>
      <tp t="s">
        <v>#N/A N/A</v>
        <stp/>
        <stp>BDP|1127230799852846530</stp>
        <tr r="C23" s="206"/>
      </tp>
      <tp t="s">
        <v>#N/A N/A</v>
        <stp/>
        <stp>BDP|5845842139854209703</stp>
        <tr r="C23" s="311"/>
      </tp>
      <tp t="s">
        <v>#N/A N/A</v>
        <stp/>
        <stp>BDP|6655753113364204969</stp>
        <tr r="C23" s="47"/>
      </tp>
      <tp t="s">
        <v>#N/A N/A</v>
        <stp/>
        <stp>BDP|5121049318078863105</stp>
        <tr r="C21" s="254"/>
      </tp>
      <tp t="s">
        <v>#N/A N/A</v>
        <stp/>
        <stp>BDP|4609895879965821051</stp>
        <tr r="C23" s="53"/>
      </tp>
      <tp t="s">
        <v>#N/A N/A</v>
        <stp/>
        <stp>BDP|8221528282353828829</stp>
        <tr r="C22" s="296"/>
      </tp>
      <tp t="s">
        <v>#N/A N/A</v>
        <stp/>
        <stp>BDP|2719943554224716491</stp>
        <tr r="C22" s="23"/>
      </tp>
      <tp t="s">
        <v>#N/A N/A</v>
        <stp/>
        <stp>BDP|9965364094458432563</stp>
        <tr r="C21" s="134"/>
      </tp>
      <tp t="s">
        <v>#N/A N/A</v>
        <stp/>
        <stp>BDP|5201283089154762566</stp>
        <tr r="C21" s="128"/>
      </tp>
      <tp t="s">
        <v>#N/A N/A</v>
        <stp/>
        <stp>BDP|8050124055547770525</stp>
        <tr r="C23" s="254"/>
      </tp>
      <tp t="s">
        <v>#N/A N/A</v>
        <stp/>
        <stp>BDP|3148758358166464987</stp>
        <tr r="C22" s="83"/>
      </tp>
      <tp t="s">
        <v>#N/A N/A</v>
        <stp/>
        <stp>BDP|6684865077107287042</stp>
        <tr r="C21" s="314"/>
      </tp>
      <tp t="s">
        <v>#N/A N/A</v>
        <stp/>
        <stp>BDP|6529843868202913464</stp>
        <tr r="C21" s="116"/>
      </tp>
      <tp t="s">
        <v>#N/A N/A</v>
        <stp/>
        <stp>BDP|8553092073397281686</stp>
        <tr r="C23" s="290"/>
      </tp>
      <tp t="s">
        <v>#N/A N/A</v>
        <stp/>
        <stp>BDP|7145500292010162570</stp>
        <tr r="C22" s="101"/>
      </tp>
      <tp t="s">
        <v>#N/A N/A</v>
        <stp/>
        <stp>BDP|7510865514625822448</stp>
        <tr r="C21" s="227"/>
      </tp>
      <tp t="s">
        <v>#N/A N/A</v>
        <stp/>
        <stp>BDP|7458798582243016442</stp>
        <tr r="C22" s="161"/>
      </tp>
      <tp t="s">
        <v>#N/A N/A</v>
        <stp/>
        <stp>BDP|9544807515409868631</stp>
        <tr r="C21" s="107"/>
      </tp>
      <tp t="s">
        <v>#N/A N/A</v>
        <stp/>
        <stp>BDP|1111991289818028783</stp>
        <tr r="C22" s="92"/>
      </tp>
      <tp t="s">
        <v>#N/A N/A</v>
        <stp/>
        <stp>BDP|9949488722696941635</stp>
        <tr r="C23" s="275"/>
      </tp>
      <tp t="s">
        <v>#N/A N/A</v>
        <stp/>
        <stp>BDP|1312980145437269411</stp>
        <tr r="C23" s="230"/>
      </tp>
      <tp t="s">
        <v>#N/A N/A</v>
        <stp/>
        <stp>BDP|6862549501825660985</stp>
        <tr r="C22" s="17"/>
      </tp>
      <tp t="s">
        <v>#N/A N/A</v>
        <stp/>
        <stp>BDP|1265769181381202037</stp>
        <tr r="C23" s="272"/>
      </tp>
      <tp t="s">
        <v>#N/A N/A</v>
        <stp/>
        <stp>BDP|6311859904033130593</stp>
        <tr r="C23" s="191"/>
      </tp>
      <tp t="s">
        <v>#N/A N/A</v>
        <stp/>
        <stp>BDP|9421909989358493837</stp>
        <tr r="C23" s="176"/>
      </tp>
      <tp t="s">
        <v>#N/A N/A</v>
        <stp/>
        <stp>BDP|1439436639786011858</stp>
        <tr r="C22" s="239"/>
      </tp>
      <tp t="s">
        <v>#N/A N/A</v>
        <stp/>
        <stp>BDP|7934820996327392925</stp>
        <tr r="C23" s="158"/>
      </tp>
      <tp t="s">
        <v>#N/A N/A</v>
        <stp/>
        <stp>BDP|6244059932098447529</stp>
        <tr r="C23" s="14"/>
      </tp>
      <tp t="s">
        <v>#N/A N/A</v>
        <stp/>
        <stp>BDP|4783167622036247912</stp>
        <tr r="C22" s="212"/>
      </tp>
      <tp t="s">
        <v>#N/A N/A</v>
        <stp/>
        <stp>BDP|8365610603994917289</stp>
        <tr r="C21" s="170"/>
      </tp>
      <tp t="s">
        <v>#N/A N/A</v>
        <stp/>
        <stp>BDP|5445842823297038184</stp>
        <tr r="C21" s="5"/>
      </tp>
      <tp t="s">
        <v>#N/A N/A</v>
        <stp/>
        <stp>BDP|8983503219857877272</stp>
        <tr r="C22" s="53"/>
      </tp>
      <tp t="s">
        <v>#N/A N/A</v>
        <stp/>
        <stp>BDP|4709071787604320141</stp>
        <tr r="C22" s="158"/>
      </tp>
      <tp t="s">
        <v>#N/A N/A</v>
        <stp/>
        <stp>BDP|2847946063695736180</stp>
        <tr r="C22" s="173"/>
      </tp>
      <tp t="s">
        <v>#N/A N/A</v>
        <stp/>
        <stp>BDP|8552691264926522477</stp>
        <tr r="C21" s="62"/>
      </tp>
      <tp t="s">
        <v>#N/A N/A</v>
        <stp/>
        <stp>BDP|8513129147775456294</stp>
        <tr r="C22" s="182"/>
      </tp>
      <tp t="s">
        <v>#N/A N/A</v>
        <stp/>
        <stp>BDP|4914855359877469429</stp>
        <tr r="C21" s="212"/>
      </tp>
      <tp t="s">
        <v>#N/A N/A</v>
        <stp/>
        <stp>BDP|1531000641418403770</stp>
        <tr r="C21" s="59"/>
      </tp>
      <tp t="s">
        <v>#N/A N/A</v>
        <stp/>
        <stp>BDP|2573434434336410888</stp>
        <tr r="C23" s="146"/>
      </tp>
      <tp t="s">
        <v>#N/A N/A</v>
        <stp/>
        <stp>BDP|5807122617587446952</stp>
        <tr r="C21" s="14"/>
      </tp>
      <tp t="s">
        <v>#N/A N/A</v>
        <stp/>
        <stp>BDP|5939671438178976321</stp>
        <tr r="C22" s="38"/>
      </tp>
      <tp t="s">
        <v>#N/A N/A</v>
        <stp/>
        <stp>BDP|3237375450217554928</stp>
        <tr r="C21" s="71"/>
      </tp>
      <tp t="s">
        <v>#N/A N/A</v>
        <stp/>
        <stp>BDP|3275834948565390182</stp>
        <tr r="C23" s="269"/>
      </tp>
      <tp t="s">
        <v>#N/A N/A</v>
        <stp/>
        <stp>BDP|2506172583962602218</stp>
        <tr r="C21" s="149"/>
      </tp>
      <tp t="s">
        <v>#N/A N/A</v>
        <stp/>
        <stp>BDP|3267899499270634930</stp>
        <tr r="C22" s="134"/>
      </tp>
      <tp t="s">
        <v>#N/A N/A</v>
        <stp/>
        <stp>BDP|3279329429728586186</stp>
        <tr r="C23" s="50"/>
      </tp>
      <tp t="s">
        <v>#N/A N/A</v>
        <stp/>
        <stp>BDP|5287780105151968832</stp>
        <tr r="C21" s="206"/>
      </tp>
      <tp t="s">
        <v>#N/A N/A</v>
        <stp/>
        <stp>BDP|9922979821471235776</stp>
        <tr r="C21" s="104"/>
      </tp>
      <tp t="s">
        <v>#N/A N/A</v>
        <stp/>
        <stp>BDP|1827601633108931891</stp>
        <tr r="C21" s="173"/>
      </tp>
      <tp t="s">
        <v>#N/A N/A</v>
        <stp/>
        <stp>BDP|6841709956701033100</stp>
        <tr r="C23" s="200"/>
      </tp>
      <tp t="s">
        <v>#N/A N/A</v>
        <stp/>
        <stp>BDP|1868946994723193675</stp>
        <tr r="C22" s="26"/>
      </tp>
      <tp t="s">
        <v>#N/A N/A</v>
        <stp/>
        <stp>BDP|2148426910692925156</stp>
        <tr r="C23" s="143"/>
      </tp>
      <tp t="s">
        <v>#N/A N/A</v>
        <stp/>
        <stp>BDP|9093474094026209622</stp>
        <tr r="C21" s="230"/>
      </tp>
      <tp t="s">
        <v>#N/A N/A</v>
        <stp/>
        <stp>BDP|8484990698195110949</stp>
        <tr r="C23" s="197"/>
      </tp>
      <tp t="s">
        <v>#N/A N/A</v>
        <stp/>
        <stp>BDP|7108254942330434536</stp>
        <tr r="C21" s="35"/>
      </tp>
      <tp t="s">
        <v>#N/A N/A</v>
        <stp/>
        <stp>BDP|8591543636568038232</stp>
        <tr r="C23" s="215"/>
      </tp>
      <tp t="s">
        <v>#N/A N/A</v>
        <stp/>
        <stp>BDP|9144392391715518348</stp>
        <tr r="C22" s="149"/>
      </tp>
      <tp t="s">
        <v>#N/A N/A</v>
        <stp/>
        <stp>BDP|1681791061664321113</stp>
        <tr r="C23" s="251"/>
      </tp>
      <tp t="s">
        <v>#N/A N/A</v>
        <stp/>
        <stp>BDP|4906957000391745972</stp>
        <tr r="C21" s="203"/>
      </tp>
      <tp t="s">
        <v>#N/A N/A</v>
        <stp/>
        <stp>BDP|5392896196632342328</stp>
        <tr r="C21" s="155"/>
      </tp>
      <tp t="s">
        <v>#N/A N/A</v>
        <stp/>
        <stp>BDP|4590537067610740248</stp>
        <tr r="C21" s="278"/>
      </tp>
      <tp t="s">
        <v>#N/A N/A</v>
        <stp/>
        <stp>BDP|3710958482902166524</stp>
        <tr r="C23" s="104"/>
      </tp>
      <tp t="s">
        <v>#N/A N/A</v>
        <stp/>
        <stp>BDP|7645450020786637267</stp>
        <tr r="C22" s="104"/>
      </tp>
      <tp t="s">
        <v>#N/A N/A</v>
        <stp/>
        <stp>BDP|7471446940996555459</stp>
        <tr r="C21" s="293"/>
      </tp>
      <tp t="s">
        <v>#N/A N/A</v>
        <stp/>
        <stp>BDP|1329483658171665449</stp>
        <tr r="C23" s="107"/>
      </tp>
      <tp t="s">
        <v>#N/A N/A</v>
        <stp/>
        <stp>BDP|6570696633176071092</stp>
        <tr r="C22" s="227"/>
      </tp>
      <tp t="s">
        <v>#N/A N/A</v>
        <stp/>
        <stp>BDP|1181351218645836335</stp>
        <tr r="C21" s="92"/>
      </tp>
      <tp t="s">
        <v>#N/A N/A</v>
        <stp/>
        <stp>BDP|4669885813311934902</stp>
        <tr r="C21" s="119"/>
      </tp>
      <tp t="s">
        <v>#N/A N/A</v>
        <stp/>
        <stp>BDP|1210268676961265044</stp>
        <tr r="C21" s="125"/>
      </tp>
      <tp t="s">
        <v>#N/A N/A</v>
        <stp/>
        <stp>BDP|7968025635003099153</stp>
        <tr r="C22" s="191"/>
      </tp>
      <tp t="s">
        <v>#N/A N/A</v>
        <stp/>
        <stp>BDP|3673827216138525496</stp>
        <tr r="C21" s="11"/>
      </tp>
      <tp t="s">
        <v>#N/A N/A</v>
        <stp/>
        <stp>BDP|4783008458911548649</stp>
        <tr r="C23" s="209"/>
      </tp>
      <tp t="s">
        <v>#N/A N/A</v>
        <stp/>
        <stp>BDP|1729338474587959456</stp>
        <tr r="C21" s="200"/>
      </tp>
      <tp t="s">
        <v>#N/A N/A</v>
        <stp/>
        <stp>BDP|9644365579529029259</stp>
        <tr r="C21" s="209"/>
      </tp>
      <tp t="s">
        <v>#N/A N/A</v>
        <stp/>
        <stp>BDP|6130473139036290100</stp>
        <tr r="C23" s="80"/>
      </tp>
      <tp t="s">
        <v>#N/A N/A</v>
        <stp/>
        <stp>BDP|8370204868368242241</stp>
        <tr r="C23" s="161"/>
      </tp>
      <tp t="s">
        <v>#N/A N/A</v>
        <stp/>
        <stp>BDP|4185218497189382045</stp>
        <tr r="C22" s="224"/>
      </tp>
      <tp t="s">
        <v>#N/A N/A</v>
        <stp/>
        <stp>BDP|5334884777348511494</stp>
        <tr r="C22" s="113"/>
      </tp>
      <tp t="s">
        <v>#N/A N/A</v>
        <stp/>
        <stp>BDP|6524316336467440760</stp>
        <tr r="C23" s="92"/>
      </tp>
      <tp t="s">
        <v>#N/A N/A</v>
        <stp/>
        <stp>BDP|4467308730952688035</stp>
        <tr r="C21" s="194"/>
      </tp>
      <tp t="s">
        <v>#N/A N/A</v>
        <stp/>
        <stp>BDP|1171665527066085577</stp>
        <tr r="C21" s="26"/>
      </tp>
      <tp t="s">
        <v>#N/A N/A</v>
        <stp/>
        <stp>BDP|4221632830174951273</stp>
        <tr r="C22" s="251"/>
      </tp>
      <tp t="s">
        <v>#N/A N/A</v>
        <stp/>
        <stp>BDP|5927127636937144708</stp>
        <tr r="C21" s="167"/>
      </tp>
      <tp t="s">
        <v>#N/A N/A</v>
        <stp/>
        <stp>BDP|4259985499261491242</stp>
        <tr r="C21" s="17"/>
      </tp>
      <tp t="s">
        <v>#N/A N/A</v>
        <stp/>
        <stp>BDP|5605777026493093447</stp>
        <tr r="C22" s="302"/>
      </tp>
      <tp t="s">
        <v>#N/A N/A</v>
        <stp/>
        <stp>BDP|2021452467467421051</stp>
        <tr r="C23" s="284"/>
      </tp>
      <tp t="s">
        <v>#N/A N/A</v>
        <stp/>
        <stp>BDP|9613054026234551801</stp>
        <tr r="C22" s="293"/>
      </tp>
      <tp t="s">
        <v>#N/A N/A</v>
        <stp/>
        <stp>BDP|8781136392767640068</stp>
        <tr r="C21" s="233"/>
      </tp>
      <tp t="s">
        <v>#N/A N/A</v>
        <stp/>
        <stp>BDP|9376487057587372888</stp>
        <tr r="C21" s="95"/>
      </tp>
      <tp t="s">
        <v>#N/A N/A</v>
        <stp/>
        <stp>BDP|5502885455798522073</stp>
        <tr r="C22" s="152"/>
      </tp>
      <tp t="s">
        <v>#N/A N/A</v>
        <stp/>
        <stp>BDP|4225497685398537011</stp>
        <tr r="C21" s="83"/>
      </tp>
      <tp t="s">
        <v>#N/A N/A</v>
        <stp/>
        <stp>BDP|2392782950923297322</stp>
        <tr r="C22" s="272"/>
      </tp>
      <tp t="s">
        <v>#N/A N/A</v>
        <stp/>
        <stp>BDP|9653823112188708896</stp>
        <tr r="C22" s="11"/>
      </tp>
      <tp t="s">
        <v>#N/A N/A</v>
        <stp/>
        <stp>BDP|6726288141727060723</stp>
        <tr r="C22" s="233"/>
      </tp>
      <tp t="s">
        <v>#N/A N/A</v>
        <stp/>
        <stp>BDP|1266731102276751098</stp>
        <tr r="C21" s="101"/>
      </tp>
      <tp t="s">
        <v>#N/A N/A</v>
        <stp/>
        <stp>BDP|9549207170709687510</stp>
        <tr r="C22" s="2"/>
      </tp>
      <tp t="s">
        <v>#N/A N/A</v>
        <stp/>
        <stp>BDP|6631615613887706607</stp>
        <tr r="C23" s="203"/>
      </tp>
      <tp t="s">
        <v>#N/A N/A</v>
        <stp/>
        <stp>BDP|6345467930817238671</stp>
        <tr r="C22" s="314"/>
      </tp>
      <tp t="s">
        <v>#N/A N/A</v>
        <stp/>
        <stp>BDP|3243431523596582318</stp>
        <tr r="C22" s="200"/>
      </tp>
      <tp t="s">
        <v>#N/A N/A</v>
        <stp/>
        <stp>BDP|4699803517999354459</stp>
        <tr r="C23" s="131"/>
      </tp>
      <tp t="s">
        <v>#N/A N/A</v>
        <stp/>
        <stp>BDP|5767694943660700606</stp>
        <tr r="C22" s="194"/>
      </tp>
      <tp t="s">
        <v>#N/A N/A</v>
        <stp/>
        <stp>BDP|4583304554407921437</stp>
        <tr r="C23" s="59"/>
      </tp>
      <tp t="s">
        <v>#N/A N/A</v>
        <stp/>
        <stp>BDP|7992638974183573409</stp>
        <tr r="C21" s="245"/>
      </tp>
      <tp t="s">
        <v>#N/A N/A</v>
        <stp/>
        <stp>BDP|7509395770817150536</stp>
        <tr r="C23" s="233"/>
      </tp>
      <tp t="s">
        <v>#N/A N/A</v>
        <stp/>
        <stp>BDP|7297640155116452380</stp>
        <tr r="C22" s="140"/>
      </tp>
      <tp t="s">
        <v>#N/A N/A</v>
        <stp/>
        <stp>BDP|7899559918977630514</stp>
        <tr r="C22" s="20"/>
      </tp>
      <tp t="s">
        <v>#N/A N/A</v>
        <stp/>
        <stp>BDP|3001950242746669930</stp>
        <tr r="C23" s="89"/>
      </tp>
      <tp t="s">
        <v>#N/A N/A</v>
        <stp/>
        <stp>BDP|1057322563120950582</stp>
        <tr r="C23" s="152"/>
      </tp>
      <tp t="s">
        <v>#N/A N/A</v>
        <stp/>
        <stp>BDP|5180455695141155872</stp>
        <tr r="C21" s="164"/>
      </tp>
      <tp t="s">
        <v>#N/A N/A</v>
        <stp/>
        <stp>BDP|5606151620964455338</stp>
        <tr r="C22" s="44"/>
      </tp>
      <tp t="s">
        <v>#N/A N/A</v>
        <stp/>
        <stp>BDP|9471047024509764375</stp>
        <tr r="C22" s="230"/>
      </tp>
      <tp t="s">
        <v>#N/A N/A</v>
        <stp/>
        <stp>BDP|2206202667852016502</stp>
        <tr r="C21" s="2"/>
      </tp>
      <tp t="s">
        <v>#N/A N/A</v>
        <stp/>
        <stp>BDP|7427263432062880628</stp>
        <tr r="C21" s="137"/>
      </tp>
      <tp t="s">
        <v>#N/A N/A</v>
        <stp/>
        <stp>BDP|9992458902758061755</stp>
        <tr r="C23" s="95"/>
      </tp>
      <tp t="s">
        <v>#N/A N/A</v>
        <stp/>
        <stp>BDP|7016690135723305379</stp>
        <tr r="C23" s="122"/>
      </tp>
      <tp t="s">
        <v>#N/A N/A</v>
        <stp/>
        <stp>BDP|3398418155988537800</stp>
        <tr r="C23" s="248"/>
      </tp>
      <tp t="s">
        <v>#N/A N/A</v>
        <stp/>
        <stp>BDP|2493411176467242438</stp>
        <tr r="C22" s="56"/>
      </tp>
      <tp t="s">
        <v>#N/A N/A</v>
        <stp/>
        <stp>BDP|3257060262212137551</stp>
        <tr r="C22" s="203"/>
      </tp>
      <tp t="s">
        <v>#N/A N/A</v>
        <stp/>
        <stp>BDP|5633113241265494713</stp>
        <tr r="C21" s="305"/>
      </tp>
      <tp t="s">
        <v>#N/A N/A</v>
        <stp/>
        <stp>BDP|3411879687501672038</stp>
        <tr r="C23" s="239"/>
      </tp>
      <tp t="s">
        <v>#N/A N/A</v>
        <stp/>
        <stp>BDP|5508664306184536577</stp>
        <tr r="C22" s="86"/>
      </tp>
      <tp t="s">
        <v>#N/A N/A</v>
        <stp/>
        <stp>BDP|3282944881140584068</stp>
        <tr r="C21" s="32"/>
      </tp>
      <tp t="s">
        <v>#N/A N/A</v>
        <stp/>
        <stp>BDP|1366141392952205932</stp>
        <tr r="C22" s="254"/>
      </tp>
      <tp t="s">
        <v>#N/A N/A</v>
        <stp/>
        <stp>BDP|1459003022481765041</stp>
        <tr r="C22" s="125"/>
      </tp>
      <tp t="s">
        <v>#N/A N/A</v>
        <stp/>
        <stp>BDP|3690281016181249237</stp>
        <tr r="C22" s="29"/>
      </tp>
      <tp t="s">
        <v>#N/A N/A</v>
        <stp/>
        <stp>BDP|5364942092295414386</stp>
        <tr r="C21" s="308"/>
      </tp>
      <tp t="s">
        <v>#N/A N/A</v>
        <stp/>
        <stp>BDP|9575825861337003389</stp>
        <tr r="C22" s="305"/>
      </tp>
      <tp t="s">
        <v>#N/A N/A</v>
        <stp/>
        <stp>BDP|4625381008975322196</stp>
        <tr r="C21" s="122"/>
      </tp>
      <tp t="s">
        <v>#N/A N/A</v>
        <stp/>
        <stp>BDP|1025089542316046087</stp>
        <tr r="C23" s="65"/>
      </tp>
      <tp t="s">
        <v>#N/A N/A</v>
        <stp/>
        <stp>BDP|1762099226338662881</stp>
        <tr r="C21" s="8"/>
      </tp>
      <tp t="s">
        <v>#N/A N/A</v>
        <stp/>
        <stp>BDP|3137598761167602482</stp>
        <tr r="C22" s="275"/>
      </tp>
      <tp t="s">
        <v>#N/A N/A</v>
        <stp/>
        <stp>BDP|9599802086539359373</stp>
        <tr r="C22" s="65"/>
      </tp>
      <tp t="s">
        <v>#N/A N/A</v>
        <stp/>
        <stp>BDP|37104990342483399</stp>
        <tr r="C21" s="77"/>
      </tp>
      <tp t="s">
        <v>#N/A N/A</v>
        <stp/>
        <stp>BDP|111893592312339400</stp>
        <tr r="C21" s="44"/>
      </tp>
      <tp t="s">
        <v>#N/A N/A</v>
        <stp/>
        <stp>BDP|687095317166977002</stp>
        <tr r="C23" s="245"/>
      </tp>
      <tp t="s">
        <v>#N/A N/A</v>
        <stp/>
        <stp>BDP|808584757966641696</stp>
        <tr r="C21" s="131"/>
      </tp>
      <tp t="s">
        <v>#N/A N/A</v>
        <stp/>
        <stp>BDP|560266730868970914</stp>
        <tr r="C21" s="68"/>
      </tp>
      <tp t="s">
        <v>#N/A N/A</v>
        <stp/>
        <stp>BDP|742776280277638863</stp>
        <tr r="C23" s="260"/>
      </tp>
      <tp t="s">
        <v>#N/A N/A</v>
        <stp/>
        <stp>BDP|452200902679534653</stp>
        <tr r="C23" s="11"/>
      </tp>
      <tp t="s">
        <v>#N/A N/A</v>
        <stp/>
        <stp>BDP|833743676287346860</stp>
        <tr r="C21" s="248"/>
      </tp>
      <tp t="s">
        <v>#N/A N/A</v>
        <stp/>
        <stp>BDP|643917779844842133</stp>
        <tr r="C21" s="275"/>
      </tp>
      <tp t="s">
        <v>#N/A N/A</v>
        <stp/>
        <stp>BDP|530729984731270537</stp>
        <tr r="C21" s="311"/>
      </tp>
    </main>
  </volType>
</volTypes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worksheet" Target="worksheets/sheet299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279" Type="http://schemas.openxmlformats.org/officeDocument/2006/relationships/worksheet" Target="worksheets/sheet279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281" Type="http://schemas.openxmlformats.org/officeDocument/2006/relationships/worksheet" Target="worksheets/sheet281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71" Type="http://schemas.openxmlformats.org/officeDocument/2006/relationships/worksheet" Target="worksheets/sheet271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17" Type="http://schemas.openxmlformats.org/officeDocument/2006/relationships/theme" Target="theme/theme1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283" Type="http://schemas.openxmlformats.org/officeDocument/2006/relationships/worksheet" Target="worksheets/sheet283.xml"/><Relationship Id="rId318" Type="http://schemas.openxmlformats.org/officeDocument/2006/relationships/styles" Target="styles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284" Type="http://schemas.openxmlformats.org/officeDocument/2006/relationships/worksheet" Target="worksheets/sheet284.xml"/><Relationship Id="rId319" Type="http://schemas.openxmlformats.org/officeDocument/2006/relationships/sharedStrings" Target="sharedStrings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320" Type="http://schemas.openxmlformats.org/officeDocument/2006/relationships/calcChain" Target="calcChain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285" Type="http://schemas.openxmlformats.org/officeDocument/2006/relationships/worksheet" Target="worksheets/sheet28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310" Type="http://schemas.openxmlformats.org/officeDocument/2006/relationships/worksheet" Target="worksheets/sheet310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296" Type="http://schemas.openxmlformats.org/officeDocument/2006/relationships/worksheet" Target="worksheets/sheet296.xml"/><Relationship Id="rId300" Type="http://schemas.openxmlformats.org/officeDocument/2006/relationships/worksheet" Target="worksheets/sheet300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321" Type="http://schemas.openxmlformats.org/officeDocument/2006/relationships/volatileDependencies" Target="volatileDependencies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286" Type="http://schemas.openxmlformats.org/officeDocument/2006/relationships/worksheet" Target="worksheets/sheet286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worksheet" Target="worksheets/sheet276.xml"/><Relationship Id="rId297" Type="http://schemas.openxmlformats.org/officeDocument/2006/relationships/worksheet" Target="worksheets/sheet297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287" Type="http://schemas.openxmlformats.org/officeDocument/2006/relationships/worksheet" Target="worksheets/sheet287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312" Type="http://schemas.openxmlformats.org/officeDocument/2006/relationships/worksheet" Target="worksheets/sheet312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298" Type="http://schemas.openxmlformats.org/officeDocument/2006/relationships/worksheet" Target="worksheets/sheet298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302" Type="http://schemas.openxmlformats.org/officeDocument/2006/relationships/worksheet" Target="worksheets/sheet30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worksheet" Target="worksheets/sheet288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313" Type="http://schemas.openxmlformats.org/officeDocument/2006/relationships/worksheet" Target="worksheets/sheet31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303" Type="http://schemas.openxmlformats.org/officeDocument/2006/relationships/worksheet" Target="worksheets/sheet303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.xml"/><Relationship Id="rId1" Type="http://schemas.openxmlformats.org/officeDocument/2006/relationships/vmlDrawing" Target="../drawings/vmlDrawing49.vml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.xml"/><Relationship Id="rId1" Type="http://schemas.openxmlformats.org/officeDocument/2006/relationships/vmlDrawing" Target="../drawings/vmlDrawing50.v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1.xml"/><Relationship Id="rId1" Type="http://schemas.openxmlformats.org/officeDocument/2006/relationships/vmlDrawing" Target="../drawings/vmlDrawing51.vml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2.xml"/><Relationship Id="rId1" Type="http://schemas.openxmlformats.org/officeDocument/2006/relationships/vmlDrawing" Target="../drawings/vmlDrawing52.vml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3.xml"/><Relationship Id="rId1" Type="http://schemas.openxmlformats.org/officeDocument/2006/relationships/vmlDrawing" Target="../drawings/vmlDrawing53.vml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4.xml"/><Relationship Id="rId1" Type="http://schemas.openxmlformats.org/officeDocument/2006/relationships/vmlDrawing" Target="../drawings/vmlDrawing54.vml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5.xml"/><Relationship Id="rId1" Type="http://schemas.openxmlformats.org/officeDocument/2006/relationships/vmlDrawing" Target="../drawings/vmlDrawing55.vml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6.xml"/><Relationship Id="rId1" Type="http://schemas.openxmlformats.org/officeDocument/2006/relationships/vmlDrawing" Target="../drawings/vmlDrawing56.vml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7.xml"/><Relationship Id="rId1" Type="http://schemas.openxmlformats.org/officeDocument/2006/relationships/vmlDrawing" Target="../drawings/vmlDrawing57.vml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8.xml"/><Relationship Id="rId1" Type="http://schemas.openxmlformats.org/officeDocument/2006/relationships/vmlDrawing" Target="../drawings/vmlDrawing58.vml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9.xml"/><Relationship Id="rId1" Type="http://schemas.openxmlformats.org/officeDocument/2006/relationships/vmlDrawing" Target="../drawings/vmlDrawing59.v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0.xml"/><Relationship Id="rId1" Type="http://schemas.openxmlformats.org/officeDocument/2006/relationships/vmlDrawing" Target="../drawings/vmlDrawing60.v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1.xml"/><Relationship Id="rId1" Type="http://schemas.openxmlformats.org/officeDocument/2006/relationships/vmlDrawing" Target="../drawings/vmlDrawing61.v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2.xml"/><Relationship Id="rId1" Type="http://schemas.openxmlformats.org/officeDocument/2006/relationships/vmlDrawing" Target="../drawings/vmlDrawing62.v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comments" Target="../comments63.xml"/><Relationship Id="rId1" Type="http://schemas.openxmlformats.org/officeDocument/2006/relationships/vmlDrawing" Target="../drawings/vmlDrawing63.v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4.xml"/><Relationship Id="rId1" Type="http://schemas.openxmlformats.org/officeDocument/2006/relationships/vmlDrawing" Target="../drawings/vmlDrawing64.v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5.xml"/><Relationship Id="rId1" Type="http://schemas.openxmlformats.org/officeDocument/2006/relationships/vmlDrawing" Target="../drawings/vmlDrawing65.vml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6.xml"/><Relationship Id="rId1" Type="http://schemas.openxmlformats.org/officeDocument/2006/relationships/vmlDrawing" Target="../drawings/vmlDrawing66.vml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7.xml"/><Relationship Id="rId1" Type="http://schemas.openxmlformats.org/officeDocument/2006/relationships/vmlDrawing" Target="../drawings/vmlDrawing67.vml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8.xml"/><Relationship Id="rId1" Type="http://schemas.openxmlformats.org/officeDocument/2006/relationships/vmlDrawing" Target="../drawings/vmlDrawing68.vml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comments" Target="../comments69.xml"/><Relationship Id="rId1" Type="http://schemas.openxmlformats.org/officeDocument/2006/relationships/vmlDrawing" Target="../drawings/vmlDrawing69.vml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comments" Target="../comments70.xml"/><Relationship Id="rId1" Type="http://schemas.openxmlformats.org/officeDocument/2006/relationships/vmlDrawing" Target="../drawings/vmlDrawing70.vml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1.xml"/><Relationship Id="rId1" Type="http://schemas.openxmlformats.org/officeDocument/2006/relationships/vmlDrawing" Target="../drawings/vmlDrawing71.vml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2.xml"/><Relationship Id="rId1" Type="http://schemas.openxmlformats.org/officeDocument/2006/relationships/vmlDrawing" Target="../drawings/vmlDrawing72.vml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3.xml"/><Relationship Id="rId1" Type="http://schemas.openxmlformats.org/officeDocument/2006/relationships/vmlDrawing" Target="../drawings/vmlDrawing73.vml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4.xml"/><Relationship Id="rId1" Type="http://schemas.openxmlformats.org/officeDocument/2006/relationships/vmlDrawing" Target="../drawings/vmlDrawing74.vml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75.xml"/><Relationship Id="rId1" Type="http://schemas.openxmlformats.org/officeDocument/2006/relationships/vmlDrawing" Target="../drawings/vmlDrawing75.vml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76.xml"/><Relationship Id="rId1" Type="http://schemas.openxmlformats.org/officeDocument/2006/relationships/vmlDrawing" Target="../drawings/vmlDrawing76.vml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77.xml"/><Relationship Id="rId1" Type="http://schemas.openxmlformats.org/officeDocument/2006/relationships/vmlDrawing" Target="../drawings/vmlDrawing77.vml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8.xml"/><Relationship Id="rId1" Type="http://schemas.openxmlformats.org/officeDocument/2006/relationships/vmlDrawing" Target="../drawings/vmlDrawing78.vml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9.xml"/><Relationship Id="rId1" Type="http://schemas.openxmlformats.org/officeDocument/2006/relationships/vmlDrawing" Target="../drawings/vmlDrawing79.vml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0.xml"/><Relationship Id="rId1" Type="http://schemas.openxmlformats.org/officeDocument/2006/relationships/vmlDrawing" Target="../drawings/vmlDrawing80.vml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1.xml"/><Relationship Id="rId1" Type="http://schemas.openxmlformats.org/officeDocument/2006/relationships/vmlDrawing" Target="../drawings/vmlDrawing81.vml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2.xml"/><Relationship Id="rId1" Type="http://schemas.openxmlformats.org/officeDocument/2006/relationships/vmlDrawing" Target="../drawings/vmlDrawing82.vml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83.xml"/><Relationship Id="rId1" Type="http://schemas.openxmlformats.org/officeDocument/2006/relationships/vmlDrawing" Target="../drawings/vmlDrawing83.vml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4.xml"/><Relationship Id="rId1" Type="http://schemas.openxmlformats.org/officeDocument/2006/relationships/vmlDrawing" Target="../drawings/vmlDrawing84.vml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5.xml"/><Relationship Id="rId1" Type="http://schemas.openxmlformats.org/officeDocument/2006/relationships/vmlDrawing" Target="../drawings/vmlDrawing85.vml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6.xml"/><Relationship Id="rId1" Type="http://schemas.openxmlformats.org/officeDocument/2006/relationships/vmlDrawing" Target="../drawings/vmlDrawing86.vml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7.xml"/><Relationship Id="rId1" Type="http://schemas.openxmlformats.org/officeDocument/2006/relationships/vmlDrawing" Target="../drawings/vmlDrawing87.vml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8.xml"/><Relationship Id="rId1" Type="http://schemas.openxmlformats.org/officeDocument/2006/relationships/vmlDrawing" Target="../drawings/vmlDrawing88.vml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89.xml"/><Relationship Id="rId1" Type="http://schemas.openxmlformats.org/officeDocument/2006/relationships/vmlDrawing" Target="../drawings/vmlDrawing89.vml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90.xml"/><Relationship Id="rId1" Type="http://schemas.openxmlformats.org/officeDocument/2006/relationships/vmlDrawing" Target="../drawings/vmlDrawing90.vml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91.xml"/><Relationship Id="rId1" Type="http://schemas.openxmlformats.org/officeDocument/2006/relationships/vmlDrawing" Target="../drawings/vmlDrawing91.vml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92.xml"/><Relationship Id="rId1" Type="http://schemas.openxmlformats.org/officeDocument/2006/relationships/vmlDrawing" Target="../drawings/vmlDrawing92.vml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3.xml"/><Relationship Id="rId1" Type="http://schemas.openxmlformats.org/officeDocument/2006/relationships/vmlDrawing" Target="../drawings/vmlDrawing93.vml"/></Relationships>
</file>

<file path=xl/worksheets/_rels/sheet1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4.xml"/><Relationship Id="rId1" Type="http://schemas.openxmlformats.org/officeDocument/2006/relationships/vmlDrawing" Target="../drawings/vmlDrawing94.vml"/></Relationships>
</file>

<file path=xl/worksheets/_rels/sheet1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5.xml"/><Relationship Id="rId1" Type="http://schemas.openxmlformats.org/officeDocument/2006/relationships/vmlDrawing" Target="../drawings/vmlDrawing95.vml"/></Relationships>
</file>

<file path=xl/worksheets/_rels/sheet1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96.xml"/><Relationship Id="rId1" Type="http://schemas.openxmlformats.org/officeDocument/2006/relationships/vmlDrawing" Target="../drawings/vmlDrawing96.vml"/></Relationships>
</file>

<file path=xl/worksheets/_rels/sheet1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97.xml"/><Relationship Id="rId1" Type="http://schemas.openxmlformats.org/officeDocument/2006/relationships/vmlDrawing" Target="../drawings/vmlDrawing97.vml"/></Relationships>
</file>

<file path=xl/worksheets/_rels/sheet1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98.xml"/><Relationship Id="rId1" Type="http://schemas.openxmlformats.org/officeDocument/2006/relationships/vmlDrawing" Target="../drawings/vmlDrawing98.vml"/></Relationships>
</file>

<file path=xl/worksheets/_rels/sheet1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9.xml"/><Relationship Id="rId1" Type="http://schemas.openxmlformats.org/officeDocument/2006/relationships/vmlDrawing" Target="../drawings/vmlDrawing99.vml"/></Relationships>
</file>

<file path=xl/worksheets/_rels/sheet1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0.xml"/><Relationship Id="rId1" Type="http://schemas.openxmlformats.org/officeDocument/2006/relationships/vmlDrawing" Target="../drawings/vmlDrawing100.vml"/></Relationships>
</file>

<file path=xl/worksheets/_rels/sheet1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1.xml"/><Relationship Id="rId1" Type="http://schemas.openxmlformats.org/officeDocument/2006/relationships/vmlDrawing" Target="../drawings/vmlDrawing101.vml"/></Relationships>
</file>

<file path=xl/worksheets/_rels/sheet1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2.xml"/><Relationship Id="rId1" Type="http://schemas.openxmlformats.org/officeDocument/2006/relationships/vmlDrawing" Target="../drawings/vmlDrawing102.vml"/></Relationships>
</file>

<file path=xl/worksheets/_rels/sheet1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3.xml"/><Relationship Id="rId1" Type="http://schemas.openxmlformats.org/officeDocument/2006/relationships/vmlDrawing" Target="../drawings/vmlDrawing103.vml"/></Relationships>
</file>

<file path=xl/worksheets/_rels/sheet1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4.xml"/><Relationship Id="rId1" Type="http://schemas.openxmlformats.org/officeDocument/2006/relationships/vmlDrawing" Target="../drawings/vmlDrawing104.vml"/></Relationships>
</file>

<file path=xl/worksheets/_rels/sheet1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5.xml"/><Relationship Id="rId1" Type="http://schemas.openxmlformats.org/officeDocument/2006/relationships/vmlDrawing" Target="../drawings/vmlDrawing105.vml"/></Relationships>
</file>

<file path=xl/worksheets/_rels/sheet1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6.xml"/><Relationship Id="rId1" Type="http://schemas.openxmlformats.org/officeDocument/2006/relationships/vmlDrawing" Target="../drawings/vmlDrawing106.vml"/></Relationships>
</file>

<file path=xl/worksheets/_rels/sheet1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7.xml"/><Relationship Id="rId1" Type="http://schemas.openxmlformats.org/officeDocument/2006/relationships/vmlDrawing" Target="../drawings/vmlDrawing107.vml"/></Relationships>
</file>

<file path=xl/worksheets/_rels/sheet1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8.xml"/><Relationship Id="rId1" Type="http://schemas.openxmlformats.org/officeDocument/2006/relationships/vmlDrawing" Target="../drawings/vmlDrawing108.vml"/></Relationships>
</file>

<file path=xl/worksheets/_rels/sheet1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9.xml"/><Relationship Id="rId1" Type="http://schemas.openxmlformats.org/officeDocument/2006/relationships/vmlDrawing" Target="../drawings/vmlDrawing109.vml"/></Relationships>
</file>

<file path=xl/worksheets/_rels/sheet16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0.xml"/><Relationship Id="rId1" Type="http://schemas.openxmlformats.org/officeDocument/2006/relationships/vmlDrawing" Target="../drawings/vmlDrawing110.vml"/></Relationships>
</file>

<file path=xl/worksheets/_rels/sheet16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1.xml"/><Relationship Id="rId1" Type="http://schemas.openxmlformats.org/officeDocument/2006/relationships/vmlDrawing" Target="../drawings/vmlDrawing111.vml"/></Relationships>
</file>

<file path=xl/worksheets/_rels/sheet16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2.xml"/><Relationship Id="rId1" Type="http://schemas.openxmlformats.org/officeDocument/2006/relationships/vmlDrawing" Target="../drawings/vmlDrawing112.vml"/></Relationships>
</file>

<file path=xl/worksheets/_rels/sheet17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3.xml"/><Relationship Id="rId1" Type="http://schemas.openxmlformats.org/officeDocument/2006/relationships/vmlDrawing" Target="../drawings/vmlDrawing113.vml"/></Relationships>
</file>

<file path=xl/worksheets/_rels/sheet17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4.xml"/><Relationship Id="rId1" Type="http://schemas.openxmlformats.org/officeDocument/2006/relationships/vmlDrawing" Target="../drawings/vmlDrawing114.vml"/></Relationships>
</file>

<file path=xl/worksheets/_rels/sheet17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5.xml"/><Relationship Id="rId1" Type="http://schemas.openxmlformats.org/officeDocument/2006/relationships/vmlDrawing" Target="../drawings/vmlDrawing115.vml"/></Relationships>
</file>

<file path=xl/worksheets/_rels/sheet17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6.xml"/><Relationship Id="rId1" Type="http://schemas.openxmlformats.org/officeDocument/2006/relationships/vmlDrawing" Target="../drawings/vmlDrawing116.vml"/></Relationships>
</file>

<file path=xl/worksheets/_rels/sheet17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7.xml"/><Relationship Id="rId1" Type="http://schemas.openxmlformats.org/officeDocument/2006/relationships/vmlDrawing" Target="../drawings/vmlDrawing117.vml"/></Relationships>
</file>

<file path=xl/worksheets/_rels/sheet17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8.xml"/><Relationship Id="rId1" Type="http://schemas.openxmlformats.org/officeDocument/2006/relationships/vmlDrawing" Target="../drawings/vmlDrawing118.vml"/></Relationships>
</file>

<file path=xl/worksheets/_rels/sheet17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9.xml"/><Relationship Id="rId1" Type="http://schemas.openxmlformats.org/officeDocument/2006/relationships/vmlDrawing" Target="../drawings/vmlDrawing119.vml"/></Relationships>
</file>

<file path=xl/worksheets/_rels/sheet18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0.xml"/><Relationship Id="rId1" Type="http://schemas.openxmlformats.org/officeDocument/2006/relationships/vmlDrawing" Target="../drawings/vmlDrawing120.vml"/></Relationships>
</file>

<file path=xl/worksheets/_rels/sheet18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1.xml"/><Relationship Id="rId1" Type="http://schemas.openxmlformats.org/officeDocument/2006/relationships/vmlDrawing" Target="../drawings/vmlDrawing121.vml"/></Relationships>
</file>

<file path=xl/worksheets/_rels/sheet18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2.xml"/><Relationship Id="rId1" Type="http://schemas.openxmlformats.org/officeDocument/2006/relationships/vmlDrawing" Target="../drawings/vmlDrawing122.vml"/></Relationships>
</file>

<file path=xl/worksheets/_rels/sheet18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3.xml"/><Relationship Id="rId1" Type="http://schemas.openxmlformats.org/officeDocument/2006/relationships/vmlDrawing" Target="../drawings/vmlDrawing123.vml"/></Relationships>
</file>

<file path=xl/worksheets/_rels/sheet18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4.xml"/><Relationship Id="rId1" Type="http://schemas.openxmlformats.org/officeDocument/2006/relationships/vmlDrawing" Target="../drawings/vmlDrawing124.vml"/></Relationships>
</file>

<file path=xl/worksheets/_rels/sheet18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5.xml"/><Relationship Id="rId1" Type="http://schemas.openxmlformats.org/officeDocument/2006/relationships/vmlDrawing" Target="../drawings/vmlDrawing125.vml"/></Relationships>
</file>

<file path=xl/worksheets/_rels/sheet18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6.xml"/><Relationship Id="rId1" Type="http://schemas.openxmlformats.org/officeDocument/2006/relationships/vmlDrawing" Target="../drawings/vmlDrawing126.vml"/></Relationships>
</file>

<file path=xl/worksheets/_rels/sheet19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7.xml"/><Relationship Id="rId1" Type="http://schemas.openxmlformats.org/officeDocument/2006/relationships/vmlDrawing" Target="../drawings/vmlDrawing127.vml"/></Relationships>
</file>

<file path=xl/worksheets/_rels/sheet19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8.xml"/><Relationship Id="rId1" Type="http://schemas.openxmlformats.org/officeDocument/2006/relationships/vmlDrawing" Target="../drawings/vmlDrawing128.vml"/></Relationships>
</file>

<file path=xl/worksheets/_rels/sheet19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9.xml"/><Relationship Id="rId1" Type="http://schemas.openxmlformats.org/officeDocument/2006/relationships/vmlDrawing" Target="../drawings/vmlDrawing129.vml"/></Relationships>
</file>

<file path=xl/worksheets/_rels/sheet19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0.xml"/><Relationship Id="rId1" Type="http://schemas.openxmlformats.org/officeDocument/2006/relationships/vmlDrawing" Target="../drawings/vmlDrawing130.vml"/></Relationships>
</file>

<file path=xl/worksheets/_rels/sheet19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1.xml"/><Relationship Id="rId1" Type="http://schemas.openxmlformats.org/officeDocument/2006/relationships/vmlDrawing" Target="../drawings/vmlDrawing131.vml"/></Relationships>
</file>

<file path=xl/worksheets/_rels/sheet19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2.xml"/><Relationship Id="rId1" Type="http://schemas.openxmlformats.org/officeDocument/2006/relationships/vmlDrawing" Target="../drawings/vmlDrawing132.vml"/></Relationships>
</file>

<file path=xl/worksheets/_rels/sheet20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3.xml"/><Relationship Id="rId1" Type="http://schemas.openxmlformats.org/officeDocument/2006/relationships/vmlDrawing" Target="../drawings/vmlDrawing133.vml"/></Relationships>
</file>

<file path=xl/worksheets/_rels/sheet20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4.xml"/><Relationship Id="rId1" Type="http://schemas.openxmlformats.org/officeDocument/2006/relationships/vmlDrawing" Target="../drawings/vmlDrawing134.vml"/></Relationships>
</file>

<file path=xl/worksheets/_rels/sheet20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5.xml"/><Relationship Id="rId1" Type="http://schemas.openxmlformats.org/officeDocument/2006/relationships/vmlDrawing" Target="../drawings/vmlDrawing135.vml"/></Relationships>
</file>

<file path=xl/worksheets/_rels/sheet20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6.xml"/><Relationship Id="rId1" Type="http://schemas.openxmlformats.org/officeDocument/2006/relationships/vmlDrawing" Target="../drawings/vmlDrawing136.vml"/></Relationships>
</file>

<file path=xl/worksheets/_rels/sheet20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7.xml"/><Relationship Id="rId1" Type="http://schemas.openxmlformats.org/officeDocument/2006/relationships/vmlDrawing" Target="../drawings/vmlDrawing137.vml"/></Relationships>
</file>

<file path=xl/worksheets/_rels/sheet20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8.xml"/><Relationship Id="rId1" Type="http://schemas.openxmlformats.org/officeDocument/2006/relationships/vmlDrawing" Target="../drawings/vmlDrawing138.vml"/></Relationships>
</file>

<file path=xl/worksheets/_rels/sheet20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9.xml"/><Relationship Id="rId1" Type="http://schemas.openxmlformats.org/officeDocument/2006/relationships/vmlDrawing" Target="../drawings/vmlDrawing139.vml"/></Relationships>
</file>

<file path=xl/worksheets/_rels/sheet2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0.xml"/><Relationship Id="rId1" Type="http://schemas.openxmlformats.org/officeDocument/2006/relationships/vmlDrawing" Target="../drawings/vmlDrawing140.vml"/></Relationships>
</file>

<file path=xl/worksheets/_rels/sheet2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1.xml"/><Relationship Id="rId1" Type="http://schemas.openxmlformats.org/officeDocument/2006/relationships/vmlDrawing" Target="../drawings/vmlDrawing141.vml"/></Relationships>
</file>

<file path=xl/worksheets/_rels/sheet2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2.xml"/><Relationship Id="rId1" Type="http://schemas.openxmlformats.org/officeDocument/2006/relationships/vmlDrawing" Target="../drawings/vmlDrawing142.vml"/></Relationships>
</file>

<file path=xl/worksheets/_rels/sheet2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3.xml"/><Relationship Id="rId1" Type="http://schemas.openxmlformats.org/officeDocument/2006/relationships/vmlDrawing" Target="../drawings/vmlDrawing143.vml"/></Relationships>
</file>

<file path=xl/worksheets/_rels/sheet2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4.xml"/><Relationship Id="rId1" Type="http://schemas.openxmlformats.org/officeDocument/2006/relationships/vmlDrawing" Target="../drawings/vmlDrawing144.vml"/></Relationships>
</file>

<file path=xl/worksheets/_rels/sheet2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5.xml"/><Relationship Id="rId1" Type="http://schemas.openxmlformats.org/officeDocument/2006/relationships/vmlDrawing" Target="../drawings/vmlDrawing145.vml"/></Relationships>
</file>

<file path=xl/worksheets/_rels/sheet2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6.xml"/><Relationship Id="rId1" Type="http://schemas.openxmlformats.org/officeDocument/2006/relationships/vmlDrawing" Target="../drawings/vmlDrawing146.vml"/></Relationships>
</file>

<file path=xl/worksheets/_rels/sheet2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7.xml"/><Relationship Id="rId1" Type="http://schemas.openxmlformats.org/officeDocument/2006/relationships/vmlDrawing" Target="../drawings/vmlDrawing147.vml"/></Relationships>
</file>

<file path=xl/worksheets/_rels/sheet2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8.xml"/><Relationship Id="rId1" Type="http://schemas.openxmlformats.org/officeDocument/2006/relationships/vmlDrawing" Target="../drawings/vmlDrawing148.vml"/></Relationships>
</file>

<file path=xl/worksheets/_rels/sheet2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9.xml"/><Relationship Id="rId1" Type="http://schemas.openxmlformats.org/officeDocument/2006/relationships/vmlDrawing" Target="../drawings/vmlDrawing149.vml"/></Relationships>
</file>

<file path=xl/worksheets/_rels/sheet2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0.xml"/><Relationship Id="rId1" Type="http://schemas.openxmlformats.org/officeDocument/2006/relationships/vmlDrawing" Target="../drawings/vmlDrawing150.vml"/></Relationships>
</file>

<file path=xl/worksheets/_rels/sheet2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1.xml"/><Relationship Id="rId1" Type="http://schemas.openxmlformats.org/officeDocument/2006/relationships/vmlDrawing" Target="../drawings/vmlDrawing151.vml"/></Relationships>
</file>

<file path=xl/worksheets/_rels/sheet2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2.xml"/><Relationship Id="rId1" Type="http://schemas.openxmlformats.org/officeDocument/2006/relationships/vmlDrawing" Target="../drawings/vmlDrawing152.vml"/></Relationships>
</file>

<file path=xl/worksheets/_rels/sheet2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3.xml"/><Relationship Id="rId1" Type="http://schemas.openxmlformats.org/officeDocument/2006/relationships/vmlDrawing" Target="../drawings/vmlDrawing153.vml"/></Relationships>
</file>

<file path=xl/worksheets/_rels/sheet2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4.xml"/><Relationship Id="rId1" Type="http://schemas.openxmlformats.org/officeDocument/2006/relationships/vmlDrawing" Target="../drawings/vmlDrawing154.vml"/></Relationships>
</file>

<file path=xl/worksheets/_rels/sheet2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5.xml"/><Relationship Id="rId1" Type="http://schemas.openxmlformats.org/officeDocument/2006/relationships/vmlDrawing" Target="../drawings/vmlDrawing155.vml"/></Relationships>
</file>

<file path=xl/worksheets/_rels/sheet2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6.xml"/><Relationship Id="rId1" Type="http://schemas.openxmlformats.org/officeDocument/2006/relationships/vmlDrawing" Target="../drawings/vmlDrawing156.vml"/></Relationships>
</file>

<file path=xl/worksheets/_rels/sheet2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7.xml"/><Relationship Id="rId1" Type="http://schemas.openxmlformats.org/officeDocument/2006/relationships/vmlDrawing" Target="../drawings/vmlDrawing157.vml"/></Relationships>
</file>

<file path=xl/worksheets/_rels/sheet2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8.xml"/><Relationship Id="rId1" Type="http://schemas.openxmlformats.org/officeDocument/2006/relationships/vmlDrawing" Target="../drawings/vmlDrawing158.vml"/></Relationships>
</file>

<file path=xl/worksheets/_rels/sheet2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9.xml"/><Relationship Id="rId1" Type="http://schemas.openxmlformats.org/officeDocument/2006/relationships/vmlDrawing" Target="../drawings/vmlDrawing159.vml"/></Relationships>
</file>

<file path=xl/worksheets/_rels/sheet2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0.xml"/><Relationship Id="rId1" Type="http://schemas.openxmlformats.org/officeDocument/2006/relationships/vmlDrawing" Target="../drawings/vmlDrawing160.vml"/></Relationships>
</file>

<file path=xl/worksheets/_rels/sheet2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1.xml"/><Relationship Id="rId1" Type="http://schemas.openxmlformats.org/officeDocument/2006/relationships/vmlDrawing" Target="../drawings/vmlDrawing161.vml"/></Relationships>
</file>

<file path=xl/worksheets/_rels/sheet2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2.xml"/><Relationship Id="rId1" Type="http://schemas.openxmlformats.org/officeDocument/2006/relationships/vmlDrawing" Target="../drawings/vmlDrawing162.vml"/></Relationships>
</file>

<file path=xl/worksheets/_rels/sheet2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3.xml"/><Relationship Id="rId1" Type="http://schemas.openxmlformats.org/officeDocument/2006/relationships/vmlDrawing" Target="../drawings/vmlDrawing163.vml"/></Relationships>
</file>

<file path=xl/worksheets/_rels/sheet2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4.xml"/><Relationship Id="rId1" Type="http://schemas.openxmlformats.org/officeDocument/2006/relationships/vmlDrawing" Target="../drawings/vmlDrawing164.vml"/></Relationships>
</file>

<file path=xl/worksheets/_rels/sheet2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5.xml"/><Relationship Id="rId1" Type="http://schemas.openxmlformats.org/officeDocument/2006/relationships/vmlDrawing" Target="../drawings/vmlDrawing165.vml"/></Relationships>
</file>

<file path=xl/worksheets/_rels/sheet2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6.xml"/><Relationship Id="rId1" Type="http://schemas.openxmlformats.org/officeDocument/2006/relationships/vmlDrawing" Target="../drawings/vmlDrawing166.vml"/></Relationships>
</file>

<file path=xl/worksheets/_rels/sheet2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7.xml"/><Relationship Id="rId1" Type="http://schemas.openxmlformats.org/officeDocument/2006/relationships/vmlDrawing" Target="../drawings/vmlDrawing167.vml"/></Relationships>
</file>

<file path=xl/worksheets/_rels/sheet2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8.xml"/><Relationship Id="rId1" Type="http://schemas.openxmlformats.org/officeDocument/2006/relationships/vmlDrawing" Target="../drawings/vmlDrawing168.vml"/></Relationships>
</file>

<file path=xl/worksheets/_rels/sheet2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9.xml"/><Relationship Id="rId1" Type="http://schemas.openxmlformats.org/officeDocument/2006/relationships/vmlDrawing" Target="../drawings/vmlDrawing169.vml"/></Relationships>
</file>

<file path=xl/worksheets/_rels/sheet2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0.xml"/><Relationship Id="rId1" Type="http://schemas.openxmlformats.org/officeDocument/2006/relationships/vmlDrawing" Target="../drawings/vmlDrawing170.vml"/></Relationships>
</file>

<file path=xl/worksheets/_rels/sheet2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1.xml"/><Relationship Id="rId1" Type="http://schemas.openxmlformats.org/officeDocument/2006/relationships/vmlDrawing" Target="../drawings/vmlDrawing171.vml"/></Relationships>
</file>

<file path=xl/worksheets/_rels/sheet2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2.xml"/><Relationship Id="rId1" Type="http://schemas.openxmlformats.org/officeDocument/2006/relationships/vmlDrawing" Target="../drawings/vmlDrawing172.vml"/></Relationships>
</file>

<file path=xl/worksheets/_rels/sheet2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3.xml"/><Relationship Id="rId1" Type="http://schemas.openxmlformats.org/officeDocument/2006/relationships/vmlDrawing" Target="../drawings/vmlDrawing173.vml"/></Relationships>
</file>

<file path=xl/worksheets/_rels/sheet2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4.xml"/><Relationship Id="rId1" Type="http://schemas.openxmlformats.org/officeDocument/2006/relationships/vmlDrawing" Target="../drawings/vmlDrawing174.vml"/></Relationships>
</file>

<file path=xl/worksheets/_rels/sheet26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5.xml"/><Relationship Id="rId1" Type="http://schemas.openxmlformats.org/officeDocument/2006/relationships/vmlDrawing" Target="../drawings/vmlDrawing175.vml"/></Relationships>
</file>

<file path=xl/worksheets/_rels/sheet2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6.xml"/><Relationship Id="rId1" Type="http://schemas.openxmlformats.org/officeDocument/2006/relationships/vmlDrawing" Target="../drawings/vmlDrawing176.vml"/></Relationships>
</file>

<file path=xl/worksheets/_rels/sheet2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7.xml"/><Relationship Id="rId1" Type="http://schemas.openxmlformats.org/officeDocument/2006/relationships/vmlDrawing" Target="../drawings/vmlDrawing177.vml"/></Relationships>
</file>

<file path=xl/worksheets/_rels/sheet26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8.xml"/><Relationship Id="rId1" Type="http://schemas.openxmlformats.org/officeDocument/2006/relationships/vmlDrawing" Target="../drawings/vmlDrawing178.vml"/></Relationships>
</file>

<file path=xl/worksheets/_rels/sheet26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9.xml"/><Relationship Id="rId1" Type="http://schemas.openxmlformats.org/officeDocument/2006/relationships/vmlDrawing" Target="../drawings/vmlDrawing179.vml"/></Relationships>
</file>

<file path=xl/worksheets/_rels/sheet27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0.xml"/><Relationship Id="rId1" Type="http://schemas.openxmlformats.org/officeDocument/2006/relationships/vmlDrawing" Target="../drawings/vmlDrawing180.vml"/></Relationships>
</file>

<file path=xl/worksheets/_rels/sheet27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1.xml"/><Relationship Id="rId1" Type="http://schemas.openxmlformats.org/officeDocument/2006/relationships/vmlDrawing" Target="../drawings/vmlDrawing181.vml"/></Relationships>
</file>

<file path=xl/worksheets/_rels/sheet27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2.xml"/><Relationship Id="rId1" Type="http://schemas.openxmlformats.org/officeDocument/2006/relationships/vmlDrawing" Target="../drawings/vmlDrawing182.vml"/></Relationships>
</file>

<file path=xl/worksheets/_rels/sheet27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3.xml"/><Relationship Id="rId1" Type="http://schemas.openxmlformats.org/officeDocument/2006/relationships/vmlDrawing" Target="../drawings/vmlDrawing183.vml"/></Relationships>
</file>

<file path=xl/worksheets/_rels/sheet27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4.xml"/><Relationship Id="rId1" Type="http://schemas.openxmlformats.org/officeDocument/2006/relationships/vmlDrawing" Target="../drawings/vmlDrawing184.vml"/></Relationships>
</file>

<file path=xl/worksheets/_rels/sheet27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5.xml"/><Relationship Id="rId1" Type="http://schemas.openxmlformats.org/officeDocument/2006/relationships/vmlDrawing" Target="../drawings/vmlDrawing185.vml"/></Relationships>
</file>

<file path=xl/worksheets/_rels/sheet27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6.xml"/><Relationship Id="rId1" Type="http://schemas.openxmlformats.org/officeDocument/2006/relationships/vmlDrawing" Target="../drawings/vmlDrawing186.vml"/></Relationships>
</file>

<file path=xl/worksheets/_rels/sheet28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7.xml"/><Relationship Id="rId1" Type="http://schemas.openxmlformats.org/officeDocument/2006/relationships/vmlDrawing" Target="../drawings/vmlDrawing187.vml"/></Relationships>
</file>

<file path=xl/worksheets/_rels/sheet28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8.xml"/><Relationship Id="rId1" Type="http://schemas.openxmlformats.org/officeDocument/2006/relationships/vmlDrawing" Target="../drawings/vmlDrawing188.vml"/></Relationships>
</file>

<file path=xl/worksheets/_rels/sheet28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9.xml"/><Relationship Id="rId1" Type="http://schemas.openxmlformats.org/officeDocument/2006/relationships/vmlDrawing" Target="../drawings/vmlDrawing189.vml"/></Relationships>
</file>

<file path=xl/worksheets/_rels/sheet28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0.xml"/><Relationship Id="rId1" Type="http://schemas.openxmlformats.org/officeDocument/2006/relationships/vmlDrawing" Target="../drawings/vmlDrawing190.vml"/></Relationships>
</file>

<file path=xl/worksheets/_rels/sheet28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1.xml"/><Relationship Id="rId1" Type="http://schemas.openxmlformats.org/officeDocument/2006/relationships/vmlDrawing" Target="../drawings/vmlDrawing191.vml"/></Relationships>
</file>

<file path=xl/worksheets/_rels/sheet28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2.xml"/><Relationship Id="rId1" Type="http://schemas.openxmlformats.org/officeDocument/2006/relationships/vmlDrawing" Target="../drawings/vmlDrawing192.vml"/></Relationships>
</file>

<file path=xl/worksheets/_rels/sheet29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3.xml"/><Relationship Id="rId1" Type="http://schemas.openxmlformats.org/officeDocument/2006/relationships/vmlDrawing" Target="../drawings/vmlDrawing193.vml"/></Relationships>
</file>

<file path=xl/worksheets/_rels/sheet29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4.xml"/><Relationship Id="rId1" Type="http://schemas.openxmlformats.org/officeDocument/2006/relationships/vmlDrawing" Target="../drawings/vmlDrawing194.vml"/></Relationships>
</file>

<file path=xl/worksheets/_rels/sheet29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5.xml"/><Relationship Id="rId1" Type="http://schemas.openxmlformats.org/officeDocument/2006/relationships/vmlDrawing" Target="../drawings/vmlDrawing195.vml"/></Relationships>
</file>

<file path=xl/worksheets/_rels/sheet29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6.xml"/><Relationship Id="rId1" Type="http://schemas.openxmlformats.org/officeDocument/2006/relationships/vmlDrawing" Target="../drawings/vmlDrawing196.vml"/></Relationships>
</file>

<file path=xl/worksheets/_rels/sheet29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7.xml"/><Relationship Id="rId1" Type="http://schemas.openxmlformats.org/officeDocument/2006/relationships/vmlDrawing" Target="../drawings/vmlDrawing197.vml"/></Relationships>
</file>

<file path=xl/worksheets/_rels/sheet29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8.xml"/><Relationship Id="rId1" Type="http://schemas.openxmlformats.org/officeDocument/2006/relationships/vmlDrawing" Target="../drawings/vmlDrawing198.vml"/></Relationships>
</file>

<file path=xl/worksheets/_rels/sheet29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9.xml"/><Relationship Id="rId1" Type="http://schemas.openxmlformats.org/officeDocument/2006/relationships/vmlDrawing" Target="../drawings/vmlDrawing199.vml"/></Relationships>
</file>

<file path=xl/worksheets/_rels/sheet30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0.xml"/><Relationship Id="rId1" Type="http://schemas.openxmlformats.org/officeDocument/2006/relationships/vmlDrawing" Target="../drawings/vmlDrawing200.vml"/></Relationships>
</file>

<file path=xl/worksheets/_rels/sheet30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1.xml"/><Relationship Id="rId1" Type="http://schemas.openxmlformats.org/officeDocument/2006/relationships/vmlDrawing" Target="../drawings/vmlDrawing201.vml"/></Relationships>
</file>

<file path=xl/worksheets/_rels/sheet30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2.xml"/><Relationship Id="rId1" Type="http://schemas.openxmlformats.org/officeDocument/2006/relationships/vmlDrawing" Target="../drawings/vmlDrawing202.vml"/></Relationships>
</file>

<file path=xl/worksheets/_rels/sheet30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3.xml"/><Relationship Id="rId1" Type="http://schemas.openxmlformats.org/officeDocument/2006/relationships/vmlDrawing" Target="../drawings/vmlDrawing203.vml"/></Relationships>
</file>

<file path=xl/worksheets/_rels/sheet30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4.xml"/><Relationship Id="rId1" Type="http://schemas.openxmlformats.org/officeDocument/2006/relationships/vmlDrawing" Target="../drawings/vmlDrawing204.vml"/></Relationships>
</file>

<file path=xl/worksheets/_rels/sheet30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5.xml"/><Relationship Id="rId1" Type="http://schemas.openxmlformats.org/officeDocument/2006/relationships/vmlDrawing" Target="../drawings/vmlDrawing205.vml"/></Relationships>
</file>

<file path=xl/worksheets/_rels/sheet30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6.xml"/><Relationship Id="rId1" Type="http://schemas.openxmlformats.org/officeDocument/2006/relationships/vmlDrawing" Target="../drawings/vmlDrawing206.vml"/></Relationships>
</file>

<file path=xl/worksheets/_rels/sheet3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7.xml"/><Relationship Id="rId1" Type="http://schemas.openxmlformats.org/officeDocument/2006/relationships/vmlDrawing" Target="../drawings/vmlDrawing207.vml"/></Relationships>
</file>

<file path=xl/worksheets/_rels/sheet3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8.xml"/><Relationship Id="rId1" Type="http://schemas.openxmlformats.org/officeDocument/2006/relationships/vmlDrawing" Target="../drawings/vmlDrawing208.vml"/></Relationships>
</file>

<file path=xl/worksheets/_rels/sheet3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9.xml"/><Relationship Id="rId1" Type="http://schemas.openxmlformats.org/officeDocument/2006/relationships/vmlDrawing" Target="../drawings/vmlDrawing209.vml"/></Relationships>
</file>

<file path=xl/worksheets/_rels/sheet3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0.xml"/><Relationship Id="rId1" Type="http://schemas.openxmlformats.org/officeDocument/2006/relationships/vmlDrawing" Target="../drawings/vmlDrawing2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3</v>
      </c>
    </row>
    <row r="7" spans="1:2" x14ac:dyDescent="0.25">
      <c r="A7" s="2" t="s">
        <v>10</v>
      </c>
      <c r="B7" s="3" t="s">
        <v>11</v>
      </c>
    </row>
    <row r="8" spans="1:2" x14ac:dyDescent="0.25">
      <c r="A8" s="2" t="s">
        <v>12</v>
      </c>
      <c r="B8" s="3" t="s">
        <v>13</v>
      </c>
    </row>
    <row r="9" spans="1:2" x14ac:dyDescent="0.25">
      <c r="A9" s="2" t="s">
        <v>14</v>
      </c>
      <c r="B9" s="3" t="s">
        <v>15</v>
      </c>
    </row>
    <row r="10" spans="1:2" x14ac:dyDescent="0.25">
      <c r="A10" s="2" t="s">
        <v>16</v>
      </c>
      <c r="B10" s="3" t="s">
        <v>17</v>
      </c>
    </row>
    <row r="11" spans="1:2" x14ac:dyDescent="0.25">
      <c r="A11" s="2" t="s">
        <v>18</v>
      </c>
      <c r="B11" s="3" t="s">
        <v>19</v>
      </c>
    </row>
    <row r="12" spans="1:2" x14ac:dyDescent="0.25">
      <c r="A12" s="2" t="s">
        <v>20</v>
      </c>
      <c r="B12" s="3" t="s">
        <v>21</v>
      </c>
    </row>
    <row r="13" spans="1:2" x14ac:dyDescent="0.25">
      <c r="A13" s="2" t="s">
        <v>22</v>
      </c>
      <c r="B13" s="3" t="s">
        <v>23</v>
      </c>
    </row>
    <row r="14" spans="1:2" x14ac:dyDescent="0.25">
      <c r="A14" s="2" t="s">
        <v>24</v>
      </c>
      <c r="B14" s="3" t="s">
        <v>25</v>
      </c>
    </row>
    <row r="15" spans="1:2" x14ac:dyDescent="0.25">
      <c r="A15" s="2" t="s">
        <v>26</v>
      </c>
      <c r="B15" s="3" t="s">
        <v>27</v>
      </c>
    </row>
    <row r="16" spans="1:2" x14ac:dyDescent="0.25">
      <c r="A16" s="2" t="s">
        <v>28</v>
      </c>
      <c r="B16" s="3" t="s">
        <v>29</v>
      </c>
    </row>
    <row r="17" spans="1:2" x14ac:dyDescent="0.25">
      <c r="A17" s="2" t="s">
        <v>30</v>
      </c>
      <c r="B17" s="3" t="s">
        <v>31</v>
      </c>
    </row>
    <row r="18" spans="1:2" x14ac:dyDescent="0.25">
      <c r="A18" s="2" t="s">
        <v>32</v>
      </c>
      <c r="B18" s="3" t="s">
        <v>33</v>
      </c>
    </row>
    <row r="19" spans="1:2" x14ac:dyDescent="0.25">
      <c r="A19" s="2" t="s">
        <v>34</v>
      </c>
      <c r="B19" s="3" t="s">
        <v>6</v>
      </c>
    </row>
    <row r="20" spans="1:2" x14ac:dyDescent="0.25">
      <c r="A20" s="2" t="s">
        <v>35</v>
      </c>
      <c r="B20" s="3" t="s">
        <v>36</v>
      </c>
    </row>
    <row r="21" spans="1:2" x14ac:dyDescent="0.25">
      <c r="A21" s="2" t="s">
        <v>37</v>
      </c>
      <c r="B21" s="3" t="s">
        <v>38</v>
      </c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IFERROR(_xll.BDP("ACLZ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IFERROR(_xll.BDP("ACLZ US Equity","CUST_TRR_RETURN_HOLDING_PER","CUST_TRR_START_DT","20260601","CUST_TRR_END_DT","20260630","CUST_TRR_CRNCY","USD"),"")</f>
        <v>24.757110000000001</v>
      </c>
    </row>
    <row r="23" spans="1:3" x14ac:dyDescent="0.25">
      <c r="A23" s="2" t="s">
        <v>46</v>
      </c>
      <c r="B23" s="2" t="s">
        <v>68</v>
      </c>
      <c r="C23" s="4">
        <f>IFERROR(_xll.BDP("ACLZ US Equity","CUST_TRR_RETURN_HOLDING_PER","CUST_TRR_START_DT","20260701","CUST_TRR_END_DT","20260731","CUST_TRR_CRNCY","USD"),"")</f>
        <v>-52.488599999999998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01000000}"/>
  <dataValidations count="1">
    <dataValidation type="list" allowBlank="1" showErrorMessage="1" errorTitle="Invalid value" error="Choose a value from the Periods list." sqref="A2:A5000" xr:uid="{00000000-0002-0000-0100-000000000000}">
      <formula1>"2026-07"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02000000}"/>
  <dataValidations count="14">
    <dataValidation type="list" allowBlank="1" showErrorMessage="1" errorTitle="Invalid value" error="Choose a value from the Periods list." sqref="A2:A5000" xr:uid="{00000000-0002-0000-0200-000000000000}">
      <formula1>"2026-07"</formula1>
    </dataValidation>
    <dataValidation type="list" allowBlank="1" showErrorMessage="1" errorTitle="Invalid value" error="Choose a value from the Units list." sqref="J2:J5000" xr:uid="{00000000-0002-0000-0200-000001000000}">
      <formula1>"NS,PA,NC,OU"</formula1>
    </dataValidation>
    <dataValidation type="list" allowBlank="1" showErrorMessage="1" errorTitle="Invalid value" error="Choose a value from the PayoffProfiles list." sqref="N2:N5000" xr:uid="{00000000-0002-0000-0200-000002000000}">
      <formula1>"Long,Short,N/A"</formula1>
    </dataValidation>
    <dataValidation type="list" allowBlank="1" showErrorMessage="1" errorTitle="Invalid value" error="Choose a value from the AssetCategories list." sqref="O2:O5000" xr:uid="{00000000-0002-0000-02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02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02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02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02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0200-000008000000}">
      <formula1>"Put,Call"</formula1>
    </dataValidation>
    <dataValidation type="list" allowBlank="1" showErrorMessage="1" errorTitle="Invalid value" error="Choose a value from the WrittenPurchased list." sqref="AM2:AM5000" xr:uid="{00000000-0002-0000-02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02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02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02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0200-000011000000}">
      <formula1>"Y,N"</formula1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3</v>
      </c>
    </row>
    <row r="7" spans="1:2" x14ac:dyDescent="0.25">
      <c r="A7" s="2" t="s">
        <v>10</v>
      </c>
      <c r="B7" s="3" t="s">
        <v>11</v>
      </c>
    </row>
    <row r="8" spans="1:2" x14ac:dyDescent="0.25">
      <c r="A8" s="2" t="s">
        <v>12</v>
      </c>
      <c r="B8" s="3" t="s">
        <v>13</v>
      </c>
    </row>
    <row r="9" spans="1:2" x14ac:dyDescent="0.25">
      <c r="A9" s="2" t="s">
        <v>14</v>
      </c>
      <c r="B9" s="3" t="s">
        <v>15</v>
      </c>
    </row>
    <row r="10" spans="1:2" x14ac:dyDescent="0.25">
      <c r="A10" s="2" t="s">
        <v>16</v>
      </c>
      <c r="B10" s="3" t="s">
        <v>17</v>
      </c>
    </row>
    <row r="11" spans="1:2" x14ac:dyDescent="0.25">
      <c r="A11" s="2" t="s">
        <v>18</v>
      </c>
      <c r="B11" s="3" t="s">
        <v>19</v>
      </c>
    </row>
    <row r="12" spans="1:2" x14ac:dyDescent="0.25">
      <c r="A12" s="2" t="s">
        <v>20</v>
      </c>
      <c r="B12" s="3" t="s">
        <v>21</v>
      </c>
    </row>
    <row r="13" spans="1:2" x14ac:dyDescent="0.25">
      <c r="A13" s="2" t="s">
        <v>22</v>
      </c>
      <c r="B13" s="3" t="s">
        <v>23</v>
      </c>
    </row>
    <row r="14" spans="1:2" x14ac:dyDescent="0.25">
      <c r="A14" s="2" t="s">
        <v>24</v>
      </c>
      <c r="B14" s="3" t="s">
        <v>25</v>
      </c>
    </row>
    <row r="15" spans="1:2" x14ac:dyDescent="0.25">
      <c r="A15" s="2" t="s">
        <v>26</v>
      </c>
      <c r="B15" s="3" t="s">
        <v>182</v>
      </c>
    </row>
    <row r="16" spans="1:2" x14ac:dyDescent="0.25">
      <c r="A16" s="2" t="s">
        <v>28</v>
      </c>
      <c r="B16" s="3" t="s">
        <v>183</v>
      </c>
    </row>
    <row r="17" spans="1:2" x14ac:dyDescent="0.25">
      <c r="A17" s="2" t="s">
        <v>30</v>
      </c>
      <c r="B17" s="3" t="s">
        <v>184</v>
      </c>
    </row>
    <row r="18" spans="1:2" x14ac:dyDescent="0.25">
      <c r="A18" s="2" t="s">
        <v>32</v>
      </c>
      <c r="B18" s="3" t="s">
        <v>185</v>
      </c>
    </row>
    <row r="19" spans="1:2" x14ac:dyDescent="0.25">
      <c r="A19" s="2" t="s">
        <v>34</v>
      </c>
      <c r="B19" s="3" t="s">
        <v>6</v>
      </c>
    </row>
    <row r="20" spans="1:2" x14ac:dyDescent="0.25">
      <c r="A20" s="2" t="s">
        <v>35</v>
      </c>
      <c r="B20" s="3" t="s">
        <v>36</v>
      </c>
    </row>
    <row r="21" spans="1:2" x14ac:dyDescent="0.25">
      <c r="A21" s="2" t="s">
        <v>37</v>
      </c>
      <c r="B21" s="3" t="s">
        <v>38</v>
      </c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IFERROR(_xll.BDP("ACMM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IFERROR(_xll.BDP("ACMM US Equity","CUST_TRR_RETURN_HOLDING_PER","CUST_TRR_START_DT","20260601","CUST_TRR_END_DT","20260630","CUST_TRR_CRNCY","USD"),"")</f>
        <v>54.59628</v>
      </c>
    </row>
    <row r="23" spans="1:3" x14ac:dyDescent="0.25">
      <c r="A23" s="2" t="s">
        <v>46</v>
      </c>
      <c r="B23" s="2" t="s">
        <v>68</v>
      </c>
      <c r="C23" s="4">
        <f>IFERROR(_xll.BDP("ACMM US Equity","CUST_TRR_RETURN_HOLDING_PER","CUST_TRR_START_DT","20260701","CUST_TRR_END_DT","20260731","CUST_TRR_CRNCY","USD"),"")</f>
        <v>-61.472340000000003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04000000}"/>
  <dataValidations count="1">
    <dataValidation type="list" allowBlank="1" showErrorMessage="1" errorTitle="Invalid value" error="Choose a value from the Periods list." sqref="A2:A5000" xr:uid="{00000000-0002-0000-0400-000000000000}">
      <formula1>"2026-07"</formula1>
    </dataValidation>
  </dataValidation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05000000}"/>
  <dataValidations count="14">
    <dataValidation type="list" allowBlank="1" showErrorMessage="1" errorTitle="Invalid value" error="Choose a value from the Periods list." sqref="A2:A5000" xr:uid="{00000000-0002-0000-0500-000000000000}">
      <formula1>"2026-07"</formula1>
    </dataValidation>
    <dataValidation type="list" allowBlank="1" showErrorMessage="1" errorTitle="Invalid value" error="Choose a value from the Units list." sqref="J2:J5000" xr:uid="{00000000-0002-0000-0500-000001000000}">
      <formula1>"NS,PA,NC,OU"</formula1>
    </dataValidation>
    <dataValidation type="list" allowBlank="1" showErrorMessage="1" errorTitle="Invalid value" error="Choose a value from the PayoffProfiles list." sqref="N2:N5000" xr:uid="{00000000-0002-0000-0500-000002000000}">
      <formula1>"Long,Short,N/A"</formula1>
    </dataValidation>
    <dataValidation type="list" allowBlank="1" showErrorMessage="1" errorTitle="Invalid value" error="Choose a value from the AssetCategories list." sqref="O2:O5000" xr:uid="{00000000-0002-0000-05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05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05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05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05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0500-000008000000}">
      <formula1>"Put,Call"</formula1>
    </dataValidation>
    <dataValidation type="list" allowBlank="1" showErrorMessage="1" errorTitle="Invalid value" error="Choose a value from the WrittenPurchased list." sqref="AM2:AM5000" xr:uid="{00000000-0002-0000-05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05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05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05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0500-000011000000}">
      <formula1>"Y,N"</formula1>
    </dataValidation>
  </dataValidation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 activeCell="A5" sqref="A5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>
        <f>IFERROR(_xll.BDP("AV US Equity","CUST_TRR_RETURN_HOLDING_PER","CUST_TRR_START_DT","20260501","CUST_TRR_END_DT","20260531","CUST_TRR_CRNCY","USD"),"")</f>
        <v>2.897745</v>
      </c>
    </row>
    <row r="22" spans="1:3" x14ac:dyDescent="0.25">
      <c r="A22" s="2" t="s">
        <v>46</v>
      </c>
      <c r="B22" s="2" t="s">
        <v>67</v>
      </c>
      <c r="C22" s="4">
        <f>IFERROR(_xll.BDP("AV US Equity","CUST_TRR_RETURN_HOLDING_PER","CUST_TRR_START_DT","20260601","CUST_TRR_END_DT","20260630","CUST_TRR_CRNCY","USD"),"")</f>
        <v>7.9286770000000004</v>
      </c>
    </row>
    <row r="23" spans="1:3" x14ac:dyDescent="0.25">
      <c r="A23" s="2" t="s">
        <v>46</v>
      </c>
      <c r="B23" s="2" t="s">
        <v>68</v>
      </c>
      <c r="C23" s="4">
        <f>IFERROR(_xll.BDP("AV US Equity","CUST_TRR_RETURN_HOLDING_PER","CUST_TRR_START_DT","20260701","CUST_TRR_END_DT","20260731","CUST_TRR_CRNCY","USD"),"")</f>
        <v>-1.9130450000000001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07000000}"/>
  <dataValidations count="1">
    <dataValidation type="list" allowBlank="1" showErrorMessage="1" errorTitle="Invalid value" error="Choose a value from the Periods list." sqref="A2:A5000" xr:uid="{00000000-0002-0000-0700-000000000000}">
      <formula1>"2026-07"</formula1>
    </dataValidation>
  </dataValidations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08000000}"/>
  <dataValidations count="14">
    <dataValidation type="list" allowBlank="1" showErrorMessage="1" errorTitle="Invalid value" error="Choose a value from the Periods list." sqref="A2:A5000" xr:uid="{00000000-0002-0000-0800-000000000000}">
      <formula1>"2026-07"</formula1>
    </dataValidation>
    <dataValidation type="list" allowBlank="1" showErrorMessage="1" errorTitle="Invalid value" error="Choose a value from the Units list." sqref="J2:J5000" xr:uid="{00000000-0002-0000-0800-000001000000}">
      <formula1>"NS,PA,NC,OU"</formula1>
    </dataValidation>
    <dataValidation type="list" allowBlank="1" showErrorMessage="1" errorTitle="Invalid value" error="Choose a value from the PayoffProfiles list." sqref="N2:N5000" xr:uid="{00000000-0002-0000-0800-000002000000}">
      <formula1>"Long,Short,N/A"</formula1>
    </dataValidation>
    <dataValidation type="list" allowBlank="1" showErrorMessage="1" errorTitle="Invalid value" error="Choose a value from the AssetCategories list." sqref="O2:O5000" xr:uid="{00000000-0002-0000-08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08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08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08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08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0800-000008000000}">
      <formula1>"Put,Call"</formula1>
    </dataValidation>
    <dataValidation type="list" allowBlank="1" showErrorMessage="1" errorTitle="Invalid value" error="Choose a value from the WrittenPurchased list." sqref="AM2:AM5000" xr:uid="{00000000-0002-0000-08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08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08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08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0800-000011000000}">
      <formula1>"Y,N"</formula1>
    </dataValidation>
  </dataValidations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>
        <f>IFERROR(_xll.BDP("BAY US Equity","CUST_TRR_RETURN_HOLDING_PER","CUST_TRR_START_DT","20260501","CUST_TRR_END_DT","20260531","CUST_TRR_CRNCY","USD"),"")</f>
        <v>8.4756689999999999</v>
      </c>
    </row>
    <row r="22" spans="1:3" x14ac:dyDescent="0.25">
      <c r="A22" s="2" t="s">
        <v>46</v>
      </c>
      <c r="B22" s="2" t="s">
        <v>67</v>
      </c>
      <c r="C22" s="4">
        <f>IFERROR(_xll.BDP("BAY US Equity","CUST_TRR_RETURN_HOLDING_PER","CUST_TRR_START_DT","20260601","CUST_TRR_END_DT","20260630","CUST_TRR_CRNCY","USD"),"")</f>
        <v>-4.4684580000000002E-2</v>
      </c>
    </row>
    <row r="23" spans="1:3" x14ac:dyDescent="0.25">
      <c r="A23" s="2" t="s">
        <v>46</v>
      </c>
      <c r="B23" s="2" t="s">
        <v>68</v>
      </c>
      <c r="C23" s="4">
        <f>IFERROR(_xll.BDP("BAY US Equity","CUST_TRR_RETURN_HOLDING_PER","CUST_TRR_START_DT","20260701","CUST_TRR_END_DT","20260731","CUST_TRR_CRNCY","USD"),"")</f>
        <v>-4.1883540000000004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0A000000}"/>
  <dataValidations count="1">
    <dataValidation type="list" allowBlank="1" showErrorMessage="1" errorTitle="Invalid value" error="Choose a value from the Periods list." sqref="A2:A5000" xr:uid="{00000000-0002-0000-0A00-000000000000}">
      <formula1>"2026-07"</formula1>
    </dataValidation>
  </dataValidations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0B000000}"/>
  <dataValidations count="14">
    <dataValidation type="list" allowBlank="1" showErrorMessage="1" errorTitle="Invalid value" error="Choose a value from the Periods list." sqref="A2:A5000" xr:uid="{00000000-0002-0000-0B00-000000000000}">
      <formula1>"2026-07"</formula1>
    </dataValidation>
    <dataValidation type="list" allowBlank="1" showErrorMessage="1" errorTitle="Invalid value" error="Choose a value from the Units list." sqref="J2:J5000" xr:uid="{00000000-0002-0000-0B00-000001000000}">
      <formula1>"NS,PA,NC,OU"</formula1>
    </dataValidation>
    <dataValidation type="list" allowBlank="1" showErrorMessage="1" errorTitle="Invalid value" error="Choose a value from the PayoffProfiles list." sqref="N2:N5000" xr:uid="{00000000-0002-0000-0B00-000002000000}">
      <formula1>"Long,Short,N/A"</formula1>
    </dataValidation>
    <dataValidation type="list" allowBlank="1" showErrorMessage="1" errorTitle="Invalid value" error="Choose a value from the AssetCategories list." sqref="O2:O5000" xr:uid="{00000000-0002-0000-0B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0B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0B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0B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0B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0B00-000008000000}">
      <formula1>"Put,Call"</formula1>
    </dataValidation>
    <dataValidation type="list" allowBlank="1" showErrorMessage="1" errorTitle="Invalid value" error="Choose a value from the WrittenPurchased list." sqref="AM2:AM5000" xr:uid="{00000000-0002-0000-0B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0B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0B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0B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0B00-000011000000}">
      <formula1>"Y,N"</formula1>
    </dataValidation>
  </dataValidations>
  <pageMargins left="0.75" right="0.75" top="1" bottom="1" header="0.5" footer="0.5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>
        <f>IFERROR(_xll.BDP("BLCK US Equity","CUST_TRR_RETURN_HOLDING_PER","CUST_TRR_START_DT","20260501","CUST_TRR_END_DT","20260531","CUST_TRR_CRNCY","USD"),"")</f>
        <v>0.54172560000000003</v>
      </c>
    </row>
    <row r="22" spans="1:3" x14ac:dyDescent="0.25">
      <c r="A22" s="2" t="s">
        <v>46</v>
      </c>
      <c r="B22" s="2" t="s">
        <v>67</v>
      </c>
      <c r="C22" s="4">
        <f>IFERROR(_xll.BDP("BLCK US Equity","CUST_TRR_RETURN_HOLDING_PER","CUST_TRR_START_DT","20260601","CUST_TRR_END_DT","20260630","CUST_TRR_CRNCY","USD"),"")</f>
        <v>-14.148759999999999</v>
      </c>
    </row>
    <row r="23" spans="1:3" x14ac:dyDescent="0.25">
      <c r="A23" s="2" t="s">
        <v>46</v>
      </c>
      <c r="B23" s="2" t="s">
        <v>68</v>
      </c>
      <c r="C23" s="4">
        <f>IFERROR(_xll.BDP("BLCK US Equity","CUST_TRR_RETURN_HOLDING_PER","CUST_TRR_START_DT","20260701","CUST_TRR_END_DT","20260731","CUST_TRR_CRNCY","USD"),"")</f>
        <v>-8.4379969999999993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0D000000}"/>
  <dataValidations count="1">
    <dataValidation type="list" allowBlank="1" showErrorMessage="1" errorTitle="Invalid value" error="Choose a value from the Periods list." sqref="A2:A5000" xr:uid="{00000000-0002-0000-0D00-000000000000}">
      <formula1>"2026-07"</formula1>
    </dataValidation>
  </dataValidations>
  <pageMargins left="0.75" right="0.75" top="1" bottom="1" header="0.5" footer="0.5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0E000000}"/>
  <dataValidations count="14">
    <dataValidation type="list" allowBlank="1" showErrorMessage="1" errorTitle="Invalid value" error="Choose a value from the Periods list." sqref="A2:A5000" xr:uid="{00000000-0002-0000-0E00-000000000000}">
      <formula1>"2026-07"</formula1>
    </dataValidation>
    <dataValidation type="list" allowBlank="1" showErrorMessage="1" errorTitle="Invalid value" error="Choose a value from the Units list." sqref="J2:J5000" xr:uid="{00000000-0002-0000-0E00-000001000000}">
      <formula1>"NS,PA,NC,OU"</formula1>
    </dataValidation>
    <dataValidation type="list" allowBlank="1" showErrorMessage="1" errorTitle="Invalid value" error="Choose a value from the PayoffProfiles list." sqref="N2:N5000" xr:uid="{00000000-0002-0000-0E00-000002000000}">
      <formula1>"Long,Short,N/A"</formula1>
    </dataValidation>
    <dataValidation type="list" allowBlank="1" showErrorMessage="1" errorTitle="Invalid value" error="Choose a value from the AssetCategories list." sqref="O2:O5000" xr:uid="{00000000-0002-0000-0E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0E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0E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0E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0E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0E00-000008000000}">
      <formula1>"Put,Call"</formula1>
    </dataValidation>
    <dataValidation type="list" allowBlank="1" showErrorMessage="1" errorTitle="Invalid value" error="Choose a value from the WrittenPurchased list." sqref="AM2:AM5000" xr:uid="{00000000-0002-0000-0E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0E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0E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0E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0E00-000011000000}">
      <formula1>"Y,N"</formula1>
    </dataValidation>
  </dataValidations>
  <pageMargins left="0.75" right="0.75" top="1" bottom="1" header="0.5" footer="0.5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>
        <f>IFERROR(_xll.BDP("BREW US Equity","CUST_TRR_RETURN_HOLDING_PER","CUST_TRR_START_DT","20260501","CUST_TRR_END_DT","20260531","CUST_TRR_CRNCY","USD"),"")</f>
        <v>3.4001070000000002</v>
      </c>
    </row>
    <row r="22" spans="1:3" x14ac:dyDescent="0.25">
      <c r="A22" s="2" t="s">
        <v>46</v>
      </c>
      <c r="B22" s="2" t="s">
        <v>67</v>
      </c>
      <c r="C22" s="4">
        <f>IFERROR(_xll.BDP("BREW US Equity","CUST_TRR_RETURN_HOLDING_PER","CUST_TRR_START_DT","20260601","CUST_TRR_END_DT","20260630","CUST_TRR_CRNCY","USD"),"")</f>
        <v>3.533747</v>
      </c>
    </row>
    <row r="23" spans="1:3" x14ac:dyDescent="0.25">
      <c r="A23" s="2" t="s">
        <v>46</v>
      </c>
      <c r="B23" s="2" t="s">
        <v>68</v>
      </c>
      <c r="C23" s="4">
        <f>IFERROR(_xll.BDP("BREW US Equity","CUST_TRR_RETURN_HOLDING_PER","CUST_TRR_START_DT","20260701","CUST_TRR_END_DT","20260731","CUST_TRR_CRNCY","USD"),"")</f>
        <v>0.84122560000000002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10000000}"/>
  <dataValidations count="1">
    <dataValidation type="list" allowBlank="1" showErrorMessage="1" errorTitle="Invalid value" error="Choose a value from the Periods list." sqref="A2:A5000" xr:uid="{00000000-0002-0000-1000-000000000000}">
      <formula1>"2026-07"</formula1>
    </dataValidation>
  </dataValidations>
  <pageMargins left="0.75" right="0.75" top="1" bottom="1" header="0.5" footer="0.5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11000000}"/>
  <dataValidations count="14">
    <dataValidation type="list" allowBlank="1" showErrorMessage="1" errorTitle="Invalid value" error="Choose a value from the Periods list." sqref="A2:A5000" xr:uid="{00000000-0002-0000-1100-000000000000}">
      <formula1>"2026-07"</formula1>
    </dataValidation>
    <dataValidation type="list" allowBlank="1" showErrorMessage="1" errorTitle="Invalid value" error="Choose a value from the Units list." sqref="J2:J5000" xr:uid="{00000000-0002-0000-1100-000001000000}">
      <formula1>"NS,PA,NC,OU"</formula1>
    </dataValidation>
    <dataValidation type="list" allowBlank="1" showErrorMessage="1" errorTitle="Invalid value" error="Choose a value from the PayoffProfiles list." sqref="N2:N5000" xr:uid="{00000000-0002-0000-1100-000002000000}">
      <formula1>"Long,Short,N/A"</formula1>
    </dataValidation>
    <dataValidation type="list" allowBlank="1" showErrorMessage="1" errorTitle="Invalid value" error="Choose a value from the AssetCategories list." sqref="O2:O5000" xr:uid="{00000000-0002-0000-11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11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11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11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11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1100-000008000000}">
      <formula1>"Put,Call"</formula1>
    </dataValidation>
    <dataValidation type="list" allowBlank="1" showErrorMessage="1" errorTitle="Invalid value" error="Choose a value from the WrittenPurchased list." sqref="AM2:AM5000" xr:uid="{00000000-0002-0000-11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11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11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11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1100-000011000000}">
      <formula1>"Y,N"</formula1>
    </dataValidation>
  </dataValidations>
  <pageMargins left="0.75" right="0.75" top="1" bottom="1" header="0.5" footer="0.5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IFERROR(_xll.BDP("BRZX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IFERROR(_xll.BDP("BRZX US Equity","CUST_TRR_RETURN_HOLDING_PER","CUST_TRR_START_DT","20260601","CUST_TRR_END_DT","20260630","CUST_TRR_CRNCY","USD"),"")</f>
        <v>-6.9615579999999996E-2</v>
      </c>
    </row>
    <row r="23" spans="1:3" x14ac:dyDescent="0.25">
      <c r="A23" s="2" t="s">
        <v>46</v>
      </c>
      <c r="B23" s="2" t="s">
        <v>68</v>
      </c>
      <c r="C23" s="4">
        <f>IFERROR(_xll.BDP("BRZX US Equity","CUST_TRR_RETURN_HOLDING_PER","CUST_TRR_START_DT","20260701","CUST_TRR_END_DT","20260731","CUST_TRR_CRNCY","USD"),"")</f>
        <v>13.604990000000001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13000000}"/>
  <dataValidations count="1">
    <dataValidation type="list" allowBlank="1" showErrorMessage="1" errorTitle="Invalid value" error="Choose a value from the Periods list." sqref="A2:A5000" xr:uid="{00000000-0002-0000-1300-000000000000}">
      <formula1>"2026-07"</formula1>
    </dataValidation>
  </dataValidations>
  <pageMargins left="0.75" right="0.75" top="1" bottom="1" header="0.5" footer="0.5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14000000}"/>
  <dataValidations count="14">
    <dataValidation type="list" allowBlank="1" showErrorMessage="1" errorTitle="Invalid value" error="Choose a value from the Periods list." sqref="A2:A5000" xr:uid="{00000000-0002-0000-1400-000000000000}">
      <formula1>"2026-07"</formula1>
    </dataValidation>
    <dataValidation type="list" allowBlank="1" showErrorMessage="1" errorTitle="Invalid value" error="Choose a value from the Units list." sqref="J2:J5000" xr:uid="{00000000-0002-0000-1400-000001000000}">
      <formula1>"NS,PA,NC,OU"</formula1>
    </dataValidation>
    <dataValidation type="list" allowBlank="1" showErrorMessage="1" errorTitle="Invalid value" error="Choose a value from the PayoffProfiles list." sqref="N2:N5000" xr:uid="{00000000-0002-0000-1400-000002000000}">
      <formula1>"Long,Short,N/A"</formula1>
    </dataValidation>
    <dataValidation type="list" allowBlank="1" showErrorMessage="1" errorTitle="Invalid value" error="Choose a value from the AssetCategories list." sqref="O2:O5000" xr:uid="{00000000-0002-0000-14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14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14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14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14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1400-000008000000}">
      <formula1>"Put,Call"</formula1>
    </dataValidation>
    <dataValidation type="list" allowBlank="1" showErrorMessage="1" errorTitle="Invalid value" error="Choose a value from the WrittenPurchased list." sqref="AM2:AM5000" xr:uid="{00000000-0002-0000-14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14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14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14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1400-000011000000}">
      <formula1>"Y,N"</formula1>
    </dataValidation>
  </dataValidations>
  <pageMargins left="0.75" right="0.75" top="1" bottom="1" header="0.5" footer="0.5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15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>
        <f>IFERROR(_xll.BDP("BZZ US Equity","CUST_TRR_RETURN_HOLDING_PER","CUST_TRR_START_DT","20260501","CUST_TRR_END_DT","20260531","CUST_TRR_CRNCY","USD"),"")</f>
        <v>14.46884</v>
      </c>
    </row>
    <row r="22" spans="1:3" x14ac:dyDescent="0.25">
      <c r="A22" s="2" t="s">
        <v>46</v>
      </c>
      <c r="B22" s="2" t="s">
        <v>67</v>
      </c>
      <c r="C22" s="4">
        <f>IFERROR(_xll.BDP("BZZ US Equity","CUST_TRR_RETURN_HOLDING_PER","CUST_TRR_START_DT","20260601","CUST_TRR_END_DT","20260630","CUST_TRR_CRNCY","USD"),"")</f>
        <v>-12.672180000000001</v>
      </c>
    </row>
    <row r="23" spans="1:3" x14ac:dyDescent="0.25">
      <c r="A23" s="2" t="s">
        <v>46</v>
      </c>
      <c r="B23" s="2" t="s">
        <v>68</v>
      </c>
      <c r="C23" s="4">
        <f>IFERROR(_xll.BDP("BZZ US Equity","CUST_TRR_RETURN_HOLDING_PER","CUST_TRR_START_DT","20260701","CUST_TRR_END_DT","20260731","CUST_TRR_CRNCY","USD"),"")</f>
        <v>-7.3927370000000003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16000000}"/>
  <dataValidations count="1">
    <dataValidation type="list" allowBlank="1" showErrorMessage="1" errorTitle="Invalid value" error="Choose a value from the Periods list." sqref="A2:A5000" xr:uid="{00000000-0002-0000-1600-000000000000}">
      <formula1>"2026-07"</formula1>
    </dataValidation>
  </dataValidations>
  <pageMargins left="0.75" right="0.75" top="1" bottom="1" header="0.5" footer="0.5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17000000}"/>
  <dataValidations count="14">
    <dataValidation type="list" allowBlank="1" showErrorMessage="1" errorTitle="Invalid value" error="Choose a value from the Periods list." sqref="A2:A5000" xr:uid="{00000000-0002-0000-1700-000000000000}">
      <formula1>"2026-07"</formula1>
    </dataValidation>
    <dataValidation type="list" allowBlank="1" showErrorMessage="1" errorTitle="Invalid value" error="Choose a value from the Units list." sqref="J2:J5000" xr:uid="{00000000-0002-0000-1700-000001000000}">
      <formula1>"NS,PA,NC,OU"</formula1>
    </dataValidation>
    <dataValidation type="list" allowBlank="1" showErrorMessage="1" errorTitle="Invalid value" error="Choose a value from the PayoffProfiles list." sqref="N2:N5000" xr:uid="{00000000-0002-0000-1700-000002000000}">
      <formula1>"Long,Short,N/A"</formula1>
    </dataValidation>
    <dataValidation type="list" allowBlank="1" showErrorMessage="1" errorTitle="Invalid value" error="Choose a value from the AssetCategories list." sqref="O2:O5000" xr:uid="{00000000-0002-0000-17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17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17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17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17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1700-000008000000}">
      <formula1>"Put,Call"</formula1>
    </dataValidation>
    <dataValidation type="list" allowBlank="1" showErrorMessage="1" errorTitle="Invalid value" error="Choose a value from the WrittenPurchased list." sqref="AM2:AM5000" xr:uid="{00000000-0002-0000-17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17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17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17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1700-000011000000}">
      <formula1>"Y,N"</formula1>
    </dataValidation>
  </dataValidations>
  <pageMargins left="0.75" right="0.75" top="1" bottom="1" header="0.5" footer="0.5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3</v>
      </c>
    </row>
    <row r="7" spans="1:2" x14ac:dyDescent="0.25">
      <c r="A7" s="2" t="s">
        <v>10</v>
      </c>
      <c r="B7" s="3" t="s">
        <v>11</v>
      </c>
    </row>
    <row r="8" spans="1:2" x14ac:dyDescent="0.25">
      <c r="A8" s="2" t="s">
        <v>12</v>
      </c>
      <c r="B8" s="3" t="s">
        <v>13</v>
      </c>
    </row>
    <row r="9" spans="1:2" x14ac:dyDescent="0.25">
      <c r="A9" s="2" t="s">
        <v>14</v>
      </c>
      <c r="B9" s="3" t="s">
        <v>15</v>
      </c>
    </row>
    <row r="10" spans="1:2" x14ac:dyDescent="0.25">
      <c r="A10" s="2" t="s">
        <v>16</v>
      </c>
      <c r="B10" s="3" t="s">
        <v>17</v>
      </c>
    </row>
    <row r="11" spans="1:2" x14ac:dyDescent="0.25">
      <c r="A11" s="2" t="s">
        <v>18</v>
      </c>
      <c r="B11" s="3" t="s">
        <v>19</v>
      </c>
    </row>
    <row r="12" spans="1:2" x14ac:dyDescent="0.25">
      <c r="A12" s="2" t="s">
        <v>20</v>
      </c>
      <c r="B12" s="3" t="s">
        <v>21</v>
      </c>
    </row>
    <row r="13" spans="1:2" x14ac:dyDescent="0.25">
      <c r="A13" s="2" t="s">
        <v>22</v>
      </c>
      <c r="B13" s="3" t="s">
        <v>23</v>
      </c>
    </row>
    <row r="14" spans="1:2" x14ac:dyDescent="0.25">
      <c r="A14" s="2" t="s">
        <v>24</v>
      </c>
      <c r="B14" s="3" t="s">
        <v>25</v>
      </c>
    </row>
    <row r="15" spans="1:2" x14ac:dyDescent="0.25">
      <c r="A15" s="2" t="s">
        <v>26</v>
      </c>
      <c r="B15" s="3" t="s">
        <v>186</v>
      </c>
    </row>
    <row r="16" spans="1:2" x14ac:dyDescent="0.25">
      <c r="A16" s="2" t="s">
        <v>28</v>
      </c>
      <c r="B16" s="3" t="s">
        <v>187</v>
      </c>
    </row>
    <row r="17" spans="1:2" x14ac:dyDescent="0.25">
      <c r="A17" s="2" t="s">
        <v>30</v>
      </c>
      <c r="B17" s="3" t="s">
        <v>188</v>
      </c>
    </row>
    <row r="18" spans="1:2" x14ac:dyDescent="0.25">
      <c r="A18" s="2" t="s">
        <v>32</v>
      </c>
      <c r="B18" s="3" t="s">
        <v>189</v>
      </c>
    </row>
    <row r="19" spans="1:2" x14ac:dyDescent="0.25">
      <c r="A19" s="2" t="s">
        <v>34</v>
      </c>
      <c r="B19" s="3" t="s">
        <v>6</v>
      </c>
    </row>
    <row r="20" spans="1:2" x14ac:dyDescent="0.25">
      <c r="A20" s="2" t="s">
        <v>35</v>
      </c>
      <c r="B20" s="3" t="s">
        <v>36</v>
      </c>
    </row>
    <row r="21" spans="1:2" x14ac:dyDescent="0.25">
      <c r="A21" s="2" t="s">
        <v>37</v>
      </c>
      <c r="B21" s="3" t="s">
        <v>38</v>
      </c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18000000}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IFERROR(_xll.BDP("CAMC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IFERROR(_xll.BDP("CAMC US Equity","CUST_TRR_RETURN_HOLDING_PER","CUST_TRR_START_DT","20260601","CUST_TRR_END_DT","20260630","CUST_TRR_CRNCY","USD"),"")</f>
        <v>-6.15909</v>
      </c>
    </row>
    <row r="23" spans="1:3" x14ac:dyDescent="0.25">
      <c r="A23" s="2" t="s">
        <v>46</v>
      </c>
      <c r="B23" s="2" t="s">
        <v>68</v>
      </c>
      <c r="C23" s="4">
        <f>IFERROR(_xll.BDP("CAMC US Equity","CUST_TRR_RETURN_HOLDING_PER","CUST_TRR_START_DT","20260701","CUST_TRR_END_DT","20260731","CUST_TRR_CRNCY","USD"),"")</f>
        <v>-31.554459999999999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19000000}"/>
  <dataValidations count="1">
    <dataValidation type="list" allowBlank="1" showErrorMessage="1" errorTitle="Invalid value" error="Choose a value from the Periods list." sqref="A2:A5000" xr:uid="{00000000-0002-0000-1900-000000000000}">
      <formula1>"2026-07"</formula1>
    </dataValidation>
  </dataValidations>
  <pageMargins left="0.75" right="0.75" top="1" bottom="1" header="0.5" footer="0.5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1A000000}"/>
  <dataValidations count="14">
    <dataValidation type="list" allowBlank="1" showErrorMessage="1" errorTitle="Invalid value" error="Choose a value from the Periods list." sqref="A2:A5000" xr:uid="{00000000-0002-0000-1A00-000000000000}">
      <formula1>"2026-07"</formula1>
    </dataValidation>
    <dataValidation type="list" allowBlank="1" showErrorMessage="1" errorTitle="Invalid value" error="Choose a value from the Units list." sqref="J2:J5000" xr:uid="{00000000-0002-0000-1A00-000001000000}">
      <formula1>"NS,PA,NC,OU"</formula1>
    </dataValidation>
    <dataValidation type="list" allowBlank="1" showErrorMessage="1" errorTitle="Invalid value" error="Choose a value from the PayoffProfiles list." sqref="N2:N5000" xr:uid="{00000000-0002-0000-1A00-000002000000}">
      <formula1>"Long,Short,N/A"</formula1>
    </dataValidation>
    <dataValidation type="list" allowBlank="1" showErrorMessage="1" errorTitle="Invalid value" error="Choose a value from the AssetCategories list." sqref="O2:O5000" xr:uid="{00000000-0002-0000-1A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1A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1A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1A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1A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1A00-000008000000}">
      <formula1>"Put,Call"</formula1>
    </dataValidation>
    <dataValidation type="list" allowBlank="1" showErrorMessage="1" errorTitle="Invalid value" error="Choose a value from the WrittenPurchased list." sqref="AM2:AM5000" xr:uid="{00000000-0002-0000-1A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1A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1A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1A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1A00-000011000000}">
      <formula1>"Y,N"</formula1>
    </dataValidation>
  </dataValidations>
  <pageMargins left="0.75" right="0.75" top="1" bottom="1" header="0.5" footer="0.5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3</v>
      </c>
    </row>
    <row r="7" spans="1:2" x14ac:dyDescent="0.25">
      <c r="A7" s="2" t="s">
        <v>10</v>
      </c>
      <c r="B7" s="3" t="s">
        <v>11</v>
      </c>
    </row>
    <row r="8" spans="1:2" x14ac:dyDescent="0.25">
      <c r="A8" s="2" t="s">
        <v>12</v>
      </c>
      <c r="B8" s="3" t="s">
        <v>13</v>
      </c>
    </row>
    <row r="9" spans="1:2" x14ac:dyDescent="0.25">
      <c r="A9" s="2" t="s">
        <v>14</v>
      </c>
      <c r="B9" s="3" t="s">
        <v>15</v>
      </c>
    </row>
    <row r="10" spans="1:2" x14ac:dyDescent="0.25">
      <c r="A10" s="2" t="s">
        <v>16</v>
      </c>
      <c r="B10" s="3" t="s">
        <v>17</v>
      </c>
    </row>
    <row r="11" spans="1:2" x14ac:dyDescent="0.25">
      <c r="A11" s="2" t="s">
        <v>18</v>
      </c>
      <c r="B11" s="3" t="s">
        <v>19</v>
      </c>
    </row>
    <row r="12" spans="1:2" x14ac:dyDescent="0.25">
      <c r="A12" s="2" t="s">
        <v>20</v>
      </c>
      <c r="B12" s="3" t="s">
        <v>21</v>
      </c>
    </row>
    <row r="13" spans="1:2" x14ac:dyDescent="0.25">
      <c r="A13" s="2" t="s">
        <v>22</v>
      </c>
      <c r="B13" s="3" t="s">
        <v>23</v>
      </c>
    </row>
    <row r="14" spans="1:2" x14ac:dyDescent="0.25">
      <c r="A14" s="2" t="s">
        <v>24</v>
      </c>
      <c r="B14" s="3" t="s">
        <v>25</v>
      </c>
    </row>
    <row r="15" spans="1:2" x14ac:dyDescent="0.25">
      <c r="A15" s="2" t="s">
        <v>26</v>
      </c>
      <c r="B15" s="3" t="s">
        <v>190</v>
      </c>
    </row>
    <row r="16" spans="1:2" x14ac:dyDescent="0.25">
      <c r="A16" s="2" t="s">
        <v>28</v>
      </c>
      <c r="B16" s="3" t="s">
        <v>191</v>
      </c>
    </row>
    <row r="17" spans="1:2" x14ac:dyDescent="0.25">
      <c r="A17" s="2" t="s">
        <v>30</v>
      </c>
      <c r="B17" s="3" t="s">
        <v>192</v>
      </c>
    </row>
    <row r="18" spans="1:2" x14ac:dyDescent="0.25">
      <c r="A18" s="2" t="s">
        <v>32</v>
      </c>
      <c r="B18" s="3" t="s">
        <v>193</v>
      </c>
    </row>
    <row r="19" spans="1:2" x14ac:dyDescent="0.25">
      <c r="A19" s="2" t="s">
        <v>34</v>
      </c>
      <c r="B19" s="3" t="s">
        <v>6</v>
      </c>
    </row>
    <row r="20" spans="1:2" x14ac:dyDescent="0.25">
      <c r="A20" s="2" t="s">
        <v>35</v>
      </c>
      <c r="B20" s="3" t="s">
        <v>36</v>
      </c>
    </row>
    <row r="21" spans="1:2" x14ac:dyDescent="0.25">
      <c r="A21" s="2" t="s">
        <v>37</v>
      </c>
      <c r="B21" s="3" t="s">
        <v>38</v>
      </c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1B000000}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IFERROR(_xll.BDP("CARX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IFERROR(_xll.BDP("CARX US Equity","CUST_TRR_RETURN_HOLDING_PER","CUST_TRR_START_DT","20260601","CUST_TRR_END_DT","20260630","CUST_TRR_CRNCY","USD"),"")</f>
        <v>2.2456309999999999</v>
      </c>
    </row>
    <row r="23" spans="1:3" x14ac:dyDescent="0.25">
      <c r="A23" s="2" t="s">
        <v>46</v>
      </c>
      <c r="B23" s="2" t="s">
        <v>68</v>
      </c>
      <c r="C23" s="4">
        <f>IFERROR(_xll.BDP("CARX US Equity","CUST_TRR_RETURN_HOLDING_PER","CUST_TRR_START_DT","20260701","CUST_TRR_END_DT","20260731","CUST_TRR_CRNCY","USD"),"")</f>
        <v>-2.7315469999999999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1C000000}"/>
  <dataValidations count="1">
    <dataValidation type="list" allowBlank="1" showErrorMessage="1" errorTitle="Invalid value" error="Choose a value from the Periods list." sqref="A2:A5000" xr:uid="{00000000-0002-0000-1C00-000000000000}">
      <formula1>"2026-07"</formula1>
    </dataValidation>
  </dataValidations>
  <pageMargins left="0.75" right="0.75" top="1" bottom="1" header="0.5" footer="0.5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1D000000}"/>
  <dataValidations count="14">
    <dataValidation type="list" allowBlank="1" showErrorMessage="1" errorTitle="Invalid value" error="Choose a value from the Periods list." sqref="A2:A5000" xr:uid="{00000000-0002-0000-1D00-000000000000}">
      <formula1>"2026-07"</formula1>
    </dataValidation>
    <dataValidation type="list" allowBlank="1" showErrorMessage="1" errorTitle="Invalid value" error="Choose a value from the Units list." sqref="J2:J5000" xr:uid="{00000000-0002-0000-1D00-000001000000}">
      <formula1>"NS,PA,NC,OU"</formula1>
    </dataValidation>
    <dataValidation type="list" allowBlank="1" showErrorMessage="1" errorTitle="Invalid value" error="Choose a value from the PayoffProfiles list." sqref="N2:N5000" xr:uid="{00000000-0002-0000-1D00-000002000000}">
      <formula1>"Long,Short,N/A"</formula1>
    </dataValidation>
    <dataValidation type="list" allowBlank="1" showErrorMessage="1" errorTitle="Invalid value" error="Choose a value from the AssetCategories list." sqref="O2:O5000" xr:uid="{00000000-0002-0000-1D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1D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1D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1D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1D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1D00-000008000000}">
      <formula1>"Put,Call"</formula1>
    </dataValidation>
    <dataValidation type="list" allowBlank="1" showErrorMessage="1" errorTitle="Invalid value" error="Choose a value from the WrittenPurchased list." sqref="AM2:AM5000" xr:uid="{00000000-0002-0000-1D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1D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1D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1D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1D00-000011000000}">
      <formula1>"Y,N"</formula1>
    </dataValidation>
  </dataValidations>
  <pageMargins left="0.75" right="0.75" top="1" bottom="1" header="0.5" footer="0.5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1E000000}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IFERROR(_xll.BDP("CBIL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IFERROR(_xll.BDP("CBIL US Equity","CUST_TRR_RETURN_HOLDING_PER","CUST_TRR_START_DT","20260601","CUST_TRR_END_DT","20260630","CUST_TRR_CRNCY","USD"),"")</f>
        <v>0.2816572</v>
      </c>
    </row>
    <row r="23" spans="1:3" x14ac:dyDescent="0.25">
      <c r="A23" s="2" t="s">
        <v>46</v>
      </c>
      <c r="B23" s="2" t="s">
        <v>68</v>
      </c>
      <c r="C23" s="4">
        <f>IFERROR(_xll.BDP("CBIL US Equity","CUST_TRR_RETURN_HOLDING_PER","CUST_TRR_START_DT","20260701","CUST_TRR_END_DT","20260731","CUST_TRR_CRNCY","USD"),"")</f>
        <v>0.31974029999999998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1F000000}"/>
  <dataValidations count="1">
    <dataValidation type="list" allowBlank="1" showErrorMessage="1" errorTitle="Invalid value" error="Choose a value from the Periods list." sqref="A2:A5000" xr:uid="{00000000-0002-0000-1F00-000000000000}">
      <formula1>"2026-07"</formula1>
    </dataValidation>
  </dataValidations>
  <pageMargins left="0.75" right="0.75" top="1" bottom="1" header="0.5" footer="0.5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20000000}"/>
  <dataValidations count="14">
    <dataValidation type="list" allowBlank="1" showErrorMessage="1" errorTitle="Invalid value" error="Choose a value from the Periods list." sqref="A2:A5000" xr:uid="{00000000-0002-0000-2000-000000000000}">
      <formula1>"2026-07"</formula1>
    </dataValidation>
    <dataValidation type="list" allowBlank="1" showErrorMessage="1" errorTitle="Invalid value" error="Choose a value from the Units list." sqref="J2:J5000" xr:uid="{00000000-0002-0000-2000-000001000000}">
      <formula1>"NS,PA,NC,OU"</formula1>
    </dataValidation>
    <dataValidation type="list" allowBlank="1" showErrorMessage="1" errorTitle="Invalid value" error="Choose a value from the PayoffProfiles list." sqref="N2:N5000" xr:uid="{00000000-0002-0000-2000-000002000000}">
      <formula1>"Long,Short,N/A"</formula1>
    </dataValidation>
    <dataValidation type="list" allowBlank="1" showErrorMessage="1" errorTitle="Invalid value" error="Choose a value from the AssetCategories list." sqref="O2:O5000" xr:uid="{00000000-0002-0000-20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20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20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20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20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2000-000008000000}">
      <formula1>"Put,Call"</formula1>
    </dataValidation>
    <dataValidation type="list" allowBlank="1" showErrorMessage="1" errorTitle="Invalid value" error="Choose a value from the WrittenPurchased list." sqref="AM2:AM5000" xr:uid="{00000000-0002-0000-20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20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20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20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2000-000011000000}">
      <formula1>"Y,N"</formula1>
    </dataValidation>
  </dataValidations>
  <pageMargins left="0.75" right="0.75" top="1" bottom="1" header="0.5" footer="0.5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21000000}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>
        <f>IFERROR(_xll.BDP("CBOT US Equity","CUST_TRR_RETURN_HOLDING_PER","CUST_TRR_START_DT","20260501","CUST_TRR_END_DT","20260531","CUST_TRR_CRNCY","USD"),"")</f>
        <v>1.408709</v>
      </c>
    </row>
    <row r="22" spans="1:3" x14ac:dyDescent="0.25">
      <c r="A22" s="2" t="s">
        <v>46</v>
      </c>
      <c r="B22" s="2" t="s">
        <v>67</v>
      </c>
      <c r="C22" s="4">
        <f>IFERROR(_xll.BDP("CBOT US Equity","CUST_TRR_RETURN_HOLDING_PER","CUST_TRR_START_DT","20260601","CUST_TRR_END_DT","20260630","CUST_TRR_CRNCY","USD"),"")</f>
        <v>-6.2620019999999998</v>
      </c>
    </row>
    <row r="23" spans="1:3" x14ac:dyDescent="0.25">
      <c r="A23" s="2" t="s">
        <v>46</v>
      </c>
      <c r="B23" s="2" t="s">
        <v>68</v>
      </c>
      <c r="C23" s="4">
        <f>IFERROR(_xll.BDP("CBOT US Equity","CUST_TRR_RETURN_HOLDING_PER","CUST_TRR_START_DT","20260701","CUST_TRR_END_DT","20260731","CUST_TRR_CRNCY","USD"),"")</f>
        <v>-6.9567899999999998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22000000}"/>
  <dataValidations count="1">
    <dataValidation type="list" allowBlank="1" showErrorMessage="1" errorTitle="Invalid value" error="Choose a value from the Periods list." sqref="A2:A5000" xr:uid="{00000000-0002-0000-2200-000000000000}">
      <formula1>"2026-07"</formula1>
    </dataValidation>
  </dataValidations>
  <pageMargins left="0.75" right="0.75" top="1" bottom="1" header="0.5" footer="0.5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ED7D31"/>
  </sheetPr>
  <dimension ref="A1:CH2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23000000}"/>
  <dataValidations count="14">
    <dataValidation type="list" allowBlank="1" showErrorMessage="1" errorTitle="Invalid value" error="Choose a value from the Periods list." sqref="A2:A5000" xr:uid="{00000000-0002-0000-2300-000000000000}">
      <formula1>"2026-07"</formula1>
    </dataValidation>
    <dataValidation type="list" allowBlank="1" showErrorMessage="1" errorTitle="Invalid value" error="Choose a value from the Units list." sqref="J2:J5000" xr:uid="{00000000-0002-0000-2300-000001000000}">
      <formula1>"NS,PA,NC,OU"</formula1>
    </dataValidation>
    <dataValidation type="list" allowBlank="1" showErrorMessage="1" errorTitle="Invalid value" error="Choose a value from the PayoffProfiles list." sqref="N2:N5000" xr:uid="{00000000-0002-0000-2300-000002000000}">
      <formula1>"Long,Short,N/A"</formula1>
    </dataValidation>
    <dataValidation type="list" allowBlank="1" showErrorMessage="1" errorTitle="Invalid value" error="Choose a value from the AssetCategories list." sqref="O2:O5000" xr:uid="{00000000-0002-0000-23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23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23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23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23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2300-000008000000}">
      <formula1>"Put,Call"</formula1>
    </dataValidation>
    <dataValidation type="list" allowBlank="1" showErrorMessage="1" errorTitle="Invalid value" error="Choose a value from the WrittenPurchased list." sqref="AM2:AM5000" xr:uid="{00000000-0002-0000-23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23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23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23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2300-000011000000}">
      <formula1>"Y,N"</formula1>
    </dataValidation>
  </dataValidations>
  <pageMargins left="0.75" right="0.75" top="1" bottom="1" header="0.5" footer="0.5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24000000}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IFERROR(_xll.BDP("CCPX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IFERROR(_xll.BDP("CCPX US Equity","CUST_TRR_RETURN_HOLDING_PER","CUST_TRR_START_DT","20260601","CUST_TRR_END_DT","20260630","CUST_TRR_CRNCY","USD"),"")</f>
        <v>-20.417739999999998</v>
      </c>
    </row>
    <row r="23" spans="1:3" x14ac:dyDescent="0.25">
      <c r="A23" s="2" t="s">
        <v>46</v>
      </c>
      <c r="B23" s="2" t="s">
        <v>68</v>
      </c>
      <c r="C23" s="4">
        <f>IFERROR(_xll.BDP("CCPX US Equity","CUST_TRR_RETURN_HOLDING_PER","CUST_TRR_START_DT","20260701","CUST_TRR_END_DT","20260731","CUST_TRR_CRNCY","USD"),"")</f>
        <v>28.612680000000001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25000000}"/>
  <dataValidations count="1">
    <dataValidation type="list" allowBlank="1" showErrorMessage="1" errorTitle="Invalid value" error="Choose a value from the Periods list." sqref="A2:A5000" xr:uid="{00000000-0002-0000-2500-000000000000}">
      <formula1>"2026-07"</formula1>
    </dataValidation>
  </dataValidations>
  <pageMargins left="0.75" right="0.75" top="1" bottom="1" header="0.5" footer="0.5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26000000}"/>
  <dataValidations count="14">
    <dataValidation type="list" allowBlank="1" showErrorMessage="1" errorTitle="Invalid value" error="Choose a value from the Periods list." sqref="A2:A5000" xr:uid="{00000000-0002-0000-2600-000000000000}">
      <formula1>"2026-07"</formula1>
    </dataValidation>
    <dataValidation type="list" allowBlank="1" showErrorMessage="1" errorTitle="Invalid value" error="Choose a value from the Units list." sqref="J2:J5000" xr:uid="{00000000-0002-0000-2600-000001000000}">
      <formula1>"NS,PA,NC,OU"</formula1>
    </dataValidation>
    <dataValidation type="list" allowBlank="1" showErrorMessage="1" errorTitle="Invalid value" error="Choose a value from the PayoffProfiles list." sqref="N2:N5000" xr:uid="{00000000-0002-0000-2600-000002000000}">
      <formula1>"Long,Short,N/A"</formula1>
    </dataValidation>
    <dataValidation type="list" allowBlank="1" showErrorMessage="1" errorTitle="Invalid value" error="Choose a value from the AssetCategories list." sqref="O2:O5000" xr:uid="{00000000-0002-0000-26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26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26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26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26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2600-000008000000}">
      <formula1>"Put,Call"</formula1>
    </dataValidation>
    <dataValidation type="list" allowBlank="1" showErrorMessage="1" errorTitle="Invalid value" error="Choose a value from the WrittenPurchased list." sqref="AM2:AM5000" xr:uid="{00000000-0002-0000-26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26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26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26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2600-000011000000}">
      <formula1>"Y,N"</formula1>
    </dataValidation>
  </dataValidations>
  <pageMargins left="0.75" right="0.75" top="1" bottom="1" header="0.5" footer="0.5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27000000}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IFERROR(_xll.BDP("CGOV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IFERROR(_xll.BDP("CGOV US Equity","CUST_TRR_RETURN_HOLDING_PER","CUST_TRR_START_DT","20260601","CUST_TRR_END_DT","20260630","CUST_TRR_CRNCY","USD"),"")</f>
        <v>0.3041568</v>
      </c>
    </row>
    <row r="23" spans="1:3" x14ac:dyDescent="0.25">
      <c r="A23" s="2" t="s">
        <v>46</v>
      </c>
      <c r="B23" s="2" t="s">
        <v>68</v>
      </c>
      <c r="C23" s="4">
        <f>IFERROR(_xll.BDP("CGOV US Equity","CUST_TRR_RETURN_HOLDING_PER","CUST_TRR_START_DT","20260701","CUST_TRR_END_DT","20260731","CUST_TRR_CRNCY","USD"),"")</f>
        <v>0.26351720000000001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28000000}"/>
  <dataValidations count="1">
    <dataValidation type="list" allowBlank="1" showErrorMessage="1" errorTitle="Invalid value" error="Choose a value from the Periods list." sqref="A2:A5000" xr:uid="{00000000-0002-0000-2800-000000000000}">
      <formula1>"2026-07"</formula1>
    </dataValidation>
  </dataValidations>
  <pageMargins left="0.75" right="0.75" top="1" bottom="1" header="0.5" footer="0.5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29000000}"/>
  <dataValidations count="14">
    <dataValidation type="list" allowBlank="1" showErrorMessage="1" errorTitle="Invalid value" error="Choose a value from the Periods list." sqref="A2:A5000" xr:uid="{00000000-0002-0000-2900-000000000000}">
      <formula1>"2026-07"</formula1>
    </dataValidation>
    <dataValidation type="list" allowBlank="1" showErrorMessage="1" errorTitle="Invalid value" error="Choose a value from the Units list." sqref="J2:J5000" xr:uid="{00000000-0002-0000-2900-000001000000}">
      <formula1>"NS,PA,NC,OU"</formula1>
    </dataValidation>
    <dataValidation type="list" allowBlank="1" showErrorMessage="1" errorTitle="Invalid value" error="Choose a value from the PayoffProfiles list." sqref="N2:N5000" xr:uid="{00000000-0002-0000-2900-000002000000}">
      <formula1>"Long,Short,N/A"</formula1>
    </dataValidation>
    <dataValidation type="list" allowBlank="1" showErrorMessage="1" errorTitle="Invalid value" error="Choose a value from the AssetCategories list." sqref="O2:O5000" xr:uid="{00000000-0002-0000-29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29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29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29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29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2900-000008000000}">
      <formula1>"Put,Call"</formula1>
    </dataValidation>
    <dataValidation type="list" allowBlank="1" showErrorMessage="1" errorTitle="Invalid value" error="Choose a value from the WrittenPurchased list." sqref="AM2:AM5000" xr:uid="{00000000-0002-0000-29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29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29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29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2900-000011000000}">
      <formula1>"Y,N"</formula1>
    </dataValidation>
  </dataValidations>
  <pageMargins left="0.75" right="0.75" top="1" bottom="1" header="0.5" footer="0.5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2A000000}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IFERROR(_xll.BDP("CHYG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IFERROR(_xll.BDP("CHYG US Equity","CUST_TRR_RETURN_HOLDING_PER","CUST_TRR_START_DT","20260601","CUST_TRR_END_DT","20260630","CUST_TRR_CRNCY","USD"),"")</f>
        <v>5.3051399999999999E-2</v>
      </c>
    </row>
    <row r="23" spans="1:3" x14ac:dyDescent="0.25">
      <c r="A23" s="2" t="s">
        <v>46</v>
      </c>
      <c r="B23" s="2" t="s">
        <v>68</v>
      </c>
      <c r="C23" s="4">
        <f>IFERROR(_xll.BDP("CHYG US Equity","CUST_TRR_RETURN_HOLDING_PER","CUST_TRR_START_DT","20260701","CUST_TRR_END_DT","20260731","CUST_TRR_CRNCY","USD"),"")</f>
        <v>0.10891190000000001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2B000000}"/>
  <dataValidations count="1">
    <dataValidation type="list" allowBlank="1" showErrorMessage="1" errorTitle="Invalid value" error="Choose a value from the Periods list." sqref="A2:A5000" xr:uid="{00000000-0002-0000-2B00-000000000000}">
      <formula1>"2026-07"</formula1>
    </dataValidation>
  </dataValidations>
  <pageMargins left="0.75" right="0.75" top="1" bottom="1" header="0.5" footer="0.5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2C000000}"/>
  <dataValidations count="14">
    <dataValidation type="list" allowBlank="1" showErrorMessage="1" errorTitle="Invalid value" error="Choose a value from the Periods list." sqref="A2:A5000" xr:uid="{00000000-0002-0000-2C00-000000000000}">
      <formula1>"2026-07"</formula1>
    </dataValidation>
    <dataValidation type="list" allowBlank="1" showErrorMessage="1" errorTitle="Invalid value" error="Choose a value from the Units list." sqref="J2:J5000" xr:uid="{00000000-0002-0000-2C00-000001000000}">
      <formula1>"NS,PA,NC,OU"</formula1>
    </dataValidation>
    <dataValidation type="list" allowBlank="1" showErrorMessage="1" errorTitle="Invalid value" error="Choose a value from the PayoffProfiles list." sqref="N2:N5000" xr:uid="{00000000-0002-0000-2C00-000002000000}">
      <formula1>"Long,Short,N/A"</formula1>
    </dataValidation>
    <dataValidation type="list" allowBlank="1" showErrorMessage="1" errorTitle="Invalid value" error="Choose a value from the AssetCategories list." sqref="O2:O5000" xr:uid="{00000000-0002-0000-2C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2C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2C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2C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2C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2C00-000008000000}">
      <formula1>"Put,Call"</formula1>
    </dataValidation>
    <dataValidation type="list" allowBlank="1" showErrorMessage="1" errorTitle="Invalid value" error="Choose a value from the WrittenPurchased list." sqref="AM2:AM5000" xr:uid="{00000000-0002-0000-2C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2C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2C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2C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2C00-000011000000}">
      <formula1>"Y,N"</formula1>
    </dataValidation>
  </dataValidations>
  <pageMargins left="0.75" right="0.75" top="1" bottom="1" header="0.5" footer="0.5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2D000000}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IFERROR(_xll.BDP("CIEI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IFERROR(_xll.BDP("CIEI US Equity","CUST_TRR_RETURN_HOLDING_PER","CUST_TRR_START_DT","20260601","CUST_TRR_END_DT","20260630","CUST_TRR_CRNCY","USD"),"")</f>
        <v>0.3595449</v>
      </c>
    </row>
    <row r="23" spans="1:3" x14ac:dyDescent="0.25">
      <c r="A23" s="2" t="s">
        <v>46</v>
      </c>
      <c r="B23" s="2" t="s">
        <v>68</v>
      </c>
      <c r="C23" s="4">
        <f>IFERROR(_xll.BDP("CIEI US Equity","CUST_TRR_RETURN_HOLDING_PER","CUST_TRR_START_DT","20260701","CUST_TRR_END_DT","20260731","CUST_TRR_CRNCY","USD"),"")</f>
        <v>-0.46718290000000001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2E000000}"/>
  <dataValidations count="1">
    <dataValidation type="list" allowBlank="1" showErrorMessage="1" errorTitle="Invalid value" error="Choose a value from the Periods list." sqref="A2:A5000" xr:uid="{00000000-0002-0000-2E00-000000000000}">
      <formula1>"2026-07"</formula1>
    </dataValidation>
  </dataValidations>
  <pageMargins left="0.75" right="0.75" top="1" bottom="1" header="0.5" footer="0.5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2F000000}"/>
  <dataValidations count="14">
    <dataValidation type="list" allowBlank="1" showErrorMessage="1" errorTitle="Invalid value" error="Choose a value from the Periods list." sqref="A2:A5000" xr:uid="{00000000-0002-0000-2F00-000000000000}">
      <formula1>"2026-07"</formula1>
    </dataValidation>
    <dataValidation type="list" allowBlank="1" showErrorMessage="1" errorTitle="Invalid value" error="Choose a value from the Units list." sqref="J2:J5000" xr:uid="{00000000-0002-0000-2F00-000001000000}">
      <formula1>"NS,PA,NC,OU"</formula1>
    </dataValidation>
    <dataValidation type="list" allowBlank="1" showErrorMessage="1" errorTitle="Invalid value" error="Choose a value from the PayoffProfiles list." sqref="N2:N5000" xr:uid="{00000000-0002-0000-2F00-000002000000}">
      <formula1>"Long,Short,N/A"</formula1>
    </dataValidation>
    <dataValidation type="list" allowBlank="1" showErrorMessage="1" errorTitle="Invalid value" error="Choose a value from the AssetCategories list." sqref="O2:O5000" xr:uid="{00000000-0002-0000-2F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2F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2F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2F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2F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2F00-000008000000}">
      <formula1>"Put,Call"</formula1>
    </dataValidation>
    <dataValidation type="list" allowBlank="1" showErrorMessage="1" errorTitle="Invalid value" error="Choose a value from the WrittenPurchased list." sqref="AM2:AM5000" xr:uid="{00000000-0002-0000-2F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2F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2F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2F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2F00-000011000000}">
      <formula1>"Y,N"</formula1>
    </dataValidation>
  </dataValidations>
  <pageMargins left="0.75" right="0.75" top="1" bottom="1" header="0.5" footer="0.5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30000000}"/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IFERROR(_xll.BDP("CIVG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IFERROR(_xll.BDP("CIVG US Equity","CUST_TRR_RETURN_HOLDING_PER","CUST_TRR_START_DT","20260601","CUST_TRR_END_DT","20260630","CUST_TRR_CRNCY","USD"),"")</f>
        <v>0.14872669999999999</v>
      </c>
    </row>
    <row r="23" spans="1:3" x14ac:dyDescent="0.25">
      <c r="A23" s="2" t="s">
        <v>46</v>
      </c>
      <c r="B23" s="2" t="s">
        <v>68</v>
      </c>
      <c r="C23" s="4">
        <f>IFERROR(_xll.BDP("CIVG US Equity","CUST_TRR_RETURN_HOLDING_PER","CUST_TRR_START_DT","20260701","CUST_TRR_END_DT","20260731","CUST_TRR_CRNCY","USD"),"")</f>
        <v>-0.23913309999999999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31000000}"/>
  <dataValidations count="1">
    <dataValidation type="list" allowBlank="1" showErrorMessage="1" errorTitle="Invalid value" error="Choose a value from the Periods list." sqref="A2:A5000" xr:uid="{00000000-0002-0000-3100-000000000000}">
      <formula1>"2026-07"</formula1>
    </dataValidation>
  </dataValidations>
  <pageMargins left="0.75" right="0.75" top="1" bottom="1" header="0.5" footer="0.5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32000000}"/>
  <dataValidations count="14">
    <dataValidation type="list" allowBlank="1" showErrorMessage="1" errorTitle="Invalid value" error="Choose a value from the Periods list." sqref="A2:A5000" xr:uid="{00000000-0002-0000-3200-000000000000}">
      <formula1>"2026-07"</formula1>
    </dataValidation>
    <dataValidation type="list" allowBlank="1" showErrorMessage="1" errorTitle="Invalid value" error="Choose a value from the Units list." sqref="J2:J5000" xr:uid="{00000000-0002-0000-3200-000001000000}">
      <formula1>"NS,PA,NC,OU"</formula1>
    </dataValidation>
    <dataValidation type="list" allowBlank="1" showErrorMessage="1" errorTitle="Invalid value" error="Choose a value from the PayoffProfiles list." sqref="N2:N5000" xr:uid="{00000000-0002-0000-3200-000002000000}">
      <formula1>"Long,Short,N/A"</formula1>
    </dataValidation>
    <dataValidation type="list" allowBlank="1" showErrorMessage="1" errorTitle="Invalid value" error="Choose a value from the AssetCategories list." sqref="O2:O5000" xr:uid="{00000000-0002-0000-32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32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32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32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32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3200-000008000000}">
      <formula1>"Put,Call"</formula1>
    </dataValidation>
    <dataValidation type="list" allowBlank="1" showErrorMessage="1" errorTitle="Invalid value" error="Choose a value from the WrittenPurchased list." sqref="AM2:AM5000" xr:uid="{00000000-0002-0000-32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32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32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32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3200-000011000000}">
      <formula1>"Y,N"</formula1>
    </dataValidation>
  </dataValidations>
  <pageMargins left="0.75" right="0.75" top="1" bottom="1" header="0.5" footer="0.5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33000000}"/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IFERROR(_xll.BDP("CJUN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IFERROR(_xll.BDP("CJUN US Equity","CUST_TRR_RETURN_HOLDING_PER","CUST_TRR_START_DT","20260601","CUST_TRR_END_DT","20260630","CUST_TRR_CRNCY","USD"),"")</f>
        <v>-0.49372379999999999</v>
      </c>
    </row>
    <row r="23" spans="1:3" x14ac:dyDescent="0.25">
      <c r="A23" s="2" t="s">
        <v>46</v>
      </c>
      <c r="B23" s="2" t="s">
        <v>68</v>
      </c>
      <c r="C23" s="4">
        <f>IFERROR(_xll.BDP("CJUN US Equity","CUST_TRR_RETURN_HOLDING_PER","CUST_TRR_START_DT","20260701","CUST_TRR_END_DT","20260731","CUST_TRR_CRNCY","USD"),"")</f>
        <v>0.30670910000000001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34000000}"/>
  <dataValidations count="1">
    <dataValidation type="list" allowBlank="1" showErrorMessage="1" errorTitle="Invalid value" error="Choose a value from the Periods list." sqref="A2:A5000" xr:uid="{00000000-0002-0000-3400-000000000000}">
      <formula1>"2026-07"</formula1>
    </dataValidation>
  </dataValidations>
  <pageMargins left="0.75" right="0.75" top="1" bottom="1" header="0.5" footer="0.5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35000000}"/>
  <dataValidations count="14">
    <dataValidation type="list" allowBlank="1" showErrorMessage="1" errorTitle="Invalid value" error="Choose a value from the Periods list." sqref="A2:A5000" xr:uid="{00000000-0002-0000-3500-000000000000}">
      <formula1>"2026-07"</formula1>
    </dataValidation>
    <dataValidation type="list" allowBlank="1" showErrorMessage="1" errorTitle="Invalid value" error="Choose a value from the Units list." sqref="J2:J5000" xr:uid="{00000000-0002-0000-3500-000001000000}">
      <formula1>"NS,PA,NC,OU"</formula1>
    </dataValidation>
    <dataValidation type="list" allowBlank="1" showErrorMessage="1" errorTitle="Invalid value" error="Choose a value from the PayoffProfiles list." sqref="N2:N5000" xr:uid="{00000000-0002-0000-3500-000002000000}">
      <formula1>"Long,Short,N/A"</formula1>
    </dataValidation>
    <dataValidation type="list" allowBlank="1" showErrorMessage="1" errorTitle="Invalid value" error="Choose a value from the AssetCategories list." sqref="O2:O5000" xr:uid="{00000000-0002-0000-35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35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35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35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35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3500-000008000000}">
      <formula1>"Put,Call"</formula1>
    </dataValidation>
    <dataValidation type="list" allowBlank="1" showErrorMessage="1" errorTitle="Invalid value" error="Choose a value from the WrittenPurchased list." sqref="AM2:AM5000" xr:uid="{00000000-0002-0000-35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35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35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35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3500-000011000000}">
      <formula1>"Y,N"</formula1>
    </dataValidation>
  </dataValidations>
  <pageMargins left="0.75" right="0.75" top="1" bottom="1" header="0.5" footer="0.5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36000000}"/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>
        <f>IFERROR(_xll.BDP("CMAG US Equity","CUST_TRR_RETURN_HOLDING_PER","CUST_TRR_START_DT","20260501","CUST_TRR_END_DT","20260531","CUST_TRR_CRNCY","USD"),"")</f>
        <v>3.1092019999999998</v>
      </c>
    </row>
    <row r="22" spans="1:3" x14ac:dyDescent="0.25">
      <c r="A22" s="2" t="s">
        <v>46</v>
      </c>
      <c r="B22" s="2" t="s">
        <v>67</v>
      </c>
      <c r="C22" s="4">
        <f>IFERROR(_xll.BDP("CMAG US Equity","CUST_TRR_RETURN_HOLDING_PER","CUST_TRR_START_DT","20260601","CUST_TRR_END_DT","20260630","CUST_TRR_CRNCY","USD"),"")</f>
        <v>-8.3916559999999993</v>
      </c>
    </row>
    <row r="23" spans="1:3" x14ac:dyDescent="0.25">
      <c r="A23" s="2" t="s">
        <v>46</v>
      </c>
      <c r="B23" s="2" t="s">
        <v>68</v>
      </c>
      <c r="C23" s="4">
        <f>IFERROR(_xll.BDP("CMAG US Equity","CUST_TRR_RETURN_HOLDING_PER","CUST_TRR_START_DT","20260701","CUST_TRR_END_DT","20260731","CUST_TRR_CRNCY","USD"),"")</f>
        <v>2.789193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37000000}"/>
  <dataValidations count="1">
    <dataValidation type="list" allowBlank="1" showErrorMessage="1" errorTitle="Invalid value" error="Choose a value from the Periods list." sqref="A2:A5000" xr:uid="{00000000-0002-0000-3700-000000000000}">
      <formula1>"2026-07"</formula1>
    </dataValidation>
  </dataValidations>
  <pageMargins left="0.75" right="0.75" top="1" bottom="1" header="0.5" footer="0.5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38000000}"/>
  <dataValidations count="14">
    <dataValidation type="list" allowBlank="1" showErrorMessage="1" errorTitle="Invalid value" error="Choose a value from the Periods list." sqref="A2:A5000" xr:uid="{00000000-0002-0000-3800-000000000000}">
      <formula1>"2026-07"</formula1>
    </dataValidation>
    <dataValidation type="list" allowBlank="1" showErrorMessage="1" errorTitle="Invalid value" error="Choose a value from the Units list." sqref="J2:J5000" xr:uid="{00000000-0002-0000-3800-000001000000}">
      <formula1>"NS,PA,NC,OU"</formula1>
    </dataValidation>
    <dataValidation type="list" allowBlank="1" showErrorMessage="1" errorTitle="Invalid value" error="Choose a value from the PayoffProfiles list." sqref="N2:N5000" xr:uid="{00000000-0002-0000-3800-000002000000}">
      <formula1>"Long,Short,N/A"</formula1>
    </dataValidation>
    <dataValidation type="list" allowBlank="1" showErrorMessage="1" errorTitle="Invalid value" error="Choose a value from the AssetCategories list." sqref="O2:O5000" xr:uid="{00000000-0002-0000-38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38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38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38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38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3800-000008000000}">
      <formula1>"Put,Call"</formula1>
    </dataValidation>
    <dataValidation type="list" allowBlank="1" showErrorMessage="1" errorTitle="Invalid value" error="Choose a value from the WrittenPurchased list." sqref="AM2:AM5000" xr:uid="{00000000-0002-0000-38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38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38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38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3800-000011000000}">
      <formula1>"Y,N"</formula1>
    </dataValidation>
  </dataValidations>
  <pageMargins left="0.75" right="0.75" top="1" bottom="1" header="0.5" footer="0.5"/>
  <legacy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39000000}"/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>
        <f>IFERROR(_xll.BDP("CMAY US Equity","CUST_TRR_RETURN_HOLDING_PER","CUST_TRR_START_DT","20260501","CUST_TRR_END_DT","20260531","CUST_TRR_CRNCY","USD"),"")</f>
        <v>1.9713769999999999</v>
      </c>
    </row>
    <row r="22" spans="1:3" x14ac:dyDescent="0.25">
      <c r="A22" s="2" t="s">
        <v>46</v>
      </c>
      <c r="B22" s="2" t="s">
        <v>67</v>
      </c>
      <c r="C22" s="4">
        <f>IFERROR(_xll.BDP("CMAY US Equity","CUST_TRR_RETURN_HOLDING_PER","CUST_TRR_START_DT","20260601","CUST_TRR_END_DT","20260630","CUST_TRR_CRNCY","USD"),"")</f>
        <v>-7.8067360000000005E-4</v>
      </c>
    </row>
    <row r="23" spans="1:3" x14ac:dyDescent="0.25">
      <c r="A23" s="2" t="s">
        <v>46</v>
      </c>
      <c r="B23" s="2" t="s">
        <v>68</v>
      </c>
      <c r="C23" s="4">
        <f>IFERROR(_xll.BDP("CMAY US Equity","CUST_TRR_RETURN_HOLDING_PER","CUST_TRR_START_DT","20260701","CUST_TRR_END_DT","20260731","CUST_TRR_CRNCY","USD"),"")</f>
        <v>0.2085603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3A000000}"/>
  <dataValidations count="1">
    <dataValidation type="list" allowBlank="1" showErrorMessage="1" errorTitle="Invalid value" error="Choose a value from the Periods list." sqref="A2:A5000" xr:uid="{00000000-0002-0000-3A00-000000000000}">
      <formula1>"2026-07"</formula1>
    </dataValidation>
  </dataValidations>
  <pageMargins left="0.75" right="0.75" top="1" bottom="1" header="0.5" footer="0.5"/>
  <legacy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3B000000}"/>
  <dataValidations count="14">
    <dataValidation type="list" allowBlank="1" showErrorMessage="1" errorTitle="Invalid value" error="Choose a value from the Periods list." sqref="A2:A5000" xr:uid="{00000000-0002-0000-3B00-000000000000}">
      <formula1>"2026-07"</formula1>
    </dataValidation>
    <dataValidation type="list" allowBlank="1" showErrorMessage="1" errorTitle="Invalid value" error="Choose a value from the Units list." sqref="J2:J5000" xr:uid="{00000000-0002-0000-3B00-000001000000}">
      <formula1>"NS,PA,NC,OU"</formula1>
    </dataValidation>
    <dataValidation type="list" allowBlank="1" showErrorMessage="1" errorTitle="Invalid value" error="Choose a value from the PayoffProfiles list." sqref="N2:N5000" xr:uid="{00000000-0002-0000-3B00-000002000000}">
      <formula1>"Long,Short,N/A"</formula1>
    </dataValidation>
    <dataValidation type="list" allowBlank="1" showErrorMessage="1" errorTitle="Invalid value" error="Choose a value from the AssetCategories list." sqref="O2:O5000" xr:uid="{00000000-0002-0000-3B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3B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3B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3B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3B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3B00-000008000000}">
      <formula1>"Put,Call"</formula1>
    </dataValidation>
    <dataValidation type="list" allowBlank="1" showErrorMessage="1" errorTitle="Invalid value" error="Choose a value from the WrittenPurchased list." sqref="AM2:AM5000" xr:uid="{00000000-0002-0000-3B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3B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3B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3B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3B00-000011000000}">
      <formula1>"Y,N"</formula1>
    </dataValidation>
  </dataValidations>
  <pageMargins left="0.75" right="0.75" top="1" bottom="1" header="0.5" footer="0.5"/>
  <legacy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3C000000}"/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>
        <f>IFERROR(_xll.BDP("CQTM US Equity","CUST_TRR_RETURN_HOLDING_PER","CUST_TRR_START_DT","20260501","CUST_TRR_END_DT","20260531","CUST_TRR_CRNCY","USD"),"")</f>
        <v>22.87913</v>
      </c>
    </row>
    <row r="22" spans="1:3" x14ac:dyDescent="0.25">
      <c r="A22" s="2" t="s">
        <v>46</v>
      </c>
      <c r="B22" s="2" t="s">
        <v>67</v>
      </c>
      <c r="C22" s="4">
        <f>IFERROR(_xll.BDP("CQTM US Equity","CUST_TRR_RETURN_HOLDING_PER","CUST_TRR_START_DT","20260601","CUST_TRR_END_DT","20260630","CUST_TRR_CRNCY","USD"),"")</f>
        <v>-5.145079</v>
      </c>
    </row>
    <row r="23" spans="1:3" x14ac:dyDescent="0.25">
      <c r="A23" s="2" t="s">
        <v>46</v>
      </c>
      <c r="B23" s="2" t="s">
        <v>68</v>
      </c>
      <c r="C23" s="4">
        <f>IFERROR(_xll.BDP("CQTM US Equity","CUST_TRR_RETURN_HOLDING_PER","CUST_TRR_START_DT","20260701","CUST_TRR_END_DT","20260731","CUST_TRR_CRNCY","USD"),"")</f>
        <v>-25.113409999999998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3D000000}"/>
  <dataValidations count="1">
    <dataValidation type="list" allowBlank="1" showErrorMessage="1" errorTitle="Invalid value" error="Choose a value from the Periods list." sqref="A2:A5000" xr:uid="{00000000-0002-0000-3D00-000000000000}">
      <formula1>"2026-07"</formula1>
    </dataValidation>
  </dataValidations>
  <pageMargins left="0.75" right="0.75" top="1" bottom="1" header="0.5" footer="0.5"/>
  <legacy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3E000000}"/>
  <dataValidations count="14">
    <dataValidation type="list" allowBlank="1" showErrorMessage="1" errorTitle="Invalid value" error="Choose a value from the Periods list." sqref="A2:A5000" xr:uid="{00000000-0002-0000-3E00-000000000000}">
      <formula1>"2026-07"</formula1>
    </dataValidation>
    <dataValidation type="list" allowBlank="1" showErrorMessage="1" errorTitle="Invalid value" error="Choose a value from the Units list." sqref="J2:J5000" xr:uid="{00000000-0002-0000-3E00-000001000000}">
      <formula1>"NS,PA,NC,OU"</formula1>
    </dataValidation>
    <dataValidation type="list" allowBlank="1" showErrorMessage="1" errorTitle="Invalid value" error="Choose a value from the PayoffProfiles list." sqref="N2:N5000" xr:uid="{00000000-0002-0000-3E00-000002000000}">
      <formula1>"Long,Short,N/A"</formula1>
    </dataValidation>
    <dataValidation type="list" allowBlank="1" showErrorMessage="1" errorTitle="Invalid value" error="Choose a value from the AssetCategories list." sqref="O2:O5000" xr:uid="{00000000-0002-0000-3E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3E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3E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3E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3E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3E00-000008000000}">
      <formula1>"Put,Call"</formula1>
    </dataValidation>
    <dataValidation type="list" allowBlank="1" showErrorMessage="1" errorTitle="Invalid value" error="Choose a value from the WrittenPurchased list." sqref="AM2:AM5000" xr:uid="{00000000-0002-0000-3E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3E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3E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3E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3E00-000011000000}">
      <formula1>"Y,N"</formula1>
    </dataValidation>
  </dataValidations>
  <pageMargins left="0.75" right="0.75" top="1" bottom="1" header="0.5" footer="0.5"/>
  <legacy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3</v>
      </c>
    </row>
    <row r="7" spans="1:2" x14ac:dyDescent="0.25">
      <c r="A7" s="2" t="s">
        <v>10</v>
      </c>
      <c r="B7" s="3" t="s">
        <v>11</v>
      </c>
    </row>
    <row r="8" spans="1:2" x14ac:dyDescent="0.25">
      <c r="A8" s="2" t="s">
        <v>12</v>
      </c>
      <c r="B8" s="3" t="s">
        <v>13</v>
      </c>
    </row>
    <row r="9" spans="1:2" x14ac:dyDescent="0.25">
      <c r="A9" s="2" t="s">
        <v>14</v>
      </c>
      <c r="B9" s="3" t="s">
        <v>15</v>
      </c>
    </row>
    <row r="10" spans="1:2" x14ac:dyDescent="0.25">
      <c r="A10" s="2" t="s">
        <v>16</v>
      </c>
      <c r="B10" s="3" t="s">
        <v>17</v>
      </c>
    </row>
    <row r="11" spans="1:2" x14ac:dyDescent="0.25">
      <c r="A11" s="2" t="s">
        <v>18</v>
      </c>
      <c r="B11" s="3" t="s">
        <v>19</v>
      </c>
    </row>
    <row r="12" spans="1:2" x14ac:dyDescent="0.25">
      <c r="A12" s="2" t="s">
        <v>20</v>
      </c>
      <c r="B12" s="3" t="s">
        <v>21</v>
      </c>
    </row>
    <row r="13" spans="1:2" x14ac:dyDescent="0.25">
      <c r="A13" s="2" t="s">
        <v>22</v>
      </c>
      <c r="B13" s="3" t="s">
        <v>23</v>
      </c>
    </row>
    <row r="14" spans="1:2" x14ac:dyDescent="0.25">
      <c r="A14" s="2" t="s">
        <v>24</v>
      </c>
      <c r="B14" s="3" t="s">
        <v>25</v>
      </c>
    </row>
    <row r="15" spans="1:2" x14ac:dyDescent="0.25">
      <c r="A15" s="2" t="s">
        <v>26</v>
      </c>
      <c r="B15" s="3" t="s">
        <v>194</v>
      </c>
    </row>
    <row r="16" spans="1:2" x14ac:dyDescent="0.25">
      <c r="A16" s="2" t="s">
        <v>28</v>
      </c>
      <c r="B16" s="3" t="s">
        <v>195</v>
      </c>
    </row>
    <row r="17" spans="1:2" x14ac:dyDescent="0.25">
      <c r="A17" s="2" t="s">
        <v>30</v>
      </c>
      <c r="B17" s="3" t="s">
        <v>196</v>
      </c>
    </row>
    <row r="18" spans="1:2" x14ac:dyDescent="0.25">
      <c r="A18" s="2" t="s">
        <v>32</v>
      </c>
      <c r="B18" s="3" t="s">
        <v>197</v>
      </c>
    </row>
    <row r="19" spans="1:2" x14ac:dyDescent="0.25">
      <c r="A19" s="2" t="s">
        <v>34</v>
      </c>
      <c r="B19" s="3" t="s">
        <v>6</v>
      </c>
    </row>
    <row r="20" spans="1:2" x14ac:dyDescent="0.25">
      <c r="A20" s="2" t="s">
        <v>35</v>
      </c>
      <c r="B20" s="3" t="s">
        <v>36</v>
      </c>
    </row>
    <row r="21" spans="1:2" x14ac:dyDescent="0.25">
      <c r="A21" s="2" t="s">
        <v>37</v>
      </c>
      <c r="B21" s="3" t="s">
        <v>38</v>
      </c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3F000000}"/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IFERROR(_xll.BDP("CRUC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IFERROR(_xll.BDP("CRUC US Equity","CUST_TRR_RETURN_HOLDING_PER","CUST_TRR_START_DT","20260601","CUST_TRR_END_DT","20260630","CUST_TRR_CRNCY","USD"),"")</f>
        <v>-11.395350000000001</v>
      </c>
    </row>
    <row r="23" spans="1:3" x14ac:dyDescent="0.25">
      <c r="A23" s="2" t="s">
        <v>46</v>
      </c>
      <c r="B23" s="2" t="s">
        <v>68</v>
      </c>
      <c r="C23" s="4">
        <f>IFERROR(_xll.BDP("CRUC US Equity","CUST_TRR_RETURN_HOLDING_PER","CUST_TRR_START_DT","20260701","CUST_TRR_END_DT","20260731","CUST_TRR_CRNCY","USD"),"")</f>
        <v>-23.309899999999999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40000000}"/>
  <dataValidations count="1">
    <dataValidation type="list" allowBlank="1" showErrorMessage="1" errorTitle="Invalid value" error="Choose a value from the Periods list." sqref="A2:A5000" xr:uid="{00000000-0002-0000-4000-000000000000}">
      <formula1>"2026-07"</formula1>
    </dataValidation>
  </dataValidations>
  <pageMargins left="0.75" right="0.75" top="1" bottom="1" header="0.5" footer="0.5"/>
  <legacy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41000000}"/>
  <dataValidations count="14">
    <dataValidation type="list" allowBlank="1" showErrorMessage="1" errorTitle="Invalid value" error="Choose a value from the Periods list." sqref="A2:A5000" xr:uid="{00000000-0002-0000-4100-000000000000}">
      <formula1>"2026-07"</formula1>
    </dataValidation>
    <dataValidation type="list" allowBlank="1" showErrorMessage="1" errorTitle="Invalid value" error="Choose a value from the Units list." sqref="J2:J5000" xr:uid="{00000000-0002-0000-4100-000001000000}">
      <formula1>"NS,PA,NC,OU"</formula1>
    </dataValidation>
    <dataValidation type="list" allowBlank="1" showErrorMessage="1" errorTitle="Invalid value" error="Choose a value from the PayoffProfiles list." sqref="N2:N5000" xr:uid="{00000000-0002-0000-4100-000002000000}">
      <formula1>"Long,Short,N/A"</formula1>
    </dataValidation>
    <dataValidation type="list" allowBlank="1" showErrorMessage="1" errorTitle="Invalid value" error="Choose a value from the AssetCategories list." sqref="O2:O5000" xr:uid="{00000000-0002-0000-41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41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41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41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41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4100-000008000000}">
      <formula1>"Put,Call"</formula1>
    </dataValidation>
    <dataValidation type="list" allowBlank="1" showErrorMessage="1" errorTitle="Invalid value" error="Choose a value from the WrittenPurchased list." sqref="AM2:AM5000" xr:uid="{00000000-0002-0000-41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41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41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41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4100-000011000000}">
      <formula1>"Y,N"</formula1>
    </dataValidation>
  </dataValidations>
  <pageMargins left="0.75" right="0.75" top="1" bottom="1" header="0.5" footer="0.5"/>
  <legacy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42000000}"/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IFERROR(_xll.BDP("CTJN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IFERROR(_xll.BDP("CTJN US Equity","CUST_TRR_RETURN_HOLDING_PER","CUST_TRR_START_DT","20260601","CUST_TRR_END_DT","20260630","CUST_TRR_CRNCY","USD"),"")</f>
        <v>-0.79091089999999997</v>
      </c>
    </row>
    <row r="23" spans="1:3" x14ac:dyDescent="0.25">
      <c r="A23" s="2" t="s">
        <v>46</v>
      </c>
      <c r="B23" s="2" t="s">
        <v>68</v>
      </c>
      <c r="C23" s="4">
        <f>IFERROR(_xll.BDP("CTJN US Equity","CUST_TRR_RETURN_HOLDING_PER","CUST_TRR_START_DT","20260701","CUST_TRR_END_DT","20260731","CUST_TRR_CRNCY","USD"),"")</f>
        <v>0.31901580000000002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43000000}"/>
  <dataValidations count="1">
    <dataValidation type="list" allowBlank="1" showErrorMessage="1" errorTitle="Invalid value" error="Choose a value from the Periods list." sqref="A2:A5000" xr:uid="{00000000-0002-0000-4300-000000000000}">
      <formula1>"2026-07"</formula1>
    </dataValidation>
  </dataValidations>
  <pageMargins left="0.75" right="0.75" top="1" bottom="1" header="0.5" footer="0.5"/>
  <legacy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44000000}"/>
  <dataValidations count="14">
    <dataValidation type="list" allowBlank="1" showErrorMessage="1" errorTitle="Invalid value" error="Choose a value from the Periods list." sqref="A2:A5000" xr:uid="{00000000-0002-0000-4400-000000000000}">
      <formula1>"2026-07"</formula1>
    </dataValidation>
    <dataValidation type="list" allowBlank="1" showErrorMessage="1" errorTitle="Invalid value" error="Choose a value from the Units list." sqref="J2:J5000" xr:uid="{00000000-0002-0000-4400-000001000000}">
      <formula1>"NS,PA,NC,OU"</formula1>
    </dataValidation>
    <dataValidation type="list" allowBlank="1" showErrorMessage="1" errorTitle="Invalid value" error="Choose a value from the PayoffProfiles list." sqref="N2:N5000" xr:uid="{00000000-0002-0000-4400-000002000000}">
      <formula1>"Long,Short,N/A"</formula1>
    </dataValidation>
    <dataValidation type="list" allowBlank="1" showErrorMessage="1" errorTitle="Invalid value" error="Choose a value from the AssetCategories list." sqref="O2:O5000" xr:uid="{00000000-0002-0000-44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44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44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44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44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4400-000008000000}">
      <formula1>"Put,Call"</formula1>
    </dataValidation>
    <dataValidation type="list" allowBlank="1" showErrorMessage="1" errorTitle="Invalid value" error="Choose a value from the WrittenPurchased list." sqref="AM2:AM5000" xr:uid="{00000000-0002-0000-44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44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44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44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4400-000011000000}">
      <formula1>"Y,N"</formula1>
    </dataValidation>
  </dataValidations>
  <pageMargins left="0.75" right="0.75" top="1" bottom="1" header="0.5" footer="0.5"/>
  <legacy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45000000}"/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>
        <f>IFERROR(_xll.BDP("CTMA US Equity","CUST_TRR_RETURN_HOLDING_PER","CUST_TRR_START_DT","20260501","CUST_TRR_END_DT","20260531","CUST_TRR_CRNCY","USD"),"")</f>
        <v>1.269536</v>
      </c>
    </row>
    <row r="22" spans="1:3" x14ac:dyDescent="0.25">
      <c r="A22" s="2" t="s">
        <v>46</v>
      </c>
      <c r="B22" s="2" t="s">
        <v>67</v>
      </c>
      <c r="C22" s="4">
        <f>IFERROR(_xll.BDP("CTMA US Equity","CUST_TRR_RETURN_HOLDING_PER","CUST_TRR_START_DT","20260601","CUST_TRR_END_DT","20260630","CUST_TRR_CRNCY","USD"),"")</f>
        <v>-0.446996</v>
      </c>
    </row>
    <row r="23" spans="1:3" x14ac:dyDescent="0.25">
      <c r="A23" s="2" t="s">
        <v>46</v>
      </c>
      <c r="B23" s="2" t="s">
        <v>68</v>
      </c>
      <c r="C23" s="4">
        <f>IFERROR(_xll.BDP("CTMA US Equity","CUST_TRR_RETURN_HOLDING_PER","CUST_TRR_START_DT","20260701","CUST_TRR_END_DT","20260731","CUST_TRR_CRNCY","USD"),"")</f>
        <v>0.14504320000000001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46000000}"/>
  <dataValidations count="1">
    <dataValidation type="list" allowBlank="1" showErrorMessage="1" errorTitle="Invalid value" error="Choose a value from the Periods list." sqref="A2:A5000" xr:uid="{00000000-0002-0000-4600-000000000000}">
      <formula1>"2026-07"</formula1>
    </dataValidation>
  </dataValidations>
  <pageMargins left="0.75" right="0.75" top="1" bottom="1" header="0.5" footer="0.5"/>
  <legacy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47000000}"/>
  <dataValidations count="14">
    <dataValidation type="list" allowBlank="1" showErrorMessage="1" errorTitle="Invalid value" error="Choose a value from the Periods list." sqref="A2:A5000" xr:uid="{00000000-0002-0000-4700-000000000000}">
      <formula1>"2026-07"</formula1>
    </dataValidation>
    <dataValidation type="list" allowBlank="1" showErrorMessage="1" errorTitle="Invalid value" error="Choose a value from the Units list." sqref="J2:J5000" xr:uid="{00000000-0002-0000-4700-000001000000}">
      <formula1>"NS,PA,NC,OU"</formula1>
    </dataValidation>
    <dataValidation type="list" allowBlank="1" showErrorMessage="1" errorTitle="Invalid value" error="Choose a value from the PayoffProfiles list." sqref="N2:N5000" xr:uid="{00000000-0002-0000-4700-000002000000}">
      <formula1>"Long,Short,N/A"</formula1>
    </dataValidation>
    <dataValidation type="list" allowBlank="1" showErrorMessage="1" errorTitle="Invalid value" error="Choose a value from the AssetCategories list." sqref="O2:O5000" xr:uid="{00000000-0002-0000-47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47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47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47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47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4700-000008000000}">
      <formula1>"Put,Call"</formula1>
    </dataValidation>
    <dataValidation type="list" allowBlank="1" showErrorMessage="1" errorTitle="Invalid value" error="Choose a value from the WrittenPurchased list." sqref="AM2:AM5000" xr:uid="{00000000-0002-0000-47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47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47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47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4700-000011000000}">
      <formula1>"Y,N"</formula1>
    </dataValidation>
  </dataValidations>
  <pageMargins left="0.75" right="0.75" top="1" bottom="1" header="0.5" footer="0.5"/>
  <legacy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48000000}"/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IFERROR(_xll.BDP("CUST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IFERROR(_xll.BDP("CUST US Equity","CUST_TRR_RETURN_HOLDING_PER","CUST_TRR_START_DT","20260601","CUST_TRR_END_DT","20260630","CUST_TRR_CRNCY","USD"),"")</f>
        <v>0.2076344</v>
      </c>
    </row>
    <row r="23" spans="1:3" x14ac:dyDescent="0.25">
      <c r="A23" s="2" t="s">
        <v>46</v>
      </c>
      <c r="B23" s="2" t="s">
        <v>68</v>
      </c>
      <c r="C23" s="4">
        <f>IFERROR(_xll.BDP("CUST US Equity","CUST_TRR_RETURN_HOLDING_PER","CUST_TRR_START_DT","20260701","CUST_TRR_END_DT","20260731","CUST_TRR_CRNCY","USD"),"")</f>
        <v>6.6874379999999997E-2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49000000}"/>
  <dataValidations count="1">
    <dataValidation type="list" allowBlank="1" showErrorMessage="1" errorTitle="Invalid value" error="Choose a value from the Periods list." sqref="A2:A5000" xr:uid="{00000000-0002-0000-4900-000000000000}">
      <formula1>"2026-07"</formula1>
    </dataValidation>
  </dataValidations>
  <pageMargins left="0.75" right="0.75" top="1" bottom="1" header="0.5" footer="0.5"/>
  <legacy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4A000000}"/>
  <dataValidations count="14">
    <dataValidation type="list" allowBlank="1" showErrorMessage="1" errorTitle="Invalid value" error="Choose a value from the Periods list." sqref="A2:A5000" xr:uid="{00000000-0002-0000-4A00-000000000000}">
      <formula1>"2026-07"</formula1>
    </dataValidation>
    <dataValidation type="list" allowBlank="1" showErrorMessage="1" errorTitle="Invalid value" error="Choose a value from the Units list." sqref="J2:J5000" xr:uid="{00000000-0002-0000-4A00-000001000000}">
      <formula1>"NS,PA,NC,OU"</formula1>
    </dataValidation>
    <dataValidation type="list" allowBlank="1" showErrorMessage="1" errorTitle="Invalid value" error="Choose a value from the PayoffProfiles list." sqref="N2:N5000" xr:uid="{00000000-0002-0000-4A00-000002000000}">
      <formula1>"Long,Short,N/A"</formula1>
    </dataValidation>
    <dataValidation type="list" allowBlank="1" showErrorMessage="1" errorTitle="Invalid value" error="Choose a value from the AssetCategories list." sqref="O2:O5000" xr:uid="{00000000-0002-0000-4A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4A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4A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4A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4A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4A00-000008000000}">
      <formula1>"Put,Call"</formula1>
    </dataValidation>
    <dataValidation type="list" allowBlank="1" showErrorMessage="1" errorTitle="Invalid value" error="Choose a value from the WrittenPurchased list." sqref="AM2:AM5000" xr:uid="{00000000-0002-0000-4A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4A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4A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4A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4A00-000011000000}">
      <formula1>"Y,N"</formula1>
    </dataValidation>
  </dataValidations>
  <pageMargins left="0.75" right="0.75" top="1" bottom="1" header="0.5" footer="0.5"/>
  <legacy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4B000000}"/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>
        <f>IFERROR(_xll.BDP("DIPR US Equity","CUST_TRR_RETURN_HOLDING_PER","CUST_TRR_START_DT","20260501","CUST_TRR_END_DT","20260531","CUST_TRR_CRNCY","USD"),"")</f>
        <v>27.94623</v>
      </c>
    </row>
    <row r="22" spans="1:3" x14ac:dyDescent="0.25">
      <c r="A22" s="2" t="s">
        <v>46</v>
      </c>
      <c r="B22" s="2" t="s">
        <v>67</v>
      </c>
      <c r="C22" s="4">
        <f>IFERROR(_xll.BDP("DIPR US Equity","CUST_TRR_RETURN_HOLDING_PER","CUST_TRR_START_DT","20260601","CUST_TRR_END_DT","20260630","CUST_TRR_CRNCY","USD"),"")</f>
        <v>-15.000859999999999</v>
      </c>
    </row>
    <row r="23" spans="1:3" x14ac:dyDescent="0.25">
      <c r="A23" s="2" t="s">
        <v>46</v>
      </c>
      <c r="B23" s="2" t="s">
        <v>68</v>
      </c>
      <c r="C23" s="4">
        <f>IFERROR(_xll.BDP("DIPR US Equity","CUST_TRR_RETURN_HOLDING_PER","CUST_TRR_START_DT","20260701","CUST_TRR_END_DT","20260731","CUST_TRR_CRNCY","USD"),"")</f>
        <v>-18.914549999999998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4C000000}"/>
  <dataValidations count="1">
    <dataValidation type="list" allowBlank="1" showErrorMessage="1" errorTitle="Invalid value" error="Choose a value from the Periods list." sqref="A2:A5000" xr:uid="{00000000-0002-0000-4C00-000000000000}">
      <formula1>"2026-07"</formula1>
    </dataValidation>
  </dataValidations>
  <pageMargins left="0.75" right="0.75" top="1" bottom="1" header="0.5" footer="0.5"/>
  <legacy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4D000000}"/>
  <dataValidations count="14">
    <dataValidation type="list" allowBlank="1" showErrorMessage="1" errorTitle="Invalid value" error="Choose a value from the Periods list." sqref="A2:A5000" xr:uid="{00000000-0002-0000-4D00-000000000000}">
      <formula1>"2026-07"</formula1>
    </dataValidation>
    <dataValidation type="list" allowBlank="1" showErrorMessage="1" errorTitle="Invalid value" error="Choose a value from the Units list." sqref="J2:J5000" xr:uid="{00000000-0002-0000-4D00-000001000000}">
      <formula1>"NS,PA,NC,OU"</formula1>
    </dataValidation>
    <dataValidation type="list" allowBlank="1" showErrorMessage="1" errorTitle="Invalid value" error="Choose a value from the PayoffProfiles list." sqref="N2:N5000" xr:uid="{00000000-0002-0000-4D00-000002000000}">
      <formula1>"Long,Short,N/A"</formula1>
    </dataValidation>
    <dataValidation type="list" allowBlank="1" showErrorMessage="1" errorTitle="Invalid value" error="Choose a value from the AssetCategories list." sqref="O2:O5000" xr:uid="{00000000-0002-0000-4D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4D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4D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4D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4D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4D00-000008000000}">
      <formula1>"Put,Call"</formula1>
    </dataValidation>
    <dataValidation type="list" allowBlank="1" showErrorMessage="1" errorTitle="Invalid value" error="Choose a value from the WrittenPurchased list." sqref="AM2:AM5000" xr:uid="{00000000-0002-0000-4D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4D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4D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4D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4D00-000011000000}">
      <formula1>"Y,N"</formula1>
    </dataValidation>
  </dataValidations>
  <pageMargins left="0.75" right="0.75" top="1" bottom="1" header="0.5" footer="0.5"/>
  <legacy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4E000000}"/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>
        <f>IFERROR(_xll.BDP("DOCK US Equity","CUST_TRR_RETURN_HOLDING_PER","CUST_TRR_START_DT","20260501","CUST_TRR_END_DT","20260531","CUST_TRR_CRNCY","USD"),"")</f>
        <v>1.810934</v>
      </c>
    </row>
    <row r="22" spans="1:3" x14ac:dyDescent="0.25">
      <c r="A22" s="2" t="s">
        <v>46</v>
      </c>
      <c r="B22" s="2" t="s">
        <v>67</v>
      </c>
      <c r="C22" s="4">
        <f>IFERROR(_xll.BDP("DOCK US Equity","CUST_TRR_RETURN_HOLDING_PER","CUST_TRR_START_DT","20260601","CUST_TRR_END_DT","20260630","CUST_TRR_CRNCY","USD"),"")</f>
        <v>1.3750469999999999</v>
      </c>
    </row>
    <row r="23" spans="1:3" x14ac:dyDescent="0.25">
      <c r="A23" s="2" t="s">
        <v>46</v>
      </c>
      <c r="B23" s="2" t="s">
        <v>68</v>
      </c>
      <c r="C23" s="4">
        <f>IFERROR(_xll.BDP("DOCK US Equity","CUST_TRR_RETURN_HOLDING_PER","CUST_TRR_START_DT","20260701","CUST_TRR_END_DT","20260731","CUST_TRR_CRNCY","USD"),"")</f>
        <v>-1.1164529999999999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4F000000}"/>
  <dataValidations count="1">
    <dataValidation type="list" allowBlank="1" showErrorMessage="1" errorTitle="Invalid value" error="Choose a value from the Periods list." sqref="A2:A5000" xr:uid="{00000000-0002-0000-4F00-000000000000}">
      <formula1>"2026-07"</formula1>
    </dataValidation>
  </dataValidations>
  <pageMargins left="0.75" right="0.75" top="1" bottom="1" header="0.5" footer="0.5"/>
  <legacy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50000000}"/>
  <dataValidations count="14">
    <dataValidation type="list" allowBlank="1" showErrorMessage="1" errorTitle="Invalid value" error="Choose a value from the Periods list." sqref="A2:A5000" xr:uid="{00000000-0002-0000-5000-000000000000}">
      <formula1>"2026-07"</formula1>
    </dataValidation>
    <dataValidation type="list" allowBlank="1" showErrorMessage="1" errorTitle="Invalid value" error="Choose a value from the Units list." sqref="J2:J5000" xr:uid="{00000000-0002-0000-5000-000001000000}">
      <formula1>"NS,PA,NC,OU"</formula1>
    </dataValidation>
    <dataValidation type="list" allowBlank="1" showErrorMessage="1" errorTitle="Invalid value" error="Choose a value from the PayoffProfiles list." sqref="N2:N5000" xr:uid="{00000000-0002-0000-5000-000002000000}">
      <formula1>"Long,Short,N/A"</formula1>
    </dataValidation>
    <dataValidation type="list" allowBlank="1" showErrorMessage="1" errorTitle="Invalid value" error="Choose a value from the AssetCategories list." sqref="O2:O5000" xr:uid="{00000000-0002-0000-50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50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50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50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50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5000-000008000000}">
      <formula1>"Put,Call"</formula1>
    </dataValidation>
    <dataValidation type="list" allowBlank="1" showErrorMessage="1" errorTitle="Invalid value" error="Choose a value from the WrittenPurchased list." sqref="AM2:AM5000" xr:uid="{00000000-0002-0000-50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50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50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50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5000-000011000000}">
      <formula1>"Y,N"</formula1>
    </dataValidation>
  </dataValidations>
  <pageMargins left="0.75" right="0.75" top="1" bottom="1" header="0.5" footer="0.5"/>
  <legacy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51000000}"/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IFERROR(_xll.BDP("EMJN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IFERROR(_xll.BDP("EMJN US Equity","CUST_TRR_RETURN_HOLDING_PER","CUST_TRR_START_DT","20260601","CUST_TRR_END_DT","20260630","CUST_TRR_CRNCY","USD"),"")</f>
        <v>-2.4783300000000001</v>
      </c>
    </row>
    <row r="23" spans="1:3" x14ac:dyDescent="0.25">
      <c r="A23" s="2" t="s">
        <v>46</v>
      </c>
      <c r="B23" s="2" t="s">
        <v>68</v>
      </c>
      <c r="C23" s="4">
        <f>IFERROR(_xll.BDP("EMJN US Equity","CUST_TRR_RETURN_HOLDING_PER","CUST_TRR_START_DT","20260701","CUST_TRR_END_DT","20260731","CUST_TRR_CRNCY","USD"),"")</f>
        <v>-4.2126770000000002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52000000}"/>
  <dataValidations count="1">
    <dataValidation type="list" allowBlank="1" showErrorMessage="1" errorTitle="Invalid value" error="Choose a value from the Periods list." sqref="A2:A5000" xr:uid="{00000000-0002-0000-5200-000000000000}">
      <formula1>"2026-07"</formula1>
    </dataValidation>
  </dataValidations>
  <pageMargins left="0.75" right="0.75" top="1" bottom="1" header="0.5" footer="0.5"/>
  <legacy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53000000}"/>
  <dataValidations count="14">
    <dataValidation type="list" allowBlank="1" showErrorMessage="1" errorTitle="Invalid value" error="Choose a value from the Periods list." sqref="A2:A5000" xr:uid="{00000000-0002-0000-5300-000000000000}">
      <formula1>"2026-07"</formula1>
    </dataValidation>
    <dataValidation type="list" allowBlank="1" showErrorMessage="1" errorTitle="Invalid value" error="Choose a value from the Units list." sqref="J2:J5000" xr:uid="{00000000-0002-0000-5300-000001000000}">
      <formula1>"NS,PA,NC,OU"</formula1>
    </dataValidation>
    <dataValidation type="list" allowBlank="1" showErrorMessage="1" errorTitle="Invalid value" error="Choose a value from the PayoffProfiles list." sqref="N2:N5000" xr:uid="{00000000-0002-0000-5300-000002000000}">
      <formula1>"Long,Short,N/A"</formula1>
    </dataValidation>
    <dataValidation type="list" allowBlank="1" showErrorMessage="1" errorTitle="Invalid value" error="Choose a value from the AssetCategories list." sqref="O2:O5000" xr:uid="{00000000-0002-0000-53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53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53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53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53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5300-000008000000}">
      <formula1>"Put,Call"</formula1>
    </dataValidation>
    <dataValidation type="list" allowBlank="1" showErrorMessage="1" errorTitle="Invalid value" error="Choose a value from the WrittenPurchased list." sqref="AM2:AM5000" xr:uid="{00000000-0002-0000-53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53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53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53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5300-000011000000}">
      <formula1>"Y,N"</formula1>
    </dataValidation>
  </dataValidations>
  <pageMargins left="0.75" right="0.75" top="1" bottom="1" header="0.5" footer="0.5"/>
  <legacy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54000000}"/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>
        <f>IFERROR(_xll.BDP("EMMY US Equity","CUST_TRR_RETURN_HOLDING_PER","CUST_TRR_START_DT","20260501","CUST_TRR_END_DT","20260531","CUST_TRR_CRNCY","USD"),"")</f>
        <v>-1.4445460000000001</v>
      </c>
    </row>
    <row r="22" spans="1:3" x14ac:dyDescent="0.25">
      <c r="A22" s="2" t="s">
        <v>46</v>
      </c>
      <c r="B22" s="2" t="s">
        <v>67</v>
      </c>
      <c r="C22" s="4">
        <f>IFERROR(_xll.BDP("EMMY US Equity","CUST_TRR_RETURN_HOLDING_PER","CUST_TRR_START_DT","20260601","CUST_TRR_END_DT","20260630","CUST_TRR_CRNCY","USD"),"")</f>
        <v>-1.312378</v>
      </c>
    </row>
    <row r="23" spans="1:3" x14ac:dyDescent="0.25">
      <c r="A23" s="2" t="s">
        <v>46</v>
      </c>
      <c r="B23" s="2" t="s">
        <v>68</v>
      </c>
      <c r="C23" s="4">
        <f>IFERROR(_xll.BDP("EMMY US Equity","CUST_TRR_RETURN_HOLDING_PER","CUST_TRR_START_DT","20260701","CUST_TRR_END_DT","20260731","CUST_TRR_CRNCY","USD"),"")</f>
        <v>-1.3155410000000001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55000000}"/>
  <dataValidations count="1">
    <dataValidation type="list" allowBlank="1" showErrorMessage="1" errorTitle="Invalid value" error="Choose a value from the Periods list." sqref="A2:A5000" xr:uid="{00000000-0002-0000-5500-000000000000}">
      <formula1>"2026-07"</formula1>
    </dataValidation>
  </dataValidations>
  <pageMargins left="0.75" right="0.75" top="1" bottom="1" header="0.5" footer="0.5"/>
  <legacy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56000000}"/>
  <dataValidations count="14">
    <dataValidation type="list" allowBlank="1" showErrorMessage="1" errorTitle="Invalid value" error="Choose a value from the Periods list." sqref="A2:A5000" xr:uid="{00000000-0002-0000-5600-000000000000}">
      <formula1>"2026-07"</formula1>
    </dataValidation>
    <dataValidation type="list" allowBlank="1" showErrorMessage="1" errorTitle="Invalid value" error="Choose a value from the Units list." sqref="J2:J5000" xr:uid="{00000000-0002-0000-5600-000001000000}">
      <formula1>"NS,PA,NC,OU"</formula1>
    </dataValidation>
    <dataValidation type="list" allowBlank="1" showErrorMessage="1" errorTitle="Invalid value" error="Choose a value from the PayoffProfiles list." sqref="N2:N5000" xr:uid="{00000000-0002-0000-5600-000002000000}">
      <formula1>"Long,Short,N/A"</formula1>
    </dataValidation>
    <dataValidation type="list" allowBlank="1" showErrorMessage="1" errorTitle="Invalid value" error="Choose a value from the AssetCategories list." sqref="O2:O5000" xr:uid="{00000000-0002-0000-56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56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56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56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56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5600-000008000000}">
      <formula1>"Put,Call"</formula1>
    </dataValidation>
    <dataValidation type="list" allowBlank="1" showErrorMessage="1" errorTitle="Invalid value" error="Choose a value from the WrittenPurchased list." sqref="AM2:AM5000" xr:uid="{00000000-0002-0000-56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56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56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56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5600-000011000000}">
      <formula1>"Y,N"</formula1>
    </dataValidation>
  </dataValidations>
  <pageMargins left="0.75" right="0.75" top="1" bottom="1" header="0.5" footer="0.5"/>
  <legacy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57000000}"/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IFERROR(_xll.BDP("EMXX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IFERROR(_xll.BDP("EMXX US Equity","CUST_TRR_RETURN_HOLDING_PER","CUST_TRR_START_DT","20260601","CUST_TRR_END_DT","20260630","CUST_TRR_CRNCY","USD"),"")</f>
        <v>-2.8960659999999998</v>
      </c>
    </row>
    <row r="23" spans="1:3" x14ac:dyDescent="0.25">
      <c r="A23" s="2" t="s">
        <v>46</v>
      </c>
      <c r="B23" s="2" t="s">
        <v>68</v>
      </c>
      <c r="C23" s="4">
        <f>IFERROR(_xll.BDP("EMXX US Equity","CUST_TRR_RETURN_HOLDING_PER","CUST_TRR_START_DT","20260701","CUST_TRR_END_DT","20260731","CUST_TRR_CRNCY","USD"),"")</f>
        <v>-2.6182590000000001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58000000}"/>
  <dataValidations count="1">
    <dataValidation type="list" allowBlank="1" showErrorMessage="1" errorTitle="Invalid value" error="Choose a value from the Periods list." sqref="A2:A5000" xr:uid="{00000000-0002-0000-5800-000000000000}">
      <formula1>"2026-07"</formula1>
    </dataValidation>
  </dataValidations>
  <pageMargins left="0.75" right="0.75" top="1" bottom="1" header="0.5" footer="0.5"/>
  <legacy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59000000}"/>
  <dataValidations count="14">
    <dataValidation type="list" allowBlank="1" showErrorMessage="1" errorTitle="Invalid value" error="Choose a value from the Periods list." sqref="A2:A5000" xr:uid="{00000000-0002-0000-5900-000000000000}">
      <formula1>"2026-07"</formula1>
    </dataValidation>
    <dataValidation type="list" allowBlank="1" showErrorMessage="1" errorTitle="Invalid value" error="Choose a value from the Units list." sqref="J2:J5000" xr:uid="{00000000-0002-0000-5900-000001000000}">
      <formula1>"NS,PA,NC,OU"</formula1>
    </dataValidation>
    <dataValidation type="list" allowBlank="1" showErrorMessage="1" errorTitle="Invalid value" error="Choose a value from the PayoffProfiles list." sqref="N2:N5000" xr:uid="{00000000-0002-0000-5900-000002000000}">
      <formula1>"Long,Short,N/A"</formula1>
    </dataValidation>
    <dataValidation type="list" allowBlank="1" showErrorMessage="1" errorTitle="Invalid value" error="Choose a value from the AssetCategories list." sqref="O2:O5000" xr:uid="{00000000-0002-0000-59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59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59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59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59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5900-000008000000}">
      <formula1>"Put,Call"</formula1>
    </dataValidation>
    <dataValidation type="list" allowBlank="1" showErrorMessage="1" errorTitle="Invalid value" error="Choose a value from the WrittenPurchased list." sqref="AM2:AM5000" xr:uid="{00000000-0002-0000-59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59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59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59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5900-000011000000}">
      <formula1>"Y,N"</formula1>
    </dataValidation>
  </dataValidations>
  <pageMargins left="0.75" right="0.75" top="1" bottom="1" header="0.5" footer="0.5"/>
  <legacy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5A000000}"/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>
        <f>IFERROR(_xll.BDP("EUV US Equity","CUST_TRR_RETURN_HOLDING_PER","CUST_TRR_START_DT","20260501","CUST_TRR_END_DT","20260531","CUST_TRR_CRNCY","USD"),"")</f>
        <v>2.001525</v>
      </c>
    </row>
    <row r="22" spans="1:3" x14ac:dyDescent="0.25">
      <c r="A22" s="2" t="s">
        <v>46</v>
      </c>
      <c r="B22" s="2" t="s">
        <v>67</v>
      </c>
      <c r="C22" s="4">
        <f>IFERROR(_xll.BDP("EUV US Equity","CUST_TRR_RETURN_HOLDING_PER","CUST_TRR_START_DT","20260601","CUST_TRR_END_DT","20260630","CUST_TRR_CRNCY","USD"),"")</f>
        <v>17.616769999999999</v>
      </c>
    </row>
    <row r="23" spans="1:3" x14ac:dyDescent="0.25">
      <c r="A23" s="2" t="s">
        <v>46</v>
      </c>
      <c r="B23" s="2" t="s">
        <v>68</v>
      </c>
      <c r="C23" s="4">
        <f>IFERROR(_xll.BDP("EUV US Equity","CUST_TRR_RETURN_HOLDING_PER","CUST_TRR_START_DT","20260701","CUST_TRR_END_DT","20260731","CUST_TRR_CRNCY","USD"),"")</f>
        <v>-21.215209999999999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5B000000}"/>
  <dataValidations count="1">
    <dataValidation type="list" allowBlank="1" showErrorMessage="1" errorTitle="Invalid value" error="Choose a value from the Periods list." sqref="A2:A5000" xr:uid="{00000000-0002-0000-5B00-000000000000}">
      <formula1>"2026-07"</formula1>
    </dataValidation>
  </dataValidations>
  <pageMargins left="0.75" right="0.75" top="1" bottom="1" header="0.5" footer="0.5"/>
  <legacy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5C000000}"/>
  <dataValidations count="14">
    <dataValidation type="list" allowBlank="1" showErrorMessage="1" errorTitle="Invalid value" error="Choose a value from the Periods list." sqref="A2:A5000" xr:uid="{00000000-0002-0000-5C00-000000000000}">
      <formula1>"2026-07"</formula1>
    </dataValidation>
    <dataValidation type="list" allowBlank="1" showErrorMessage="1" errorTitle="Invalid value" error="Choose a value from the Units list." sqref="J2:J5000" xr:uid="{00000000-0002-0000-5C00-000001000000}">
      <formula1>"NS,PA,NC,OU"</formula1>
    </dataValidation>
    <dataValidation type="list" allowBlank="1" showErrorMessage="1" errorTitle="Invalid value" error="Choose a value from the PayoffProfiles list." sqref="N2:N5000" xr:uid="{00000000-0002-0000-5C00-000002000000}">
      <formula1>"Long,Short,N/A"</formula1>
    </dataValidation>
    <dataValidation type="list" allowBlank="1" showErrorMessage="1" errorTitle="Invalid value" error="Choose a value from the AssetCategories list." sqref="O2:O5000" xr:uid="{00000000-0002-0000-5C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5C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5C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5C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5C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5C00-000008000000}">
      <formula1>"Put,Call"</formula1>
    </dataValidation>
    <dataValidation type="list" allowBlank="1" showErrorMessage="1" errorTitle="Invalid value" error="Choose a value from the WrittenPurchased list." sqref="AM2:AM5000" xr:uid="{00000000-0002-0000-5C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5C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5C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5C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5C00-000011000000}">
      <formula1>"Y,N"</formula1>
    </dataValidation>
  </dataValidations>
  <pageMargins left="0.75" right="0.75" top="1" bottom="1" header="0.5" footer="0.5"/>
  <legacy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5D000000}"/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IFERROR(_xll.BDP("EUVX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IFERROR(_xll.BDP("EUVX US Equity","CUST_TRR_RETURN_HOLDING_PER","CUST_TRR_START_DT","20260601","CUST_TRR_END_DT","20260630","CUST_TRR_CRNCY","USD"),"")</f>
        <v>13.67347</v>
      </c>
    </row>
    <row r="23" spans="1:3" x14ac:dyDescent="0.25">
      <c r="A23" s="2" t="s">
        <v>46</v>
      </c>
      <c r="B23" s="2" t="s">
        <v>68</v>
      </c>
      <c r="C23" s="4">
        <f>IFERROR(_xll.BDP("EUVX US Equity","CUST_TRR_RETURN_HOLDING_PER","CUST_TRR_START_DT","20260701","CUST_TRR_END_DT","20260731","CUST_TRR_CRNCY","USD"),"")</f>
        <v>-41.647060000000003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5E000000}"/>
  <dataValidations count="1">
    <dataValidation type="list" allowBlank="1" showErrorMessage="1" errorTitle="Invalid value" error="Choose a value from the Periods list." sqref="A2:A5000" xr:uid="{00000000-0002-0000-5E00-000000000000}">
      <formula1>"2026-07"</formula1>
    </dataValidation>
  </dataValidations>
  <pageMargins left="0.75" right="0.75" top="1" bottom="1" header="0.5" footer="0.5"/>
  <legacy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5F000000}"/>
  <dataValidations count="14">
    <dataValidation type="list" allowBlank="1" showErrorMessage="1" errorTitle="Invalid value" error="Choose a value from the Periods list." sqref="A2:A5000" xr:uid="{00000000-0002-0000-5F00-000000000000}">
      <formula1>"2026-07"</formula1>
    </dataValidation>
    <dataValidation type="list" allowBlank="1" showErrorMessage="1" errorTitle="Invalid value" error="Choose a value from the Units list." sqref="J2:J5000" xr:uid="{00000000-0002-0000-5F00-000001000000}">
      <formula1>"NS,PA,NC,OU"</formula1>
    </dataValidation>
    <dataValidation type="list" allowBlank="1" showErrorMessage="1" errorTitle="Invalid value" error="Choose a value from the PayoffProfiles list." sqref="N2:N5000" xr:uid="{00000000-0002-0000-5F00-000002000000}">
      <formula1>"Long,Short,N/A"</formula1>
    </dataValidation>
    <dataValidation type="list" allowBlank="1" showErrorMessage="1" errorTitle="Invalid value" error="Choose a value from the AssetCategories list." sqref="O2:O5000" xr:uid="{00000000-0002-0000-5F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5F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5F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5F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5F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5F00-000008000000}">
      <formula1>"Put,Call"</formula1>
    </dataValidation>
    <dataValidation type="list" allowBlank="1" showErrorMessage="1" errorTitle="Invalid value" error="Choose a value from the WrittenPurchased list." sqref="AM2:AM5000" xr:uid="{00000000-0002-0000-5F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5F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5F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5F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5F00-000011000000}">
      <formula1>"Y,N"</formula1>
    </dataValidation>
  </dataValidations>
  <pageMargins left="0.75" right="0.75" top="1" bottom="1" header="0.5" footer="0.5"/>
  <legacy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60000000}"/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>
        <f>IFERROR(_xll.BDP("EYES US Equity","CUST_TRR_RETURN_HOLDING_PER","CUST_TRR_START_DT","20260501","CUST_TRR_END_DT","20260531","CUST_TRR_CRNCY","USD"),"")</f>
        <v>11.086819999999999</v>
      </c>
    </row>
    <row r="22" spans="1:3" x14ac:dyDescent="0.25">
      <c r="A22" s="2" t="s">
        <v>46</v>
      </c>
      <c r="B22" s="2" t="s">
        <v>67</v>
      </c>
      <c r="C22" s="4">
        <f>IFERROR(_xll.BDP("EYES US Equity","CUST_TRR_RETURN_HOLDING_PER","CUST_TRR_START_DT","20260601","CUST_TRR_END_DT","20260630","CUST_TRR_CRNCY","USD"),"")</f>
        <v>-9.2841869999999993</v>
      </c>
    </row>
    <row r="23" spans="1:3" x14ac:dyDescent="0.25">
      <c r="A23" s="2" t="s">
        <v>46</v>
      </c>
      <c r="B23" s="2" t="s">
        <v>68</v>
      </c>
      <c r="C23" s="4">
        <f>IFERROR(_xll.BDP("EYES US Equity","CUST_TRR_RETURN_HOLDING_PER","CUST_TRR_START_DT","20260701","CUST_TRR_END_DT","20260731","CUST_TRR_CRNCY","USD"),"")</f>
        <v>-0.6938318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61000000}"/>
  <dataValidations count="1">
    <dataValidation type="list" allowBlank="1" showErrorMessage="1" errorTitle="Invalid value" error="Choose a value from the Periods list." sqref="A2:A5000" xr:uid="{00000000-0002-0000-6100-000000000000}">
      <formula1>"2026-07"</formula1>
    </dataValidation>
  </dataValidations>
  <pageMargins left="0.75" right="0.75" top="1" bottom="1" header="0.5" footer="0.5"/>
  <legacy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62000000}"/>
  <dataValidations count="14">
    <dataValidation type="list" allowBlank="1" showErrorMessage="1" errorTitle="Invalid value" error="Choose a value from the Periods list." sqref="A2:A5000" xr:uid="{00000000-0002-0000-6200-000000000000}">
      <formula1>"2026-07"</formula1>
    </dataValidation>
    <dataValidation type="list" allowBlank="1" showErrorMessage="1" errorTitle="Invalid value" error="Choose a value from the Units list." sqref="J2:J5000" xr:uid="{00000000-0002-0000-6200-000001000000}">
      <formula1>"NS,PA,NC,OU"</formula1>
    </dataValidation>
    <dataValidation type="list" allowBlank="1" showErrorMessage="1" errorTitle="Invalid value" error="Choose a value from the PayoffProfiles list." sqref="N2:N5000" xr:uid="{00000000-0002-0000-6200-000002000000}">
      <formula1>"Long,Short,N/A"</formula1>
    </dataValidation>
    <dataValidation type="list" allowBlank="1" showErrorMessage="1" errorTitle="Invalid value" error="Choose a value from the AssetCategories list." sqref="O2:O5000" xr:uid="{00000000-0002-0000-62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62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62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62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62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6200-000008000000}">
      <formula1>"Put,Call"</formula1>
    </dataValidation>
    <dataValidation type="list" allowBlank="1" showErrorMessage="1" errorTitle="Invalid value" error="Choose a value from the WrittenPurchased list." sqref="AM2:AM5000" xr:uid="{00000000-0002-0000-62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62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62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62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6200-000011000000}">
      <formula1>"Y,N"</formula1>
    </dataValidation>
  </dataValidations>
  <pageMargins left="0.75" right="0.75" top="1" bottom="1" header="0.5" footer="0.5"/>
  <legacy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3</v>
      </c>
    </row>
    <row r="7" spans="1:2" x14ac:dyDescent="0.25">
      <c r="A7" s="2" t="s">
        <v>10</v>
      </c>
      <c r="B7" s="3" t="s">
        <v>11</v>
      </c>
    </row>
    <row r="8" spans="1:2" x14ac:dyDescent="0.25">
      <c r="A8" s="2" t="s">
        <v>12</v>
      </c>
      <c r="B8" s="3" t="s">
        <v>13</v>
      </c>
    </row>
    <row r="9" spans="1:2" x14ac:dyDescent="0.25">
      <c r="A9" s="2" t="s">
        <v>14</v>
      </c>
      <c r="B9" s="3" t="s">
        <v>15</v>
      </c>
    </row>
    <row r="10" spans="1:2" x14ac:dyDescent="0.25">
      <c r="A10" s="2" t="s">
        <v>16</v>
      </c>
      <c r="B10" s="3" t="s">
        <v>17</v>
      </c>
    </row>
    <row r="11" spans="1:2" x14ac:dyDescent="0.25">
      <c r="A11" s="2" t="s">
        <v>18</v>
      </c>
      <c r="B11" s="3" t="s">
        <v>19</v>
      </c>
    </row>
    <row r="12" spans="1:2" x14ac:dyDescent="0.25">
      <c r="A12" s="2" t="s">
        <v>20</v>
      </c>
      <c r="B12" s="3" t="s">
        <v>21</v>
      </c>
    </row>
    <row r="13" spans="1:2" x14ac:dyDescent="0.25">
      <c r="A13" s="2" t="s">
        <v>22</v>
      </c>
      <c r="B13" s="3" t="s">
        <v>23</v>
      </c>
    </row>
    <row r="14" spans="1:2" x14ac:dyDescent="0.25">
      <c r="A14" s="2" t="s">
        <v>24</v>
      </c>
      <c r="B14" s="3" t="s">
        <v>25</v>
      </c>
    </row>
    <row r="15" spans="1:2" x14ac:dyDescent="0.25">
      <c r="A15" s="2" t="s">
        <v>26</v>
      </c>
      <c r="B15" s="3" t="s">
        <v>198</v>
      </c>
    </row>
    <row r="16" spans="1:2" x14ac:dyDescent="0.25">
      <c r="A16" s="2" t="s">
        <v>28</v>
      </c>
      <c r="B16" s="3" t="s">
        <v>199</v>
      </c>
    </row>
    <row r="17" spans="1:2" x14ac:dyDescent="0.25">
      <c r="A17" s="2" t="s">
        <v>30</v>
      </c>
      <c r="B17" s="3" t="s">
        <v>200</v>
      </c>
    </row>
    <row r="18" spans="1:2" x14ac:dyDescent="0.25">
      <c r="A18" s="2" t="s">
        <v>32</v>
      </c>
      <c r="B18" s="3" t="s">
        <v>201</v>
      </c>
    </row>
    <row r="19" spans="1:2" x14ac:dyDescent="0.25">
      <c r="A19" s="2" t="s">
        <v>34</v>
      </c>
      <c r="B19" s="3" t="s">
        <v>6</v>
      </c>
    </row>
    <row r="20" spans="1:2" x14ac:dyDescent="0.25">
      <c r="A20" s="2" t="s">
        <v>35</v>
      </c>
      <c r="B20" s="3" t="s">
        <v>36</v>
      </c>
    </row>
    <row r="21" spans="1:2" x14ac:dyDescent="0.25">
      <c r="A21" s="2" t="s">
        <v>37</v>
      </c>
      <c r="B21" s="3" t="s">
        <v>38</v>
      </c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63000000}"/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>
        <f>IFERROR(_xll.BDP("FDRS US Equity","CUST_TRR_RETURN_HOLDING_PER","CUST_TRR_START_DT","20260501","CUST_TRR_END_DT","20260531","CUST_TRR_CRNCY","USD"),"")</f>
        <v>11.323270000000001</v>
      </c>
    </row>
    <row r="22" spans="1:3" x14ac:dyDescent="0.25">
      <c r="A22" s="2" t="s">
        <v>46</v>
      </c>
      <c r="B22" s="2" t="s">
        <v>67</v>
      </c>
      <c r="C22" s="4">
        <f>IFERROR(_xll.BDP("FDRS US Equity","CUST_TRR_RETURN_HOLDING_PER","CUST_TRR_START_DT","20260601","CUST_TRR_END_DT","20260630","CUST_TRR_CRNCY","USD"),"")</f>
        <v>-9.2787520000000008</v>
      </c>
    </row>
    <row r="23" spans="1:3" x14ac:dyDescent="0.25">
      <c r="A23" s="2" t="s">
        <v>46</v>
      </c>
      <c r="B23" s="2" t="s">
        <v>68</v>
      </c>
      <c r="C23" s="4">
        <f>IFERROR(_xll.BDP("FDRS US Equity","CUST_TRR_RETURN_HOLDING_PER","CUST_TRR_START_DT","20260701","CUST_TRR_END_DT","20260731","CUST_TRR_CRNCY","USD"),"")</f>
        <v>-5.8322440000000002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64000000}"/>
  <dataValidations count="1">
    <dataValidation type="list" allowBlank="1" showErrorMessage="1" errorTitle="Invalid value" error="Choose a value from the Periods list." sqref="A2:A5000" xr:uid="{00000000-0002-0000-6400-000000000000}">
      <formula1>"2026-07"</formula1>
    </dataValidation>
  </dataValidations>
  <pageMargins left="0.75" right="0.75" top="1" bottom="1" header="0.5" footer="0.5"/>
  <legacy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65000000}"/>
  <dataValidations count="14">
    <dataValidation type="list" allowBlank="1" showErrorMessage="1" errorTitle="Invalid value" error="Choose a value from the Periods list." sqref="A2:A5000" xr:uid="{00000000-0002-0000-6500-000000000000}">
      <formula1>"2026-07"</formula1>
    </dataValidation>
    <dataValidation type="list" allowBlank="1" showErrorMessage="1" errorTitle="Invalid value" error="Choose a value from the Units list." sqref="J2:J5000" xr:uid="{00000000-0002-0000-6500-000001000000}">
      <formula1>"NS,PA,NC,OU"</formula1>
    </dataValidation>
    <dataValidation type="list" allowBlank="1" showErrorMessage="1" errorTitle="Invalid value" error="Choose a value from the PayoffProfiles list." sqref="N2:N5000" xr:uid="{00000000-0002-0000-6500-000002000000}">
      <formula1>"Long,Short,N/A"</formula1>
    </dataValidation>
    <dataValidation type="list" allowBlank="1" showErrorMessage="1" errorTitle="Invalid value" error="Choose a value from the AssetCategories list." sqref="O2:O5000" xr:uid="{00000000-0002-0000-65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65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65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65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65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6500-000008000000}">
      <formula1>"Put,Call"</formula1>
    </dataValidation>
    <dataValidation type="list" allowBlank="1" showErrorMessage="1" errorTitle="Invalid value" error="Choose a value from the WrittenPurchased list." sqref="AM2:AM5000" xr:uid="{00000000-0002-0000-65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65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65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65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6500-000011000000}">
      <formula1>"Y,N"</formula1>
    </dataValidation>
  </dataValidations>
  <pageMargins left="0.75" right="0.75" top="1" bottom="1" header="0.5" footer="0.5"/>
  <legacy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66000000}"/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>
        <f>IFERROR(_xll.BDP("FDRX US Equity","CUST_TRR_RETURN_HOLDING_PER","CUST_TRR_START_DT","20260501","CUST_TRR_END_DT","20260531","CUST_TRR_CRNCY","USD"),"")</f>
        <v>22.187529999999999</v>
      </c>
    </row>
    <row r="22" spans="1:3" x14ac:dyDescent="0.25">
      <c r="A22" s="2" t="s">
        <v>46</v>
      </c>
      <c r="B22" s="2" t="s">
        <v>67</v>
      </c>
      <c r="C22" s="4">
        <f>IFERROR(_xll.BDP("FDRX US Equity","CUST_TRR_RETURN_HOLDING_PER","CUST_TRR_START_DT","20260601","CUST_TRR_END_DT","20260630","CUST_TRR_CRNCY","USD"),"")</f>
        <v>-18.80434</v>
      </c>
    </row>
    <row r="23" spans="1:3" x14ac:dyDescent="0.25">
      <c r="A23" s="2" t="s">
        <v>46</v>
      </c>
      <c r="B23" s="2" t="s">
        <v>68</v>
      </c>
      <c r="C23" s="4">
        <f>IFERROR(_xll.BDP("FDRX US Equity","CUST_TRR_RETURN_HOLDING_PER","CUST_TRR_START_DT","20260701","CUST_TRR_END_DT","20260731","CUST_TRR_CRNCY","USD"),"")</f>
        <v>-12.7818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67000000}"/>
  <dataValidations count="1">
    <dataValidation type="list" allowBlank="1" showErrorMessage="1" errorTitle="Invalid value" error="Choose a value from the Periods list." sqref="A2:A5000" xr:uid="{00000000-0002-0000-6700-000000000000}">
      <formula1>"2026-07"</formula1>
    </dataValidation>
  </dataValidations>
  <pageMargins left="0.75" right="0.75" top="1" bottom="1" header="0.5" footer="0.5"/>
  <legacy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68000000}"/>
  <dataValidations count="14">
    <dataValidation type="list" allowBlank="1" showErrorMessage="1" errorTitle="Invalid value" error="Choose a value from the Periods list." sqref="A2:A5000" xr:uid="{00000000-0002-0000-6800-000000000000}">
      <formula1>"2026-07"</formula1>
    </dataValidation>
    <dataValidation type="list" allowBlank="1" showErrorMessage="1" errorTitle="Invalid value" error="Choose a value from the Units list." sqref="J2:J5000" xr:uid="{00000000-0002-0000-6800-000001000000}">
      <formula1>"NS,PA,NC,OU"</formula1>
    </dataValidation>
    <dataValidation type="list" allowBlank="1" showErrorMessage="1" errorTitle="Invalid value" error="Choose a value from the PayoffProfiles list." sqref="N2:N5000" xr:uid="{00000000-0002-0000-6800-000002000000}">
      <formula1>"Long,Short,N/A"</formula1>
    </dataValidation>
    <dataValidation type="list" allowBlank="1" showErrorMessage="1" errorTitle="Invalid value" error="Choose a value from the AssetCategories list." sqref="O2:O5000" xr:uid="{00000000-0002-0000-68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68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68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68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68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6800-000008000000}">
      <formula1>"Put,Call"</formula1>
    </dataValidation>
    <dataValidation type="list" allowBlank="1" showErrorMessage="1" errorTitle="Invalid value" error="Choose a value from the WrittenPurchased list." sqref="AM2:AM5000" xr:uid="{00000000-0002-0000-68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68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68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68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6800-000011000000}">
      <formula1>"Y,N"</formula1>
    </dataValidation>
  </dataValidations>
  <pageMargins left="0.75" right="0.75" top="1" bottom="1" header="0.5" footer="0.5"/>
  <legacy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69000000}"/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>
        <f>IFERROR(_xll.BDP("GASZ US Equity","CUST_TRR_RETURN_HOLDING_PER","CUST_TRR_START_DT","20260501","CUST_TRR_END_DT","20260531","CUST_TRR_CRNCY","USD"),"")</f>
        <v>-6.8443620000000003</v>
      </c>
    </row>
    <row r="22" spans="1:3" x14ac:dyDescent="0.25">
      <c r="A22" s="2" t="s">
        <v>46</v>
      </c>
      <c r="B22" s="2" t="s">
        <v>67</v>
      </c>
      <c r="C22" s="4">
        <f>IFERROR(_xll.BDP("GASZ US Equity","CUST_TRR_RETURN_HOLDING_PER","CUST_TRR_START_DT","20260601","CUST_TRR_END_DT","20260630","CUST_TRR_CRNCY","USD"),"")</f>
        <v>10.41985</v>
      </c>
    </row>
    <row r="23" spans="1:3" x14ac:dyDescent="0.25">
      <c r="A23" s="2" t="s">
        <v>46</v>
      </c>
      <c r="B23" s="2" t="s">
        <v>68</v>
      </c>
      <c r="C23" s="4">
        <f>IFERROR(_xll.BDP("GASZ US Equity","CUST_TRR_RETURN_HOLDING_PER","CUST_TRR_START_DT","20260701","CUST_TRR_END_DT","20260731","CUST_TRR_CRNCY","USD"),"")</f>
        <v>-7.4935600000000004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6A000000}"/>
  <dataValidations count="1">
    <dataValidation type="list" allowBlank="1" showErrorMessage="1" errorTitle="Invalid value" error="Choose a value from the Periods list." sqref="A2:A5000" xr:uid="{00000000-0002-0000-6A00-000000000000}">
      <formula1>"2026-07"</formula1>
    </dataValidation>
  </dataValidations>
  <pageMargins left="0.75" right="0.75" top="1" bottom="1" header="0.5" footer="0.5"/>
  <legacy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6B000000}"/>
  <dataValidations count="14">
    <dataValidation type="list" allowBlank="1" showErrorMessage="1" errorTitle="Invalid value" error="Choose a value from the Periods list." sqref="A2:A5000" xr:uid="{00000000-0002-0000-6B00-000000000000}">
      <formula1>"2026-07"</formula1>
    </dataValidation>
    <dataValidation type="list" allowBlank="1" showErrorMessage="1" errorTitle="Invalid value" error="Choose a value from the Units list." sqref="J2:J5000" xr:uid="{00000000-0002-0000-6B00-000001000000}">
      <formula1>"NS,PA,NC,OU"</formula1>
    </dataValidation>
    <dataValidation type="list" allowBlank="1" showErrorMessage="1" errorTitle="Invalid value" error="Choose a value from the PayoffProfiles list." sqref="N2:N5000" xr:uid="{00000000-0002-0000-6B00-000002000000}">
      <formula1>"Long,Short,N/A"</formula1>
    </dataValidation>
    <dataValidation type="list" allowBlank="1" showErrorMessage="1" errorTitle="Invalid value" error="Choose a value from the AssetCategories list." sqref="O2:O5000" xr:uid="{00000000-0002-0000-6B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6B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6B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6B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6B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6B00-000008000000}">
      <formula1>"Put,Call"</formula1>
    </dataValidation>
    <dataValidation type="list" allowBlank="1" showErrorMessage="1" errorTitle="Invalid value" error="Choose a value from the WrittenPurchased list." sqref="AM2:AM5000" xr:uid="{00000000-0002-0000-6B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6B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6B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6B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6B00-000011000000}">
      <formula1>"Y,N"</formula1>
    </dataValidation>
  </dataValidations>
  <pageMargins left="0.75" right="0.75" top="1" bottom="1" header="0.5" footer="0.5"/>
  <legacy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6C000000}"/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>
        <f>IFERROR(_xll.BDP("GLAM US Equity","CUST_TRR_RETURN_HOLDING_PER","CUST_TRR_START_DT","20260501","CUST_TRR_END_DT","20260531","CUST_TRR_CRNCY","USD"),"")</f>
        <v>-1.1241209999999999</v>
      </c>
    </row>
    <row r="22" spans="1:3" x14ac:dyDescent="0.25">
      <c r="A22" s="2" t="s">
        <v>46</v>
      </c>
      <c r="B22" s="2" t="s">
        <v>67</v>
      </c>
      <c r="C22" s="4">
        <f>IFERROR(_xll.BDP("GLAM US Equity","CUST_TRR_RETURN_HOLDING_PER","CUST_TRR_START_DT","20260601","CUST_TRR_END_DT","20260630","CUST_TRR_CRNCY","USD"),"")</f>
        <v>10.079639999999999</v>
      </c>
    </row>
    <row r="23" spans="1:3" x14ac:dyDescent="0.25">
      <c r="A23" s="2" t="s">
        <v>46</v>
      </c>
      <c r="B23" s="2" t="s">
        <v>68</v>
      </c>
      <c r="C23" s="4">
        <f>IFERROR(_xll.BDP("GLAM US Equity","CUST_TRR_RETURN_HOLDING_PER","CUST_TRR_START_DT","20260701","CUST_TRR_END_DT","20260731","CUST_TRR_CRNCY","USD"),"")</f>
        <v>-0.80696920000000005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6D000000}"/>
  <dataValidations count="1">
    <dataValidation type="list" allowBlank="1" showErrorMessage="1" errorTitle="Invalid value" error="Choose a value from the Periods list." sqref="A2:A5000" xr:uid="{00000000-0002-0000-6D00-000000000000}">
      <formula1>"2026-07"</formula1>
    </dataValidation>
  </dataValidations>
  <pageMargins left="0.75" right="0.75" top="1" bottom="1" header="0.5" footer="0.5"/>
  <legacy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6E000000}"/>
  <dataValidations count="14">
    <dataValidation type="list" allowBlank="1" showErrorMessage="1" errorTitle="Invalid value" error="Choose a value from the Periods list." sqref="A2:A5000" xr:uid="{00000000-0002-0000-6E00-000000000000}">
      <formula1>"2026-07"</formula1>
    </dataValidation>
    <dataValidation type="list" allowBlank="1" showErrorMessage="1" errorTitle="Invalid value" error="Choose a value from the Units list." sqref="J2:J5000" xr:uid="{00000000-0002-0000-6E00-000001000000}">
      <formula1>"NS,PA,NC,OU"</formula1>
    </dataValidation>
    <dataValidation type="list" allowBlank="1" showErrorMessage="1" errorTitle="Invalid value" error="Choose a value from the PayoffProfiles list." sqref="N2:N5000" xr:uid="{00000000-0002-0000-6E00-000002000000}">
      <formula1>"Long,Short,N/A"</formula1>
    </dataValidation>
    <dataValidation type="list" allowBlank="1" showErrorMessage="1" errorTitle="Invalid value" error="Choose a value from the AssetCategories list." sqref="O2:O5000" xr:uid="{00000000-0002-0000-6E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6E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6E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6E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6E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6E00-000008000000}">
      <formula1>"Put,Call"</formula1>
    </dataValidation>
    <dataValidation type="list" allowBlank="1" showErrorMessage="1" errorTitle="Invalid value" error="Choose a value from the WrittenPurchased list." sqref="AM2:AM5000" xr:uid="{00000000-0002-0000-6E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6E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6E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6E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6E00-000011000000}">
      <formula1>"Y,N"</formula1>
    </dataValidation>
  </dataValidations>
  <pageMargins left="0.75" right="0.75" top="1" bottom="1" header="0.5" footer="0.5"/>
  <legacy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6F000000}"/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>
        <f>IFERROR(_xll.BDP("GNMX US Equity","CUST_TRR_RETURN_HOLDING_PER","CUST_TRR_START_DT","20260501","CUST_TRR_END_DT","20260531","CUST_TRR_CRNCY","USD"),"")</f>
        <v>5.0205789999999997</v>
      </c>
    </row>
    <row r="22" spans="1:3" x14ac:dyDescent="0.25">
      <c r="A22" s="2" t="s">
        <v>46</v>
      </c>
      <c r="B22" s="2" t="s">
        <v>67</v>
      </c>
      <c r="C22" s="4">
        <f>IFERROR(_xll.BDP("GNMX US Equity","CUST_TRR_RETURN_HOLDING_PER","CUST_TRR_START_DT","20260601","CUST_TRR_END_DT","20260630","CUST_TRR_CRNCY","USD"),"")</f>
        <v>16.54102</v>
      </c>
    </row>
    <row r="23" spans="1:3" x14ac:dyDescent="0.25">
      <c r="A23" s="2" t="s">
        <v>46</v>
      </c>
      <c r="B23" s="2" t="s">
        <v>68</v>
      </c>
      <c r="C23" s="4">
        <f>IFERROR(_xll.BDP("GNMX US Equity","CUST_TRR_RETURN_HOLDING_PER","CUST_TRR_START_DT","20260701","CUST_TRR_END_DT","20260731","CUST_TRR_CRNCY","USD"),"")</f>
        <v>-5.7166689999999996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70000000}"/>
  <dataValidations count="1">
    <dataValidation type="list" allowBlank="1" showErrorMessage="1" errorTitle="Invalid value" error="Choose a value from the Periods list." sqref="A2:A5000" xr:uid="{00000000-0002-0000-7000-000000000000}">
      <formula1>"2026-07"</formula1>
    </dataValidation>
  </dataValidations>
  <pageMargins left="0.75" right="0.75" top="1" bottom="1" header="0.5" footer="0.5"/>
  <legacy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71000000}"/>
  <dataValidations count="14">
    <dataValidation type="list" allowBlank="1" showErrorMessage="1" errorTitle="Invalid value" error="Choose a value from the Periods list." sqref="A2:A5000" xr:uid="{00000000-0002-0000-7100-000000000000}">
      <formula1>"2026-07"</formula1>
    </dataValidation>
    <dataValidation type="list" allowBlank="1" showErrorMessage="1" errorTitle="Invalid value" error="Choose a value from the Units list." sqref="J2:J5000" xr:uid="{00000000-0002-0000-7100-000001000000}">
      <formula1>"NS,PA,NC,OU"</formula1>
    </dataValidation>
    <dataValidation type="list" allowBlank="1" showErrorMessage="1" errorTitle="Invalid value" error="Choose a value from the PayoffProfiles list." sqref="N2:N5000" xr:uid="{00000000-0002-0000-7100-000002000000}">
      <formula1>"Long,Short,N/A"</formula1>
    </dataValidation>
    <dataValidation type="list" allowBlank="1" showErrorMessage="1" errorTitle="Invalid value" error="Choose a value from the AssetCategories list." sqref="O2:O5000" xr:uid="{00000000-0002-0000-71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71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71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71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71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7100-000008000000}">
      <formula1>"Put,Call"</formula1>
    </dataValidation>
    <dataValidation type="list" allowBlank="1" showErrorMessage="1" errorTitle="Invalid value" error="Choose a value from the WrittenPurchased list." sqref="AM2:AM5000" xr:uid="{00000000-0002-0000-71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71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71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71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7100-000011000000}">
      <formula1>"Y,N"</formula1>
    </dataValidation>
  </dataValidations>
  <pageMargins left="0.75" right="0.75" top="1" bottom="1" header="0.5" footer="0.5"/>
  <legacy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72000000}"/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IFERROR(_xll.BDP("GPTZ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 t="str">
        <f>IFERROR(_xll.BDP("GPTZ US Equity","CUST_TRR_RETURN_HOLDING_PER","CUST_TRR_START_DT","20260601","CUST_TRR_END_DT","20260630","CUST_TRR_CRNCY","USD"),"")</f>
        <v>#N/A N/A</v>
      </c>
    </row>
    <row r="23" spans="1:3" x14ac:dyDescent="0.25">
      <c r="A23" s="2" t="s">
        <v>46</v>
      </c>
      <c r="B23" s="2" t="s">
        <v>68</v>
      </c>
      <c r="C23" s="4" t="str">
        <f>IFERROR(_xll.BDP("GPTZ US Equity","CUST_TRR_RETURN_HOLDING_PER","CUST_TRR_START_DT","20260701","CUST_TRR_END_DT","20260731","CUST_TRR_CRNCY","USD"),"")</f>
        <v>#N/A N/A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73000000}"/>
  <dataValidations count="1">
    <dataValidation type="list" allowBlank="1" showErrorMessage="1" errorTitle="Invalid value" error="Choose a value from the Periods list." sqref="A2:A5000" xr:uid="{00000000-0002-0000-7300-000000000000}">
      <formula1>"2026-07"</formula1>
    </dataValidation>
  </dataValidations>
  <pageMargins left="0.75" right="0.75" top="1" bottom="1" header="0.5" footer="0.5"/>
  <legacy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74000000}"/>
  <dataValidations count="14">
    <dataValidation type="list" allowBlank="1" showErrorMessage="1" errorTitle="Invalid value" error="Choose a value from the Periods list." sqref="A2:A5000" xr:uid="{00000000-0002-0000-7400-000000000000}">
      <formula1>"2026-07"</formula1>
    </dataValidation>
    <dataValidation type="list" allowBlank="1" showErrorMessage="1" errorTitle="Invalid value" error="Choose a value from the Units list." sqref="J2:J5000" xr:uid="{00000000-0002-0000-7400-000001000000}">
      <formula1>"NS,PA,NC,OU"</formula1>
    </dataValidation>
    <dataValidation type="list" allowBlank="1" showErrorMessage="1" errorTitle="Invalid value" error="Choose a value from the PayoffProfiles list." sqref="N2:N5000" xr:uid="{00000000-0002-0000-7400-000002000000}">
      <formula1>"Long,Short,N/A"</formula1>
    </dataValidation>
    <dataValidation type="list" allowBlank="1" showErrorMessage="1" errorTitle="Invalid value" error="Choose a value from the AssetCategories list." sqref="O2:O5000" xr:uid="{00000000-0002-0000-74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74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74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74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74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7400-000008000000}">
      <formula1>"Put,Call"</formula1>
    </dataValidation>
    <dataValidation type="list" allowBlank="1" showErrorMessage="1" errorTitle="Invalid value" error="Choose a value from the WrittenPurchased list." sqref="AM2:AM5000" xr:uid="{00000000-0002-0000-74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74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74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74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7400-000011000000}">
      <formula1>"Y,N"</formula1>
    </dataValidation>
  </dataValidations>
  <pageMargins left="0.75" right="0.75" top="1" bottom="1" header="0.5" footer="0.5"/>
  <legacy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75000000}"/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IFERROR(_xll.BDP("HJUN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IFERROR(_xll.BDP("HJUN US Equity","CUST_TRR_RETURN_HOLDING_PER","CUST_TRR_START_DT","20260601","CUST_TRR_END_DT","20260630","CUST_TRR_CRNCY","USD"),"")</f>
        <v>-0.31996809999999998</v>
      </c>
    </row>
    <row r="23" spans="1:3" x14ac:dyDescent="0.25">
      <c r="A23" s="2" t="s">
        <v>46</v>
      </c>
      <c r="B23" s="2" t="s">
        <v>68</v>
      </c>
      <c r="C23" s="4">
        <f>IFERROR(_xll.BDP("HJUN US Equity","CUST_TRR_RETURN_HOLDING_PER","CUST_TRR_START_DT","20260701","CUST_TRR_END_DT","20260731","CUST_TRR_CRNCY","USD"),"")</f>
        <v>0.1985565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76000000}"/>
  <dataValidations count="1">
    <dataValidation type="list" allowBlank="1" showErrorMessage="1" errorTitle="Invalid value" error="Choose a value from the Periods list." sqref="A2:A5000" xr:uid="{00000000-0002-0000-7600-000000000000}">
      <formula1>"2026-07"</formula1>
    </dataValidation>
  </dataValidations>
  <pageMargins left="0.75" right="0.75" top="1" bottom="1" header="0.5" footer="0.5"/>
  <legacy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77000000}"/>
  <dataValidations count="14">
    <dataValidation type="list" allowBlank="1" showErrorMessage="1" errorTitle="Invalid value" error="Choose a value from the Periods list." sqref="A2:A5000" xr:uid="{00000000-0002-0000-7700-000000000000}">
      <formula1>"2026-07"</formula1>
    </dataValidation>
    <dataValidation type="list" allowBlank="1" showErrorMessage="1" errorTitle="Invalid value" error="Choose a value from the Units list." sqref="J2:J5000" xr:uid="{00000000-0002-0000-7700-000001000000}">
      <formula1>"NS,PA,NC,OU"</formula1>
    </dataValidation>
    <dataValidation type="list" allowBlank="1" showErrorMessage="1" errorTitle="Invalid value" error="Choose a value from the PayoffProfiles list." sqref="N2:N5000" xr:uid="{00000000-0002-0000-7700-000002000000}">
      <formula1>"Long,Short,N/A"</formula1>
    </dataValidation>
    <dataValidation type="list" allowBlank="1" showErrorMessage="1" errorTitle="Invalid value" error="Choose a value from the AssetCategories list." sqref="O2:O5000" xr:uid="{00000000-0002-0000-77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77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77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77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77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7700-000008000000}">
      <formula1>"Put,Call"</formula1>
    </dataValidation>
    <dataValidation type="list" allowBlank="1" showErrorMessage="1" errorTitle="Invalid value" error="Choose a value from the WrittenPurchased list." sqref="AM2:AM5000" xr:uid="{00000000-0002-0000-77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77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77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77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7700-000011000000}">
      <formula1>"Y,N"</formula1>
    </dataValidation>
  </dataValidations>
  <pageMargins left="0.75" right="0.75" top="1" bottom="1" header="0.5" footer="0.5"/>
  <legacy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78000000}"/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>
        <f>IFERROR(_xll.BDP("HMAY US Equity","CUST_TRR_RETURN_HOLDING_PER","CUST_TRR_START_DT","20260501","CUST_TRR_END_DT","20260531","CUST_TRR_CRNCY","USD"),"")</f>
        <v>0.54290590000000005</v>
      </c>
    </row>
    <row r="22" spans="1:3" x14ac:dyDescent="0.25">
      <c r="A22" s="2" t="s">
        <v>46</v>
      </c>
      <c r="B22" s="2" t="s">
        <v>67</v>
      </c>
      <c r="C22" s="4">
        <f>IFERROR(_xll.BDP("HMAY US Equity","CUST_TRR_RETURN_HOLDING_PER","CUST_TRR_START_DT","20260601","CUST_TRR_END_DT","20260630","CUST_TRR_CRNCY","USD"),"")</f>
        <v>-0.26245059999999998</v>
      </c>
    </row>
    <row r="23" spans="1:3" x14ac:dyDescent="0.25">
      <c r="A23" s="2" t="s">
        <v>46</v>
      </c>
      <c r="B23" s="2" t="s">
        <v>68</v>
      </c>
      <c r="C23" s="4">
        <f>IFERROR(_xll.BDP("HMAY US Equity","CUST_TRR_RETURN_HOLDING_PER","CUST_TRR_START_DT","20260701","CUST_TRR_END_DT","20260731","CUST_TRR_CRNCY","USD"),"")</f>
        <v>6.0239529999999999E-2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79000000}"/>
  <dataValidations count="1">
    <dataValidation type="list" allowBlank="1" showErrorMessage="1" errorTitle="Invalid value" error="Choose a value from the Periods list." sqref="A2:A5000" xr:uid="{00000000-0002-0000-7900-000000000000}">
      <formula1>"2026-07"</formula1>
    </dataValidation>
  </dataValidations>
  <pageMargins left="0.75" right="0.75" top="1" bottom="1" header="0.5" footer="0.5"/>
  <legacy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7A000000}"/>
  <dataValidations count="14">
    <dataValidation type="list" allowBlank="1" showErrorMessage="1" errorTitle="Invalid value" error="Choose a value from the Periods list." sqref="A2:A5000" xr:uid="{00000000-0002-0000-7A00-000000000000}">
      <formula1>"2026-07"</formula1>
    </dataValidation>
    <dataValidation type="list" allowBlank="1" showErrorMessage="1" errorTitle="Invalid value" error="Choose a value from the Units list." sqref="J2:J5000" xr:uid="{00000000-0002-0000-7A00-000001000000}">
      <formula1>"NS,PA,NC,OU"</formula1>
    </dataValidation>
    <dataValidation type="list" allowBlank="1" showErrorMessage="1" errorTitle="Invalid value" error="Choose a value from the PayoffProfiles list." sqref="N2:N5000" xr:uid="{00000000-0002-0000-7A00-000002000000}">
      <formula1>"Long,Short,N/A"</formula1>
    </dataValidation>
    <dataValidation type="list" allowBlank="1" showErrorMessage="1" errorTitle="Invalid value" error="Choose a value from the AssetCategories list." sqref="O2:O5000" xr:uid="{00000000-0002-0000-7A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7A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7A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7A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7A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7A00-000008000000}">
      <formula1>"Put,Call"</formula1>
    </dataValidation>
    <dataValidation type="list" allowBlank="1" showErrorMessage="1" errorTitle="Invalid value" error="Choose a value from the WrittenPurchased list." sqref="AM2:AM5000" xr:uid="{00000000-0002-0000-7A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7A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7A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7A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7A00-000011000000}">
      <formula1>"Y,N"</formula1>
    </dataValidation>
  </dataValidations>
  <pageMargins left="0.75" right="0.75" top="1" bottom="1" header="0.5" footer="0.5"/>
  <legacy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7B000000}"/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>
        <f>IFERROR(_xll.BDP("HULL US Equity","CUST_TRR_RETURN_HOLDING_PER","CUST_TRR_START_DT","20260501","CUST_TRR_END_DT","20260531","CUST_TRR_CRNCY","USD"),"")</f>
        <v>-1.7000189999999999</v>
      </c>
    </row>
    <row r="22" spans="1:3" x14ac:dyDescent="0.25">
      <c r="A22" s="2" t="s">
        <v>46</v>
      </c>
      <c r="B22" s="2" t="s">
        <v>67</v>
      </c>
      <c r="C22" s="4">
        <f>IFERROR(_xll.BDP("HULL US Equity","CUST_TRR_RETURN_HOLDING_PER","CUST_TRR_START_DT","20260601","CUST_TRR_END_DT","20260630","CUST_TRR_CRNCY","USD"),"")</f>
        <v>-4.4996869999999998</v>
      </c>
    </row>
    <row r="23" spans="1:3" x14ac:dyDescent="0.25">
      <c r="A23" s="2" t="s">
        <v>46</v>
      </c>
      <c r="B23" s="2" t="s">
        <v>68</v>
      </c>
      <c r="C23" s="4">
        <f>IFERROR(_xll.BDP("HULL US Equity","CUST_TRR_RETURN_HOLDING_PER","CUST_TRR_START_DT","20260701","CUST_TRR_END_DT","20260731","CUST_TRR_CRNCY","USD"),"")</f>
        <v>6.7080919999999997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7C000000}"/>
  <dataValidations count="1">
    <dataValidation type="list" allowBlank="1" showErrorMessage="1" errorTitle="Invalid value" error="Choose a value from the Periods list." sqref="A2:A5000" xr:uid="{00000000-0002-0000-7C00-000000000000}">
      <formula1>"2026-07"</formula1>
    </dataValidation>
  </dataValidations>
  <pageMargins left="0.75" right="0.75" top="1" bottom="1" header="0.5" footer="0.5"/>
  <legacy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7D000000}"/>
  <dataValidations count="14">
    <dataValidation type="list" allowBlank="1" showErrorMessage="1" errorTitle="Invalid value" error="Choose a value from the Periods list." sqref="A2:A5000" xr:uid="{00000000-0002-0000-7D00-000000000000}">
      <formula1>"2026-07"</formula1>
    </dataValidation>
    <dataValidation type="list" allowBlank="1" showErrorMessage="1" errorTitle="Invalid value" error="Choose a value from the Units list." sqref="J2:J5000" xr:uid="{00000000-0002-0000-7D00-000001000000}">
      <formula1>"NS,PA,NC,OU"</formula1>
    </dataValidation>
    <dataValidation type="list" allowBlank="1" showErrorMessage="1" errorTitle="Invalid value" error="Choose a value from the PayoffProfiles list." sqref="N2:N5000" xr:uid="{00000000-0002-0000-7D00-000002000000}">
      <formula1>"Long,Short,N/A"</formula1>
    </dataValidation>
    <dataValidation type="list" allowBlank="1" showErrorMessage="1" errorTitle="Invalid value" error="Choose a value from the AssetCategories list." sqref="O2:O5000" xr:uid="{00000000-0002-0000-7D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7D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7D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7D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7D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7D00-000008000000}">
      <formula1>"Put,Call"</formula1>
    </dataValidation>
    <dataValidation type="list" allowBlank="1" showErrorMessage="1" errorTitle="Invalid value" error="Choose a value from the WrittenPurchased list." sqref="AM2:AM5000" xr:uid="{00000000-0002-0000-7D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7D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7D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7D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7D00-000011000000}">
      <formula1>"Y,N"</formula1>
    </dataValidation>
  </dataValidations>
  <pageMargins left="0.75" right="0.75" top="1" bottom="1" header="0.5" footer="0.5"/>
  <legacy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7E000000}"/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IFERROR(_xll.BDP("IDJN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IFERROR(_xll.BDP("IDJN US Equity","CUST_TRR_RETURN_HOLDING_PER","CUST_TRR_START_DT","20260601","CUST_TRR_END_DT","20260630","CUST_TRR_CRNCY","USD"),"")</f>
        <v>-1.21106</v>
      </c>
    </row>
    <row r="23" spans="1:3" x14ac:dyDescent="0.25">
      <c r="A23" s="2" t="s">
        <v>46</v>
      </c>
      <c r="B23" s="2" t="s">
        <v>68</v>
      </c>
      <c r="C23" s="4">
        <f>IFERROR(_xll.BDP("IDJN US Equity","CUST_TRR_RETURN_HOLDING_PER","CUST_TRR_START_DT","20260701","CUST_TRR_END_DT","20260731","CUST_TRR_CRNCY","USD"),"")</f>
        <v>1.500977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7F000000}"/>
  <dataValidations count="1">
    <dataValidation type="list" allowBlank="1" showErrorMessage="1" errorTitle="Invalid value" error="Choose a value from the Periods list." sqref="A2:A5000" xr:uid="{00000000-0002-0000-7F00-000000000000}">
      <formula1>"2026-07"</formula1>
    </dataValidation>
  </dataValidations>
  <pageMargins left="0.75" right="0.75" top="1" bottom="1" header="0.5" footer="0.5"/>
  <legacy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80000000}"/>
  <dataValidations count="14">
    <dataValidation type="list" allowBlank="1" showErrorMessage="1" errorTitle="Invalid value" error="Choose a value from the Periods list." sqref="A2:A5000" xr:uid="{00000000-0002-0000-8000-000000000000}">
      <formula1>"2026-07"</formula1>
    </dataValidation>
    <dataValidation type="list" allowBlank="1" showErrorMessage="1" errorTitle="Invalid value" error="Choose a value from the Units list." sqref="J2:J5000" xr:uid="{00000000-0002-0000-8000-000001000000}">
      <formula1>"NS,PA,NC,OU"</formula1>
    </dataValidation>
    <dataValidation type="list" allowBlank="1" showErrorMessage="1" errorTitle="Invalid value" error="Choose a value from the PayoffProfiles list." sqref="N2:N5000" xr:uid="{00000000-0002-0000-8000-000002000000}">
      <formula1>"Long,Short,N/A"</formula1>
    </dataValidation>
    <dataValidation type="list" allowBlank="1" showErrorMessage="1" errorTitle="Invalid value" error="Choose a value from the AssetCategories list." sqref="O2:O5000" xr:uid="{00000000-0002-0000-80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80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80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80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80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8000-000008000000}">
      <formula1>"Put,Call"</formula1>
    </dataValidation>
    <dataValidation type="list" allowBlank="1" showErrorMessage="1" errorTitle="Invalid value" error="Choose a value from the WrittenPurchased list." sqref="AM2:AM5000" xr:uid="{00000000-0002-0000-80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80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80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80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8000-000011000000}">
      <formula1>"Y,N"</formula1>
    </dataValidation>
  </dataValidations>
  <pageMargins left="0.75" right="0.75" top="1" bottom="1" header="0.5" footer="0.5"/>
  <legacy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81000000}"/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>
        <f>IFERROR(_xll.BDP("IDMY US Equity","CUST_TRR_RETURN_HOLDING_PER","CUST_TRR_START_DT","20260501","CUST_TRR_END_DT","20260531","CUST_TRR_CRNCY","USD"),"")</f>
        <v>-1.119381</v>
      </c>
    </row>
    <row r="22" spans="1:3" x14ac:dyDescent="0.25">
      <c r="A22" s="2" t="s">
        <v>46</v>
      </c>
      <c r="B22" s="2" t="s">
        <v>67</v>
      </c>
      <c r="C22" s="4">
        <f>IFERROR(_xll.BDP("IDMY US Equity","CUST_TRR_RETURN_HOLDING_PER","CUST_TRR_START_DT","20260601","CUST_TRR_END_DT","20260630","CUST_TRR_CRNCY","USD"),"")</f>
        <v>0.48002040000000001</v>
      </c>
    </row>
    <row r="23" spans="1:3" x14ac:dyDescent="0.25">
      <c r="A23" s="2" t="s">
        <v>46</v>
      </c>
      <c r="B23" s="2" t="s">
        <v>68</v>
      </c>
      <c r="C23" s="4">
        <f>IFERROR(_xll.BDP("IDMY US Equity","CUST_TRR_RETURN_HOLDING_PER","CUST_TRR_START_DT","20260701","CUST_TRR_END_DT","20260731","CUST_TRR_CRNCY","USD"),"")</f>
        <v>1.1350830000000001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82000000}"/>
  <dataValidations count="1">
    <dataValidation type="list" allowBlank="1" showErrorMessage="1" errorTitle="Invalid value" error="Choose a value from the Periods list." sqref="A2:A5000" xr:uid="{00000000-0002-0000-8200-000000000000}">
      <formula1>"2026-07"</formula1>
    </dataValidation>
  </dataValidations>
  <pageMargins left="0.75" right="0.75" top="1" bottom="1" header="0.5" footer="0.5"/>
  <legacy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83000000}"/>
  <dataValidations count="14">
    <dataValidation type="list" allowBlank="1" showErrorMessage="1" errorTitle="Invalid value" error="Choose a value from the Periods list." sqref="A2:A5000" xr:uid="{00000000-0002-0000-8300-000000000000}">
      <formula1>"2026-07"</formula1>
    </dataValidation>
    <dataValidation type="list" allowBlank="1" showErrorMessage="1" errorTitle="Invalid value" error="Choose a value from the Units list." sqref="J2:J5000" xr:uid="{00000000-0002-0000-8300-000001000000}">
      <formula1>"NS,PA,NC,OU"</formula1>
    </dataValidation>
    <dataValidation type="list" allowBlank="1" showErrorMessage="1" errorTitle="Invalid value" error="Choose a value from the PayoffProfiles list." sqref="N2:N5000" xr:uid="{00000000-0002-0000-8300-000002000000}">
      <formula1>"Long,Short,N/A"</formula1>
    </dataValidation>
    <dataValidation type="list" allowBlank="1" showErrorMessage="1" errorTitle="Invalid value" error="Choose a value from the AssetCategories list." sqref="O2:O5000" xr:uid="{00000000-0002-0000-83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83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83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83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83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8300-000008000000}">
      <formula1>"Put,Call"</formula1>
    </dataValidation>
    <dataValidation type="list" allowBlank="1" showErrorMessage="1" errorTitle="Invalid value" error="Choose a value from the WrittenPurchased list." sqref="AM2:AM5000" xr:uid="{00000000-0002-0000-83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83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83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83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8300-000011000000}">
      <formula1>"Y,N"</formula1>
    </dataValidation>
  </dataValidations>
  <pageMargins left="0.75" right="0.75" top="1" bottom="1" header="0.5" footer="0.5"/>
  <legacy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84000000}"/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>
        <f>IFERROR(_xll.BDP("JOUL US Equity","CUST_TRR_RETURN_HOLDING_PER","CUST_TRR_START_DT","20260501","CUST_TRR_END_DT","20260531","CUST_TRR_CRNCY","USD"),"")</f>
        <v>-4.0600290000000001</v>
      </c>
    </row>
    <row r="22" spans="1:3" x14ac:dyDescent="0.25">
      <c r="A22" s="2" t="s">
        <v>46</v>
      </c>
      <c r="B22" s="2" t="s">
        <v>67</v>
      </c>
      <c r="C22" s="4">
        <f>IFERROR(_xll.BDP("JOUL US Equity","CUST_TRR_RETURN_HOLDING_PER","CUST_TRR_START_DT","20260601","CUST_TRR_END_DT","20260630","CUST_TRR_CRNCY","USD"),"")</f>
        <v>7.8092100000000002</v>
      </c>
    </row>
    <row r="23" spans="1:3" x14ac:dyDescent="0.25">
      <c r="A23" s="2" t="s">
        <v>46</v>
      </c>
      <c r="B23" s="2" t="s">
        <v>68</v>
      </c>
      <c r="C23" s="4">
        <f>IFERROR(_xll.BDP("JOUL US Equity","CUST_TRR_RETURN_HOLDING_PER","CUST_TRR_START_DT","20260701","CUST_TRR_END_DT","20260731","CUST_TRR_CRNCY","USD"),"")</f>
        <v>-10.433149999999999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85000000}"/>
  <dataValidations count="1">
    <dataValidation type="list" allowBlank="1" showErrorMessage="1" errorTitle="Invalid value" error="Choose a value from the Periods list." sqref="A2:A5000" xr:uid="{00000000-0002-0000-8500-000000000000}">
      <formula1>"2026-07"</formula1>
    </dataValidation>
  </dataValidations>
  <pageMargins left="0.75" right="0.75" top="1" bottom="1" header="0.5" footer="0.5"/>
  <legacy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86000000}"/>
  <dataValidations count="14">
    <dataValidation type="list" allowBlank="1" showErrorMessage="1" errorTitle="Invalid value" error="Choose a value from the Periods list." sqref="A2:A5000" xr:uid="{00000000-0002-0000-8600-000000000000}">
      <formula1>"2026-07"</formula1>
    </dataValidation>
    <dataValidation type="list" allowBlank="1" showErrorMessage="1" errorTitle="Invalid value" error="Choose a value from the Units list." sqref="J2:J5000" xr:uid="{00000000-0002-0000-8600-000001000000}">
      <formula1>"NS,PA,NC,OU"</formula1>
    </dataValidation>
    <dataValidation type="list" allowBlank="1" showErrorMessage="1" errorTitle="Invalid value" error="Choose a value from the PayoffProfiles list." sqref="N2:N5000" xr:uid="{00000000-0002-0000-8600-000002000000}">
      <formula1>"Long,Short,N/A"</formula1>
    </dataValidation>
    <dataValidation type="list" allowBlank="1" showErrorMessage="1" errorTitle="Invalid value" error="Choose a value from the AssetCategories list." sqref="O2:O5000" xr:uid="{00000000-0002-0000-86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86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86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86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86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8600-000008000000}">
      <formula1>"Put,Call"</formula1>
    </dataValidation>
    <dataValidation type="list" allowBlank="1" showErrorMessage="1" errorTitle="Invalid value" error="Choose a value from the WrittenPurchased list." sqref="AM2:AM5000" xr:uid="{00000000-0002-0000-86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86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86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86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8600-000011000000}">
      <formula1>"Y,N"</formula1>
    </dataValidation>
  </dataValidations>
  <pageMargins left="0.75" right="0.75" top="1" bottom="1" header="0.5" footer="0.5"/>
  <legacy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87000000}"/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IFERROR(_xll.BDP("JUNC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IFERROR(_xll.BDP("JUNC US Equity","CUST_TRR_RETURN_HOLDING_PER","CUST_TRR_START_DT","20260601","CUST_TRR_END_DT","20260630","CUST_TRR_CRNCY","USD"),"")</f>
        <v>-0.77855289999999999</v>
      </c>
    </row>
    <row r="23" spans="1:3" x14ac:dyDescent="0.25">
      <c r="A23" s="2" t="s">
        <v>46</v>
      </c>
      <c r="B23" s="2" t="s">
        <v>68</v>
      </c>
      <c r="C23" s="4">
        <f>IFERROR(_xll.BDP("JUNC US Equity","CUST_TRR_RETURN_HOLDING_PER","CUST_TRR_START_DT","20260701","CUST_TRR_END_DT","20260731","CUST_TRR_CRNCY","USD"),"")</f>
        <v>0.36814560000000002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88000000}"/>
  <dataValidations count="1">
    <dataValidation type="list" allowBlank="1" showErrorMessage="1" errorTitle="Invalid value" error="Choose a value from the Periods list." sqref="A2:A5000" xr:uid="{00000000-0002-0000-8800-000000000000}">
      <formula1>"2026-07"</formula1>
    </dataValidation>
  </dataValidations>
  <pageMargins left="0.75" right="0.75" top="1" bottom="1" header="0.5" footer="0.5"/>
  <legacy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89000000}"/>
  <dataValidations count="14">
    <dataValidation type="list" allowBlank="1" showErrorMessage="1" errorTitle="Invalid value" error="Choose a value from the Periods list." sqref="A2:A5000" xr:uid="{00000000-0002-0000-8900-000000000000}">
      <formula1>"2026-07"</formula1>
    </dataValidation>
    <dataValidation type="list" allowBlank="1" showErrorMessage="1" errorTitle="Invalid value" error="Choose a value from the Units list." sqref="J2:J5000" xr:uid="{00000000-0002-0000-8900-000001000000}">
      <formula1>"NS,PA,NC,OU"</formula1>
    </dataValidation>
    <dataValidation type="list" allowBlank="1" showErrorMessage="1" errorTitle="Invalid value" error="Choose a value from the PayoffProfiles list." sqref="N2:N5000" xr:uid="{00000000-0002-0000-8900-000002000000}">
      <formula1>"Long,Short,N/A"</formula1>
    </dataValidation>
    <dataValidation type="list" allowBlank="1" showErrorMessage="1" errorTitle="Invalid value" error="Choose a value from the AssetCategories list." sqref="O2:O5000" xr:uid="{00000000-0002-0000-89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89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89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89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89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8900-000008000000}">
      <formula1>"Put,Call"</formula1>
    </dataValidation>
    <dataValidation type="list" allowBlank="1" showErrorMessage="1" errorTitle="Invalid value" error="Choose a value from the WrittenPurchased list." sqref="AM2:AM5000" xr:uid="{00000000-0002-0000-89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89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89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89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8900-000011000000}">
      <formula1>"Y,N"</formula1>
    </dataValidation>
  </dataValidations>
  <pageMargins left="0.75" right="0.75" top="1" bottom="1" header="0.5" footer="0.5"/>
  <legacy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3</v>
      </c>
    </row>
    <row r="7" spans="1:2" x14ac:dyDescent="0.25">
      <c r="A7" s="2" t="s">
        <v>10</v>
      </c>
      <c r="B7" s="3" t="s">
        <v>11</v>
      </c>
    </row>
    <row r="8" spans="1:2" x14ac:dyDescent="0.25">
      <c r="A8" s="2" t="s">
        <v>12</v>
      </c>
      <c r="B8" s="3" t="s">
        <v>13</v>
      </c>
    </row>
    <row r="9" spans="1:2" x14ac:dyDescent="0.25">
      <c r="A9" s="2" t="s">
        <v>14</v>
      </c>
      <c r="B9" s="3" t="s">
        <v>15</v>
      </c>
    </row>
    <row r="10" spans="1:2" x14ac:dyDescent="0.25">
      <c r="A10" s="2" t="s">
        <v>16</v>
      </c>
      <c r="B10" s="3" t="s">
        <v>17</v>
      </c>
    </row>
    <row r="11" spans="1:2" x14ac:dyDescent="0.25">
      <c r="A11" s="2" t="s">
        <v>18</v>
      </c>
      <c r="B11" s="3" t="s">
        <v>19</v>
      </c>
    </row>
    <row r="12" spans="1:2" x14ac:dyDescent="0.25">
      <c r="A12" s="2" t="s">
        <v>20</v>
      </c>
      <c r="B12" s="3" t="s">
        <v>21</v>
      </c>
    </row>
    <row r="13" spans="1:2" x14ac:dyDescent="0.25">
      <c r="A13" s="2" t="s">
        <v>22</v>
      </c>
      <c r="B13" s="3" t="s">
        <v>23</v>
      </c>
    </row>
    <row r="14" spans="1:2" x14ac:dyDescent="0.25">
      <c r="A14" s="2" t="s">
        <v>24</v>
      </c>
      <c r="B14" s="3" t="s">
        <v>25</v>
      </c>
    </row>
    <row r="15" spans="1:2" x14ac:dyDescent="0.25">
      <c r="A15" s="2" t="s">
        <v>26</v>
      </c>
      <c r="B15" s="3" t="s">
        <v>202</v>
      </c>
    </row>
    <row r="16" spans="1:2" x14ac:dyDescent="0.25">
      <c r="A16" s="2" t="s">
        <v>28</v>
      </c>
      <c r="B16" s="3" t="s">
        <v>203</v>
      </c>
    </row>
    <row r="17" spans="1:2" x14ac:dyDescent="0.25">
      <c r="A17" s="2" t="s">
        <v>30</v>
      </c>
      <c r="B17" s="3" t="s">
        <v>204</v>
      </c>
    </row>
    <row r="18" spans="1:2" x14ac:dyDescent="0.25">
      <c r="A18" s="2" t="s">
        <v>32</v>
      </c>
      <c r="B18" s="3" t="s">
        <v>205</v>
      </c>
    </row>
    <row r="19" spans="1:2" x14ac:dyDescent="0.25">
      <c r="A19" s="2" t="s">
        <v>34</v>
      </c>
      <c r="B19" s="3" t="s">
        <v>6</v>
      </c>
    </row>
    <row r="20" spans="1:2" x14ac:dyDescent="0.25">
      <c r="A20" s="2" t="s">
        <v>35</v>
      </c>
      <c r="B20" s="3" t="s">
        <v>36</v>
      </c>
    </row>
    <row r="21" spans="1:2" x14ac:dyDescent="0.25">
      <c r="A21" s="2" t="s">
        <v>37</v>
      </c>
      <c r="B21" s="3" t="s">
        <v>38</v>
      </c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8A000000}"/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IFERROR(_xll.BDP("KEYX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IFERROR(_xll.BDP("KEYX US Equity","CUST_TRR_RETURN_HOLDING_PER","CUST_TRR_START_DT","20260601","CUST_TRR_END_DT","20260630","CUST_TRR_CRNCY","USD"),"")</f>
        <v>-2.2921830000000001</v>
      </c>
    </row>
    <row r="23" spans="1:3" x14ac:dyDescent="0.25">
      <c r="A23" s="2" t="s">
        <v>46</v>
      </c>
      <c r="B23" s="2" t="s">
        <v>68</v>
      </c>
      <c r="C23" s="4">
        <f>IFERROR(_xll.BDP("KEYX US Equity","CUST_TRR_RETURN_HOLDING_PER","CUST_TRR_START_DT","20260701","CUST_TRR_END_DT","20260731","CUST_TRR_CRNCY","USD"),"")</f>
        <v>-12.061540000000001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8B000000}"/>
  <dataValidations count="1">
    <dataValidation type="list" allowBlank="1" showErrorMessage="1" errorTitle="Invalid value" error="Choose a value from the Periods list." sqref="A2:A5000" xr:uid="{00000000-0002-0000-8B00-000000000000}">
      <formula1>"2026-07"</formula1>
    </dataValidation>
  </dataValidations>
  <pageMargins left="0.75" right="0.75" top="1" bottom="1" header="0.5" footer="0.5"/>
  <legacy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8C000000}"/>
  <dataValidations count="14">
    <dataValidation type="list" allowBlank="1" showErrorMessage="1" errorTitle="Invalid value" error="Choose a value from the Periods list." sqref="A2:A5000" xr:uid="{00000000-0002-0000-8C00-000000000000}">
      <formula1>"2026-07"</formula1>
    </dataValidation>
    <dataValidation type="list" allowBlank="1" showErrorMessage="1" errorTitle="Invalid value" error="Choose a value from the Units list." sqref="J2:J5000" xr:uid="{00000000-0002-0000-8C00-000001000000}">
      <formula1>"NS,PA,NC,OU"</formula1>
    </dataValidation>
    <dataValidation type="list" allowBlank="1" showErrorMessage="1" errorTitle="Invalid value" error="Choose a value from the PayoffProfiles list." sqref="N2:N5000" xr:uid="{00000000-0002-0000-8C00-000002000000}">
      <formula1>"Long,Short,N/A"</formula1>
    </dataValidation>
    <dataValidation type="list" allowBlank="1" showErrorMessage="1" errorTitle="Invalid value" error="Choose a value from the AssetCategories list." sqref="O2:O5000" xr:uid="{00000000-0002-0000-8C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8C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8C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8C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8C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8C00-000008000000}">
      <formula1>"Put,Call"</formula1>
    </dataValidation>
    <dataValidation type="list" allowBlank="1" showErrorMessage="1" errorTitle="Invalid value" error="Choose a value from the WrittenPurchased list." sqref="AM2:AM5000" xr:uid="{00000000-0002-0000-8C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8C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8C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8C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8C00-000011000000}">
      <formula1>"Y,N"</formula1>
    </dataValidation>
  </dataValidations>
  <pageMargins left="0.75" right="0.75" top="1" bottom="1" header="0.5" footer="0.5"/>
  <legacy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8D000000}"/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IFERROR(_xll.BDP("KRWX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IFERROR(_xll.BDP("KRWX US Equity","CUST_TRR_RETURN_HOLDING_PER","CUST_TRR_START_DT","20260601","CUST_TRR_END_DT","20260630","CUST_TRR_CRNCY","USD"),"")</f>
        <v>-16.356909999999999</v>
      </c>
    </row>
    <row r="23" spans="1:3" x14ac:dyDescent="0.25">
      <c r="A23" s="2" t="s">
        <v>46</v>
      </c>
      <c r="B23" s="2" t="s">
        <v>68</v>
      </c>
      <c r="C23" s="4">
        <f>IFERROR(_xll.BDP("KRWX US Equity","CUST_TRR_RETURN_HOLDING_PER","CUST_TRR_START_DT","20260701","CUST_TRR_END_DT","20260731","CUST_TRR_CRNCY","USD"),"")</f>
        <v>-32.111690000000003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8E000000}"/>
  <dataValidations count="1">
    <dataValidation type="list" allowBlank="1" showErrorMessage="1" errorTitle="Invalid value" error="Choose a value from the Periods list." sqref="A2:A5000" xr:uid="{00000000-0002-0000-8E00-000000000000}">
      <formula1>"2026-07"</formula1>
    </dataValidation>
  </dataValidations>
  <pageMargins left="0.75" right="0.75" top="1" bottom="1" header="0.5" footer="0.5"/>
  <legacy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8F000000}"/>
  <dataValidations count="14">
    <dataValidation type="list" allowBlank="1" showErrorMessage="1" errorTitle="Invalid value" error="Choose a value from the Periods list." sqref="A2:A5000" xr:uid="{00000000-0002-0000-8F00-000000000000}">
      <formula1>"2026-07"</formula1>
    </dataValidation>
    <dataValidation type="list" allowBlank="1" showErrorMessage="1" errorTitle="Invalid value" error="Choose a value from the Units list." sqref="J2:J5000" xr:uid="{00000000-0002-0000-8F00-000001000000}">
      <formula1>"NS,PA,NC,OU"</formula1>
    </dataValidation>
    <dataValidation type="list" allowBlank="1" showErrorMessage="1" errorTitle="Invalid value" error="Choose a value from the PayoffProfiles list." sqref="N2:N5000" xr:uid="{00000000-0002-0000-8F00-000002000000}">
      <formula1>"Long,Short,N/A"</formula1>
    </dataValidation>
    <dataValidation type="list" allowBlank="1" showErrorMessage="1" errorTitle="Invalid value" error="Choose a value from the AssetCategories list." sqref="O2:O5000" xr:uid="{00000000-0002-0000-8F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8F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8F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8F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8F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8F00-000008000000}">
      <formula1>"Put,Call"</formula1>
    </dataValidation>
    <dataValidation type="list" allowBlank="1" showErrorMessage="1" errorTitle="Invalid value" error="Choose a value from the WrittenPurchased list." sqref="AM2:AM5000" xr:uid="{00000000-0002-0000-8F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8F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8F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8F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8F00-000011000000}">
      <formula1>"Y,N"</formula1>
    </dataValidation>
  </dataValidations>
  <pageMargins left="0.75" right="0.75" top="1" bottom="1" header="0.5" footer="0.5"/>
  <legacy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90000000}"/>
  <pageMargins left="0.75" right="0.75" top="1" bottom="1" header="0.5" footer="0.5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>
        <f>IFERROR(_xll.BDP("KYC US Equity","CUST_TRR_RETURN_HOLDING_PER","CUST_TRR_START_DT","20260501","CUST_TRR_END_DT","20260531","CUST_TRR_CRNCY","USD"),"")</f>
        <v>-0.16521159999999999</v>
      </c>
    </row>
    <row r="22" spans="1:3" x14ac:dyDescent="0.25">
      <c r="A22" s="2" t="s">
        <v>46</v>
      </c>
      <c r="B22" s="2" t="s">
        <v>67</v>
      </c>
      <c r="C22" s="4">
        <f>IFERROR(_xll.BDP("KYC US Equity","CUST_TRR_RETURN_HOLDING_PER","CUST_TRR_START_DT","20260601","CUST_TRR_END_DT","20260630","CUST_TRR_CRNCY","USD"),"")</f>
        <v>-2.459762</v>
      </c>
    </row>
    <row r="23" spans="1:3" x14ac:dyDescent="0.25">
      <c r="A23" s="2" t="s">
        <v>46</v>
      </c>
      <c r="B23" s="2" t="s">
        <v>68</v>
      </c>
      <c r="C23" s="4">
        <f>IFERROR(_xll.BDP("KYC US Equity","CUST_TRR_RETURN_HOLDING_PER","CUST_TRR_START_DT","20260701","CUST_TRR_END_DT","20260731","CUST_TRR_CRNCY","USD"),"")</f>
        <v>3.4617209999999998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91000000}"/>
  <dataValidations count="1">
    <dataValidation type="list" allowBlank="1" showErrorMessage="1" errorTitle="Invalid value" error="Choose a value from the Periods list." sqref="A2:A5000" xr:uid="{00000000-0002-0000-9100-000000000000}">
      <formula1>"2026-07"</formula1>
    </dataValidation>
  </dataValidations>
  <pageMargins left="0.75" right="0.75" top="1" bottom="1" header="0.5" footer="0.5"/>
  <legacy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92000000}"/>
  <dataValidations count="14">
    <dataValidation type="list" allowBlank="1" showErrorMessage="1" errorTitle="Invalid value" error="Choose a value from the Periods list." sqref="A2:A5000" xr:uid="{00000000-0002-0000-9200-000000000000}">
      <formula1>"2026-07"</formula1>
    </dataValidation>
    <dataValidation type="list" allowBlank="1" showErrorMessage="1" errorTitle="Invalid value" error="Choose a value from the Units list." sqref="J2:J5000" xr:uid="{00000000-0002-0000-9200-000001000000}">
      <formula1>"NS,PA,NC,OU"</formula1>
    </dataValidation>
    <dataValidation type="list" allowBlank="1" showErrorMessage="1" errorTitle="Invalid value" error="Choose a value from the PayoffProfiles list." sqref="N2:N5000" xr:uid="{00000000-0002-0000-9200-000002000000}">
      <formula1>"Long,Short,N/A"</formula1>
    </dataValidation>
    <dataValidation type="list" allowBlank="1" showErrorMessage="1" errorTitle="Invalid value" error="Choose a value from the AssetCategories list." sqref="O2:O5000" xr:uid="{00000000-0002-0000-92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92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92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92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92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9200-000008000000}">
      <formula1>"Put,Call"</formula1>
    </dataValidation>
    <dataValidation type="list" allowBlank="1" showErrorMessage="1" errorTitle="Invalid value" error="Choose a value from the WrittenPurchased list." sqref="AM2:AM5000" xr:uid="{00000000-0002-0000-92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92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92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92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9200-000011000000}">
      <formula1>"Y,N"</formula1>
    </dataValidation>
  </dataValidations>
  <pageMargins left="0.75" right="0.75" top="1" bottom="1" header="0.5" footer="0.5"/>
  <legacy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3</v>
      </c>
    </row>
    <row r="7" spans="1:2" x14ac:dyDescent="0.25">
      <c r="A7" s="2" t="s">
        <v>10</v>
      </c>
      <c r="B7" s="3" t="s">
        <v>11</v>
      </c>
    </row>
    <row r="8" spans="1:2" x14ac:dyDescent="0.25">
      <c r="A8" s="2" t="s">
        <v>12</v>
      </c>
      <c r="B8" s="3" t="s">
        <v>13</v>
      </c>
    </row>
    <row r="9" spans="1:2" x14ac:dyDescent="0.25">
      <c r="A9" s="2" t="s">
        <v>14</v>
      </c>
      <c r="B9" s="3" t="s">
        <v>15</v>
      </c>
    </row>
    <row r="10" spans="1:2" x14ac:dyDescent="0.25">
      <c r="A10" s="2" t="s">
        <v>16</v>
      </c>
      <c r="B10" s="3" t="s">
        <v>17</v>
      </c>
    </row>
    <row r="11" spans="1:2" x14ac:dyDescent="0.25">
      <c r="A11" s="2" t="s">
        <v>18</v>
      </c>
      <c r="B11" s="3" t="s">
        <v>19</v>
      </c>
    </row>
    <row r="12" spans="1:2" x14ac:dyDescent="0.25">
      <c r="A12" s="2" t="s">
        <v>20</v>
      </c>
      <c r="B12" s="3" t="s">
        <v>21</v>
      </c>
    </row>
    <row r="13" spans="1:2" x14ac:dyDescent="0.25">
      <c r="A13" s="2" t="s">
        <v>22</v>
      </c>
      <c r="B13" s="3" t="s">
        <v>23</v>
      </c>
    </row>
    <row r="14" spans="1:2" x14ac:dyDescent="0.25">
      <c r="A14" s="2" t="s">
        <v>24</v>
      </c>
      <c r="B14" s="3" t="s">
        <v>25</v>
      </c>
    </row>
    <row r="15" spans="1:2" x14ac:dyDescent="0.25">
      <c r="A15" s="2" t="s">
        <v>26</v>
      </c>
      <c r="B15" s="3" t="s">
        <v>206</v>
      </c>
    </row>
    <row r="16" spans="1:2" x14ac:dyDescent="0.25">
      <c r="A16" s="2" t="s">
        <v>28</v>
      </c>
      <c r="B16" s="3" t="s">
        <v>207</v>
      </c>
    </row>
    <row r="17" spans="1:2" x14ac:dyDescent="0.25">
      <c r="A17" s="2" t="s">
        <v>30</v>
      </c>
      <c r="B17" s="3" t="s">
        <v>208</v>
      </c>
    </row>
    <row r="18" spans="1:2" x14ac:dyDescent="0.25">
      <c r="A18" s="2" t="s">
        <v>32</v>
      </c>
      <c r="B18" s="3" t="s">
        <v>209</v>
      </c>
    </row>
    <row r="19" spans="1:2" x14ac:dyDescent="0.25">
      <c r="A19" s="2" t="s">
        <v>34</v>
      </c>
      <c r="B19" s="3" t="s">
        <v>6</v>
      </c>
    </row>
    <row r="20" spans="1:2" x14ac:dyDescent="0.25">
      <c r="A20" s="2" t="s">
        <v>35</v>
      </c>
      <c r="B20" s="3" t="s">
        <v>36</v>
      </c>
    </row>
    <row r="21" spans="1:2" x14ac:dyDescent="0.25">
      <c r="A21" s="2" t="s">
        <v>37</v>
      </c>
      <c r="B21" s="3" t="s">
        <v>38</v>
      </c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93000000}"/>
  <pageMargins left="0.75" right="0.75" top="1" bottom="1" header="0.5" footer="0.5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IFERROR(_xll.BDP("LASC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IFERROR(_xll.BDP("LASC US Equity","CUST_TRR_RETURN_HOLDING_PER","CUST_TRR_START_DT","20260601","CUST_TRR_END_DT","20260630","CUST_TRR_CRNCY","USD"),"")</f>
        <v>18.112629999999999</v>
      </c>
    </row>
    <row r="23" spans="1:3" x14ac:dyDescent="0.25">
      <c r="A23" s="2" t="s">
        <v>46</v>
      </c>
      <c r="B23" s="2" t="s">
        <v>68</v>
      </c>
      <c r="C23" s="4">
        <f>IFERROR(_xll.BDP("LASC US Equity","CUST_TRR_RETURN_HOLDING_PER","CUST_TRR_START_DT","20260701","CUST_TRR_END_DT","20260731","CUST_TRR_CRNCY","USD"),"")</f>
        <v>-6.5396919999999996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94000000}"/>
  <dataValidations count="1">
    <dataValidation type="list" allowBlank="1" showErrorMessage="1" errorTitle="Invalid value" error="Choose a value from the Periods list." sqref="A2:A5000" xr:uid="{00000000-0002-0000-9400-000000000000}">
      <formula1>"2026-07"</formula1>
    </dataValidation>
  </dataValidations>
  <pageMargins left="0.75" right="0.75" top="1" bottom="1" header="0.5" footer="0.5"/>
  <legacy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95000000}"/>
  <dataValidations count="14">
    <dataValidation type="list" allowBlank="1" showErrorMessage="1" errorTitle="Invalid value" error="Choose a value from the Periods list." sqref="A2:A5000" xr:uid="{00000000-0002-0000-9500-000000000000}">
      <formula1>"2026-07"</formula1>
    </dataValidation>
    <dataValidation type="list" allowBlank="1" showErrorMessage="1" errorTitle="Invalid value" error="Choose a value from the Units list." sqref="J2:J5000" xr:uid="{00000000-0002-0000-9500-000001000000}">
      <formula1>"NS,PA,NC,OU"</formula1>
    </dataValidation>
    <dataValidation type="list" allowBlank="1" showErrorMessage="1" errorTitle="Invalid value" error="Choose a value from the PayoffProfiles list." sqref="N2:N5000" xr:uid="{00000000-0002-0000-9500-000002000000}">
      <formula1>"Long,Short,N/A"</formula1>
    </dataValidation>
    <dataValidation type="list" allowBlank="1" showErrorMessage="1" errorTitle="Invalid value" error="Choose a value from the AssetCategories list." sqref="O2:O5000" xr:uid="{00000000-0002-0000-95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95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95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95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95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9500-000008000000}">
      <formula1>"Put,Call"</formula1>
    </dataValidation>
    <dataValidation type="list" allowBlank="1" showErrorMessage="1" errorTitle="Invalid value" error="Choose a value from the WrittenPurchased list." sqref="AM2:AM5000" xr:uid="{00000000-0002-0000-95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95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95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95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9500-000011000000}">
      <formula1>"Y,N"</formula1>
    </dataValidation>
  </dataValidations>
  <pageMargins left="0.75" right="0.75" top="1" bottom="1" header="0.5" footer="0.5"/>
  <legacy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96000000}"/>
  <pageMargins left="0.75" right="0.75" top="1" bottom="1" header="0.5" footer="0.5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>
        <f>IFERROR(_xll.BDP("LATR US Equity","CUST_TRR_RETURN_HOLDING_PER","CUST_TRR_START_DT","20260501","CUST_TRR_END_DT","20260531","CUST_TRR_CRNCY","USD"),"")</f>
        <v>4.2738110000000002</v>
      </c>
    </row>
    <row r="22" spans="1:3" x14ac:dyDescent="0.25">
      <c r="A22" s="2" t="s">
        <v>46</v>
      </c>
      <c r="B22" s="2" t="s">
        <v>67</v>
      </c>
      <c r="C22" s="4">
        <f>IFERROR(_xll.BDP("LATR US Equity","CUST_TRR_RETURN_HOLDING_PER","CUST_TRR_START_DT","20260601","CUST_TRR_END_DT","20260630","CUST_TRR_CRNCY","USD"),"")</f>
        <v>5.8518249999999998</v>
      </c>
    </row>
    <row r="23" spans="1:3" x14ac:dyDescent="0.25">
      <c r="A23" s="2" t="s">
        <v>46</v>
      </c>
      <c r="B23" s="2" t="s">
        <v>68</v>
      </c>
      <c r="C23" s="4">
        <f>IFERROR(_xll.BDP("LATR US Equity","CUST_TRR_RETURN_HOLDING_PER","CUST_TRR_START_DT","20260701","CUST_TRR_END_DT","20260731","CUST_TRR_CRNCY","USD"),"")</f>
        <v>0.71274990000000005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97000000}"/>
  <dataValidations count="1">
    <dataValidation type="list" allowBlank="1" showErrorMessage="1" errorTitle="Invalid value" error="Choose a value from the Periods list." sqref="A2:A5000" xr:uid="{00000000-0002-0000-9700-000000000000}">
      <formula1>"2026-07"</formula1>
    </dataValidation>
  </dataValidations>
  <pageMargins left="0.75" right="0.75" top="1" bottom="1" header="0.5" footer="0.5"/>
  <legacy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98000000}"/>
  <dataValidations count="14">
    <dataValidation type="list" allowBlank="1" showErrorMessage="1" errorTitle="Invalid value" error="Choose a value from the Periods list." sqref="A2:A5000" xr:uid="{00000000-0002-0000-9800-000000000000}">
      <formula1>"2026-07"</formula1>
    </dataValidation>
    <dataValidation type="list" allowBlank="1" showErrorMessage="1" errorTitle="Invalid value" error="Choose a value from the Units list." sqref="J2:J5000" xr:uid="{00000000-0002-0000-9800-000001000000}">
      <formula1>"NS,PA,NC,OU"</formula1>
    </dataValidation>
    <dataValidation type="list" allowBlank="1" showErrorMessage="1" errorTitle="Invalid value" error="Choose a value from the PayoffProfiles list." sqref="N2:N5000" xr:uid="{00000000-0002-0000-9800-000002000000}">
      <formula1>"Long,Short,N/A"</formula1>
    </dataValidation>
    <dataValidation type="list" allowBlank="1" showErrorMessage="1" errorTitle="Invalid value" error="Choose a value from the AssetCategories list." sqref="O2:O5000" xr:uid="{00000000-0002-0000-98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98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98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98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98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9800-000008000000}">
      <formula1>"Put,Call"</formula1>
    </dataValidation>
    <dataValidation type="list" allowBlank="1" showErrorMessage="1" errorTitle="Invalid value" error="Choose a value from the WrittenPurchased list." sqref="AM2:AM5000" xr:uid="{00000000-0002-0000-98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98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98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98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9800-000011000000}">
      <formula1>"Y,N"</formula1>
    </dataValidation>
  </dataValidations>
  <pageMargins left="0.75" right="0.75" top="1" bottom="1" header="0.5" footer="0.5"/>
  <legacy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3</v>
      </c>
    </row>
    <row r="7" spans="1:2" x14ac:dyDescent="0.25">
      <c r="A7" s="2" t="s">
        <v>10</v>
      </c>
      <c r="B7" s="3" t="s">
        <v>11</v>
      </c>
    </row>
    <row r="8" spans="1:2" x14ac:dyDescent="0.25">
      <c r="A8" s="2" t="s">
        <v>12</v>
      </c>
      <c r="B8" s="3" t="s">
        <v>13</v>
      </c>
    </row>
    <row r="9" spans="1:2" x14ac:dyDescent="0.25">
      <c r="A9" s="2" t="s">
        <v>14</v>
      </c>
      <c r="B9" s="3" t="s">
        <v>15</v>
      </c>
    </row>
    <row r="10" spans="1:2" x14ac:dyDescent="0.25">
      <c r="A10" s="2" t="s">
        <v>16</v>
      </c>
      <c r="B10" s="3" t="s">
        <v>17</v>
      </c>
    </row>
    <row r="11" spans="1:2" x14ac:dyDescent="0.25">
      <c r="A11" s="2" t="s">
        <v>18</v>
      </c>
      <c r="B11" s="3" t="s">
        <v>19</v>
      </c>
    </row>
    <row r="12" spans="1:2" x14ac:dyDescent="0.25">
      <c r="A12" s="2" t="s">
        <v>20</v>
      </c>
      <c r="B12" s="3" t="s">
        <v>21</v>
      </c>
    </row>
    <row r="13" spans="1:2" x14ac:dyDescent="0.25">
      <c r="A13" s="2" t="s">
        <v>22</v>
      </c>
      <c r="B13" s="3" t="s">
        <v>23</v>
      </c>
    </row>
    <row r="14" spans="1:2" x14ac:dyDescent="0.25">
      <c r="A14" s="2" t="s">
        <v>24</v>
      </c>
      <c r="B14" s="3" t="s">
        <v>25</v>
      </c>
    </row>
    <row r="15" spans="1:2" x14ac:dyDescent="0.25">
      <c r="A15" s="2" t="s">
        <v>26</v>
      </c>
      <c r="B15" s="3" t="s">
        <v>210</v>
      </c>
    </row>
    <row r="16" spans="1:2" x14ac:dyDescent="0.25">
      <c r="A16" s="2" t="s">
        <v>28</v>
      </c>
      <c r="B16" s="3" t="s">
        <v>211</v>
      </c>
    </row>
    <row r="17" spans="1:2" x14ac:dyDescent="0.25">
      <c r="A17" s="2" t="s">
        <v>30</v>
      </c>
      <c r="B17" s="3" t="s">
        <v>212</v>
      </c>
    </row>
    <row r="18" spans="1:2" x14ac:dyDescent="0.25">
      <c r="A18" s="2" t="s">
        <v>32</v>
      </c>
      <c r="B18" s="3" t="s">
        <v>213</v>
      </c>
    </row>
    <row r="19" spans="1:2" x14ac:dyDescent="0.25">
      <c r="A19" s="2" t="s">
        <v>34</v>
      </c>
      <c r="B19" s="3" t="s">
        <v>6</v>
      </c>
    </row>
    <row r="20" spans="1:2" x14ac:dyDescent="0.25">
      <c r="A20" s="2" t="s">
        <v>35</v>
      </c>
      <c r="B20" s="3" t="s">
        <v>36</v>
      </c>
    </row>
    <row r="21" spans="1:2" x14ac:dyDescent="0.25">
      <c r="A21" s="2" t="s">
        <v>37</v>
      </c>
      <c r="B21" s="3" t="s">
        <v>38</v>
      </c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99000000}"/>
  <pageMargins left="0.75" right="0.75" top="1" bottom="1" header="0.5" footer="0.5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IFERROR(_xll.BDP("LRNX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IFERROR(_xll.BDP("LRNX US Equity","CUST_TRR_RETURN_HOLDING_PER","CUST_TRR_START_DT","20260601","CUST_TRR_END_DT","20260630","CUST_TRR_CRNCY","USD"),"")</f>
        <v>3.9265330000000001</v>
      </c>
    </row>
    <row r="23" spans="1:3" x14ac:dyDescent="0.25">
      <c r="A23" s="2" t="s">
        <v>46</v>
      </c>
      <c r="B23" s="2" t="s">
        <v>68</v>
      </c>
      <c r="C23" s="4">
        <f>IFERROR(_xll.BDP("LRNX US Equity","CUST_TRR_RETURN_HOLDING_PER","CUST_TRR_START_DT","20260701","CUST_TRR_END_DT","20260731","CUST_TRR_CRNCY","USD"),"")</f>
        <v>-22.868539999999999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9A000000}"/>
  <dataValidations count="1">
    <dataValidation type="list" allowBlank="1" showErrorMessage="1" errorTitle="Invalid value" error="Choose a value from the Periods list." sqref="A2:A5000" xr:uid="{00000000-0002-0000-9A00-000000000000}">
      <formula1>"2026-07"</formula1>
    </dataValidation>
  </dataValidations>
  <pageMargins left="0.75" right="0.75" top="1" bottom="1" header="0.5" footer="0.5"/>
  <legacy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9B000000}"/>
  <dataValidations count="14">
    <dataValidation type="list" allowBlank="1" showErrorMessage="1" errorTitle="Invalid value" error="Choose a value from the Periods list." sqref="A2:A5000" xr:uid="{00000000-0002-0000-9B00-000000000000}">
      <formula1>"2026-07"</formula1>
    </dataValidation>
    <dataValidation type="list" allowBlank="1" showErrorMessage="1" errorTitle="Invalid value" error="Choose a value from the Units list." sqref="J2:J5000" xr:uid="{00000000-0002-0000-9B00-000001000000}">
      <formula1>"NS,PA,NC,OU"</formula1>
    </dataValidation>
    <dataValidation type="list" allowBlank="1" showErrorMessage="1" errorTitle="Invalid value" error="Choose a value from the PayoffProfiles list." sqref="N2:N5000" xr:uid="{00000000-0002-0000-9B00-000002000000}">
      <formula1>"Long,Short,N/A"</formula1>
    </dataValidation>
    <dataValidation type="list" allowBlank="1" showErrorMessage="1" errorTitle="Invalid value" error="Choose a value from the AssetCategories list." sqref="O2:O5000" xr:uid="{00000000-0002-0000-9B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9B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9B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9B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9B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9B00-000008000000}">
      <formula1>"Put,Call"</formula1>
    </dataValidation>
    <dataValidation type="list" allowBlank="1" showErrorMessage="1" errorTitle="Invalid value" error="Choose a value from the WrittenPurchased list." sqref="AM2:AM5000" xr:uid="{00000000-0002-0000-9B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9B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9B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9B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9B00-000011000000}">
      <formula1>"Y,N"</formula1>
    </dataValidation>
  </dataValidations>
  <pageMargins left="0.75" right="0.75" top="1" bottom="1" header="0.5" footer="0.5"/>
  <legacy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9C000000}"/>
  <pageMargins left="0.75" right="0.75" top="1" bottom="1" header="0.5" footer="0.5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>
        <f>IFERROR(_xll.BDP("MAYC US Equity","CUST_TRR_RETURN_HOLDING_PER","CUST_TRR_START_DT","20260501","CUST_TRR_END_DT","20260531","CUST_TRR_CRNCY","USD"),"")</f>
        <v>2.508934</v>
      </c>
    </row>
    <row r="22" spans="1:3" x14ac:dyDescent="0.25">
      <c r="A22" s="2" t="s">
        <v>46</v>
      </c>
      <c r="B22" s="2" t="s">
        <v>67</v>
      </c>
      <c r="C22" s="4">
        <f>IFERROR(_xll.BDP("MAYC US Equity","CUST_TRR_RETURN_HOLDING_PER","CUST_TRR_START_DT","20260601","CUST_TRR_END_DT","20260630","CUST_TRR_CRNCY","USD"),"")</f>
        <v>-0.12688379999999999</v>
      </c>
    </row>
    <row r="23" spans="1:3" x14ac:dyDescent="0.25">
      <c r="A23" s="2" t="s">
        <v>46</v>
      </c>
      <c r="B23" s="2" t="s">
        <v>68</v>
      </c>
      <c r="C23" s="4">
        <f>IFERROR(_xll.BDP("MAYC US Equity","CUST_TRR_RETURN_HOLDING_PER","CUST_TRR_START_DT","20260701","CUST_TRR_END_DT","20260731","CUST_TRR_CRNCY","USD"),"")</f>
        <v>0.29476039999999998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9D000000}"/>
  <dataValidations count="1">
    <dataValidation type="list" allowBlank="1" showErrorMessage="1" errorTitle="Invalid value" error="Choose a value from the Periods list." sqref="A2:A5000" xr:uid="{00000000-0002-0000-9D00-000000000000}">
      <formula1>"2026-07"</formula1>
    </dataValidation>
  </dataValidations>
  <pageMargins left="0.75" right="0.75" top="1" bottom="1" header="0.5" footer="0.5"/>
  <legacy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9E000000}"/>
  <dataValidations count="14">
    <dataValidation type="list" allowBlank="1" showErrorMessage="1" errorTitle="Invalid value" error="Choose a value from the Periods list." sqref="A2:A5000" xr:uid="{00000000-0002-0000-9E00-000000000000}">
      <formula1>"2026-07"</formula1>
    </dataValidation>
    <dataValidation type="list" allowBlank="1" showErrorMessage="1" errorTitle="Invalid value" error="Choose a value from the Units list." sqref="J2:J5000" xr:uid="{00000000-0002-0000-9E00-000001000000}">
      <formula1>"NS,PA,NC,OU"</formula1>
    </dataValidation>
    <dataValidation type="list" allowBlank="1" showErrorMessage="1" errorTitle="Invalid value" error="Choose a value from the PayoffProfiles list." sqref="N2:N5000" xr:uid="{00000000-0002-0000-9E00-000002000000}">
      <formula1>"Long,Short,N/A"</formula1>
    </dataValidation>
    <dataValidation type="list" allowBlank="1" showErrorMessage="1" errorTitle="Invalid value" error="Choose a value from the AssetCategories list." sqref="O2:O5000" xr:uid="{00000000-0002-0000-9E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9E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9E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9E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9E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9E00-000008000000}">
      <formula1>"Put,Call"</formula1>
    </dataValidation>
    <dataValidation type="list" allowBlank="1" showErrorMessage="1" errorTitle="Invalid value" error="Choose a value from the WrittenPurchased list." sqref="AM2:AM5000" xr:uid="{00000000-0002-0000-9E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9E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9E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9E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9E00-000011000000}">
      <formula1>"Y,N"</formula1>
    </dataValidation>
  </dataValidations>
  <pageMargins left="0.75" right="0.75" top="1" bottom="1" header="0.5" footer="0.5"/>
  <legacy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9F000000}"/>
  <pageMargins left="0.75" right="0.75" top="1" bottom="1" header="0.5" footer="0.5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IFERROR(_xll.BDP("MGKX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 t="str">
        <f>IFERROR(_xll.BDP("MGKX US Equity","CUST_TRR_RETURN_HOLDING_PER","CUST_TRR_START_DT","20260601","CUST_TRR_END_DT","20260630","CUST_TRR_CRNCY","USD"),"")</f>
        <v>#N/A N/A</v>
      </c>
    </row>
    <row r="23" spans="1:3" x14ac:dyDescent="0.25">
      <c r="A23" s="2" t="s">
        <v>46</v>
      </c>
      <c r="B23" s="2" t="s">
        <v>68</v>
      </c>
      <c r="C23" s="4" t="str">
        <f>IFERROR(_xll.BDP("MGKX US Equity","CUST_TRR_RETURN_HOLDING_PER","CUST_TRR_START_DT","20260701","CUST_TRR_END_DT","20260731","CUST_TRR_CRNCY","USD"),"")</f>
        <v>#N/A N/A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A0000000}"/>
  <dataValidations count="1">
    <dataValidation type="list" allowBlank="1" showErrorMessage="1" errorTitle="Invalid value" error="Choose a value from the Periods list." sqref="A2:A5000" xr:uid="{00000000-0002-0000-A000-000000000000}">
      <formula1>"2026-07"</formula1>
    </dataValidation>
  </dataValidations>
  <pageMargins left="0.75" right="0.75" top="1" bottom="1" header="0.5" footer="0.5"/>
  <legacy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A1000000}"/>
  <dataValidations count="14">
    <dataValidation type="list" allowBlank="1" showErrorMessage="1" errorTitle="Invalid value" error="Choose a value from the Periods list." sqref="A2:A5000" xr:uid="{00000000-0002-0000-A100-000000000000}">
      <formula1>"2026-07"</formula1>
    </dataValidation>
    <dataValidation type="list" allowBlank="1" showErrorMessage="1" errorTitle="Invalid value" error="Choose a value from the Units list." sqref="J2:J5000" xr:uid="{00000000-0002-0000-A100-000001000000}">
      <formula1>"NS,PA,NC,OU"</formula1>
    </dataValidation>
    <dataValidation type="list" allowBlank="1" showErrorMessage="1" errorTitle="Invalid value" error="Choose a value from the PayoffProfiles list." sqref="N2:N5000" xr:uid="{00000000-0002-0000-A100-000002000000}">
      <formula1>"Long,Short,N/A"</formula1>
    </dataValidation>
    <dataValidation type="list" allowBlank="1" showErrorMessage="1" errorTitle="Invalid value" error="Choose a value from the AssetCategories list." sqref="O2:O5000" xr:uid="{00000000-0002-0000-A1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A1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A1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A1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A1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A100-000008000000}">
      <formula1>"Put,Call"</formula1>
    </dataValidation>
    <dataValidation type="list" allowBlank="1" showErrorMessage="1" errorTitle="Invalid value" error="Choose a value from the WrittenPurchased list." sqref="AM2:AM5000" xr:uid="{00000000-0002-0000-A1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A1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A1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A1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A100-000011000000}">
      <formula1>"Y,N"</formula1>
    </dataValidation>
  </dataValidations>
  <pageMargins left="0.75" right="0.75" top="1" bottom="1" header="0.5" footer="0.5"/>
  <legacy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3</v>
      </c>
    </row>
    <row r="7" spans="1:2" x14ac:dyDescent="0.25">
      <c r="A7" s="2" t="s">
        <v>10</v>
      </c>
      <c r="B7" s="3" t="s">
        <v>11</v>
      </c>
    </row>
    <row r="8" spans="1:2" x14ac:dyDescent="0.25">
      <c r="A8" s="2" t="s">
        <v>12</v>
      </c>
      <c r="B8" s="3" t="s">
        <v>13</v>
      </c>
    </row>
    <row r="9" spans="1:2" x14ac:dyDescent="0.25">
      <c r="A9" s="2" t="s">
        <v>14</v>
      </c>
      <c r="B9" s="3" t="s">
        <v>15</v>
      </c>
    </row>
    <row r="10" spans="1:2" x14ac:dyDescent="0.25">
      <c r="A10" s="2" t="s">
        <v>16</v>
      </c>
      <c r="B10" s="3" t="s">
        <v>17</v>
      </c>
    </row>
    <row r="11" spans="1:2" x14ac:dyDescent="0.25">
      <c r="A11" s="2" t="s">
        <v>18</v>
      </c>
      <c r="B11" s="3" t="s">
        <v>19</v>
      </c>
    </row>
    <row r="12" spans="1:2" x14ac:dyDescent="0.25">
      <c r="A12" s="2" t="s">
        <v>20</v>
      </c>
      <c r="B12" s="3" t="s">
        <v>21</v>
      </c>
    </row>
    <row r="13" spans="1:2" x14ac:dyDescent="0.25">
      <c r="A13" s="2" t="s">
        <v>22</v>
      </c>
      <c r="B13" s="3" t="s">
        <v>23</v>
      </c>
    </row>
    <row r="14" spans="1:2" x14ac:dyDescent="0.25">
      <c r="A14" s="2" t="s">
        <v>24</v>
      </c>
      <c r="B14" s="3" t="s">
        <v>25</v>
      </c>
    </row>
    <row r="15" spans="1:2" x14ac:dyDescent="0.25">
      <c r="A15" s="2" t="s">
        <v>26</v>
      </c>
      <c r="B15" s="3" t="s">
        <v>214</v>
      </c>
    </row>
    <row r="16" spans="1:2" x14ac:dyDescent="0.25">
      <c r="A16" s="2" t="s">
        <v>28</v>
      </c>
      <c r="B16" s="3" t="s">
        <v>215</v>
      </c>
    </row>
    <row r="17" spans="1:2" x14ac:dyDescent="0.25">
      <c r="A17" s="2" t="s">
        <v>30</v>
      </c>
      <c r="B17" s="3" t="s">
        <v>216</v>
      </c>
    </row>
    <row r="18" spans="1:2" x14ac:dyDescent="0.25">
      <c r="A18" s="2" t="s">
        <v>32</v>
      </c>
      <c r="B18" s="3" t="s">
        <v>217</v>
      </c>
    </row>
    <row r="19" spans="1:2" x14ac:dyDescent="0.25">
      <c r="A19" s="2" t="s">
        <v>34</v>
      </c>
      <c r="B19" s="3" t="s">
        <v>6</v>
      </c>
    </row>
    <row r="20" spans="1:2" x14ac:dyDescent="0.25">
      <c r="A20" s="2" t="s">
        <v>35</v>
      </c>
      <c r="B20" s="3" t="s">
        <v>36</v>
      </c>
    </row>
    <row r="21" spans="1:2" x14ac:dyDescent="0.25">
      <c r="A21" s="2" t="s">
        <v>37</v>
      </c>
      <c r="B21" s="3" t="s">
        <v>38</v>
      </c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A2000000}"/>
  <pageMargins left="0.75" right="0.75" top="1" bottom="1" header="0.5" footer="0.5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IFERROR(_xll.BDP("MNSX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IFERROR(_xll.BDP("MNSX US Equity","CUST_TRR_RETURN_HOLDING_PER","CUST_TRR_START_DT","20260601","CUST_TRR_END_DT","20260630","CUST_TRR_CRNCY","USD"),"")</f>
        <v>2.5089060000000001</v>
      </c>
    </row>
    <row r="23" spans="1:3" x14ac:dyDescent="0.25">
      <c r="A23" s="2" t="s">
        <v>46</v>
      </c>
      <c r="B23" s="2" t="s">
        <v>68</v>
      </c>
      <c r="C23" s="4">
        <f>IFERROR(_xll.BDP("MNSX US Equity","CUST_TRR_RETURN_HOLDING_PER","CUST_TRR_START_DT","20260701","CUST_TRR_END_DT","20260731","CUST_TRR_CRNCY","USD"),"")</f>
        <v>-3.1167090000000002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A3000000}"/>
  <dataValidations count="1">
    <dataValidation type="list" allowBlank="1" showErrorMessage="1" errorTitle="Invalid value" error="Choose a value from the Periods list." sqref="A2:A5000" xr:uid="{00000000-0002-0000-A300-000000000000}">
      <formula1>"2026-07"</formula1>
    </dataValidation>
  </dataValidations>
  <pageMargins left="0.75" right="0.75" top="1" bottom="1" header="0.5" footer="0.5"/>
  <legacy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A4000000}"/>
  <dataValidations count="14">
    <dataValidation type="list" allowBlank="1" showErrorMessage="1" errorTitle="Invalid value" error="Choose a value from the Periods list." sqref="A2:A5000" xr:uid="{00000000-0002-0000-A400-000000000000}">
      <formula1>"2026-07"</formula1>
    </dataValidation>
    <dataValidation type="list" allowBlank="1" showErrorMessage="1" errorTitle="Invalid value" error="Choose a value from the Units list." sqref="J2:J5000" xr:uid="{00000000-0002-0000-A400-000001000000}">
      <formula1>"NS,PA,NC,OU"</formula1>
    </dataValidation>
    <dataValidation type="list" allowBlank="1" showErrorMessage="1" errorTitle="Invalid value" error="Choose a value from the PayoffProfiles list." sqref="N2:N5000" xr:uid="{00000000-0002-0000-A400-000002000000}">
      <formula1>"Long,Short,N/A"</formula1>
    </dataValidation>
    <dataValidation type="list" allowBlank="1" showErrorMessage="1" errorTitle="Invalid value" error="Choose a value from the AssetCategories list." sqref="O2:O5000" xr:uid="{00000000-0002-0000-A4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A4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A4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A4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A4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A400-000008000000}">
      <formula1>"Put,Call"</formula1>
    </dataValidation>
    <dataValidation type="list" allowBlank="1" showErrorMessage="1" errorTitle="Invalid value" error="Choose a value from the WrittenPurchased list." sqref="AM2:AM5000" xr:uid="{00000000-0002-0000-A4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A4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A4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A4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A400-000011000000}">
      <formula1>"Y,N"</formula1>
    </dataValidation>
  </dataValidations>
  <pageMargins left="0.75" right="0.75" top="1" bottom="1" header="0.5" footer="0.5"/>
  <legacy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3</v>
      </c>
    </row>
    <row r="7" spans="1:2" x14ac:dyDescent="0.25">
      <c r="A7" s="2" t="s">
        <v>10</v>
      </c>
      <c r="B7" s="3" t="s">
        <v>11</v>
      </c>
    </row>
    <row r="8" spans="1:2" x14ac:dyDescent="0.25">
      <c r="A8" s="2" t="s">
        <v>12</v>
      </c>
      <c r="B8" s="3" t="s">
        <v>13</v>
      </c>
    </row>
    <row r="9" spans="1:2" x14ac:dyDescent="0.25">
      <c r="A9" s="2" t="s">
        <v>14</v>
      </c>
      <c r="B9" s="3" t="s">
        <v>15</v>
      </c>
    </row>
    <row r="10" spans="1:2" x14ac:dyDescent="0.25">
      <c r="A10" s="2" t="s">
        <v>16</v>
      </c>
      <c r="B10" s="3" t="s">
        <v>17</v>
      </c>
    </row>
    <row r="11" spans="1:2" x14ac:dyDescent="0.25">
      <c r="A11" s="2" t="s">
        <v>18</v>
      </c>
      <c r="B11" s="3" t="s">
        <v>19</v>
      </c>
    </row>
    <row r="12" spans="1:2" x14ac:dyDescent="0.25">
      <c r="A12" s="2" t="s">
        <v>20</v>
      </c>
      <c r="B12" s="3" t="s">
        <v>21</v>
      </c>
    </row>
    <row r="13" spans="1:2" x14ac:dyDescent="0.25">
      <c r="A13" s="2" t="s">
        <v>22</v>
      </c>
      <c r="B13" s="3" t="s">
        <v>23</v>
      </c>
    </row>
    <row r="14" spans="1:2" x14ac:dyDescent="0.25">
      <c r="A14" s="2" t="s">
        <v>24</v>
      </c>
      <c r="B14" s="3" t="s">
        <v>25</v>
      </c>
    </row>
    <row r="15" spans="1:2" x14ac:dyDescent="0.25">
      <c r="A15" s="2" t="s">
        <v>26</v>
      </c>
      <c r="B15" s="3" t="s">
        <v>218</v>
      </c>
    </row>
    <row r="16" spans="1:2" x14ac:dyDescent="0.25">
      <c r="A16" s="2" t="s">
        <v>28</v>
      </c>
      <c r="B16" s="3" t="s">
        <v>219</v>
      </c>
    </row>
    <row r="17" spans="1:2" x14ac:dyDescent="0.25">
      <c r="A17" s="2" t="s">
        <v>30</v>
      </c>
      <c r="B17" s="3" t="s">
        <v>220</v>
      </c>
    </row>
    <row r="18" spans="1:2" x14ac:dyDescent="0.25">
      <c r="A18" s="2" t="s">
        <v>32</v>
      </c>
      <c r="B18" s="3" t="s">
        <v>221</v>
      </c>
    </row>
    <row r="19" spans="1:2" x14ac:dyDescent="0.25">
      <c r="A19" s="2" t="s">
        <v>34</v>
      </c>
      <c r="B19" s="3" t="s">
        <v>6</v>
      </c>
    </row>
    <row r="20" spans="1:2" x14ac:dyDescent="0.25">
      <c r="A20" s="2" t="s">
        <v>35</v>
      </c>
      <c r="B20" s="3" t="s">
        <v>36</v>
      </c>
    </row>
    <row r="21" spans="1:2" x14ac:dyDescent="0.25">
      <c r="A21" s="2" t="s">
        <v>37</v>
      </c>
      <c r="B21" s="3" t="s">
        <v>38</v>
      </c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A5000000}"/>
  <pageMargins left="0.75" right="0.75" top="1" bottom="1" header="0.5" footer="0.5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IFERROR(_xll.BDP("MSIX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IFERROR(_xll.BDP("MSIX US Equity","CUST_TRR_RETURN_HOLDING_PER","CUST_TRR_START_DT","20260601","CUST_TRR_END_DT","20260630","CUST_TRR_CRNCY","USD"),"")</f>
        <v>6.2230379999999998</v>
      </c>
    </row>
    <row r="23" spans="1:3" x14ac:dyDescent="0.25">
      <c r="A23" s="2" t="s">
        <v>46</v>
      </c>
      <c r="B23" s="2" t="s">
        <v>68</v>
      </c>
      <c r="C23" s="4">
        <f>IFERROR(_xll.BDP("MSIX US Equity","CUST_TRR_RETURN_HOLDING_PER","CUST_TRR_START_DT","20260701","CUST_TRR_END_DT","20260731","CUST_TRR_CRNCY","USD"),"")</f>
        <v>7.0353349999999999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A6000000}"/>
  <dataValidations count="1">
    <dataValidation type="list" allowBlank="1" showErrorMessage="1" errorTitle="Invalid value" error="Choose a value from the Periods list." sqref="A2:A5000" xr:uid="{00000000-0002-0000-A600-000000000000}">
      <formula1>"2026-07"</formula1>
    </dataValidation>
  </dataValidations>
  <pageMargins left="0.75" right="0.75" top="1" bottom="1" header="0.5" footer="0.5"/>
  <legacy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A7000000}"/>
  <dataValidations count="14">
    <dataValidation type="list" allowBlank="1" showErrorMessage="1" errorTitle="Invalid value" error="Choose a value from the Periods list." sqref="A2:A5000" xr:uid="{00000000-0002-0000-A700-000000000000}">
      <formula1>"2026-07"</formula1>
    </dataValidation>
    <dataValidation type="list" allowBlank="1" showErrorMessage="1" errorTitle="Invalid value" error="Choose a value from the Units list." sqref="J2:J5000" xr:uid="{00000000-0002-0000-A700-000001000000}">
      <formula1>"NS,PA,NC,OU"</formula1>
    </dataValidation>
    <dataValidation type="list" allowBlank="1" showErrorMessage="1" errorTitle="Invalid value" error="Choose a value from the PayoffProfiles list." sqref="N2:N5000" xr:uid="{00000000-0002-0000-A700-000002000000}">
      <formula1>"Long,Short,N/A"</formula1>
    </dataValidation>
    <dataValidation type="list" allowBlank="1" showErrorMessage="1" errorTitle="Invalid value" error="Choose a value from the AssetCategories list." sqref="O2:O5000" xr:uid="{00000000-0002-0000-A7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A7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A7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A7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A7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A700-000008000000}">
      <formula1>"Put,Call"</formula1>
    </dataValidation>
    <dataValidation type="list" allowBlank="1" showErrorMessage="1" errorTitle="Invalid value" error="Choose a value from the WrittenPurchased list." sqref="AM2:AM5000" xr:uid="{00000000-0002-0000-A7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A7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A7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A7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A700-000011000000}">
      <formula1>"Y,N"</formula1>
    </dataValidation>
  </dataValidations>
  <pageMargins left="0.75" right="0.75" top="1" bottom="1" header="0.5" footer="0.5"/>
  <legacy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A8000000}"/>
  <pageMargins left="0.75" right="0.75" top="1" bottom="1" header="0.5" footer="0.5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>
        <f>IFERROR(_xll.BDP("NYNY US Equity","CUST_TRR_RETURN_HOLDING_PER","CUST_TRR_START_DT","20260501","CUST_TRR_END_DT","20260531","CUST_TRR_CRNCY","USD"),"")</f>
        <v>1.5693459999999999</v>
      </c>
    </row>
    <row r="22" spans="1:3" x14ac:dyDescent="0.25">
      <c r="A22" s="2" t="s">
        <v>46</v>
      </c>
      <c r="B22" s="2" t="s">
        <v>67</v>
      </c>
      <c r="C22" s="4">
        <f>IFERROR(_xll.BDP("NYNY US Equity","CUST_TRR_RETURN_HOLDING_PER","CUST_TRR_START_DT","20260601","CUST_TRR_END_DT","20260630","CUST_TRR_CRNCY","USD"),"")</f>
        <v>-0.1977836</v>
      </c>
    </row>
    <row r="23" spans="1:3" x14ac:dyDescent="0.25">
      <c r="A23" s="2" t="s">
        <v>46</v>
      </c>
      <c r="B23" s="2" t="s">
        <v>68</v>
      </c>
      <c r="C23" s="4">
        <f>IFERROR(_xll.BDP("NYNY US Equity","CUST_TRR_RETURN_HOLDING_PER","CUST_TRR_START_DT","20260701","CUST_TRR_END_DT","20260731","CUST_TRR_CRNCY","USD"),"")</f>
        <v>3.4452189999999998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A9000000}"/>
  <dataValidations count="1">
    <dataValidation type="list" allowBlank="1" showErrorMessage="1" errorTitle="Invalid value" error="Choose a value from the Periods list." sqref="A2:A5000" xr:uid="{00000000-0002-0000-A900-000000000000}">
      <formula1>"2026-07"</formula1>
    </dataValidation>
  </dataValidations>
  <pageMargins left="0.75" right="0.75" top="1" bottom="1" header="0.5" footer="0.5"/>
  <legacyDrawing r:id="rId1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AA000000}"/>
  <dataValidations count="14">
    <dataValidation type="list" allowBlank="1" showErrorMessage="1" errorTitle="Invalid value" error="Choose a value from the Periods list." sqref="A2:A5000" xr:uid="{00000000-0002-0000-AA00-000000000000}">
      <formula1>"2026-07"</formula1>
    </dataValidation>
    <dataValidation type="list" allowBlank="1" showErrorMessage="1" errorTitle="Invalid value" error="Choose a value from the Units list." sqref="J2:J5000" xr:uid="{00000000-0002-0000-AA00-000001000000}">
      <formula1>"NS,PA,NC,OU"</formula1>
    </dataValidation>
    <dataValidation type="list" allowBlank="1" showErrorMessage="1" errorTitle="Invalid value" error="Choose a value from the PayoffProfiles list." sqref="N2:N5000" xr:uid="{00000000-0002-0000-AA00-000002000000}">
      <formula1>"Long,Short,N/A"</formula1>
    </dataValidation>
    <dataValidation type="list" allowBlank="1" showErrorMessage="1" errorTitle="Invalid value" error="Choose a value from the AssetCategories list." sqref="O2:O5000" xr:uid="{00000000-0002-0000-AA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AA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AA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AA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AA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AA00-000008000000}">
      <formula1>"Put,Call"</formula1>
    </dataValidation>
    <dataValidation type="list" allowBlank="1" showErrorMessage="1" errorTitle="Invalid value" error="Choose a value from the WrittenPurchased list." sqref="AM2:AM5000" xr:uid="{00000000-0002-0000-AA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AA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AA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AA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AA00-000011000000}">
      <formula1>"Y,N"</formula1>
    </dataValidation>
  </dataValidations>
  <pageMargins left="0.75" right="0.75" top="1" bottom="1" header="0.5" footer="0.5"/>
  <legacy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AB000000}"/>
  <pageMargins left="0.75" right="0.75" top="1" bottom="1" header="0.5" footer="0.5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>
        <f>IFERROR(_xll.BDP("ODDZ US Equity","CUST_TRR_RETURN_HOLDING_PER","CUST_TRR_START_DT","20260501","CUST_TRR_END_DT","20260531","CUST_TRR_CRNCY","USD"),"")</f>
        <v>0.2421586</v>
      </c>
    </row>
    <row r="22" spans="1:3" x14ac:dyDescent="0.25">
      <c r="A22" s="2" t="s">
        <v>46</v>
      </c>
      <c r="B22" s="2" t="s">
        <v>67</v>
      </c>
      <c r="C22" s="4">
        <f>IFERROR(_xll.BDP("ODDZ US Equity","CUST_TRR_RETURN_HOLDING_PER","CUST_TRR_START_DT","20260601","CUST_TRR_END_DT","20260630","CUST_TRR_CRNCY","USD"),"")</f>
        <v>-0.62004519999999996</v>
      </c>
    </row>
    <row r="23" spans="1:3" x14ac:dyDescent="0.25">
      <c r="A23" s="2" t="s">
        <v>46</v>
      </c>
      <c r="B23" s="2" t="s">
        <v>68</v>
      </c>
      <c r="C23" s="4">
        <f>IFERROR(_xll.BDP("ODDZ US Equity","CUST_TRR_RETURN_HOLDING_PER","CUST_TRR_START_DT","20260701","CUST_TRR_END_DT","20260731","CUST_TRR_CRNCY","USD"),"")</f>
        <v>-2.296427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AC000000}"/>
  <dataValidations count="1">
    <dataValidation type="list" allowBlank="1" showErrorMessage="1" errorTitle="Invalid value" error="Choose a value from the Periods list." sqref="A2:A5000" xr:uid="{00000000-0002-0000-AC00-000000000000}">
      <formula1>"2026-07"</formula1>
    </dataValidation>
  </dataValidations>
  <pageMargins left="0.75" right="0.75" top="1" bottom="1" header="0.5" footer="0.5"/>
  <legacy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AD000000}"/>
  <dataValidations count="14">
    <dataValidation type="list" allowBlank="1" showErrorMessage="1" errorTitle="Invalid value" error="Choose a value from the Periods list." sqref="A2:A5000" xr:uid="{00000000-0002-0000-AD00-000000000000}">
      <formula1>"2026-07"</formula1>
    </dataValidation>
    <dataValidation type="list" allowBlank="1" showErrorMessage="1" errorTitle="Invalid value" error="Choose a value from the Units list." sqref="J2:J5000" xr:uid="{00000000-0002-0000-AD00-000001000000}">
      <formula1>"NS,PA,NC,OU"</formula1>
    </dataValidation>
    <dataValidation type="list" allowBlank="1" showErrorMessage="1" errorTitle="Invalid value" error="Choose a value from the PayoffProfiles list." sqref="N2:N5000" xr:uid="{00000000-0002-0000-AD00-000002000000}">
      <formula1>"Long,Short,N/A"</formula1>
    </dataValidation>
    <dataValidation type="list" allowBlank="1" showErrorMessage="1" errorTitle="Invalid value" error="Choose a value from the AssetCategories list." sqref="O2:O5000" xr:uid="{00000000-0002-0000-AD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AD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AD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AD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AD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AD00-000008000000}">
      <formula1>"Put,Call"</formula1>
    </dataValidation>
    <dataValidation type="list" allowBlank="1" showErrorMessage="1" errorTitle="Invalid value" error="Choose a value from the WrittenPurchased list." sqref="AM2:AM5000" xr:uid="{00000000-0002-0000-AD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AD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AD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AD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AD00-000011000000}">
      <formula1>"Y,N"</formula1>
    </dataValidation>
  </dataValidations>
  <pageMargins left="0.75" right="0.75" top="1" bottom="1" header="0.5" footer="0.5"/>
  <legacy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3</v>
      </c>
    </row>
    <row r="7" spans="1:2" x14ac:dyDescent="0.25">
      <c r="A7" s="2" t="s">
        <v>10</v>
      </c>
      <c r="B7" s="3" t="s">
        <v>11</v>
      </c>
    </row>
    <row r="8" spans="1:2" x14ac:dyDescent="0.25">
      <c r="A8" s="2" t="s">
        <v>12</v>
      </c>
      <c r="B8" s="3" t="s">
        <v>13</v>
      </c>
    </row>
    <row r="9" spans="1:2" x14ac:dyDescent="0.25">
      <c r="A9" s="2" t="s">
        <v>14</v>
      </c>
      <c r="B9" s="3" t="s">
        <v>15</v>
      </c>
    </row>
    <row r="10" spans="1:2" x14ac:dyDescent="0.25">
      <c r="A10" s="2" t="s">
        <v>16</v>
      </c>
      <c r="B10" s="3" t="s">
        <v>17</v>
      </c>
    </row>
    <row r="11" spans="1:2" x14ac:dyDescent="0.25">
      <c r="A11" s="2" t="s">
        <v>18</v>
      </c>
      <c r="B11" s="3" t="s">
        <v>19</v>
      </c>
    </row>
    <row r="12" spans="1:2" x14ac:dyDescent="0.25">
      <c r="A12" s="2" t="s">
        <v>20</v>
      </c>
      <c r="B12" s="3" t="s">
        <v>21</v>
      </c>
    </row>
    <row r="13" spans="1:2" x14ac:dyDescent="0.25">
      <c r="A13" s="2" t="s">
        <v>22</v>
      </c>
      <c r="B13" s="3" t="s">
        <v>23</v>
      </c>
    </row>
    <row r="14" spans="1:2" x14ac:dyDescent="0.25">
      <c r="A14" s="2" t="s">
        <v>24</v>
      </c>
      <c r="B14" s="3" t="s">
        <v>25</v>
      </c>
    </row>
    <row r="15" spans="1:2" x14ac:dyDescent="0.25">
      <c r="A15" s="2" t="s">
        <v>26</v>
      </c>
      <c r="B15" s="3" t="s">
        <v>222</v>
      </c>
    </row>
    <row r="16" spans="1:2" x14ac:dyDescent="0.25">
      <c r="A16" s="2" t="s">
        <v>28</v>
      </c>
      <c r="B16" s="3" t="s">
        <v>223</v>
      </c>
    </row>
    <row r="17" spans="1:2" x14ac:dyDescent="0.25">
      <c r="A17" s="2" t="s">
        <v>30</v>
      </c>
      <c r="B17" s="3" t="s">
        <v>224</v>
      </c>
    </row>
    <row r="18" spans="1:2" x14ac:dyDescent="0.25">
      <c r="A18" s="2" t="s">
        <v>32</v>
      </c>
      <c r="B18" s="3" t="s">
        <v>225</v>
      </c>
    </row>
    <row r="19" spans="1:2" x14ac:dyDescent="0.25">
      <c r="A19" s="2" t="s">
        <v>34</v>
      </c>
      <c r="B19" s="3" t="s">
        <v>6</v>
      </c>
    </row>
    <row r="20" spans="1:2" x14ac:dyDescent="0.25">
      <c r="A20" s="2" t="s">
        <v>35</v>
      </c>
      <c r="B20" s="3" t="s">
        <v>36</v>
      </c>
    </row>
    <row r="21" spans="1:2" x14ac:dyDescent="0.25">
      <c r="A21" s="2" t="s">
        <v>37</v>
      </c>
      <c r="B21" s="3" t="s">
        <v>38</v>
      </c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AE000000}"/>
  <pageMargins left="0.75" right="0.75" top="1" bottom="1" header="0.5" footer="0.5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IFERROR(_xll.BDP("ONTX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IFERROR(_xll.BDP("ONTX US Equity","CUST_TRR_RETURN_HOLDING_PER","CUST_TRR_START_DT","20260601","CUST_TRR_END_DT","20260630","CUST_TRR_CRNCY","USD"),"")</f>
        <v>37.974069999999998</v>
      </c>
    </row>
    <row r="23" spans="1:3" x14ac:dyDescent="0.25">
      <c r="A23" s="2" t="s">
        <v>46</v>
      </c>
      <c r="B23" s="2" t="s">
        <v>68</v>
      </c>
      <c r="C23" s="4">
        <f>IFERROR(_xll.BDP("ONTX US Equity","CUST_TRR_RETURN_HOLDING_PER","CUST_TRR_START_DT","20260701","CUST_TRR_END_DT","20260731","CUST_TRR_CRNCY","USD"),"")</f>
        <v>-51.177140000000001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AF000000}"/>
  <dataValidations count="1">
    <dataValidation type="list" allowBlank="1" showErrorMessage="1" errorTitle="Invalid value" error="Choose a value from the Periods list." sqref="A2:A5000" xr:uid="{00000000-0002-0000-AF00-000000000000}">
      <formula1>"2026-07"</formula1>
    </dataValidation>
  </dataValidations>
  <pageMargins left="0.75" right="0.75" top="1" bottom="1" header="0.5" footer="0.5"/>
  <legacyDrawing r:id="rId1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B0000000}"/>
  <dataValidations count="14">
    <dataValidation type="list" allowBlank="1" showErrorMessage="1" errorTitle="Invalid value" error="Choose a value from the Periods list." sqref="A2:A5000" xr:uid="{00000000-0002-0000-B000-000000000000}">
      <formula1>"2026-07"</formula1>
    </dataValidation>
    <dataValidation type="list" allowBlank="1" showErrorMessage="1" errorTitle="Invalid value" error="Choose a value from the Units list." sqref="J2:J5000" xr:uid="{00000000-0002-0000-B000-000001000000}">
      <formula1>"NS,PA,NC,OU"</formula1>
    </dataValidation>
    <dataValidation type="list" allowBlank="1" showErrorMessage="1" errorTitle="Invalid value" error="Choose a value from the PayoffProfiles list." sqref="N2:N5000" xr:uid="{00000000-0002-0000-B000-000002000000}">
      <formula1>"Long,Short,N/A"</formula1>
    </dataValidation>
    <dataValidation type="list" allowBlank="1" showErrorMessage="1" errorTitle="Invalid value" error="Choose a value from the AssetCategories list." sqref="O2:O5000" xr:uid="{00000000-0002-0000-B0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B0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B0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B0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B0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B000-000008000000}">
      <formula1>"Put,Call"</formula1>
    </dataValidation>
    <dataValidation type="list" allowBlank="1" showErrorMessage="1" errorTitle="Invalid value" error="Choose a value from the WrittenPurchased list." sqref="AM2:AM5000" xr:uid="{00000000-0002-0000-B0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B0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B0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B0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B000-000011000000}">
      <formula1>"Y,N"</formula1>
    </dataValidation>
  </dataValidations>
  <pageMargins left="0.75" right="0.75" top="1" bottom="1" header="0.5" footer="0.5"/>
  <legacyDrawing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B1000000}"/>
  <pageMargins left="0.75" right="0.75" top="1" bottom="1" header="0.5" footer="0.5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IFERROR(_xll.BDP("OWN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IFERROR(_xll.BDP("OWN US Equity","CUST_TRR_RETURN_HOLDING_PER","CUST_TRR_START_DT","20260601","CUST_TRR_END_DT","20260630","CUST_TRR_CRNCY","USD"),"")</f>
        <v>-2.1984110000000001</v>
      </c>
    </row>
    <row r="23" spans="1:3" x14ac:dyDescent="0.25">
      <c r="A23" s="2" t="s">
        <v>46</v>
      </c>
      <c r="B23" s="2" t="s">
        <v>68</v>
      </c>
      <c r="C23" s="4">
        <f>IFERROR(_xll.BDP("OWN US Equity","CUST_TRR_RETURN_HOLDING_PER","CUST_TRR_START_DT","20260701","CUST_TRR_END_DT","20260731","CUST_TRR_CRNCY","USD"),"")</f>
        <v>-0.84650020000000004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B2000000}"/>
  <dataValidations count="1">
    <dataValidation type="list" allowBlank="1" showErrorMessage="1" errorTitle="Invalid value" error="Choose a value from the Periods list." sqref="A2:A5000" xr:uid="{00000000-0002-0000-B200-000000000000}">
      <formula1>"2026-07"</formula1>
    </dataValidation>
  </dataValidations>
  <pageMargins left="0.75" right="0.75" top="1" bottom="1" header="0.5" footer="0.5"/>
  <legacyDrawing r:id="rId1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B3000000}"/>
  <dataValidations count="14">
    <dataValidation type="list" allowBlank="1" showErrorMessage="1" errorTitle="Invalid value" error="Choose a value from the Periods list." sqref="A2:A5000" xr:uid="{00000000-0002-0000-B300-000000000000}">
      <formula1>"2026-07"</formula1>
    </dataValidation>
    <dataValidation type="list" allowBlank="1" showErrorMessage="1" errorTitle="Invalid value" error="Choose a value from the Units list." sqref="J2:J5000" xr:uid="{00000000-0002-0000-B300-000001000000}">
      <formula1>"NS,PA,NC,OU"</formula1>
    </dataValidation>
    <dataValidation type="list" allowBlank="1" showErrorMessage="1" errorTitle="Invalid value" error="Choose a value from the PayoffProfiles list." sqref="N2:N5000" xr:uid="{00000000-0002-0000-B300-000002000000}">
      <formula1>"Long,Short,N/A"</formula1>
    </dataValidation>
    <dataValidation type="list" allowBlank="1" showErrorMessage="1" errorTitle="Invalid value" error="Choose a value from the AssetCategories list." sqref="O2:O5000" xr:uid="{00000000-0002-0000-B3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B3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B3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B3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B3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B300-000008000000}">
      <formula1>"Put,Call"</formula1>
    </dataValidation>
    <dataValidation type="list" allowBlank="1" showErrorMessage="1" errorTitle="Invalid value" error="Choose a value from the WrittenPurchased list." sqref="AM2:AM5000" xr:uid="{00000000-0002-0000-B3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B3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B3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B3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B300-000011000000}">
      <formula1>"Y,N"</formula1>
    </dataValidation>
  </dataValidations>
  <pageMargins left="0.75" right="0.75" top="1" bottom="1" header="0.5" footer="0.5"/>
  <legacyDrawing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B4000000}"/>
  <pageMargins left="0.75" right="0.75" top="1" bottom="1" header="0.5" footer="0.5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>
        <f>IFERROR(_xll.BDP("PTNT US Equity","CUST_TRR_RETURN_HOLDING_PER","CUST_TRR_START_DT","20260501","CUST_TRR_END_DT","20260531","CUST_TRR_CRNCY","USD"),"")</f>
        <v>6.0954170000000003</v>
      </c>
    </row>
    <row r="22" spans="1:3" x14ac:dyDescent="0.25">
      <c r="A22" s="2" t="s">
        <v>46</v>
      </c>
      <c r="B22" s="2" t="s">
        <v>67</v>
      </c>
      <c r="C22" s="4">
        <f>IFERROR(_xll.BDP("PTNT US Equity","CUST_TRR_RETURN_HOLDING_PER","CUST_TRR_START_DT","20260601","CUST_TRR_END_DT","20260630","CUST_TRR_CRNCY","USD"),"")</f>
        <v>-4.8803929999999998</v>
      </c>
    </row>
    <row r="23" spans="1:3" x14ac:dyDescent="0.25">
      <c r="A23" s="2" t="s">
        <v>46</v>
      </c>
      <c r="B23" s="2" t="s">
        <v>68</v>
      </c>
      <c r="C23" s="4">
        <f>IFERROR(_xll.BDP("PTNT US Equity","CUST_TRR_RETURN_HOLDING_PER","CUST_TRR_START_DT","20260701","CUST_TRR_END_DT","20260731","CUST_TRR_CRNCY","USD"),"")</f>
        <v>-8.4991749999999993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B5000000}"/>
  <dataValidations count="1">
    <dataValidation type="list" allowBlank="1" showErrorMessage="1" errorTitle="Invalid value" error="Choose a value from the Periods list." sqref="A2:A5000" xr:uid="{00000000-0002-0000-B500-000000000000}">
      <formula1>"2026-07"</formula1>
    </dataValidation>
  </dataValidations>
  <pageMargins left="0.75" right="0.75" top="1" bottom="1" header="0.5" footer="0.5"/>
  <legacyDrawing r:id="rId1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B6000000}"/>
  <dataValidations count="14">
    <dataValidation type="list" allowBlank="1" showErrorMessage="1" errorTitle="Invalid value" error="Choose a value from the Periods list." sqref="A2:A5000" xr:uid="{00000000-0002-0000-B600-000000000000}">
      <formula1>"2026-07"</formula1>
    </dataValidation>
    <dataValidation type="list" allowBlank="1" showErrorMessage="1" errorTitle="Invalid value" error="Choose a value from the Units list." sqref="J2:J5000" xr:uid="{00000000-0002-0000-B600-000001000000}">
      <formula1>"NS,PA,NC,OU"</formula1>
    </dataValidation>
    <dataValidation type="list" allowBlank="1" showErrorMessage="1" errorTitle="Invalid value" error="Choose a value from the PayoffProfiles list." sqref="N2:N5000" xr:uid="{00000000-0002-0000-B600-000002000000}">
      <formula1>"Long,Short,N/A"</formula1>
    </dataValidation>
    <dataValidation type="list" allowBlank="1" showErrorMessage="1" errorTitle="Invalid value" error="Choose a value from the AssetCategories list." sqref="O2:O5000" xr:uid="{00000000-0002-0000-B6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B6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B6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B6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B6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B600-000008000000}">
      <formula1>"Put,Call"</formula1>
    </dataValidation>
    <dataValidation type="list" allowBlank="1" showErrorMessage="1" errorTitle="Invalid value" error="Choose a value from the WrittenPurchased list." sqref="AM2:AM5000" xr:uid="{00000000-0002-0000-B6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B6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B6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B6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B600-000011000000}">
      <formula1>"Y,N"</formula1>
    </dataValidation>
  </dataValidations>
  <pageMargins left="0.75" right="0.75" top="1" bottom="1" header="0.5" footer="0.5"/>
  <legacyDrawing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B7000000}"/>
  <pageMargins left="0.75" right="0.75" top="1" bottom="1" header="0.5" footer="0.5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IFERROR(_xll.BDP("QJN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IFERROR(_xll.BDP("QJN US Equity","CUST_TRR_RETURN_HOLDING_PER","CUST_TRR_START_DT","20260601","CUST_TRR_END_DT","20260630","CUST_TRR_CRNCY","USD"),"")</f>
        <v>-0.76909300000000003</v>
      </c>
    </row>
    <row r="23" spans="1:3" x14ac:dyDescent="0.25">
      <c r="A23" s="2" t="s">
        <v>46</v>
      </c>
      <c r="B23" s="2" t="s">
        <v>68</v>
      </c>
      <c r="C23" s="4">
        <f>IFERROR(_xll.BDP("QJN US Equity","CUST_TRR_RETURN_HOLDING_PER","CUST_TRR_START_DT","20260701","CUST_TRR_END_DT","20260731","CUST_TRR_CRNCY","USD"),"")</f>
        <v>-2.6092550000000001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B8000000}"/>
  <dataValidations count="1">
    <dataValidation type="list" allowBlank="1" showErrorMessage="1" errorTitle="Invalid value" error="Choose a value from the Periods list." sqref="A2:A5000" xr:uid="{00000000-0002-0000-B800-000000000000}">
      <formula1>"2026-07"</formula1>
    </dataValidation>
  </dataValidations>
  <pageMargins left="0.75" right="0.75" top="1" bottom="1" header="0.5" footer="0.5"/>
  <legacyDrawing r:id="rId1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B9000000}"/>
  <dataValidations count="14">
    <dataValidation type="list" allowBlank="1" showErrorMessage="1" errorTitle="Invalid value" error="Choose a value from the Periods list." sqref="A2:A5000" xr:uid="{00000000-0002-0000-B900-000000000000}">
      <formula1>"2026-07"</formula1>
    </dataValidation>
    <dataValidation type="list" allowBlank="1" showErrorMessage="1" errorTitle="Invalid value" error="Choose a value from the Units list." sqref="J2:J5000" xr:uid="{00000000-0002-0000-B900-000001000000}">
      <formula1>"NS,PA,NC,OU"</formula1>
    </dataValidation>
    <dataValidation type="list" allowBlank="1" showErrorMessage="1" errorTitle="Invalid value" error="Choose a value from the PayoffProfiles list." sqref="N2:N5000" xr:uid="{00000000-0002-0000-B900-000002000000}">
      <formula1>"Long,Short,N/A"</formula1>
    </dataValidation>
    <dataValidation type="list" allowBlank="1" showErrorMessage="1" errorTitle="Invalid value" error="Choose a value from the AssetCategories list." sqref="O2:O5000" xr:uid="{00000000-0002-0000-B9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B9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B9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B9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B9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B900-000008000000}">
      <formula1>"Put,Call"</formula1>
    </dataValidation>
    <dataValidation type="list" allowBlank="1" showErrorMessage="1" errorTitle="Invalid value" error="Choose a value from the WrittenPurchased list." sqref="AM2:AM5000" xr:uid="{00000000-0002-0000-B9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B9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B9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B9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B900-000011000000}">
      <formula1>"Y,N"</formula1>
    </dataValidation>
  </dataValidations>
  <pageMargins left="0.75" right="0.75" top="1" bottom="1" header="0.5" footer="0.5"/>
  <legacyDrawing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BA000000}"/>
  <pageMargins left="0.75" right="0.75" top="1" bottom="1" header="0.5" footer="0.5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>
        <f>IFERROR(_xll.BDP("QMY US Equity","CUST_TRR_RETURN_HOLDING_PER","CUST_TRR_START_DT","20260501","CUST_TRR_END_DT","20260531","CUST_TRR_CRNCY","USD"),"")</f>
        <v>3.3726069999999999</v>
      </c>
    </row>
    <row r="22" spans="1:3" x14ac:dyDescent="0.25">
      <c r="A22" s="2" t="s">
        <v>46</v>
      </c>
      <c r="B22" s="2" t="s">
        <v>67</v>
      </c>
      <c r="C22" s="4">
        <f>IFERROR(_xll.BDP("QMY US Equity","CUST_TRR_RETURN_HOLDING_PER","CUST_TRR_START_DT","20260601","CUST_TRR_END_DT","20260630","CUST_TRR_CRNCY","USD"),"")</f>
        <v>-0.56859539999999997</v>
      </c>
    </row>
    <row r="23" spans="1:3" x14ac:dyDescent="0.25">
      <c r="A23" s="2" t="s">
        <v>46</v>
      </c>
      <c r="B23" s="2" t="s">
        <v>68</v>
      </c>
      <c r="C23" s="4">
        <f>IFERROR(_xll.BDP("QMY US Equity","CUST_TRR_RETURN_HOLDING_PER","CUST_TRR_START_DT","20260701","CUST_TRR_END_DT","20260731","CUST_TRR_CRNCY","USD"),"")</f>
        <v>-2.4653330000000002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BB000000}"/>
  <dataValidations count="1">
    <dataValidation type="list" allowBlank="1" showErrorMessage="1" errorTitle="Invalid value" error="Choose a value from the Periods list." sqref="A2:A5000" xr:uid="{00000000-0002-0000-BB00-000000000000}">
      <formula1>"2026-07"</formula1>
    </dataValidation>
  </dataValidations>
  <pageMargins left="0.75" right="0.75" top="1" bottom="1" header="0.5" footer="0.5"/>
  <legacyDrawing r:id="rId1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BC000000}"/>
  <dataValidations count="14">
    <dataValidation type="list" allowBlank="1" showErrorMessage="1" errorTitle="Invalid value" error="Choose a value from the Periods list." sqref="A2:A5000" xr:uid="{00000000-0002-0000-BC00-000000000000}">
      <formula1>"2026-07"</formula1>
    </dataValidation>
    <dataValidation type="list" allowBlank="1" showErrorMessage="1" errorTitle="Invalid value" error="Choose a value from the Units list." sqref="J2:J5000" xr:uid="{00000000-0002-0000-BC00-000001000000}">
      <formula1>"NS,PA,NC,OU"</formula1>
    </dataValidation>
    <dataValidation type="list" allowBlank="1" showErrorMessage="1" errorTitle="Invalid value" error="Choose a value from the PayoffProfiles list." sqref="N2:N5000" xr:uid="{00000000-0002-0000-BC00-000002000000}">
      <formula1>"Long,Short,N/A"</formula1>
    </dataValidation>
    <dataValidation type="list" allowBlank="1" showErrorMessage="1" errorTitle="Invalid value" error="Choose a value from the AssetCategories list." sqref="O2:O5000" xr:uid="{00000000-0002-0000-BC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BC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BC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BC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BC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BC00-000008000000}">
      <formula1>"Put,Call"</formula1>
    </dataValidation>
    <dataValidation type="list" allowBlank="1" showErrorMessage="1" errorTitle="Invalid value" error="Choose a value from the WrittenPurchased list." sqref="AM2:AM5000" xr:uid="{00000000-0002-0000-BC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BC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BC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BC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BC00-000011000000}">
      <formula1>"Y,N"</formula1>
    </dataValidation>
  </dataValidations>
  <pageMargins left="0.75" right="0.75" top="1" bottom="1" header="0.5" footer="0.5"/>
  <legacy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BD000000}"/>
  <pageMargins left="0.75" right="0.75" top="1" bottom="1" header="0.5" footer="0.5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IFERROR(_xll.BDP("QQJN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IFERROR(_xll.BDP("QQJN US Equity","CUST_TRR_RETURN_HOLDING_PER","CUST_TRR_START_DT","20260601","CUST_TRR_END_DT","20260630","CUST_TRR_CRNCY","USD"),"")</f>
        <v>-0.61566639999999995</v>
      </c>
    </row>
    <row r="23" spans="1:3" x14ac:dyDescent="0.25">
      <c r="A23" s="2" t="s">
        <v>46</v>
      </c>
      <c r="B23" s="2" t="s">
        <v>68</v>
      </c>
      <c r="C23" s="4">
        <f>IFERROR(_xll.BDP("QQJN US Equity","CUST_TRR_RETURN_HOLDING_PER","CUST_TRR_START_DT","20260701","CUST_TRR_END_DT","20260731","CUST_TRR_CRNCY","USD"),"")</f>
        <v>-1.97506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BE000000}"/>
  <dataValidations count="1">
    <dataValidation type="list" allowBlank="1" showErrorMessage="1" errorTitle="Invalid value" error="Choose a value from the Periods list." sqref="A2:A5000" xr:uid="{00000000-0002-0000-BE00-000000000000}">
      <formula1>"2026-07"</formula1>
    </dataValidation>
  </dataValidations>
  <pageMargins left="0.75" right="0.75" top="1" bottom="1" header="0.5" footer="0.5"/>
  <legacy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BF000000}"/>
  <dataValidations count="14">
    <dataValidation type="list" allowBlank="1" showErrorMessage="1" errorTitle="Invalid value" error="Choose a value from the Periods list." sqref="A2:A5000" xr:uid="{00000000-0002-0000-BF00-000000000000}">
      <formula1>"2026-07"</formula1>
    </dataValidation>
    <dataValidation type="list" allowBlank="1" showErrorMessage="1" errorTitle="Invalid value" error="Choose a value from the Units list." sqref="J2:J5000" xr:uid="{00000000-0002-0000-BF00-000001000000}">
      <formula1>"NS,PA,NC,OU"</formula1>
    </dataValidation>
    <dataValidation type="list" allowBlank="1" showErrorMessage="1" errorTitle="Invalid value" error="Choose a value from the PayoffProfiles list." sqref="N2:N5000" xr:uid="{00000000-0002-0000-BF00-000002000000}">
      <formula1>"Long,Short,N/A"</formula1>
    </dataValidation>
    <dataValidation type="list" allowBlank="1" showErrorMessage="1" errorTitle="Invalid value" error="Choose a value from the AssetCategories list." sqref="O2:O5000" xr:uid="{00000000-0002-0000-BF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BF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BF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BF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BF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BF00-000008000000}">
      <formula1>"Put,Call"</formula1>
    </dataValidation>
    <dataValidation type="list" allowBlank="1" showErrorMessage="1" errorTitle="Invalid value" error="Choose a value from the WrittenPurchased list." sqref="AM2:AM5000" xr:uid="{00000000-0002-0000-BF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BF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BF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BF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BF00-000011000000}">
      <formula1>"Y,N"</formula1>
    </dataValidation>
  </dataValidations>
  <pageMargins left="0.75" right="0.75" top="1" bottom="1" header="0.5" footer="0.5"/>
  <legacy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C0000000}"/>
  <pageMargins left="0.75" right="0.75" top="1" bottom="1" header="0.5" footer="0.5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>
        <f>IFERROR(_xll.BDP("QQMY US Equity","CUST_TRR_RETURN_HOLDING_PER","CUST_TRR_START_DT","20260501","CUST_TRR_END_DT","20260531","CUST_TRR_CRNCY","USD"),"")</f>
        <v>3.3770169999999999</v>
      </c>
    </row>
    <row r="22" spans="1:3" x14ac:dyDescent="0.25">
      <c r="A22" s="2" t="s">
        <v>46</v>
      </c>
      <c r="B22" s="2" t="s">
        <v>67</v>
      </c>
      <c r="C22" s="4">
        <f>IFERROR(_xll.BDP("QQMY US Equity","CUST_TRR_RETURN_HOLDING_PER","CUST_TRR_START_DT","20260601","CUST_TRR_END_DT","20260630","CUST_TRR_CRNCY","USD"),"")</f>
        <v>-0.23523069999999999</v>
      </c>
    </row>
    <row r="23" spans="1:3" x14ac:dyDescent="0.25">
      <c r="A23" s="2" t="s">
        <v>46</v>
      </c>
      <c r="B23" s="2" t="s">
        <v>68</v>
      </c>
      <c r="C23" s="4">
        <f>IFERROR(_xll.BDP("QQMY US Equity","CUST_TRR_RETURN_HOLDING_PER","CUST_TRR_START_DT","20260701","CUST_TRR_END_DT","20260731","CUST_TRR_CRNCY","USD"),"")</f>
        <v>-1.3965620000000001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C1000000}"/>
  <dataValidations count="1">
    <dataValidation type="list" allowBlank="1" showErrorMessage="1" errorTitle="Invalid value" error="Choose a value from the Periods list." sqref="A2:A5000" xr:uid="{00000000-0002-0000-C100-000000000000}">
      <formula1>"2026-07"</formula1>
    </dataValidation>
  </dataValidations>
  <pageMargins left="0.75" right="0.75" top="1" bottom="1" header="0.5" footer="0.5"/>
  <legacyDrawing r:id="rId1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C2000000}"/>
  <dataValidations count="14">
    <dataValidation type="list" allowBlank="1" showErrorMessage="1" errorTitle="Invalid value" error="Choose a value from the Periods list." sqref="A2:A5000" xr:uid="{00000000-0002-0000-C200-000000000000}">
      <formula1>"2026-07"</formula1>
    </dataValidation>
    <dataValidation type="list" allowBlank="1" showErrorMessage="1" errorTitle="Invalid value" error="Choose a value from the Units list." sqref="J2:J5000" xr:uid="{00000000-0002-0000-C200-000001000000}">
      <formula1>"NS,PA,NC,OU"</formula1>
    </dataValidation>
    <dataValidation type="list" allowBlank="1" showErrorMessage="1" errorTitle="Invalid value" error="Choose a value from the PayoffProfiles list." sqref="N2:N5000" xr:uid="{00000000-0002-0000-C200-000002000000}">
      <formula1>"Long,Short,N/A"</formula1>
    </dataValidation>
    <dataValidation type="list" allowBlank="1" showErrorMessage="1" errorTitle="Invalid value" error="Choose a value from the AssetCategories list." sqref="O2:O5000" xr:uid="{00000000-0002-0000-C2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C2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C2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C2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C2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C200-000008000000}">
      <formula1>"Put,Call"</formula1>
    </dataValidation>
    <dataValidation type="list" allowBlank="1" showErrorMessage="1" errorTitle="Invalid value" error="Choose a value from the WrittenPurchased list." sqref="AM2:AM5000" xr:uid="{00000000-0002-0000-C2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C2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C2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C2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C200-000011000000}">
      <formula1>"Y,N"</formula1>
    </dataValidation>
  </dataValidations>
  <pageMargins left="0.75" right="0.75" top="1" bottom="1" header="0.5" footer="0.5"/>
  <legacyDrawing r:id="rId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3</v>
      </c>
    </row>
    <row r="7" spans="1:2" x14ac:dyDescent="0.25">
      <c r="A7" s="2" t="s">
        <v>10</v>
      </c>
      <c r="B7" s="3" t="s">
        <v>11</v>
      </c>
    </row>
    <row r="8" spans="1:2" x14ac:dyDescent="0.25">
      <c r="A8" s="2" t="s">
        <v>12</v>
      </c>
      <c r="B8" s="3" t="s">
        <v>13</v>
      </c>
    </row>
    <row r="9" spans="1:2" x14ac:dyDescent="0.25">
      <c r="A9" s="2" t="s">
        <v>14</v>
      </c>
      <c r="B9" s="3" t="s">
        <v>15</v>
      </c>
    </row>
    <row r="10" spans="1:2" x14ac:dyDescent="0.25">
      <c r="A10" s="2" t="s">
        <v>16</v>
      </c>
      <c r="B10" s="3" t="s">
        <v>17</v>
      </c>
    </row>
    <row r="11" spans="1:2" x14ac:dyDescent="0.25">
      <c r="A11" s="2" t="s">
        <v>18</v>
      </c>
      <c r="B11" s="3" t="s">
        <v>19</v>
      </c>
    </row>
    <row r="12" spans="1:2" x14ac:dyDescent="0.25">
      <c r="A12" s="2" t="s">
        <v>20</v>
      </c>
      <c r="B12" s="3" t="s">
        <v>21</v>
      </c>
    </row>
    <row r="13" spans="1:2" x14ac:dyDescent="0.25">
      <c r="A13" s="2" t="s">
        <v>22</v>
      </c>
      <c r="B13" s="3" t="s">
        <v>23</v>
      </c>
    </row>
    <row r="14" spans="1:2" x14ac:dyDescent="0.25">
      <c r="A14" s="2" t="s">
        <v>24</v>
      </c>
      <c r="B14" s="3" t="s">
        <v>25</v>
      </c>
    </row>
    <row r="15" spans="1:2" x14ac:dyDescent="0.25">
      <c r="A15" s="2" t="s">
        <v>26</v>
      </c>
      <c r="B15" s="3" t="s">
        <v>226</v>
      </c>
    </row>
    <row r="16" spans="1:2" x14ac:dyDescent="0.25">
      <c r="A16" s="2" t="s">
        <v>28</v>
      </c>
      <c r="B16" s="3" t="s">
        <v>227</v>
      </c>
    </row>
    <row r="17" spans="1:2" x14ac:dyDescent="0.25">
      <c r="A17" s="2" t="s">
        <v>30</v>
      </c>
      <c r="B17" s="3" t="s">
        <v>228</v>
      </c>
    </row>
    <row r="18" spans="1:2" x14ac:dyDescent="0.25">
      <c r="A18" s="2" t="s">
        <v>32</v>
      </c>
      <c r="B18" s="3" t="s">
        <v>229</v>
      </c>
    </row>
    <row r="19" spans="1:2" x14ac:dyDescent="0.25">
      <c r="A19" s="2" t="s">
        <v>34</v>
      </c>
      <c r="B19" s="3" t="s">
        <v>6</v>
      </c>
    </row>
    <row r="20" spans="1:2" x14ac:dyDescent="0.25">
      <c r="A20" s="2" t="s">
        <v>35</v>
      </c>
      <c r="B20" s="3" t="s">
        <v>36</v>
      </c>
    </row>
    <row r="21" spans="1:2" x14ac:dyDescent="0.25">
      <c r="A21" s="2" t="s">
        <v>37</v>
      </c>
      <c r="B21" s="3" t="s">
        <v>38</v>
      </c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C3000000}"/>
  <pageMargins left="0.75" right="0.75" top="1" bottom="1" header="0.5" footer="0.5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IFERROR(_xll.BDP("RMBC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IFERROR(_xll.BDP("RMBC US Equity","CUST_TRR_RETURN_HOLDING_PER","CUST_TRR_START_DT","20260601","CUST_TRR_END_DT","20260630","CUST_TRR_CRNCY","USD"),"")</f>
        <v>13.051460000000001</v>
      </c>
    </row>
    <row r="23" spans="1:3" x14ac:dyDescent="0.25">
      <c r="A23" s="2" t="s">
        <v>46</v>
      </c>
      <c r="B23" s="2" t="s">
        <v>68</v>
      </c>
      <c r="C23" s="4">
        <f>IFERROR(_xll.BDP("RMBC US Equity","CUST_TRR_RETURN_HOLDING_PER","CUST_TRR_START_DT","20260701","CUST_TRR_END_DT","20260731","CUST_TRR_CRNCY","USD"),"")</f>
        <v>-48.805720000000001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C4000000}"/>
  <dataValidations count="1">
    <dataValidation type="list" allowBlank="1" showErrorMessage="1" errorTitle="Invalid value" error="Choose a value from the Periods list." sqref="A2:A5000" xr:uid="{00000000-0002-0000-C400-000000000000}">
      <formula1>"2026-07"</formula1>
    </dataValidation>
  </dataValidations>
  <pageMargins left="0.75" right="0.75" top="1" bottom="1" header="0.5" footer="0.5"/>
  <legacyDrawing r:id="rId1"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C5000000}"/>
  <dataValidations count="14">
    <dataValidation type="list" allowBlank="1" showErrorMessage="1" errorTitle="Invalid value" error="Choose a value from the Periods list." sqref="A2:A5000" xr:uid="{00000000-0002-0000-C500-000000000000}">
      <formula1>"2026-07"</formula1>
    </dataValidation>
    <dataValidation type="list" allowBlank="1" showErrorMessage="1" errorTitle="Invalid value" error="Choose a value from the Units list." sqref="J2:J5000" xr:uid="{00000000-0002-0000-C500-000001000000}">
      <formula1>"NS,PA,NC,OU"</formula1>
    </dataValidation>
    <dataValidation type="list" allowBlank="1" showErrorMessage="1" errorTitle="Invalid value" error="Choose a value from the PayoffProfiles list." sqref="N2:N5000" xr:uid="{00000000-0002-0000-C500-000002000000}">
      <formula1>"Long,Short,N/A"</formula1>
    </dataValidation>
    <dataValidation type="list" allowBlank="1" showErrorMessage="1" errorTitle="Invalid value" error="Choose a value from the AssetCategories list." sqref="O2:O5000" xr:uid="{00000000-0002-0000-C5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C5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C5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C5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C5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C500-000008000000}">
      <formula1>"Put,Call"</formula1>
    </dataValidation>
    <dataValidation type="list" allowBlank="1" showErrorMessage="1" errorTitle="Invalid value" error="Choose a value from the WrittenPurchased list." sqref="AM2:AM5000" xr:uid="{00000000-0002-0000-C5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C5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C5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C5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C500-000011000000}">
      <formula1>"Y,N"</formula1>
    </dataValidation>
  </dataValidations>
  <pageMargins left="0.75" right="0.75" top="1" bottom="1" header="0.5" footer="0.5"/>
  <legacyDrawing r:id="rId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C6000000}"/>
  <pageMargins left="0.75" right="0.75" top="1" bottom="1" header="0.5" footer="0.5"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IFERROR(_xll.BDP("SCJN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IFERROR(_xll.BDP("SCJN US Equity","CUST_TRR_RETURN_HOLDING_PER","CUST_TRR_START_DT","20260601","CUST_TRR_END_DT","20260630","CUST_TRR_CRNCY","USD"),"")</f>
        <v>1.8471900000000001</v>
      </c>
    </row>
    <row r="23" spans="1:3" x14ac:dyDescent="0.25">
      <c r="A23" s="2" t="s">
        <v>46</v>
      </c>
      <c r="B23" s="2" t="s">
        <v>68</v>
      </c>
      <c r="C23" s="4">
        <f>IFERROR(_xll.BDP("SCJN US Equity","CUST_TRR_RETURN_HOLDING_PER","CUST_TRR_START_DT","20260701","CUST_TRR_END_DT","20260731","CUST_TRR_CRNCY","USD"),"")</f>
        <v>-1.050454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C7000000}"/>
  <dataValidations count="1">
    <dataValidation type="list" allowBlank="1" showErrorMessage="1" errorTitle="Invalid value" error="Choose a value from the Periods list." sqref="A2:A5000" xr:uid="{00000000-0002-0000-C700-000000000000}">
      <formula1>"2026-07"</formula1>
    </dataValidation>
  </dataValidations>
  <pageMargins left="0.75" right="0.75" top="1" bottom="1" header="0.5" footer="0.5"/>
  <legacyDrawing r:id="rId1"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C8000000}"/>
  <dataValidations count="14">
    <dataValidation type="list" allowBlank="1" showErrorMessage="1" errorTitle="Invalid value" error="Choose a value from the Periods list." sqref="A2:A5000" xr:uid="{00000000-0002-0000-C800-000000000000}">
      <formula1>"2026-07"</formula1>
    </dataValidation>
    <dataValidation type="list" allowBlank="1" showErrorMessage="1" errorTitle="Invalid value" error="Choose a value from the Units list." sqref="J2:J5000" xr:uid="{00000000-0002-0000-C800-000001000000}">
      <formula1>"NS,PA,NC,OU"</formula1>
    </dataValidation>
    <dataValidation type="list" allowBlank="1" showErrorMessage="1" errorTitle="Invalid value" error="Choose a value from the PayoffProfiles list." sqref="N2:N5000" xr:uid="{00000000-0002-0000-C800-000002000000}">
      <formula1>"Long,Short,N/A"</formula1>
    </dataValidation>
    <dataValidation type="list" allowBlank="1" showErrorMessage="1" errorTitle="Invalid value" error="Choose a value from the AssetCategories list." sqref="O2:O5000" xr:uid="{00000000-0002-0000-C8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C8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C8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C8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C8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C800-000008000000}">
      <formula1>"Put,Call"</formula1>
    </dataValidation>
    <dataValidation type="list" allowBlank="1" showErrorMessage="1" errorTitle="Invalid value" error="Choose a value from the WrittenPurchased list." sqref="AM2:AM5000" xr:uid="{00000000-0002-0000-C8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C8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C8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C8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C800-000011000000}">
      <formula1>"Y,N"</formula1>
    </dataValidation>
  </dataValidations>
  <pageMargins left="0.75" right="0.75" top="1" bottom="1" header="0.5" footer="0.5"/>
  <legacyDrawing r:id="rId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C9000000}"/>
  <pageMargins left="0.75" right="0.75" top="1" bottom="1" header="0.5" footer="0.5"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>
        <f>IFERROR(_xll.BDP("SCMY US Equity","CUST_TRR_RETURN_HOLDING_PER","CUST_TRR_START_DT","20260501","CUST_TRR_END_DT","20260531","CUST_TRR_CRNCY","USD"),"")</f>
        <v>0.75113269999999999</v>
      </c>
    </row>
    <row r="22" spans="1:3" x14ac:dyDescent="0.25">
      <c r="A22" s="2" t="s">
        <v>46</v>
      </c>
      <c r="B22" s="2" t="s">
        <v>67</v>
      </c>
      <c r="C22" s="4">
        <f>IFERROR(_xll.BDP("SCMY US Equity","CUST_TRR_RETURN_HOLDING_PER","CUST_TRR_START_DT","20260601","CUST_TRR_END_DT","20260630","CUST_TRR_CRNCY","USD"),"")</f>
        <v>2.3766069999999999</v>
      </c>
    </row>
    <row r="23" spans="1:3" x14ac:dyDescent="0.25">
      <c r="A23" s="2" t="s">
        <v>46</v>
      </c>
      <c r="B23" s="2" t="s">
        <v>68</v>
      </c>
      <c r="C23" s="4">
        <f>IFERROR(_xll.BDP("SCMY US Equity","CUST_TRR_RETURN_HOLDING_PER","CUST_TRR_START_DT","20260701","CUST_TRR_END_DT","20260731","CUST_TRR_CRNCY","USD"),"")</f>
        <v>-1.204777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CA000000}"/>
  <dataValidations count="1">
    <dataValidation type="list" allowBlank="1" showErrorMessage="1" errorTitle="Invalid value" error="Choose a value from the Periods list." sqref="A2:A5000" xr:uid="{00000000-0002-0000-CA00-000000000000}">
      <formula1>"2026-07"</formula1>
    </dataValidation>
  </dataValidations>
  <pageMargins left="0.75" right="0.75" top="1" bottom="1" header="0.5" footer="0.5"/>
  <legacyDrawing r:id="rId1"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CB000000}"/>
  <dataValidations count="14">
    <dataValidation type="list" allowBlank="1" showErrorMessage="1" errorTitle="Invalid value" error="Choose a value from the Periods list." sqref="A2:A5000" xr:uid="{00000000-0002-0000-CB00-000000000000}">
      <formula1>"2026-07"</formula1>
    </dataValidation>
    <dataValidation type="list" allowBlank="1" showErrorMessage="1" errorTitle="Invalid value" error="Choose a value from the Units list." sqref="J2:J5000" xr:uid="{00000000-0002-0000-CB00-000001000000}">
      <formula1>"NS,PA,NC,OU"</formula1>
    </dataValidation>
    <dataValidation type="list" allowBlank="1" showErrorMessage="1" errorTitle="Invalid value" error="Choose a value from the PayoffProfiles list." sqref="N2:N5000" xr:uid="{00000000-0002-0000-CB00-000002000000}">
      <formula1>"Long,Short,N/A"</formula1>
    </dataValidation>
    <dataValidation type="list" allowBlank="1" showErrorMessage="1" errorTitle="Invalid value" error="Choose a value from the AssetCategories list." sqref="O2:O5000" xr:uid="{00000000-0002-0000-CB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CB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CB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CB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CB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CB00-000008000000}">
      <formula1>"Put,Call"</formula1>
    </dataValidation>
    <dataValidation type="list" allowBlank="1" showErrorMessage="1" errorTitle="Invalid value" error="Choose a value from the WrittenPurchased list." sqref="AM2:AM5000" xr:uid="{00000000-0002-0000-CB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CB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CB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CB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CB00-000011000000}">
      <formula1>"Y,N"</formula1>
    </dataValidation>
  </dataValidations>
  <pageMargins left="0.75" right="0.75" top="1" bottom="1" header="0.5" footer="0.5"/>
  <legacyDrawing r:id="rId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3</v>
      </c>
    </row>
    <row r="7" spans="1:2" x14ac:dyDescent="0.25">
      <c r="A7" s="2" t="s">
        <v>10</v>
      </c>
      <c r="B7" s="3" t="s">
        <v>11</v>
      </c>
    </row>
    <row r="8" spans="1:2" x14ac:dyDescent="0.25">
      <c r="A8" s="2" t="s">
        <v>12</v>
      </c>
      <c r="B8" s="3" t="s">
        <v>13</v>
      </c>
    </row>
    <row r="9" spans="1:2" x14ac:dyDescent="0.25">
      <c r="A9" s="2" t="s">
        <v>14</v>
      </c>
      <c r="B9" s="3" t="s">
        <v>15</v>
      </c>
    </row>
    <row r="10" spans="1:2" x14ac:dyDescent="0.25">
      <c r="A10" s="2" t="s">
        <v>16</v>
      </c>
      <c r="B10" s="3" t="s">
        <v>17</v>
      </c>
    </row>
    <row r="11" spans="1:2" x14ac:dyDescent="0.25">
      <c r="A11" s="2" t="s">
        <v>18</v>
      </c>
      <c r="B11" s="3" t="s">
        <v>19</v>
      </c>
    </row>
    <row r="12" spans="1:2" x14ac:dyDescent="0.25">
      <c r="A12" s="2" t="s">
        <v>20</v>
      </c>
      <c r="B12" s="3" t="s">
        <v>21</v>
      </c>
    </row>
    <row r="13" spans="1:2" x14ac:dyDescent="0.25">
      <c r="A13" s="2" t="s">
        <v>22</v>
      </c>
      <c r="B13" s="3" t="s">
        <v>23</v>
      </c>
    </row>
    <row r="14" spans="1:2" x14ac:dyDescent="0.25">
      <c r="A14" s="2" t="s">
        <v>24</v>
      </c>
      <c r="B14" s="3" t="s">
        <v>25</v>
      </c>
    </row>
    <row r="15" spans="1:2" x14ac:dyDescent="0.25">
      <c r="A15" s="2" t="s">
        <v>26</v>
      </c>
      <c r="B15" s="3" t="s">
        <v>230</v>
      </c>
    </row>
    <row r="16" spans="1:2" x14ac:dyDescent="0.25">
      <c r="A16" s="2" t="s">
        <v>28</v>
      </c>
      <c r="B16" s="3" t="s">
        <v>231</v>
      </c>
    </row>
    <row r="17" spans="1:2" x14ac:dyDescent="0.25">
      <c r="A17" s="2" t="s">
        <v>30</v>
      </c>
      <c r="B17" s="3" t="s">
        <v>232</v>
      </c>
    </row>
    <row r="18" spans="1:2" x14ac:dyDescent="0.25">
      <c r="A18" s="2" t="s">
        <v>32</v>
      </c>
      <c r="B18" s="3" t="s">
        <v>233</v>
      </c>
    </row>
    <row r="19" spans="1:2" x14ac:dyDescent="0.25">
      <c r="A19" s="2" t="s">
        <v>34</v>
      </c>
      <c r="B19" s="3" t="s">
        <v>6</v>
      </c>
    </row>
    <row r="20" spans="1:2" x14ac:dyDescent="0.25">
      <c r="A20" s="2" t="s">
        <v>35</v>
      </c>
      <c r="B20" s="3" t="s">
        <v>36</v>
      </c>
    </row>
    <row r="21" spans="1:2" x14ac:dyDescent="0.25">
      <c r="A21" s="2" t="s">
        <v>37</v>
      </c>
      <c r="B21" s="3" t="s">
        <v>38</v>
      </c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CC000000}"/>
  <pageMargins left="0.75" right="0.75" top="1" bottom="1" header="0.5" footer="0.5"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IFERROR(_xll.BDP("SIMX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IFERROR(_xll.BDP("SIMX US Equity","CUST_TRR_RETURN_HOLDING_PER","CUST_TRR_START_DT","20260601","CUST_TRR_END_DT","20260630","CUST_TRR_CRNCY","USD"),"")</f>
        <v>7.5643700000000003</v>
      </c>
    </row>
    <row r="23" spans="1:3" x14ac:dyDescent="0.25">
      <c r="A23" s="2" t="s">
        <v>46</v>
      </c>
      <c r="B23" s="2" t="s">
        <v>68</v>
      </c>
      <c r="C23" s="4">
        <f>IFERROR(_xll.BDP("SIMX US Equity","CUST_TRR_RETURN_HOLDING_PER","CUST_TRR_START_DT","20260701","CUST_TRR_END_DT","20260731","CUST_TRR_CRNCY","USD"),"")</f>
        <v>-43.352719999999998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CD000000}"/>
  <dataValidations count="1">
    <dataValidation type="list" allowBlank="1" showErrorMessage="1" errorTitle="Invalid value" error="Choose a value from the Periods list." sqref="A2:A5000" xr:uid="{00000000-0002-0000-CD00-000000000000}">
      <formula1>"2026-07"</formula1>
    </dataValidation>
  </dataValidations>
  <pageMargins left="0.75" right="0.75" top="1" bottom="1" header="0.5" footer="0.5"/>
  <legacyDrawing r:id="rId1"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CE000000}"/>
  <dataValidations count="14">
    <dataValidation type="list" allowBlank="1" showErrorMessage="1" errorTitle="Invalid value" error="Choose a value from the Periods list." sqref="A2:A5000" xr:uid="{00000000-0002-0000-CE00-000000000000}">
      <formula1>"2026-07"</formula1>
    </dataValidation>
    <dataValidation type="list" allowBlank="1" showErrorMessage="1" errorTitle="Invalid value" error="Choose a value from the Units list." sqref="J2:J5000" xr:uid="{00000000-0002-0000-CE00-000001000000}">
      <formula1>"NS,PA,NC,OU"</formula1>
    </dataValidation>
    <dataValidation type="list" allowBlank="1" showErrorMessage="1" errorTitle="Invalid value" error="Choose a value from the PayoffProfiles list." sqref="N2:N5000" xr:uid="{00000000-0002-0000-CE00-000002000000}">
      <formula1>"Long,Short,N/A"</formula1>
    </dataValidation>
    <dataValidation type="list" allowBlank="1" showErrorMessage="1" errorTitle="Invalid value" error="Choose a value from the AssetCategories list." sqref="O2:O5000" xr:uid="{00000000-0002-0000-CE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CE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CE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CE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CE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CE00-000008000000}">
      <formula1>"Put,Call"</formula1>
    </dataValidation>
    <dataValidation type="list" allowBlank="1" showErrorMessage="1" errorTitle="Invalid value" error="Choose a value from the WrittenPurchased list." sqref="AM2:AM5000" xr:uid="{00000000-0002-0000-CE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CE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CE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CE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CE00-000011000000}">
      <formula1>"Y,N"</formula1>
    </dataValidation>
  </dataValidations>
  <pageMargins left="0.75" right="0.75" top="1" bottom="1" header="0.5" footer="0.5"/>
  <legacyDrawing r:id="rId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CF000000}"/>
  <pageMargins left="0.75" right="0.75" top="1" bottom="1" header="0.5" footer="0.5"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>
        <f>IFERROR(_xll.BDP("STYL US Equity","CUST_TRR_RETURN_HOLDING_PER","CUST_TRR_START_DT","20260501","CUST_TRR_END_DT","20260531","CUST_TRR_CRNCY","USD"),"")</f>
        <v>1.0961689999999999</v>
      </c>
    </row>
    <row r="22" spans="1:3" x14ac:dyDescent="0.25">
      <c r="A22" s="2" t="s">
        <v>46</v>
      </c>
      <c r="B22" s="2" t="s">
        <v>67</v>
      </c>
      <c r="C22" s="4">
        <f>IFERROR(_xll.BDP("STYL US Equity","CUST_TRR_RETURN_HOLDING_PER","CUST_TRR_START_DT","20260601","CUST_TRR_END_DT","20260630","CUST_TRR_CRNCY","USD"),"")</f>
        <v>-7.8459890000000004E-2</v>
      </c>
    </row>
    <row r="23" spans="1:3" x14ac:dyDescent="0.25">
      <c r="A23" s="2" t="s">
        <v>46</v>
      </c>
      <c r="B23" s="2" t="s">
        <v>68</v>
      </c>
      <c r="C23" s="4">
        <f>IFERROR(_xll.BDP("STYL US Equity","CUST_TRR_RETURN_HOLDING_PER","CUST_TRR_START_DT","20260701","CUST_TRR_END_DT","20260731","CUST_TRR_CRNCY","USD"),"")</f>
        <v>1.6648499999999999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D0000000}"/>
  <dataValidations count="1">
    <dataValidation type="list" allowBlank="1" showErrorMessage="1" errorTitle="Invalid value" error="Choose a value from the Periods list." sqref="A2:A5000" xr:uid="{00000000-0002-0000-D000-000000000000}">
      <formula1>"2026-07"</formula1>
    </dataValidation>
  </dataValidations>
  <pageMargins left="0.75" right="0.75" top="1" bottom="1" header="0.5" footer="0.5"/>
  <legacyDrawing r:id="rId1"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D1000000}"/>
  <dataValidations count="14">
    <dataValidation type="list" allowBlank="1" showErrorMessage="1" errorTitle="Invalid value" error="Choose a value from the Periods list." sqref="A2:A5000" xr:uid="{00000000-0002-0000-D100-000000000000}">
      <formula1>"2026-07"</formula1>
    </dataValidation>
    <dataValidation type="list" allowBlank="1" showErrorMessage="1" errorTitle="Invalid value" error="Choose a value from the Units list." sqref="J2:J5000" xr:uid="{00000000-0002-0000-D100-000001000000}">
      <formula1>"NS,PA,NC,OU"</formula1>
    </dataValidation>
    <dataValidation type="list" allowBlank="1" showErrorMessage="1" errorTitle="Invalid value" error="Choose a value from the PayoffProfiles list." sqref="N2:N5000" xr:uid="{00000000-0002-0000-D100-000002000000}">
      <formula1>"Long,Short,N/A"</formula1>
    </dataValidation>
    <dataValidation type="list" allowBlank="1" showErrorMessage="1" errorTitle="Invalid value" error="Choose a value from the AssetCategories list." sqref="O2:O5000" xr:uid="{00000000-0002-0000-D1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D1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D1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D1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D1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D100-000008000000}">
      <formula1>"Put,Call"</formula1>
    </dataValidation>
    <dataValidation type="list" allowBlank="1" showErrorMessage="1" errorTitle="Invalid value" error="Choose a value from the WrittenPurchased list." sqref="AM2:AM5000" xr:uid="{00000000-0002-0000-D1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D1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D1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D1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D100-000011000000}">
      <formula1>"Y,N"</formula1>
    </dataValidation>
  </dataValidations>
  <pageMargins left="0.75" right="0.75" top="1" bottom="1" header="0.5" footer="0.5"/>
  <legacyDrawing r:id="rId1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D2000000}"/>
  <pageMargins left="0.75" right="0.75" top="1" bottom="1" header="0.5" footer="0.5"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IFERROR(_xll.BDP("TAJX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IFERROR(_xll.BDP("TAJX US Equity","CUST_TRR_RETURN_HOLDING_PER","CUST_TRR_START_DT","20260601","CUST_TRR_END_DT","20260630","CUST_TRR_CRNCY","USD"),"")</f>
        <v>7.6348409999999998</v>
      </c>
    </row>
    <row r="23" spans="1:3" x14ac:dyDescent="0.25">
      <c r="A23" s="2" t="s">
        <v>46</v>
      </c>
      <c r="B23" s="2" t="s">
        <v>68</v>
      </c>
      <c r="C23" s="4">
        <f>IFERROR(_xll.BDP("TAJX US Equity","CUST_TRR_RETURN_HOLDING_PER","CUST_TRR_START_DT","20260701","CUST_TRR_END_DT","20260731","CUST_TRR_CRNCY","USD"),"")</f>
        <v>1.4257789999999999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D3000000}"/>
  <dataValidations count="1">
    <dataValidation type="list" allowBlank="1" showErrorMessage="1" errorTitle="Invalid value" error="Choose a value from the Periods list." sqref="A2:A5000" xr:uid="{00000000-0002-0000-D300-000000000000}">
      <formula1>"2026-07"</formula1>
    </dataValidation>
  </dataValidations>
  <pageMargins left="0.75" right="0.75" top="1" bottom="1" header="0.5" footer="0.5"/>
  <legacyDrawing r:id="rId1"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D4000000}"/>
  <dataValidations count="14">
    <dataValidation type="list" allowBlank="1" showErrorMessage="1" errorTitle="Invalid value" error="Choose a value from the Periods list." sqref="A2:A5000" xr:uid="{00000000-0002-0000-D400-000000000000}">
      <formula1>"2026-07"</formula1>
    </dataValidation>
    <dataValidation type="list" allowBlank="1" showErrorMessage="1" errorTitle="Invalid value" error="Choose a value from the Units list." sqref="J2:J5000" xr:uid="{00000000-0002-0000-D400-000001000000}">
      <formula1>"NS,PA,NC,OU"</formula1>
    </dataValidation>
    <dataValidation type="list" allowBlank="1" showErrorMessage="1" errorTitle="Invalid value" error="Choose a value from the PayoffProfiles list." sqref="N2:N5000" xr:uid="{00000000-0002-0000-D400-000002000000}">
      <formula1>"Long,Short,N/A"</formula1>
    </dataValidation>
    <dataValidation type="list" allowBlank="1" showErrorMessage="1" errorTitle="Invalid value" error="Choose a value from the AssetCategories list." sqref="O2:O5000" xr:uid="{00000000-0002-0000-D4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D4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D4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D4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D4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D400-000008000000}">
      <formula1>"Put,Call"</formula1>
    </dataValidation>
    <dataValidation type="list" allowBlank="1" showErrorMessage="1" errorTitle="Invalid value" error="Choose a value from the WrittenPurchased list." sqref="AM2:AM5000" xr:uid="{00000000-0002-0000-D4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D4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D4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D4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D400-000011000000}">
      <formula1>"Y,N"</formula1>
    </dataValidation>
  </dataValidations>
  <pageMargins left="0.75" right="0.75" top="1" bottom="1" header="0.5" footer="0.5"/>
  <legacyDrawing r:id="rId1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3</v>
      </c>
    </row>
    <row r="7" spans="1:2" x14ac:dyDescent="0.25">
      <c r="A7" s="2" t="s">
        <v>10</v>
      </c>
      <c r="B7" s="3" t="s">
        <v>11</v>
      </c>
    </row>
    <row r="8" spans="1:2" x14ac:dyDescent="0.25">
      <c r="A8" s="2" t="s">
        <v>12</v>
      </c>
      <c r="B8" s="3" t="s">
        <v>13</v>
      </c>
    </row>
    <row r="9" spans="1:2" x14ac:dyDescent="0.25">
      <c r="A9" s="2" t="s">
        <v>14</v>
      </c>
      <c r="B9" s="3" t="s">
        <v>15</v>
      </c>
    </row>
    <row r="10" spans="1:2" x14ac:dyDescent="0.25">
      <c r="A10" s="2" t="s">
        <v>16</v>
      </c>
      <c r="B10" s="3" t="s">
        <v>17</v>
      </c>
    </row>
    <row r="11" spans="1:2" x14ac:dyDescent="0.25">
      <c r="A11" s="2" t="s">
        <v>18</v>
      </c>
      <c r="B11" s="3" t="s">
        <v>19</v>
      </c>
    </row>
    <row r="12" spans="1:2" x14ac:dyDescent="0.25">
      <c r="A12" s="2" t="s">
        <v>20</v>
      </c>
      <c r="B12" s="3" t="s">
        <v>21</v>
      </c>
    </row>
    <row r="13" spans="1:2" x14ac:dyDescent="0.25">
      <c r="A13" s="2" t="s">
        <v>22</v>
      </c>
      <c r="B13" s="3" t="s">
        <v>23</v>
      </c>
    </row>
    <row r="14" spans="1:2" x14ac:dyDescent="0.25">
      <c r="A14" s="2" t="s">
        <v>24</v>
      </c>
      <c r="B14" s="3" t="s">
        <v>25</v>
      </c>
    </row>
    <row r="15" spans="1:2" x14ac:dyDescent="0.25">
      <c r="A15" s="2" t="s">
        <v>26</v>
      </c>
      <c r="B15" s="3" t="s">
        <v>234</v>
      </c>
    </row>
    <row r="16" spans="1:2" x14ac:dyDescent="0.25">
      <c r="A16" s="2" t="s">
        <v>28</v>
      </c>
      <c r="B16" s="3" t="s">
        <v>235</v>
      </c>
    </row>
    <row r="17" spans="1:2" x14ac:dyDescent="0.25">
      <c r="A17" s="2" t="s">
        <v>30</v>
      </c>
      <c r="B17" s="3" t="s">
        <v>236</v>
      </c>
    </row>
    <row r="18" spans="1:2" x14ac:dyDescent="0.25">
      <c r="A18" s="2" t="s">
        <v>32</v>
      </c>
      <c r="B18" s="3" t="s">
        <v>237</v>
      </c>
    </row>
    <row r="19" spans="1:2" x14ac:dyDescent="0.25">
      <c r="A19" s="2" t="s">
        <v>34</v>
      </c>
      <c r="B19" s="3" t="s">
        <v>6</v>
      </c>
    </row>
    <row r="20" spans="1:2" x14ac:dyDescent="0.25">
      <c r="A20" s="2" t="s">
        <v>35</v>
      </c>
      <c r="B20" s="3" t="s">
        <v>36</v>
      </c>
    </row>
    <row r="21" spans="1:2" x14ac:dyDescent="0.25">
      <c r="A21" s="2" t="s">
        <v>37</v>
      </c>
      <c r="B21" s="3" t="s">
        <v>38</v>
      </c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D5000000}"/>
  <pageMargins left="0.75" right="0.75" top="1" bottom="1" header="0.5" footer="0.5"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IFERROR(_xll.BDP("TPLX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IFERROR(_xll.BDP("TPLX US Equity","CUST_TRR_RETURN_HOLDING_PER","CUST_TRR_START_DT","20260601","CUST_TRR_END_DT","20260630","CUST_TRR_CRNCY","USD"),"")</f>
        <v>31.90354</v>
      </c>
    </row>
    <row r="23" spans="1:3" x14ac:dyDescent="0.25">
      <c r="A23" s="2" t="s">
        <v>46</v>
      </c>
      <c r="B23" s="2" t="s">
        <v>68</v>
      </c>
      <c r="C23" s="4">
        <f>IFERROR(_xll.BDP("TPLX US Equity","CUST_TRR_RETURN_HOLDING_PER","CUST_TRR_START_DT","20260701","CUST_TRR_END_DT","20260731","CUST_TRR_CRNCY","USD"),"")</f>
        <v>-7.5873889999999999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D6000000}"/>
  <dataValidations count="1">
    <dataValidation type="list" allowBlank="1" showErrorMessage="1" errorTitle="Invalid value" error="Choose a value from the Periods list." sqref="A2:A5000" xr:uid="{00000000-0002-0000-D600-000000000000}">
      <formula1>"2026-07"</formula1>
    </dataValidation>
  </dataValidations>
  <pageMargins left="0.75" right="0.75" top="1" bottom="1" header="0.5" footer="0.5"/>
  <legacyDrawing r:id="rId1"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D7000000}"/>
  <dataValidations count="14">
    <dataValidation type="list" allowBlank="1" showErrorMessage="1" errorTitle="Invalid value" error="Choose a value from the Periods list." sqref="A2:A5000" xr:uid="{00000000-0002-0000-D700-000000000000}">
      <formula1>"2026-07"</formula1>
    </dataValidation>
    <dataValidation type="list" allowBlank="1" showErrorMessage="1" errorTitle="Invalid value" error="Choose a value from the Units list." sqref="J2:J5000" xr:uid="{00000000-0002-0000-D700-000001000000}">
      <formula1>"NS,PA,NC,OU"</formula1>
    </dataValidation>
    <dataValidation type="list" allowBlank="1" showErrorMessage="1" errorTitle="Invalid value" error="Choose a value from the PayoffProfiles list." sqref="N2:N5000" xr:uid="{00000000-0002-0000-D700-000002000000}">
      <formula1>"Long,Short,N/A"</formula1>
    </dataValidation>
    <dataValidation type="list" allowBlank="1" showErrorMessage="1" errorTitle="Invalid value" error="Choose a value from the AssetCategories list." sqref="O2:O5000" xr:uid="{00000000-0002-0000-D7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D7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D7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D7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D7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D700-000008000000}">
      <formula1>"Put,Call"</formula1>
    </dataValidation>
    <dataValidation type="list" allowBlank="1" showErrorMessage="1" errorTitle="Invalid value" error="Choose a value from the WrittenPurchased list." sqref="AM2:AM5000" xr:uid="{00000000-0002-0000-D7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D7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D7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D7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D700-000011000000}">
      <formula1>"Y,N"</formula1>
    </dataValidation>
  </dataValidations>
  <pageMargins left="0.75" right="0.75" top="1" bottom="1" header="0.5" footer="0.5"/>
  <legacyDrawing r:id="rId1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3</v>
      </c>
    </row>
    <row r="7" spans="1:2" x14ac:dyDescent="0.25">
      <c r="A7" s="2" t="s">
        <v>10</v>
      </c>
      <c r="B7" s="3" t="s">
        <v>11</v>
      </c>
    </row>
    <row r="8" spans="1:2" x14ac:dyDescent="0.25">
      <c r="A8" s="2" t="s">
        <v>12</v>
      </c>
      <c r="B8" s="3" t="s">
        <v>13</v>
      </c>
    </row>
    <row r="9" spans="1:2" x14ac:dyDescent="0.25">
      <c r="A9" s="2" t="s">
        <v>14</v>
      </c>
      <c r="B9" s="3" t="s">
        <v>15</v>
      </c>
    </row>
    <row r="10" spans="1:2" x14ac:dyDescent="0.25">
      <c r="A10" s="2" t="s">
        <v>16</v>
      </c>
      <c r="B10" s="3" t="s">
        <v>17</v>
      </c>
    </row>
    <row r="11" spans="1:2" x14ac:dyDescent="0.25">
      <c r="A11" s="2" t="s">
        <v>18</v>
      </c>
      <c r="B11" s="3" t="s">
        <v>19</v>
      </c>
    </row>
    <row r="12" spans="1:2" x14ac:dyDescent="0.25">
      <c r="A12" s="2" t="s">
        <v>20</v>
      </c>
      <c r="B12" s="3" t="s">
        <v>21</v>
      </c>
    </row>
    <row r="13" spans="1:2" x14ac:dyDescent="0.25">
      <c r="A13" s="2" t="s">
        <v>22</v>
      </c>
      <c r="B13" s="3" t="s">
        <v>23</v>
      </c>
    </row>
    <row r="14" spans="1:2" x14ac:dyDescent="0.25">
      <c r="A14" s="2" t="s">
        <v>24</v>
      </c>
      <c r="B14" s="3" t="s">
        <v>25</v>
      </c>
    </row>
    <row r="15" spans="1:2" x14ac:dyDescent="0.25">
      <c r="A15" s="2" t="s">
        <v>26</v>
      </c>
      <c r="B15" s="3" t="s">
        <v>238</v>
      </c>
    </row>
    <row r="16" spans="1:2" x14ac:dyDescent="0.25">
      <c r="A16" s="2" t="s">
        <v>28</v>
      </c>
      <c r="B16" s="3" t="s">
        <v>239</v>
      </c>
    </row>
    <row r="17" spans="1:2" x14ac:dyDescent="0.25">
      <c r="A17" s="2" t="s">
        <v>30</v>
      </c>
      <c r="B17" s="3" t="s">
        <v>240</v>
      </c>
    </row>
    <row r="18" spans="1:2" x14ac:dyDescent="0.25">
      <c r="A18" s="2" t="s">
        <v>32</v>
      </c>
      <c r="B18" s="3" t="s">
        <v>241</v>
      </c>
    </row>
    <row r="19" spans="1:2" x14ac:dyDescent="0.25">
      <c r="A19" s="2" t="s">
        <v>34</v>
      </c>
      <c r="B19" s="3" t="s">
        <v>6</v>
      </c>
    </row>
    <row r="20" spans="1:2" x14ac:dyDescent="0.25">
      <c r="A20" s="2" t="s">
        <v>35</v>
      </c>
      <c r="B20" s="3" t="s">
        <v>36</v>
      </c>
    </row>
    <row r="21" spans="1:2" x14ac:dyDescent="0.25">
      <c r="A21" s="2" t="s">
        <v>37</v>
      </c>
      <c r="B21" s="3" t="s">
        <v>38</v>
      </c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D8000000}"/>
  <pageMargins left="0.75" right="0.75" top="1" bottom="1" header="0.5" footer="0.5"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IFERROR(_xll.BDP("UMCX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IFERROR(_xll.BDP("UMCX US Equity","CUST_TRR_RETURN_HOLDING_PER","CUST_TRR_START_DT","20260601","CUST_TRR_END_DT","20260630","CUST_TRR_CRNCY","USD"),"")</f>
        <v>-6.2724029999999997</v>
      </c>
    </row>
    <row r="23" spans="1:3" x14ac:dyDescent="0.25">
      <c r="A23" s="2" t="s">
        <v>46</v>
      </c>
      <c r="B23" s="2" t="s">
        <v>68</v>
      </c>
      <c r="C23" s="4">
        <f>IFERROR(_xll.BDP("UMCX US Equity","CUST_TRR_RETURN_HOLDING_PER","CUST_TRR_START_DT","20260701","CUST_TRR_END_DT","20260731","CUST_TRR_CRNCY","USD"),"")</f>
        <v>-48.369370000000004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D9000000}"/>
  <dataValidations count="1">
    <dataValidation type="list" allowBlank="1" showErrorMessage="1" errorTitle="Invalid value" error="Choose a value from the Periods list." sqref="A2:A5000" xr:uid="{00000000-0002-0000-D900-000000000000}">
      <formula1>"2026-07"</formula1>
    </dataValidation>
  </dataValidations>
  <pageMargins left="0.75" right="0.75" top="1" bottom="1" header="0.5" footer="0.5"/>
  <legacyDrawing r:id="rId1"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DA000000}"/>
  <dataValidations count="14">
    <dataValidation type="list" allowBlank="1" showErrorMessage="1" errorTitle="Invalid value" error="Choose a value from the Periods list." sqref="A2:A5000" xr:uid="{00000000-0002-0000-DA00-000000000000}">
      <formula1>"2026-07"</formula1>
    </dataValidation>
    <dataValidation type="list" allowBlank="1" showErrorMessage="1" errorTitle="Invalid value" error="Choose a value from the Units list." sqref="J2:J5000" xr:uid="{00000000-0002-0000-DA00-000001000000}">
      <formula1>"NS,PA,NC,OU"</formula1>
    </dataValidation>
    <dataValidation type="list" allowBlank="1" showErrorMessage="1" errorTitle="Invalid value" error="Choose a value from the PayoffProfiles list." sqref="N2:N5000" xr:uid="{00000000-0002-0000-DA00-000002000000}">
      <formula1>"Long,Short,N/A"</formula1>
    </dataValidation>
    <dataValidation type="list" allowBlank="1" showErrorMessage="1" errorTitle="Invalid value" error="Choose a value from the AssetCategories list." sqref="O2:O5000" xr:uid="{00000000-0002-0000-DA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DA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DA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DA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DA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DA00-000008000000}">
      <formula1>"Put,Call"</formula1>
    </dataValidation>
    <dataValidation type="list" allowBlank="1" showErrorMessage="1" errorTitle="Invalid value" error="Choose a value from the WrittenPurchased list." sqref="AM2:AM5000" xr:uid="{00000000-0002-0000-DA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DA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DA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DA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DA00-000011000000}">
      <formula1>"Y,N"</formula1>
    </dataValidation>
  </dataValidations>
  <pageMargins left="0.75" right="0.75" top="1" bottom="1" header="0.5" footer="0.5"/>
  <legacyDrawing r:id="rId1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DB000000}"/>
  <pageMargins left="0.75" right="0.75" top="1" bottom="1" header="0.5" footer="0.5"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IFERROR(_xll.BDP("USX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IFERROR(_xll.BDP("USX US Equity","CUST_TRR_RETURN_HOLDING_PER","CUST_TRR_START_DT","20260601","CUST_TRR_END_DT","20260630","CUST_TRR_CRNCY","USD"),"")</f>
        <v>-1.091782</v>
      </c>
    </row>
    <row r="23" spans="1:3" x14ac:dyDescent="0.25">
      <c r="A23" s="2" t="s">
        <v>46</v>
      </c>
      <c r="B23" s="2" t="s">
        <v>68</v>
      </c>
      <c r="C23" s="4">
        <f>IFERROR(_xll.BDP("USX US Equity","CUST_TRR_RETURN_HOLDING_PER","CUST_TRR_START_DT","20260701","CUST_TRR_END_DT","20260731","CUST_TRR_CRNCY","USD"),"")</f>
        <v>-1.172809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DC000000}"/>
  <dataValidations count="1">
    <dataValidation type="list" allowBlank="1" showErrorMessage="1" errorTitle="Invalid value" error="Choose a value from the Periods list." sqref="A2:A5000" xr:uid="{00000000-0002-0000-DC00-000000000000}">
      <formula1>"2026-07"</formula1>
    </dataValidation>
  </dataValidations>
  <pageMargins left="0.75" right="0.75" top="1" bottom="1" header="0.5" footer="0.5"/>
  <legacyDrawing r:id="rId1"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DD000000}"/>
  <dataValidations count="14">
    <dataValidation type="list" allowBlank="1" showErrorMessage="1" errorTitle="Invalid value" error="Choose a value from the Periods list." sqref="A2:A5000" xr:uid="{00000000-0002-0000-DD00-000000000000}">
      <formula1>"2026-07"</formula1>
    </dataValidation>
    <dataValidation type="list" allowBlank="1" showErrorMessage="1" errorTitle="Invalid value" error="Choose a value from the Units list." sqref="J2:J5000" xr:uid="{00000000-0002-0000-DD00-000001000000}">
      <formula1>"NS,PA,NC,OU"</formula1>
    </dataValidation>
    <dataValidation type="list" allowBlank="1" showErrorMessage="1" errorTitle="Invalid value" error="Choose a value from the PayoffProfiles list." sqref="N2:N5000" xr:uid="{00000000-0002-0000-DD00-000002000000}">
      <formula1>"Long,Short,N/A"</formula1>
    </dataValidation>
    <dataValidation type="list" allowBlank="1" showErrorMessage="1" errorTitle="Invalid value" error="Choose a value from the AssetCategories list." sqref="O2:O5000" xr:uid="{00000000-0002-0000-DD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DD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DD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DD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DD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DD00-000008000000}">
      <formula1>"Put,Call"</formula1>
    </dataValidation>
    <dataValidation type="list" allowBlank="1" showErrorMessage="1" errorTitle="Invalid value" error="Choose a value from the WrittenPurchased list." sqref="AM2:AM5000" xr:uid="{00000000-0002-0000-DD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DD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DD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DD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DD00-000011000000}">
      <formula1>"Y,N"</formula1>
    </dataValidation>
  </dataValidations>
  <pageMargins left="0.75" right="0.75" top="1" bottom="1" header="0.5" footer="0.5"/>
  <legacyDrawing r:id="rId1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DE000000}"/>
  <pageMargins left="0.75" right="0.75" top="1" bottom="1" header="0.5" footer="0.5"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IFERROR(_xll.BDP("VBX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 t="str">
        <f>IFERROR(_xll.BDP("VBX US Equity","CUST_TRR_RETURN_HOLDING_PER","CUST_TRR_START_DT","20260601","CUST_TRR_END_DT","20260630","CUST_TRR_CRNCY","USD"),"")</f>
        <v>#N/A N/A</v>
      </c>
    </row>
    <row r="23" spans="1:3" x14ac:dyDescent="0.25">
      <c r="A23" s="2" t="s">
        <v>46</v>
      </c>
      <c r="B23" s="2" t="s">
        <v>68</v>
      </c>
      <c r="C23" s="4" t="str">
        <f>IFERROR(_xll.BDP("VBX US Equity","CUST_TRR_RETURN_HOLDING_PER","CUST_TRR_START_DT","20260701","CUST_TRR_END_DT","20260731","CUST_TRR_CRNCY","USD"),"")</f>
        <v>#N/A N/A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DF000000}"/>
  <dataValidations count="1">
    <dataValidation type="list" allowBlank="1" showErrorMessage="1" errorTitle="Invalid value" error="Choose a value from the Periods list." sqref="A2:A5000" xr:uid="{00000000-0002-0000-DF00-000000000000}">
      <formula1>"2026-07"</formula1>
    </dataValidation>
  </dataValidations>
  <pageMargins left="0.75" right="0.75" top="1" bottom="1" header="0.5" footer="0.5"/>
  <legacyDrawing r:id="rId1"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E0000000}"/>
  <dataValidations count="14">
    <dataValidation type="list" allowBlank="1" showErrorMessage="1" errorTitle="Invalid value" error="Choose a value from the Periods list." sqref="A2:A5000" xr:uid="{00000000-0002-0000-E000-000000000000}">
      <formula1>"2026-07"</formula1>
    </dataValidation>
    <dataValidation type="list" allowBlank="1" showErrorMessage="1" errorTitle="Invalid value" error="Choose a value from the Units list." sqref="J2:J5000" xr:uid="{00000000-0002-0000-E000-000001000000}">
      <formula1>"NS,PA,NC,OU"</formula1>
    </dataValidation>
    <dataValidation type="list" allowBlank="1" showErrorMessage="1" errorTitle="Invalid value" error="Choose a value from the PayoffProfiles list." sqref="N2:N5000" xr:uid="{00000000-0002-0000-E000-000002000000}">
      <formula1>"Long,Short,N/A"</formula1>
    </dataValidation>
    <dataValidation type="list" allowBlank="1" showErrorMessage="1" errorTitle="Invalid value" error="Choose a value from the AssetCategories list." sqref="O2:O5000" xr:uid="{00000000-0002-0000-E0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E0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E0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E0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E0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E000-000008000000}">
      <formula1>"Put,Call"</formula1>
    </dataValidation>
    <dataValidation type="list" allowBlank="1" showErrorMessage="1" errorTitle="Invalid value" error="Choose a value from the WrittenPurchased list." sqref="AM2:AM5000" xr:uid="{00000000-0002-0000-E0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E0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E0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E0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E000-000011000000}">
      <formula1>"Y,N"</formula1>
    </dataValidation>
  </dataValidations>
  <pageMargins left="0.75" right="0.75" top="1" bottom="1" header="0.5" footer="0.5"/>
  <legacyDrawing r:id="rId1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E1000000}"/>
  <pageMargins left="0.75" right="0.75" top="1" bottom="1" header="0.5" footer="0.5"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IFERROR(_xll.BDP("VOOX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 t="str">
        <f>IFERROR(_xll.BDP("VOOX US Equity","CUST_TRR_RETURN_HOLDING_PER","CUST_TRR_START_DT","20260601","CUST_TRR_END_DT","20260630","CUST_TRR_CRNCY","USD"),"")</f>
        <v>#N/A N/A</v>
      </c>
    </row>
    <row r="23" spans="1:3" x14ac:dyDescent="0.25">
      <c r="A23" s="2" t="s">
        <v>46</v>
      </c>
      <c r="B23" s="2" t="s">
        <v>68</v>
      </c>
      <c r="C23" s="4" t="str">
        <f>IFERROR(_xll.BDP("VOOX US Equity","CUST_TRR_RETURN_HOLDING_PER","CUST_TRR_START_DT","20260701","CUST_TRR_END_DT","20260731","CUST_TRR_CRNCY","USD"),"")</f>
        <v>#N/A N/A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E2000000}"/>
  <dataValidations count="1">
    <dataValidation type="list" allowBlank="1" showErrorMessage="1" errorTitle="Invalid value" error="Choose a value from the Periods list." sqref="A2:A5000" xr:uid="{00000000-0002-0000-E200-000000000000}">
      <formula1>"2026-07"</formula1>
    </dataValidation>
  </dataValidations>
  <pageMargins left="0.75" right="0.75" top="1" bottom="1" header="0.5" footer="0.5"/>
  <legacyDrawing r:id="rId1"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E3000000}"/>
  <dataValidations count="14">
    <dataValidation type="list" allowBlank="1" showErrorMessage="1" errorTitle="Invalid value" error="Choose a value from the Periods list." sqref="A2:A5000" xr:uid="{00000000-0002-0000-E300-000000000000}">
      <formula1>"2026-07"</formula1>
    </dataValidation>
    <dataValidation type="list" allowBlank="1" showErrorMessage="1" errorTitle="Invalid value" error="Choose a value from the Units list." sqref="J2:J5000" xr:uid="{00000000-0002-0000-E300-000001000000}">
      <formula1>"NS,PA,NC,OU"</formula1>
    </dataValidation>
    <dataValidation type="list" allowBlank="1" showErrorMessage="1" errorTitle="Invalid value" error="Choose a value from the PayoffProfiles list." sqref="N2:N5000" xr:uid="{00000000-0002-0000-E300-000002000000}">
      <formula1>"Long,Short,N/A"</formula1>
    </dataValidation>
    <dataValidation type="list" allowBlank="1" showErrorMessage="1" errorTitle="Invalid value" error="Choose a value from the AssetCategories list." sqref="O2:O5000" xr:uid="{00000000-0002-0000-E3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E3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E3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E3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E3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E300-000008000000}">
      <formula1>"Put,Call"</formula1>
    </dataValidation>
    <dataValidation type="list" allowBlank="1" showErrorMessage="1" errorTitle="Invalid value" error="Choose a value from the WrittenPurchased list." sqref="AM2:AM5000" xr:uid="{00000000-0002-0000-E3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E3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E3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E3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E300-000011000000}">
      <formula1>"Y,N"</formula1>
    </dataValidation>
  </dataValidations>
  <pageMargins left="0.75" right="0.75" top="1" bottom="1" header="0.5" footer="0.5"/>
  <legacyDrawing r:id="rId1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E4000000}"/>
  <pageMargins left="0.75" right="0.75" top="1" bottom="1" header="0.5" footer="0.5"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>
        <f>IFERROR(_xll.BDP("WATS US Equity","CUST_TRR_RETURN_HOLDING_PER","CUST_TRR_START_DT","20260501","CUST_TRR_END_DT","20260531","CUST_TRR_CRNCY","USD"),"")</f>
        <v>15.434430000000001</v>
      </c>
    </row>
    <row r="22" spans="1:3" x14ac:dyDescent="0.25">
      <c r="A22" s="2" t="s">
        <v>46</v>
      </c>
      <c r="B22" s="2" t="s">
        <v>67</v>
      </c>
      <c r="C22" s="4">
        <f>IFERROR(_xll.BDP("WATS US Equity","CUST_TRR_RETURN_HOLDING_PER","CUST_TRR_START_DT","20260601","CUST_TRR_END_DT","20260630","CUST_TRR_CRNCY","USD"),"")</f>
        <v>-13.40537</v>
      </c>
    </row>
    <row r="23" spans="1:3" x14ac:dyDescent="0.25">
      <c r="A23" s="2" t="s">
        <v>46</v>
      </c>
      <c r="B23" s="2" t="s">
        <v>68</v>
      </c>
      <c r="C23" s="4">
        <f>IFERROR(_xll.BDP("WATS US Equity","CUST_TRR_RETURN_HOLDING_PER","CUST_TRR_START_DT","20260701","CUST_TRR_END_DT","20260731","CUST_TRR_CRNCY","USD"),"")</f>
        <v>-23.921150000000001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E5000000}"/>
  <dataValidations count="1">
    <dataValidation type="list" allowBlank="1" showErrorMessage="1" errorTitle="Invalid value" error="Choose a value from the Periods list." sqref="A2:A5000" xr:uid="{00000000-0002-0000-E500-000000000000}">
      <formula1>"2026-07"</formula1>
    </dataValidation>
  </dataValidations>
  <pageMargins left="0.75" right="0.75" top="1" bottom="1" header="0.5" footer="0.5"/>
  <legacyDrawing r:id="rId1"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E6000000}"/>
  <dataValidations count="14">
    <dataValidation type="list" allowBlank="1" showErrorMessage="1" errorTitle="Invalid value" error="Choose a value from the Periods list." sqref="A2:A5000" xr:uid="{00000000-0002-0000-E600-000000000000}">
      <formula1>"2026-07"</formula1>
    </dataValidation>
    <dataValidation type="list" allowBlank="1" showErrorMessage="1" errorTitle="Invalid value" error="Choose a value from the Units list." sqref="J2:J5000" xr:uid="{00000000-0002-0000-E600-000001000000}">
      <formula1>"NS,PA,NC,OU"</formula1>
    </dataValidation>
    <dataValidation type="list" allowBlank="1" showErrorMessage="1" errorTitle="Invalid value" error="Choose a value from the PayoffProfiles list." sqref="N2:N5000" xr:uid="{00000000-0002-0000-E600-000002000000}">
      <formula1>"Long,Short,N/A"</formula1>
    </dataValidation>
    <dataValidation type="list" allowBlank="1" showErrorMessage="1" errorTitle="Invalid value" error="Choose a value from the AssetCategories list." sqref="O2:O5000" xr:uid="{00000000-0002-0000-E6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E6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E6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E6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E6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E600-000008000000}">
      <formula1>"Put,Call"</formula1>
    </dataValidation>
    <dataValidation type="list" allowBlank="1" showErrorMessage="1" errorTitle="Invalid value" error="Choose a value from the WrittenPurchased list." sqref="AM2:AM5000" xr:uid="{00000000-0002-0000-E6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E6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E6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E6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E600-000011000000}">
      <formula1>"Y,N"</formula1>
    </dataValidation>
  </dataValidations>
  <pageMargins left="0.75" right="0.75" top="1" bottom="1" header="0.5" footer="0.5"/>
  <legacyDrawing r:id="rId1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E7000000}"/>
  <pageMargins left="0.75" right="0.75" top="1" bottom="1" header="0.5" footer="0.5"/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IFERROR(_xll.BDP("WEBX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IFERROR(_xll.BDP("WEBX US Equity","CUST_TRR_RETURN_HOLDING_PER","CUST_TRR_START_DT","20260601","CUST_TRR_END_DT","20260630","CUST_TRR_CRNCY","USD"),"")</f>
        <v>-20.148129999999998</v>
      </c>
    </row>
    <row r="23" spans="1:3" x14ac:dyDescent="0.25">
      <c r="A23" s="2" t="s">
        <v>46</v>
      </c>
      <c r="B23" s="2" t="s">
        <v>68</v>
      </c>
      <c r="C23" s="4">
        <f>IFERROR(_xll.BDP("WEBX US Equity","CUST_TRR_RETURN_HOLDING_PER","CUST_TRR_START_DT","20260701","CUST_TRR_END_DT","20260731","CUST_TRR_CRNCY","USD"),"")</f>
        <v>26.16994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E8000000}"/>
  <dataValidations count="1">
    <dataValidation type="list" allowBlank="1" showErrorMessage="1" errorTitle="Invalid value" error="Choose a value from the Periods list." sqref="A2:A5000" xr:uid="{00000000-0002-0000-E800-000000000000}">
      <formula1>"2026-07"</formula1>
    </dataValidation>
  </dataValidations>
  <pageMargins left="0.75" right="0.75" top="1" bottom="1" header="0.5" footer="0.5"/>
  <legacyDrawing r:id="rId1"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E9000000}"/>
  <dataValidations count="14">
    <dataValidation type="list" allowBlank="1" showErrorMessage="1" errorTitle="Invalid value" error="Choose a value from the Periods list." sqref="A2:A5000" xr:uid="{00000000-0002-0000-E900-000000000000}">
      <formula1>"2026-07"</formula1>
    </dataValidation>
    <dataValidation type="list" allowBlank="1" showErrorMessage="1" errorTitle="Invalid value" error="Choose a value from the Units list." sqref="J2:J5000" xr:uid="{00000000-0002-0000-E900-000001000000}">
      <formula1>"NS,PA,NC,OU"</formula1>
    </dataValidation>
    <dataValidation type="list" allowBlank="1" showErrorMessage="1" errorTitle="Invalid value" error="Choose a value from the PayoffProfiles list." sqref="N2:N5000" xr:uid="{00000000-0002-0000-E900-000002000000}">
      <formula1>"Long,Short,N/A"</formula1>
    </dataValidation>
    <dataValidation type="list" allowBlank="1" showErrorMessage="1" errorTitle="Invalid value" error="Choose a value from the AssetCategories list." sqref="O2:O5000" xr:uid="{00000000-0002-0000-E9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E9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E9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E9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E9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E900-000008000000}">
      <formula1>"Put,Call"</formula1>
    </dataValidation>
    <dataValidation type="list" allowBlank="1" showErrorMessage="1" errorTitle="Invalid value" error="Choose a value from the WrittenPurchased list." sqref="AM2:AM5000" xr:uid="{00000000-0002-0000-E9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E9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E9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E9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E900-000011000000}">
      <formula1>"Y,N"</formula1>
    </dataValidation>
  </dataValidations>
  <pageMargins left="0.75" right="0.75" top="1" bottom="1" header="0.5" footer="0.5"/>
  <legacyDrawing r:id="rId1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EA000000}"/>
  <pageMargins left="0.75" right="0.75" top="1" bottom="1" header="0.5" footer="0.5"/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>
        <f>IFERROR(_xll.BDP("WNDR US Equity","CUST_TRR_RETURN_HOLDING_PER","CUST_TRR_START_DT","20260501","CUST_TRR_END_DT","20260531","CUST_TRR_CRNCY","USD"),"")</f>
        <v>0.88038090000000002</v>
      </c>
    </row>
    <row r="22" spans="1:3" x14ac:dyDescent="0.25">
      <c r="A22" s="2" t="s">
        <v>46</v>
      </c>
      <c r="B22" s="2" t="s">
        <v>67</v>
      </c>
      <c r="C22" s="4">
        <f>IFERROR(_xll.BDP("WNDR US Equity","CUST_TRR_RETURN_HOLDING_PER","CUST_TRR_START_DT","20260601","CUST_TRR_END_DT","20260630","CUST_TRR_CRNCY","USD"),"")</f>
        <v>5.5885769999999999</v>
      </c>
    </row>
    <row r="23" spans="1:3" x14ac:dyDescent="0.25">
      <c r="A23" s="2" t="s">
        <v>46</v>
      </c>
      <c r="B23" s="2" t="s">
        <v>68</v>
      </c>
      <c r="C23" s="4">
        <f>IFERROR(_xll.BDP("WNDR US Equity","CUST_TRR_RETURN_HOLDING_PER","CUST_TRR_START_DT","20260701","CUST_TRR_END_DT","20260731","CUST_TRR_CRNCY","USD"),"")</f>
        <v>-1.4361889999999999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EB000000}"/>
  <dataValidations count="1">
    <dataValidation type="list" allowBlank="1" showErrorMessage="1" errorTitle="Invalid value" error="Choose a value from the Periods list." sqref="A2:A5000" xr:uid="{00000000-0002-0000-EB00-000000000000}">
      <formula1>"2026-07"</formula1>
    </dataValidation>
  </dataValidations>
  <pageMargins left="0.75" right="0.75" top="1" bottom="1" header="0.5" footer="0.5"/>
  <legacyDrawing r:id="rId1"/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EC000000}"/>
  <dataValidations count="14">
    <dataValidation type="list" allowBlank="1" showErrorMessage="1" errorTitle="Invalid value" error="Choose a value from the Periods list." sqref="A2:A5000" xr:uid="{00000000-0002-0000-EC00-000000000000}">
      <formula1>"2026-07"</formula1>
    </dataValidation>
    <dataValidation type="list" allowBlank="1" showErrorMessage="1" errorTitle="Invalid value" error="Choose a value from the Units list." sqref="J2:J5000" xr:uid="{00000000-0002-0000-EC00-000001000000}">
      <formula1>"NS,PA,NC,OU"</formula1>
    </dataValidation>
    <dataValidation type="list" allowBlank="1" showErrorMessage="1" errorTitle="Invalid value" error="Choose a value from the PayoffProfiles list." sqref="N2:N5000" xr:uid="{00000000-0002-0000-EC00-000002000000}">
      <formula1>"Long,Short,N/A"</formula1>
    </dataValidation>
    <dataValidation type="list" allowBlank="1" showErrorMessage="1" errorTitle="Invalid value" error="Choose a value from the AssetCategories list." sqref="O2:O5000" xr:uid="{00000000-0002-0000-EC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EC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EC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EC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EC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EC00-000008000000}">
      <formula1>"Put,Call"</formula1>
    </dataValidation>
    <dataValidation type="list" allowBlank="1" showErrorMessage="1" errorTitle="Invalid value" error="Choose a value from the WrittenPurchased list." sqref="AM2:AM5000" xr:uid="{00000000-0002-0000-EC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EC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EC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EC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EC00-000011000000}">
      <formula1>"Y,N"</formula1>
    </dataValidation>
  </dataValidations>
  <pageMargins left="0.75" right="0.75" top="1" bottom="1" header="0.5" footer="0.5"/>
  <legacyDrawing r:id="rId1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ED000000}"/>
  <pageMargins left="0.75" right="0.75" top="1" bottom="1" header="0.5" footer="0.5"/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>
        <f>IFERROR(_xll.BDP("WR US Equity","CUST_TRR_RETURN_HOLDING_PER","CUST_TRR_START_DT","20260501","CUST_TRR_END_DT","20260531","CUST_TRR_CRNCY","USD"),"")</f>
        <v>1.8340890000000001</v>
      </c>
    </row>
    <row r="22" spans="1:3" x14ac:dyDescent="0.25">
      <c r="A22" s="2" t="s">
        <v>46</v>
      </c>
      <c r="B22" s="2" t="s">
        <v>67</v>
      </c>
      <c r="C22" s="4">
        <f>IFERROR(_xll.BDP("WR US Equity","CUST_TRR_RETURN_HOLDING_PER","CUST_TRR_START_DT","20260601","CUST_TRR_END_DT","20260630","CUST_TRR_CRNCY","USD"),"")</f>
        <v>-6.0233759999999998</v>
      </c>
    </row>
    <row r="23" spans="1:3" x14ac:dyDescent="0.25">
      <c r="A23" s="2" t="s">
        <v>46</v>
      </c>
      <c r="B23" s="2" t="s">
        <v>68</v>
      </c>
      <c r="C23" s="4">
        <f>IFERROR(_xll.BDP("WR US Equity","CUST_TRR_RETURN_HOLDING_PER","CUST_TRR_START_DT","20260701","CUST_TRR_END_DT","20260731","CUST_TRR_CRNCY","USD"),"")</f>
        <v>7.448188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EE000000}"/>
  <dataValidations count="1">
    <dataValidation type="list" allowBlank="1" showErrorMessage="1" errorTitle="Invalid value" error="Choose a value from the Periods list." sqref="A2:A5000" xr:uid="{00000000-0002-0000-EE00-000000000000}">
      <formula1>"2026-07"</formula1>
    </dataValidation>
  </dataValidations>
  <pageMargins left="0.75" right="0.75" top="1" bottom="1" header="0.5" footer="0.5"/>
  <legacyDrawing r:id="rId1"/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EF000000}"/>
  <dataValidations count="14">
    <dataValidation type="list" allowBlank="1" showErrorMessage="1" errorTitle="Invalid value" error="Choose a value from the Periods list." sqref="A2:A5000" xr:uid="{00000000-0002-0000-EF00-000000000000}">
      <formula1>"2026-07"</formula1>
    </dataValidation>
    <dataValidation type="list" allowBlank="1" showErrorMessage="1" errorTitle="Invalid value" error="Choose a value from the Units list." sqref="J2:J5000" xr:uid="{00000000-0002-0000-EF00-000001000000}">
      <formula1>"NS,PA,NC,OU"</formula1>
    </dataValidation>
    <dataValidation type="list" allowBlank="1" showErrorMessage="1" errorTitle="Invalid value" error="Choose a value from the PayoffProfiles list." sqref="N2:N5000" xr:uid="{00000000-0002-0000-EF00-000002000000}">
      <formula1>"Long,Short,N/A"</formula1>
    </dataValidation>
    <dataValidation type="list" allowBlank="1" showErrorMessage="1" errorTitle="Invalid value" error="Choose a value from the AssetCategories list." sqref="O2:O5000" xr:uid="{00000000-0002-0000-EF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EF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EF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EF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EF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EF00-000008000000}">
      <formula1>"Put,Call"</formula1>
    </dataValidation>
    <dataValidation type="list" allowBlank="1" showErrorMessage="1" errorTitle="Invalid value" error="Choose a value from the WrittenPurchased list." sqref="AM2:AM5000" xr:uid="{00000000-0002-0000-EF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EF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EF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EF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EF00-000011000000}">
      <formula1>"Y,N"</formula1>
    </dataValidation>
  </dataValidations>
  <pageMargins left="0.75" right="0.75" top="1" bottom="1" header="0.5" footer="0.5"/>
  <legacyDrawing r:id="rId1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F0000000}"/>
  <pageMargins left="0.75" right="0.75" top="1" bottom="1" header="0.5" footer="0.5"/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IFERROR(_xll.BDP("WX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IFERROR(_xll.BDP("WX US Equity","CUST_TRR_RETURN_HOLDING_PER","CUST_TRR_START_DT","20260601","CUST_TRR_END_DT","20260630","CUST_TRR_CRNCY","USD"),"")</f>
        <v>-1.3592770000000001</v>
      </c>
    </row>
    <row r="23" spans="1:3" x14ac:dyDescent="0.25">
      <c r="A23" s="2" t="s">
        <v>46</v>
      </c>
      <c r="B23" s="2" t="s">
        <v>68</v>
      </c>
      <c r="C23" s="4">
        <f>IFERROR(_xll.BDP("WX US Equity","CUST_TRR_RETURN_HOLDING_PER","CUST_TRR_START_DT","20260701","CUST_TRR_END_DT","20260731","CUST_TRR_CRNCY","USD"),"")</f>
        <v>-1.051749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F1000000}"/>
  <dataValidations count="1">
    <dataValidation type="list" allowBlank="1" showErrorMessage="1" errorTitle="Invalid value" error="Choose a value from the Periods list." sqref="A2:A5000" xr:uid="{00000000-0002-0000-F100-000000000000}">
      <formula1>"2026-07"</formula1>
    </dataValidation>
  </dataValidations>
  <pageMargins left="0.75" right="0.75" top="1" bottom="1" header="0.5" footer="0.5"/>
  <legacyDrawing r:id="rId1"/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F2000000}"/>
  <dataValidations count="14">
    <dataValidation type="list" allowBlank="1" showErrorMessage="1" errorTitle="Invalid value" error="Choose a value from the Periods list." sqref="A2:A5000" xr:uid="{00000000-0002-0000-F200-000000000000}">
      <formula1>"2026-07"</formula1>
    </dataValidation>
    <dataValidation type="list" allowBlank="1" showErrorMessage="1" errorTitle="Invalid value" error="Choose a value from the Units list." sqref="J2:J5000" xr:uid="{00000000-0002-0000-F200-000001000000}">
      <formula1>"NS,PA,NC,OU"</formula1>
    </dataValidation>
    <dataValidation type="list" allowBlank="1" showErrorMessage="1" errorTitle="Invalid value" error="Choose a value from the PayoffProfiles list." sqref="N2:N5000" xr:uid="{00000000-0002-0000-F200-000002000000}">
      <formula1>"Long,Short,N/A"</formula1>
    </dataValidation>
    <dataValidation type="list" allowBlank="1" showErrorMessage="1" errorTitle="Invalid value" error="Choose a value from the AssetCategories list." sqref="O2:O5000" xr:uid="{00000000-0002-0000-F2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F2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F2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F2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F2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F200-000008000000}">
      <formula1>"Put,Call"</formula1>
    </dataValidation>
    <dataValidation type="list" allowBlank="1" showErrorMessage="1" errorTitle="Invalid value" error="Choose a value from the WrittenPurchased list." sqref="AM2:AM5000" xr:uid="{00000000-0002-0000-F2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F2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F2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F2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F200-000011000000}">
      <formula1>"Y,N"</formula1>
    </dataValidation>
  </dataValidations>
  <pageMargins left="0.75" right="0.75" top="1" bottom="1" header="0.5" footer="0.5"/>
  <legacyDrawing r:id="rId1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F3000000}"/>
  <pageMargins left="0.75" right="0.75" top="1" bottom="1" header="0.5" footer="0.5"/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>
        <f>IFERROR(_xll.BDP("XA US Equity","CUST_TRR_RETURN_HOLDING_PER","CUST_TRR_START_DT","20260501","CUST_TRR_END_DT","20260531","CUST_TRR_CRNCY","USD"),"")</f>
        <v>32.097859999999997</v>
      </c>
    </row>
    <row r="22" spans="1:3" x14ac:dyDescent="0.25">
      <c r="A22" s="2" t="s">
        <v>46</v>
      </c>
      <c r="B22" s="2" t="s">
        <v>67</v>
      </c>
      <c r="C22" s="4">
        <f>IFERROR(_xll.BDP("XA US Equity","CUST_TRR_RETURN_HOLDING_PER","CUST_TRR_START_DT","20260601","CUST_TRR_END_DT","20260630","CUST_TRR_CRNCY","USD"),"")</f>
        <v>-0.94830579999999998</v>
      </c>
    </row>
    <row r="23" spans="1:3" x14ac:dyDescent="0.25">
      <c r="A23" s="2" t="s">
        <v>46</v>
      </c>
      <c r="B23" s="2" t="s">
        <v>68</v>
      </c>
      <c r="C23" s="4">
        <f>IFERROR(_xll.BDP("XA US Equity","CUST_TRR_RETURN_HOLDING_PER","CUST_TRR_START_DT","20260701","CUST_TRR_END_DT","20260731","CUST_TRR_CRNCY","USD"),"")</f>
        <v>-1.7201649999999999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F4000000}"/>
  <dataValidations count="1">
    <dataValidation type="list" allowBlank="1" showErrorMessage="1" errorTitle="Invalid value" error="Choose a value from the Periods list." sqref="A2:A5000" xr:uid="{00000000-0002-0000-F400-000000000000}">
      <formula1>"2026-07"</formula1>
    </dataValidation>
  </dataValidations>
  <pageMargins left="0.75" right="0.75" top="1" bottom="1" header="0.5" footer="0.5"/>
  <legacyDrawing r:id="rId1"/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F5000000}"/>
  <dataValidations count="14">
    <dataValidation type="list" allowBlank="1" showErrorMessage="1" errorTitle="Invalid value" error="Choose a value from the Periods list." sqref="A2:A5000" xr:uid="{00000000-0002-0000-F500-000000000000}">
      <formula1>"2026-07"</formula1>
    </dataValidation>
    <dataValidation type="list" allowBlank="1" showErrorMessage="1" errorTitle="Invalid value" error="Choose a value from the Units list." sqref="J2:J5000" xr:uid="{00000000-0002-0000-F500-000001000000}">
      <formula1>"NS,PA,NC,OU"</formula1>
    </dataValidation>
    <dataValidation type="list" allowBlank="1" showErrorMessage="1" errorTitle="Invalid value" error="Choose a value from the PayoffProfiles list." sqref="N2:N5000" xr:uid="{00000000-0002-0000-F500-000002000000}">
      <formula1>"Long,Short,N/A"</formula1>
    </dataValidation>
    <dataValidation type="list" allowBlank="1" showErrorMessage="1" errorTitle="Invalid value" error="Choose a value from the AssetCategories list." sqref="O2:O5000" xr:uid="{00000000-0002-0000-F5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F5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F5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F5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F5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F500-000008000000}">
      <formula1>"Put,Call"</formula1>
    </dataValidation>
    <dataValidation type="list" allowBlank="1" showErrorMessage="1" errorTitle="Invalid value" error="Choose a value from the WrittenPurchased list." sqref="AM2:AM5000" xr:uid="{00000000-0002-0000-F5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F5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F5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F5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F500-000011000000}">
      <formula1>"Y,N"</formula1>
    </dataValidation>
  </dataValidations>
  <pageMargins left="0.75" right="0.75" top="1" bottom="1" header="0.5" footer="0.5"/>
  <legacyDrawing r:id="rId1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F6000000}"/>
  <pageMargins left="0.75" right="0.75" top="1" bottom="1" header="0.5" footer="0.5"/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IFERROR(_xll.BDP("XAGI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IFERROR(_xll.BDP("XAGI US Equity","CUST_TRR_RETURN_HOLDING_PER","CUST_TRR_START_DT","20260601","CUST_TRR_END_DT","20260630","CUST_TRR_CRNCY","USD"),"")</f>
        <v>-8.378463</v>
      </c>
    </row>
    <row r="23" spans="1:3" x14ac:dyDescent="0.25">
      <c r="A23" s="2" t="s">
        <v>46</v>
      </c>
      <c r="B23" s="2" t="s">
        <v>68</v>
      </c>
      <c r="C23" s="4">
        <f>IFERROR(_xll.BDP("XAGI US Equity","CUST_TRR_RETURN_HOLDING_PER","CUST_TRR_START_DT","20260701","CUST_TRR_END_DT","20260731","CUST_TRR_CRNCY","USD"),"")</f>
        <v>-16.645530000000001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F7000000}"/>
  <dataValidations count="1">
    <dataValidation type="list" allowBlank="1" showErrorMessage="1" errorTitle="Invalid value" error="Choose a value from the Periods list." sqref="A2:A5000" xr:uid="{00000000-0002-0000-F700-000000000000}">
      <formula1>"2026-07"</formula1>
    </dataValidation>
  </dataValidations>
  <pageMargins left="0.75" right="0.75" top="1" bottom="1" header="0.5" footer="0.5"/>
  <legacyDrawing r:id="rId1"/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F8000000}"/>
  <dataValidations count="14">
    <dataValidation type="list" allowBlank="1" showErrorMessage="1" errorTitle="Invalid value" error="Choose a value from the Periods list." sqref="A2:A5000" xr:uid="{00000000-0002-0000-F800-000000000000}">
      <formula1>"2026-07"</formula1>
    </dataValidation>
    <dataValidation type="list" allowBlank="1" showErrorMessage="1" errorTitle="Invalid value" error="Choose a value from the Units list." sqref="J2:J5000" xr:uid="{00000000-0002-0000-F800-000001000000}">
      <formula1>"NS,PA,NC,OU"</formula1>
    </dataValidation>
    <dataValidation type="list" allowBlank="1" showErrorMessage="1" errorTitle="Invalid value" error="Choose a value from the PayoffProfiles list." sqref="N2:N5000" xr:uid="{00000000-0002-0000-F800-000002000000}">
      <formula1>"Long,Short,N/A"</formula1>
    </dataValidation>
    <dataValidation type="list" allowBlank="1" showErrorMessage="1" errorTitle="Invalid value" error="Choose a value from the AssetCategories list." sqref="O2:O5000" xr:uid="{00000000-0002-0000-F8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F8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F8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F8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F8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F800-000008000000}">
      <formula1>"Put,Call"</formula1>
    </dataValidation>
    <dataValidation type="list" allowBlank="1" showErrorMessage="1" errorTitle="Invalid value" error="Choose a value from the WrittenPurchased list." sqref="AM2:AM5000" xr:uid="{00000000-0002-0000-F8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F8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F8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F8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F800-000011000000}">
      <formula1>"Y,N"</formula1>
    </dataValidation>
  </dataValidations>
  <pageMargins left="0.75" right="0.75" top="1" bottom="1" header="0.5" footer="0.5"/>
  <legacyDrawing r:id="rId1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F9000000}"/>
  <pageMargins left="0.75" right="0.75" top="1" bottom="1" header="0.5" footer="0.5"/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IFERROR(_xll.BDP("XBIX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IFERROR(_xll.BDP("XBIX US Equity","CUST_TRR_RETURN_HOLDING_PER","CUST_TRR_START_DT","20260601","CUST_TRR_END_DT","20260630","CUST_TRR_CRNCY","USD"),"")</f>
        <v>46.54278</v>
      </c>
    </row>
    <row r="23" spans="1:3" x14ac:dyDescent="0.25">
      <c r="A23" s="2" t="s">
        <v>46</v>
      </c>
      <c r="B23" s="2" t="s">
        <v>68</v>
      </c>
      <c r="C23" s="4">
        <f>IFERROR(_xll.BDP("XBIX US Equity","CUST_TRR_RETURN_HOLDING_PER","CUST_TRR_START_DT","20260701","CUST_TRR_END_DT","20260731","CUST_TRR_CRNCY","USD"),"")</f>
        <v>-13.236800000000001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FA000000}"/>
  <dataValidations count="1">
    <dataValidation type="list" allowBlank="1" showErrorMessage="1" errorTitle="Invalid value" error="Choose a value from the Periods list." sqref="A2:A5000" xr:uid="{00000000-0002-0000-FA00-000000000000}">
      <formula1>"2026-07"</formula1>
    </dataValidation>
  </dataValidations>
  <pageMargins left="0.75" right="0.75" top="1" bottom="1" header="0.5" footer="0.5"/>
  <legacyDrawing r:id="rId1"/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FB000000}"/>
  <dataValidations count="14">
    <dataValidation type="list" allowBlank="1" showErrorMessage="1" errorTitle="Invalid value" error="Choose a value from the Periods list." sqref="A2:A5000" xr:uid="{00000000-0002-0000-FB00-000000000000}">
      <formula1>"2026-07"</formula1>
    </dataValidation>
    <dataValidation type="list" allowBlank="1" showErrorMessage="1" errorTitle="Invalid value" error="Choose a value from the Units list." sqref="J2:J5000" xr:uid="{00000000-0002-0000-FB00-000001000000}">
      <formula1>"NS,PA,NC,OU"</formula1>
    </dataValidation>
    <dataValidation type="list" allowBlank="1" showErrorMessage="1" errorTitle="Invalid value" error="Choose a value from the PayoffProfiles list." sqref="N2:N5000" xr:uid="{00000000-0002-0000-FB00-000002000000}">
      <formula1>"Long,Short,N/A"</formula1>
    </dataValidation>
    <dataValidation type="list" allowBlank="1" showErrorMessage="1" errorTitle="Invalid value" error="Choose a value from the AssetCategories list." sqref="O2:O5000" xr:uid="{00000000-0002-0000-FB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FB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FB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FB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FB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FB00-000008000000}">
      <formula1>"Put,Call"</formula1>
    </dataValidation>
    <dataValidation type="list" allowBlank="1" showErrorMessage="1" errorTitle="Invalid value" error="Choose a value from the WrittenPurchased list." sqref="AM2:AM5000" xr:uid="{00000000-0002-0000-FB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FB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FB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FB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FB00-000011000000}">
      <formula1>"Y,N"</formula1>
    </dataValidation>
  </dataValidations>
  <pageMargins left="0.75" right="0.75" top="1" bottom="1" header="0.5" footer="0.5"/>
  <legacyDrawing r:id="rId1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FC000000}"/>
  <pageMargins left="0.75" right="0.75" top="1" bottom="1" header="0.5" footer="0.5"/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IFERROR(_xll.BDP("XCOM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IFERROR(_xll.BDP("XCOM US Equity","CUST_TRR_RETURN_HOLDING_PER","CUST_TRR_START_DT","20260601","CUST_TRR_END_DT","20260630","CUST_TRR_CRNCY","USD"),"")</f>
        <v>-23.911149999999999</v>
      </c>
    </row>
    <row r="23" spans="1:3" x14ac:dyDescent="0.25">
      <c r="A23" s="2" t="s">
        <v>46</v>
      </c>
      <c r="B23" s="2" t="s">
        <v>68</v>
      </c>
      <c r="C23" s="4">
        <f>IFERROR(_xll.BDP("XCOM US Equity","CUST_TRR_RETURN_HOLDING_PER","CUST_TRR_START_DT","20260701","CUST_TRR_END_DT","20260731","CUST_TRR_CRNCY","USD"),"")</f>
        <v>21.707059999999998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FD000000}"/>
  <dataValidations count="1">
    <dataValidation type="list" allowBlank="1" showErrorMessage="1" errorTitle="Invalid value" error="Choose a value from the Periods list." sqref="A2:A5000" xr:uid="{00000000-0002-0000-FD00-000000000000}">
      <formula1>"2026-07"</formula1>
    </dataValidation>
  </dataValidations>
  <pageMargins left="0.75" right="0.75" top="1" bottom="1" header="0.5" footer="0.5"/>
  <legacyDrawing r:id="rId1"/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FE000000}"/>
  <dataValidations count="14">
    <dataValidation type="list" allowBlank="1" showErrorMessage="1" errorTitle="Invalid value" error="Choose a value from the Periods list." sqref="A2:A5000" xr:uid="{00000000-0002-0000-FE00-000000000000}">
      <formula1>"2026-07"</formula1>
    </dataValidation>
    <dataValidation type="list" allowBlank="1" showErrorMessage="1" errorTitle="Invalid value" error="Choose a value from the Units list." sqref="J2:J5000" xr:uid="{00000000-0002-0000-FE00-000001000000}">
      <formula1>"NS,PA,NC,OU"</formula1>
    </dataValidation>
    <dataValidation type="list" allowBlank="1" showErrorMessage="1" errorTitle="Invalid value" error="Choose a value from the PayoffProfiles list." sqref="N2:N5000" xr:uid="{00000000-0002-0000-FE00-000002000000}">
      <formula1>"Long,Short,N/A"</formula1>
    </dataValidation>
    <dataValidation type="list" allowBlank="1" showErrorMessage="1" errorTitle="Invalid value" error="Choose a value from the AssetCategories list." sqref="O2:O5000" xr:uid="{00000000-0002-0000-FE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FE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FE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FE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FE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FE00-000008000000}">
      <formula1>"Put,Call"</formula1>
    </dataValidation>
    <dataValidation type="list" allowBlank="1" showErrorMessage="1" errorTitle="Invalid value" error="Choose a value from the WrittenPurchased list." sqref="AM2:AM5000" xr:uid="{00000000-0002-0000-FE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FE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FE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FE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FE00-000011000000}">
      <formula1>"Y,N"</formula1>
    </dataValidation>
  </dataValidations>
  <pageMargins left="0.75" right="0.75" top="1" bottom="1" header="0.5" footer="0.5"/>
  <legacyDrawing r:id="rId1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FF000000}"/>
  <pageMargins left="0.75" right="0.75" top="1" bottom="1" header="0.5" footer="0.5"/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IFERROR(_xll.BDP("XEUR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IFERROR(_xll.BDP("XEUR US Equity","CUST_TRR_RETURN_HOLDING_PER","CUST_TRR_START_DT","20260601","CUST_TRR_END_DT","20260630","CUST_TRR_CRNCY","USD"),"")</f>
        <v>2.9527290000000002</v>
      </c>
    </row>
    <row r="23" spans="1:3" x14ac:dyDescent="0.25">
      <c r="A23" s="2" t="s">
        <v>46</v>
      </c>
      <c r="B23" s="2" t="s">
        <v>68</v>
      </c>
      <c r="C23" s="4">
        <f>IFERROR(_xll.BDP("XEUR US Equity","CUST_TRR_RETURN_HOLDING_PER","CUST_TRR_START_DT","20260701","CUST_TRR_END_DT","20260731","CUST_TRR_CRNCY","USD"),"")</f>
        <v>5.3669209999999996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00010000}"/>
  <dataValidations count="1">
    <dataValidation type="list" allowBlank="1" showErrorMessage="1" errorTitle="Invalid value" error="Choose a value from the Periods list." sqref="A2:A5000" xr:uid="{00000000-0002-0000-0001-000000000000}">
      <formula1>"2026-07"</formula1>
    </dataValidation>
  </dataValidations>
  <pageMargins left="0.75" right="0.75" top="1" bottom="1" header="0.5" footer="0.5"/>
  <legacyDrawing r:id="rId1"/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01010000}"/>
  <dataValidations count="14">
    <dataValidation type="list" allowBlank="1" showErrorMessage="1" errorTitle="Invalid value" error="Choose a value from the Periods list." sqref="A2:A5000" xr:uid="{00000000-0002-0000-0101-000000000000}">
      <formula1>"2026-07"</formula1>
    </dataValidation>
    <dataValidation type="list" allowBlank="1" showErrorMessage="1" errorTitle="Invalid value" error="Choose a value from the Units list." sqref="J2:J5000" xr:uid="{00000000-0002-0000-0101-000001000000}">
      <formula1>"NS,PA,NC,OU"</formula1>
    </dataValidation>
    <dataValidation type="list" allowBlank="1" showErrorMessage="1" errorTitle="Invalid value" error="Choose a value from the PayoffProfiles list." sqref="N2:N5000" xr:uid="{00000000-0002-0000-0101-000002000000}">
      <formula1>"Long,Short,N/A"</formula1>
    </dataValidation>
    <dataValidation type="list" allowBlank="1" showErrorMessage="1" errorTitle="Invalid value" error="Choose a value from the AssetCategories list." sqref="O2:O5000" xr:uid="{00000000-0002-0000-01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01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01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01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01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0101-000008000000}">
      <formula1>"Put,Call"</formula1>
    </dataValidation>
    <dataValidation type="list" allowBlank="1" showErrorMessage="1" errorTitle="Invalid value" error="Choose a value from the WrittenPurchased list." sqref="AM2:AM5000" xr:uid="{00000000-0002-0000-01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01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01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01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0101-000011000000}">
      <formula1>"Y,N"</formula1>
    </dataValidation>
  </dataValidations>
  <pageMargins left="0.75" right="0.75" top="1" bottom="1" header="0.5" footer="0.5"/>
  <legacyDrawing r:id="rId1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02010000}"/>
  <pageMargins left="0.75" right="0.75" top="1" bottom="1" header="0.5" footer="0.5"/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IFERROR(_xll.BDP("XHOA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IFERROR(_xll.BDP("XHOA US Equity","CUST_TRR_RETURN_HOLDING_PER","CUST_TRR_START_DT","20260601","CUST_TRR_END_DT","20260630","CUST_TRR_CRNCY","USD"),"")</f>
        <v>2.910396</v>
      </c>
    </row>
    <row r="23" spans="1:3" x14ac:dyDescent="0.25">
      <c r="A23" s="2" t="s">
        <v>46</v>
      </c>
      <c r="B23" s="2" t="s">
        <v>68</v>
      </c>
      <c r="C23" s="4">
        <f>IFERROR(_xll.BDP("XHOA US Equity","CUST_TRR_RETURN_HOLDING_PER","CUST_TRR_START_DT","20260701","CUST_TRR_END_DT","20260731","CUST_TRR_CRNCY","USD"),"")</f>
        <v>2.9967600000000001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03010000}"/>
  <dataValidations count="1">
    <dataValidation type="list" allowBlank="1" showErrorMessage="1" errorTitle="Invalid value" error="Choose a value from the Periods list." sqref="A2:A5000" xr:uid="{00000000-0002-0000-0301-000000000000}">
      <formula1>"2026-07"</formula1>
    </dataValidation>
  </dataValidations>
  <pageMargins left="0.75" right="0.75" top="1" bottom="1" header="0.5" footer="0.5"/>
  <legacyDrawing r:id="rId1"/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04010000}"/>
  <dataValidations count="14">
    <dataValidation type="list" allowBlank="1" showErrorMessage="1" errorTitle="Invalid value" error="Choose a value from the Periods list." sqref="A2:A5000" xr:uid="{00000000-0002-0000-0401-000000000000}">
      <formula1>"2026-07"</formula1>
    </dataValidation>
    <dataValidation type="list" allowBlank="1" showErrorMessage="1" errorTitle="Invalid value" error="Choose a value from the Units list." sqref="J2:J5000" xr:uid="{00000000-0002-0000-0401-000001000000}">
      <formula1>"NS,PA,NC,OU"</formula1>
    </dataValidation>
    <dataValidation type="list" allowBlank="1" showErrorMessage="1" errorTitle="Invalid value" error="Choose a value from the PayoffProfiles list." sqref="N2:N5000" xr:uid="{00000000-0002-0000-0401-000002000000}">
      <formula1>"Long,Short,N/A"</formula1>
    </dataValidation>
    <dataValidation type="list" allowBlank="1" showErrorMessage="1" errorTitle="Invalid value" error="Choose a value from the AssetCategories list." sqref="O2:O5000" xr:uid="{00000000-0002-0000-04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04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04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04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04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0401-000008000000}">
      <formula1>"Put,Call"</formula1>
    </dataValidation>
    <dataValidation type="list" allowBlank="1" showErrorMessage="1" errorTitle="Invalid value" error="Choose a value from the WrittenPurchased list." sqref="AM2:AM5000" xr:uid="{00000000-0002-0000-04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04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04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04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0401-000011000000}">
      <formula1>"Y,N"</formula1>
    </dataValidation>
  </dataValidations>
  <pageMargins left="0.75" right="0.75" top="1" bottom="1" header="0.5" footer="0.5"/>
  <legacyDrawing r:id="rId1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05010000}"/>
  <pageMargins left="0.75" right="0.75" top="1" bottom="1" header="0.5" footer="0.5"/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IFERROR(_xll.BDP("XIWC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IFERROR(_xll.BDP("XIWC US Equity","CUST_TRR_RETURN_HOLDING_PER","CUST_TRR_START_DT","20260601","CUST_TRR_END_DT","20260630","CUST_TRR_CRNCY","USD"),"")</f>
        <v>12.96861</v>
      </c>
    </row>
    <row r="23" spans="1:3" x14ac:dyDescent="0.25">
      <c r="A23" s="2" t="s">
        <v>46</v>
      </c>
      <c r="B23" s="2" t="s">
        <v>68</v>
      </c>
      <c r="C23" s="4">
        <f>IFERROR(_xll.BDP("XIWC US Equity","CUST_TRR_RETURN_HOLDING_PER","CUST_TRR_START_DT","20260701","CUST_TRR_END_DT","20260731","CUST_TRR_CRNCY","USD"),"")</f>
        <v>-13.29636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06010000}"/>
  <dataValidations count="1">
    <dataValidation type="list" allowBlank="1" showErrorMessage="1" errorTitle="Invalid value" error="Choose a value from the Periods list." sqref="A2:A5000" xr:uid="{00000000-0002-0000-0601-000000000000}">
      <formula1>"2026-07"</formula1>
    </dataValidation>
  </dataValidations>
  <pageMargins left="0.75" right="0.75" top="1" bottom="1" header="0.5" footer="0.5"/>
  <legacyDrawing r:id="rId1"/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07010000}"/>
  <dataValidations count="14">
    <dataValidation type="list" allowBlank="1" showErrorMessage="1" errorTitle="Invalid value" error="Choose a value from the Periods list." sqref="A2:A5000" xr:uid="{00000000-0002-0000-0701-000000000000}">
      <formula1>"2026-07"</formula1>
    </dataValidation>
    <dataValidation type="list" allowBlank="1" showErrorMessage="1" errorTitle="Invalid value" error="Choose a value from the Units list." sqref="J2:J5000" xr:uid="{00000000-0002-0000-0701-000001000000}">
      <formula1>"NS,PA,NC,OU"</formula1>
    </dataValidation>
    <dataValidation type="list" allowBlank="1" showErrorMessage="1" errorTitle="Invalid value" error="Choose a value from the PayoffProfiles list." sqref="N2:N5000" xr:uid="{00000000-0002-0000-0701-000002000000}">
      <formula1>"Long,Short,N/A"</formula1>
    </dataValidation>
    <dataValidation type="list" allowBlank="1" showErrorMessage="1" errorTitle="Invalid value" error="Choose a value from the AssetCategories list." sqref="O2:O5000" xr:uid="{00000000-0002-0000-07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07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07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07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07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0701-000008000000}">
      <formula1>"Put,Call"</formula1>
    </dataValidation>
    <dataValidation type="list" allowBlank="1" showErrorMessage="1" errorTitle="Invalid value" error="Choose a value from the WrittenPurchased list." sqref="AM2:AM5000" xr:uid="{00000000-0002-0000-07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07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07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07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0701-000011000000}">
      <formula1>"Y,N"</formula1>
    </dataValidation>
  </dataValidations>
  <pageMargins left="0.75" right="0.75" top="1" bottom="1" header="0.5" footer="0.5"/>
  <legacyDrawing r:id="rId1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08010000}"/>
  <pageMargins left="0.75" right="0.75" top="1" bottom="1" header="0.5" footer="0.5"/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IFERROR(_xll.BDP("XKRE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IFERROR(_xll.BDP("XKRE US Equity","CUST_TRR_RETURN_HOLDING_PER","CUST_TRR_START_DT","20260601","CUST_TRR_END_DT","20260630","CUST_TRR_CRNCY","USD"),"")</f>
        <v>21.669730000000001</v>
      </c>
    </row>
    <row r="23" spans="1:3" x14ac:dyDescent="0.25">
      <c r="A23" s="2" t="s">
        <v>46</v>
      </c>
      <c r="B23" s="2" t="s">
        <v>68</v>
      </c>
      <c r="C23" s="4">
        <f>IFERROR(_xll.BDP("XKRE US Equity","CUST_TRR_RETURN_HOLDING_PER","CUST_TRR_START_DT","20260701","CUST_TRR_END_DT","20260731","CUST_TRR_CRNCY","USD"),"")</f>
        <v>-1.332443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09010000}"/>
  <dataValidations count="1">
    <dataValidation type="list" allowBlank="1" showErrorMessage="1" errorTitle="Invalid value" error="Choose a value from the Periods list." sqref="A2:A5000" xr:uid="{00000000-0002-0000-0901-000000000000}">
      <formula1>"2026-07"</formula1>
    </dataValidation>
  </dataValidations>
  <pageMargins left="0.75" right="0.75" top="1" bottom="1" header="0.5" footer="0.5"/>
  <legacyDrawing r:id="rId1"/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0A010000}"/>
  <dataValidations count="14">
    <dataValidation type="list" allowBlank="1" showErrorMessage="1" errorTitle="Invalid value" error="Choose a value from the Periods list." sqref="A2:A5000" xr:uid="{00000000-0002-0000-0A01-000000000000}">
      <formula1>"2026-07"</formula1>
    </dataValidation>
    <dataValidation type="list" allowBlank="1" showErrorMessage="1" errorTitle="Invalid value" error="Choose a value from the Units list." sqref="J2:J5000" xr:uid="{00000000-0002-0000-0A01-000001000000}">
      <formula1>"NS,PA,NC,OU"</formula1>
    </dataValidation>
    <dataValidation type="list" allowBlank="1" showErrorMessage="1" errorTitle="Invalid value" error="Choose a value from the PayoffProfiles list." sqref="N2:N5000" xr:uid="{00000000-0002-0000-0A01-000002000000}">
      <formula1>"Long,Short,N/A"</formula1>
    </dataValidation>
    <dataValidation type="list" allowBlank="1" showErrorMessage="1" errorTitle="Invalid value" error="Choose a value from the AssetCategories list." sqref="O2:O5000" xr:uid="{00000000-0002-0000-0A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0A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0A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0A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0A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0A01-000008000000}">
      <formula1>"Put,Call"</formula1>
    </dataValidation>
    <dataValidation type="list" allowBlank="1" showErrorMessage="1" errorTitle="Invalid value" error="Choose a value from the WrittenPurchased list." sqref="AM2:AM5000" xr:uid="{00000000-0002-0000-0A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0A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0A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0A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0A01-000011000000}">
      <formula1>"Y,N"</formula1>
    </dataValidation>
  </dataValidations>
  <pageMargins left="0.75" right="0.75" top="1" bottom="1" header="0.5" footer="0.5"/>
  <legacyDrawing r:id="rId1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0B010000}"/>
  <pageMargins left="0.75" right="0.75" top="1" bottom="1" header="0.5" footer="0.5"/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IFERROR(_xll.BDP("XLBX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IFERROR(_xll.BDP("XLBX US Equity","CUST_TRR_RETURN_HOLDING_PER","CUST_TRR_START_DT","20260601","CUST_TRR_END_DT","20260630","CUST_TRR_CRNCY","USD"),"")</f>
        <v>-3.4151440000000002</v>
      </c>
    </row>
    <row r="23" spans="1:3" x14ac:dyDescent="0.25">
      <c r="A23" s="2" t="s">
        <v>46</v>
      </c>
      <c r="B23" s="2" t="s">
        <v>68</v>
      </c>
      <c r="C23" s="4">
        <f>IFERROR(_xll.BDP("XLBX US Equity","CUST_TRR_RETURN_HOLDING_PER","CUST_TRR_START_DT","20260701","CUST_TRR_END_DT","20260731","CUST_TRR_CRNCY","USD"),"")</f>
        <v>-3.2794829999999999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0C010000}"/>
  <dataValidations count="1">
    <dataValidation type="list" allowBlank="1" showErrorMessage="1" errorTitle="Invalid value" error="Choose a value from the Periods list." sqref="A2:A5000" xr:uid="{00000000-0002-0000-0C01-000000000000}">
      <formula1>"2026-07"</formula1>
    </dataValidation>
  </dataValidations>
  <pageMargins left="0.75" right="0.75" top="1" bottom="1" header="0.5" footer="0.5"/>
  <legacyDrawing r:id="rId1"/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0D010000}"/>
  <dataValidations count="14">
    <dataValidation type="list" allowBlank="1" showErrorMessage="1" errorTitle="Invalid value" error="Choose a value from the Periods list." sqref="A2:A5000" xr:uid="{00000000-0002-0000-0D01-000000000000}">
      <formula1>"2026-07"</formula1>
    </dataValidation>
    <dataValidation type="list" allowBlank="1" showErrorMessage="1" errorTitle="Invalid value" error="Choose a value from the Units list." sqref="J2:J5000" xr:uid="{00000000-0002-0000-0D01-000001000000}">
      <formula1>"NS,PA,NC,OU"</formula1>
    </dataValidation>
    <dataValidation type="list" allowBlank="1" showErrorMessage="1" errorTitle="Invalid value" error="Choose a value from the PayoffProfiles list." sqref="N2:N5000" xr:uid="{00000000-0002-0000-0D01-000002000000}">
      <formula1>"Long,Short,N/A"</formula1>
    </dataValidation>
    <dataValidation type="list" allowBlank="1" showErrorMessage="1" errorTitle="Invalid value" error="Choose a value from the AssetCategories list." sqref="O2:O5000" xr:uid="{00000000-0002-0000-0D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0D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0D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0D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0D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0D01-000008000000}">
      <formula1>"Put,Call"</formula1>
    </dataValidation>
    <dataValidation type="list" allowBlank="1" showErrorMessage="1" errorTitle="Invalid value" error="Choose a value from the WrittenPurchased list." sqref="AM2:AM5000" xr:uid="{00000000-0002-0000-0D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0D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0D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0D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0D01-000011000000}">
      <formula1>"Y,N"</formula1>
    </dataValidation>
  </dataValidations>
  <pageMargins left="0.75" right="0.75" top="1" bottom="1" header="0.5" footer="0.5"/>
  <legacyDrawing r:id="rId1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0E010000}"/>
  <pageMargins left="0.75" right="0.75" top="1" bottom="1" header="0.5" footer="0.5"/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IFERROR(_xll.BDP("XLEX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IFERROR(_xll.BDP("XLEX US Equity","CUST_TRR_RETURN_HOLDING_PER","CUST_TRR_START_DT","20260601","CUST_TRR_END_DT","20260630","CUST_TRR_CRNCY","USD"),"")</f>
        <v>-18.34581</v>
      </c>
    </row>
    <row r="23" spans="1:3" x14ac:dyDescent="0.25">
      <c r="A23" s="2" t="s">
        <v>46</v>
      </c>
      <c r="B23" s="2" t="s">
        <v>68</v>
      </c>
      <c r="C23" s="4">
        <f>IFERROR(_xll.BDP("XLEX US Equity","CUST_TRR_RETURN_HOLDING_PER","CUST_TRR_START_DT","20260701","CUST_TRR_END_DT","20260731","CUST_TRR_CRNCY","USD"),"")</f>
        <v>25.97138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0F010000}"/>
  <dataValidations count="1">
    <dataValidation type="list" allowBlank="1" showErrorMessage="1" errorTitle="Invalid value" error="Choose a value from the Periods list." sqref="A2:A5000" xr:uid="{00000000-0002-0000-0F01-000000000000}">
      <formula1>"2026-07"</formula1>
    </dataValidation>
  </dataValidations>
  <pageMargins left="0.75" right="0.75" top="1" bottom="1" header="0.5" footer="0.5"/>
  <legacyDrawing r:id="rId1"/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10010000}"/>
  <dataValidations count="14">
    <dataValidation type="list" allowBlank="1" showErrorMessage="1" errorTitle="Invalid value" error="Choose a value from the Periods list." sqref="A2:A5000" xr:uid="{00000000-0002-0000-1001-000000000000}">
      <formula1>"2026-07"</formula1>
    </dataValidation>
    <dataValidation type="list" allowBlank="1" showErrorMessage="1" errorTitle="Invalid value" error="Choose a value from the Units list." sqref="J2:J5000" xr:uid="{00000000-0002-0000-1001-000001000000}">
      <formula1>"NS,PA,NC,OU"</formula1>
    </dataValidation>
    <dataValidation type="list" allowBlank="1" showErrorMessage="1" errorTitle="Invalid value" error="Choose a value from the PayoffProfiles list." sqref="N2:N5000" xr:uid="{00000000-0002-0000-1001-000002000000}">
      <formula1>"Long,Short,N/A"</formula1>
    </dataValidation>
    <dataValidation type="list" allowBlank="1" showErrorMessage="1" errorTitle="Invalid value" error="Choose a value from the AssetCategories list." sqref="O2:O5000" xr:uid="{00000000-0002-0000-10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10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10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10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10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1001-000008000000}">
      <formula1>"Put,Call"</formula1>
    </dataValidation>
    <dataValidation type="list" allowBlank="1" showErrorMessage="1" errorTitle="Invalid value" error="Choose a value from the WrittenPurchased list." sqref="AM2:AM5000" xr:uid="{00000000-0002-0000-10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10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10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10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1001-000011000000}">
      <formula1>"Y,N"</formula1>
    </dataValidation>
  </dataValidations>
  <pageMargins left="0.75" right="0.75" top="1" bottom="1" header="0.5" footer="0.5"/>
  <legacyDrawing r:id="rId1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11010000}"/>
  <pageMargins left="0.75" right="0.75" top="1" bottom="1" header="0.5" footer="0.5"/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IFERROR(_xll.BDP("XLFX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IFERROR(_xll.BDP("XLFX US Equity","CUST_TRR_RETURN_HOLDING_PER","CUST_TRR_START_DT","20260601","CUST_TRR_END_DT","20260630","CUST_TRR_CRNCY","USD"),"")</f>
        <v>10.697139999999999</v>
      </c>
    </row>
    <row r="23" spans="1:3" x14ac:dyDescent="0.25">
      <c r="A23" s="2" t="s">
        <v>46</v>
      </c>
      <c r="B23" s="2" t="s">
        <v>68</v>
      </c>
      <c r="C23" s="4">
        <f>IFERROR(_xll.BDP("XLFX US Equity","CUST_TRR_RETURN_HOLDING_PER","CUST_TRR_START_DT","20260701","CUST_TRR_END_DT","20260731","CUST_TRR_CRNCY","USD"),"")</f>
        <v>6.8368209999999996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12010000}"/>
  <dataValidations count="1">
    <dataValidation type="list" allowBlank="1" showErrorMessage="1" errorTitle="Invalid value" error="Choose a value from the Periods list." sqref="A2:A5000" xr:uid="{00000000-0002-0000-1201-000000000000}">
      <formula1>"2026-07"</formula1>
    </dataValidation>
  </dataValidations>
  <pageMargins left="0.75" right="0.75" top="1" bottom="1" header="0.5" footer="0.5"/>
  <legacyDrawing r:id="rId1"/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13010000}"/>
  <dataValidations count="14">
    <dataValidation type="list" allowBlank="1" showErrorMessage="1" errorTitle="Invalid value" error="Choose a value from the Periods list." sqref="A2:A5000" xr:uid="{00000000-0002-0000-1301-000000000000}">
      <formula1>"2026-07"</formula1>
    </dataValidation>
    <dataValidation type="list" allowBlank="1" showErrorMessage="1" errorTitle="Invalid value" error="Choose a value from the Units list." sqref="J2:J5000" xr:uid="{00000000-0002-0000-1301-000001000000}">
      <formula1>"NS,PA,NC,OU"</formula1>
    </dataValidation>
    <dataValidation type="list" allowBlank="1" showErrorMessage="1" errorTitle="Invalid value" error="Choose a value from the PayoffProfiles list." sqref="N2:N5000" xr:uid="{00000000-0002-0000-1301-000002000000}">
      <formula1>"Long,Short,N/A"</formula1>
    </dataValidation>
    <dataValidation type="list" allowBlank="1" showErrorMessage="1" errorTitle="Invalid value" error="Choose a value from the AssetCategories list." sqref="O2:O5000" xr:uid="{00000000-0002-0000-13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13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13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13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13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1301-000008000000}">
      <formula1>"Put,Call"</formula1>
    </dataValidation>
    <dataValidation type="list" allowBlank="1" showErrorMessage="1" errorTitle="Invalid value" error="Choose a value from the WrittenPurchased list." sqref="AM2:AM5000" xr:uid="{00000000-0002-0000-13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13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13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13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1301-000011000000}">
      <formula1>"Y,N"</formula1>
    </dataValidation>
  </dataValidations>
  <pageMargins left="0.75" right="0.75" top="1" bottom="1" header="0.5" footer="0.5"/>
  <legacyDrawing r:id="rId1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14010000}"/>
  <pageMargins left="0.75" right="0.75" top="1" bottom="1" header="0.5" footer="0.5"/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IFERROR(_xll.BDP("XLIX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IFERROR(_xll.BDP("XLIX US Equity","CUST_TRR_RETURN_HOLDING_PER","CUST_TRR_START_DT","20260601","CUST_TRR_END_DT","20260630","CUST_TRR_CRNCY","USD"),"")</f>
        <v>12.37247</v>
      </c>
    </row>
    <row r="23" spans="1:3" x14ac:dyDescent="0.25">
      <c r="A23" s="2" t="s">
        <v>46</v>
      </c>
      <c r="B23" s="2" t="s">
        <v>68</v>
      </c>
      <c r="C23" s="4">
        <f>IFERROR(_xll.BDP("XLIX US Equity","CUST_TRR_RETURN_HOLDING_PER","CUST_TRR_START_DT","20260701","CUST_TRR_END_DT","20260731","CUST_TRR_CRNCY","USD"),"")</f>
        <v>-4.8992269999999998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15010000}"/>
  <dataValidations count="1">
    <dataValidation type="list" allowBlank="1" showErrorMessage="1" errorTitle="Invalid value" error="Choose a value from the Periods list." sqref="A2:A5000" xr:uid="{00000000-0002-0000-1501-000000000000}">
      <formula1>"2026-07"</formula1>
    </dataValidation>
  </dataValidations>
  <pageMargins left="0.75" right="0.75" top="1" bottom="1" header="0.5" footer="0.5"/>
  <legacyDrawing r:id="rId1"/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16010000}"/>
  <dataValidations count="14">
    <dataValidation type="list" allowBlank="1" showErrorMessage="1" errorTitle="Invalid value" error="Choose a value from the Periods list." sqref="A2:A5000" xr:uid="{00000000-0002-0000-1601-000000000000}">
      <formula1>"2026-07"</formula1>
    </dataValidation>
    <dataValidation type="list" allowBlank="1" showErrorMessage="1" errorTitle="Invalid value" error="Choose a value from the Units list." sqref="J2:J5000" xr:uid="{00000000-0002-0000-1601-000001000000}">
      <formula1>"NS,PA,NC,OU"</formula1>
    </dataValidation>
    <dataValidation type="list" allowBlank="1" showErrorMessage="1" errorTitle="Invalid value" error="Choose a value from the PayoffProfiles list." sqref="N2:N5000" xr:uid="{00000000-0002-0000-1601-000002000000}">
      <formula1>"Long,Short,N/A"</formula1>
    </dataValidation>
    <dataValidation type="list" allowBlank="1" showErrorMessage="1" errorTitle="Invalid value" error="Choose a value from the AssetCategories list." sqref="O2:O5000" xr:uid="{00000000-0002-0000-16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16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16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16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16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1601-000008000000}">
      <formula1>"Put,Call"</formula1>
    </dataValidation>
    <dataValidation type="list" allowBlank="1" showErrorMessage="1" errorTitle="Invalid value" error="Choose a value from the WrittenPurchased list." sqref="AM2:AM5000" xr:uid="{00000000-0002-0000-16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16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16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16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1601-000011000000}">
      <formula1>"Y,N"</formula1>
    </dataValidation>
  </dataValidations>
  <pageMargins left="0.75" right="0.75" top="1" bottom="1" header="0.5" footer="0.5"/>
  <legacyDrawing r:id="rId1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17010000}"/>
  <pageMargins left="0.75" right="0.75" top="1" bottom="1" header="0.5" footer="0.5"/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IFERROR(_xll.BDP("XLKX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IFERROR(_xll.BDP("XLKX US Equity","CUST_TRR_RETURN_HOLDING_PER","CUST_TRR_START_DT","20260601","CUST_TRR_END_DT","20260630","CUST_TRR_CRNCY","USD"),"")</f>
        <v>-7.4219340000000003</v>
      </c>
    </row>
    <row r="23" spans="1:3" x14ac:dyDescent="0.25">
      <c r="A23" s="2" t="s">
        <v>46</v>
      </c>
      <c r="B23" s="2" t="s">
        <v>68</v>
      </c>
      <c r="C23" s="4">
        <f>IFERROR(_xll.BDP("XLKX US Equity","CUST_TRR_RETURN_HOLDING_PER","CUST_TRR_START_DT","20260701","CUST_TRR_END_DT","20260731","CUST_TRR_CRNCY","USD"),"")</f>
        <v>-11.97226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18010000}"/>
  <dataValidations count="1">
    <dataValidation type="list" allowBlank="1" showErrorMessage="1" errorTitle="Invalid value" error="Choose a value from the Periods list." sqref="A2:A5000" xr:uid="{00000000-0002-0000-1801-000000000000}">
      <formula1>"2026-07"</formula1>
    </dataValidation>
  </dataValidations>
  <pageMargins left="0.75" right="0.75" top="1" bottom="1" header="0.5" footer="0.5"/>
  <legacyDrawing r:id="rId1"/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19010000}"/>
  <dataValidations count="14">
    <dataValidation type="list" allowBlank="1" showErrorMessage="1" errorTitle="Invalid value" error="Choose a value from the Periods list." sqref="A2:A5000" xr:uid="{00000000-0002-0000-1901-000000000000}">
      <formula1>"2026-07"</formula1>
    </dataValidation>
    <dataValidation type="list" allowBlank="1" showErrorMessage="1" errorTitle="Invalid value" error="Choose a value from the Units list." sqref="J2:J5000" xr:uid="{00000000-0002-0000-1901-000001000000}">
      <formula1>"NS,PA,NC,OU"</formula1>
    </dataValidation>
    <dataValidation type="list" allowBlank="1" showErrorMessage="1" errorTitle="Invalid value" error="Choose a value from the PayoffProfiles list." sqref="N2:N5000" xr:uid="{00000000-0002-0000-1901-000002000000}">
      <formula1>"Long,Short,N/A"</formula1>
    </dataValidation>
    <dataValidation type="list" allowBlank="1" showErrorMessage="1" errorTitle="Invalid value" error="Choose a value from the AssetCategories list." sqref="O2:O5000" xr:uid="{00000000-0002-0000-19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19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19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19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19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1901-000008000000}">
      <formula1>"Put,Call"</formula1>
    </dataValidation>
    <dataValidation type="list" allowBlank="1" showErrorMessage="1" errorTitle="Invalid value" error="Choose a value from the WrittenPurchased list." sqref="AM2:AM5000" xr:uid="{00000000-0002-0000-19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19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19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19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1901-000011000000}">
      <formula1>"Y,N"</formula1>
    </dataValidation>
  </dataValidations>
  <pageMargins left="0.75" right="0.75" top="1" bottom="1" header="0.5" footer="0.5"/>
  <legacyDrawing r:id="rId1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1A010000}"/>
  <pageMargins left="0.75" right="0.75" top="1" bottom="1" header="0.5" footer="0.5"/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IFERROR(_xll.BDP("XLPX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IFERROR(_xll.BDP("XLPX US Equity","CUST_TRR_RETURN_HOLDING_PER","CUST_TRR_START_DT","20260601","CUST_TRR_END_DT","20260630","CUST_TRR_CRNCY","USD"),"")</f>
        <v>2.9033639999999998</v>
      </c>
    </row>
    <row r="23" spans="1:3" x14ac:dyDescent="0.25">
      <c r="A23" s="2" t="s">
        <v>46</v>
      </c>
      <c r="B23" s="2" t="s">
        <v>68</v>
      </c>
      <c r="C23" s="4">
        <f>IFERROR(_xll.BDP("XLPX US Equity","CUST_TRR_RETURN_HOLDING_PER","CUST_TRR_START_DT","20260701","CUST_TRR_END_DT","20260731","CUST_TRR_CRNCY","USD"),"")</f>
        <v>3.5428989999999998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1B010000}"/>
  <dataValidations count="1">
    <dataValidation type="list" allowBlank="1" showErrorMessage="1" errorTitle="Invalid value" error="Choose a value from the Periods list." sqref="A2:A5000" xr:uid="{00000000-0002-0000-1B01-000000000000}">
      <formula1>"2026-07"</formula1>
    </dataValidation>
  </dataValidations>
  <pageMargins left="0.75" right="0.75" top="1" bottom="1" header="0.5" footer="0.5"/>
  <legacyDrawing r:id="rId1"/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1C010000}"/>
  <dataValidations count="14">
    <dataValidation type="list" allowBlank="1" showErrorMessage="1" errorTitle="Invalid value" error="Choose a value from the Periods list." sqref="A2:A5000" xr:uid="{00000000-0002-0000-1C01-000000000000}">
      <formula1>"2026-07"</formula1>
    </dataValidation>
    <dataValidation type="list" allowBlank="1" showErrorMessage="1" errorTitle="Invalid value" error="Choose a value from the Units list." sqref="J2:J5000" xr:uid="{00000000-0002-0000-1C01-000001000000}">
      <formula1>"NS,PA,NC,OU"</formula1>
    </dataValidation>
    <dataValidation type="list" allowBlank="1" showErrorMessage="1" errorTitle="Invalid value" error="Choose a value from the PayoffProfiles list." sqref="N2:N5000" xr:uid="{00000000-0002-0000-1C01-000002000000}">
      <formula1>"Long,Short,N/A"</formula1>
    </dataValidation>
    <dataValidation type="list" allowBlank="1" showErrorMessage="1" errorTitle="Invalid value" error="Choose a value from the AssetCategories list." sqref="O2:O5000" xr:uid="{00000000-0002-0000-1C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1C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1C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1C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1C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1C01-000008000000}">
      <formula1>"Put,Call"</formula1>
    </dataValidation>
    <dataValidation type="list" allowBlank="1" showErrorMessage="1" errorTitle="Invalid value" error="Choose a value from the WrittenPurchased list." sqref="AM2:AM5000" xr:uid="{00000000-0002-0000-1C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1C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1C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1C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1C01-000011000000}">
      <formula1>"Y,N"</formula1>
    </dataValidation>
  </dataValidations>
  <pageMargins left="0.75" right="0.75" top="1" bottom="1" header="0.5" footer="0.5"/>
  <legacyDrawing r:id="rId1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1D010000}"/>
  <pageMargins left="0.75" right="0.75" top="1" bottom="1" header="0.5" footer="0.5"/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IFERROR(_xll.BDP("XLUX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IFERROR(_xll.BDP("XLUX US Equity","CUST_TRR_RETURN_HOLDING_PER","CUST_TRR_START_DT","20260601","CUST_TRR_END_DT","20260630","CUST_TRR_CRNCY","USD"),"")</f>
        <v>8.3035899999999998</v>
      </c>
    </row>
    <row r="23" spans="1:3" x14ac:dyDescent="0.25">
      <c r="A23" s="2" t="s">
        <v>46</v>
      </c>
      <c r="B23" s="2" t="s">
        <v>68</v>
      </c>
      <c r="C23" s="4">
        <f>IFERROR(_xll.BDP("XLUX US Equity","CUST_TRR_RETURN_HOLDING_PER","CUST_TRR_START_DT","20260701","CUST_TRR_END_DT","20260731","CUST_TRR_CRNCY","USD"),"")</f>
        <v>-2.511787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1E010000}"/>
  <dataValidations count="1">
    <dataValidation type="list" allowBlank="1" showErrorMessage="1" errorTitle="Invalid value" error="Choose a value from the Periods list." sqref="A2:A5000" xr:uid="{00000000-0002-0000-1E01-000000000000}">
      <formula1>"2026-07"</formula1>
    </dataValidation>
  </dataValidations>
  <pageMargins left="0.75" right="0.75" top="1" bottom="1" header="0.5" footer="0.5"/>
  <legacyDrawing r:id="rId1"/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1F010000}"/>
  <dataValidations count="14">
    <dataValidation type="list" allowBlank="1" showErrorMessage="1" errorTitle="Invalid value" error="Choose a value from the Periods list." sqref="A2:A5000" xr:uid="{00000000-0002-0000-1F01-000000000000}">
      <formula1>"2026-07"</formula1>
    </dataValidation>
    <dataValidation type="list" allowBlank="1" showErrorMessage="1" errorTitle="Invalid value" error="Choose a value from the Units list." sqref="J2:J5000" xr:uid="{00000000-0002-0000-1F01-000001000000}">
      <formula1>"NS,PA,NC,OU"</formula1>
    </dataValidation>
    <dataValidation type="list" allowBlank="1" showErrorMessage="1" errorTitle="Invalid value" error="Choose a value from the PayoffProfiles list." sqref="N2:N5000" xr:uid="{00000000-0002-0000-1F01-000002000000}">
      <formula1>"Long,Short,N/A"</formula1>
    </dataValidation>
    <dataValidation type="list" allowBlank="1" showErrorMessage="1" errorTitle="Invalid value" error="Choose a value from the AssetCategories list." sqref="O2:O5000" xr:uid="{00000000-0002-0000-1F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1F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1F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1F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1F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1F01-000008000000}">
      <formula1>"Put,Call"</formula1>
    </dataValidation>
    <dataValidation type="list" allowBlank="1" showErrorMessage="1" errorTitle="Invalid value" error="Choose a value from the WrittenPurchased list." sqref="AM2:AM5000" xr:uid="{00000000-0002-0000-1F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1F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1F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1F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1F01-000011000000}">
      <formula1>"Y,N"</formula1>
    </dataValidation>
  </dataValidations>
  <pageMargins left="0.75" right="0.75" top="1" bottom="1" header="0.5" footer="0.5"/>
  <legacyDrawing r:id="rId1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20010000}"/>
  <pageMargins left="0.75" right="0.75" top="1" bottom="1" header="0.5" footer="0.5"/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IFERROR(_xll.BDP("XLVX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IFERROR(_xll.BDP("XLVX US Equity","CUST_TRR_RETURN_HOLDING_PER","CUST_TRR_START_DT","20260601","CUST_TRR_END_DT","20260630","CUST_TRR_CRNCY","USD"),"")</f>
        <v>15.770490000000001</v>
      </c>
    </row>
    <row r="23" spans="1:3" x14ac:dyDescent="0.25">
      <c r="A23" s="2" t="s">
        <v>46</v>
      </c>
      <c r="B23" s="2" t="s">
        <v>68</v>
      </c>
      <c r="C23" s="4">
        <f>IFERROR(_xll.BDP("XLVX US Equity","CUST_TRR_RETURN_HOLDING_PER","CUST_TRR_START_DT","20260701","CUST_TRR_END_DT","20260731","CUST_TRR_CRNCY","USD"),"")</f>
        <v>3.120079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21010000}"/>
  <dataValidations count="1">
    <dataValidation type="list" allowBlank="1" showErrorMessage="1" errorTitle="Invalid value" error="Choose a value from the Periods list." sqref="A2:A5000" xr:uid="{00000000-0002-0000-2101-000000000000}">
      <formula1>"2026-07"</formula1>
    </dataValidation>
  </dataValidations>
  <pageMargins left="0.75" right="0.75" top="1" bottom="1" header="0.5" footer="0.5"/>
  <legacyDrawing r:id="rId1"/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22010000}"/>
  <dataValidations count="14">
    <dataValidation type="list" allowBlank="1" showErrorMessage="1" errorTitle="Invalid value" error="Choose a value from the Periods list." sqref="A2:A5000" xr:uid="{00000000-0002-0000-2201-000000000000}">
      <formula1>"2026-07"</formula1>
    </dataValidation>
    <dataValidation type="list" allowBlank="1" showErrorMessage="1" errorTitle="Invalid value" error="Choose a value from the Units list." sqref="J2:J5000" xr:uid="{00000000-0002-0000-2201-000001000000}">
      <formula1>"NS,PA,NC,OU"</formula1>
    </dataValidation>
    <dataValidation type="list" allowBlank="1" showErrorMessage="1" errorTitle="Invalid value" error="Choose a value from the PayoffProfiles list." sqref="N2:N5000" xr:uid="{00000000-0002-0000-2201-000002000000}">
      <formula1>"Long,Short,N/A"</formula1>
    </dataValidation>
    <dataValidation type="list" allowBlank="1" showErrorMessage="1" errorTitle="Invalid value" error="Choose a value from the AssetCategories list." sqref="O2:O5000" xr:uid="{00000000-0002-0000-22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22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22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22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22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2201-000008000000}">
      <formula1>"Put,Call"</formula1>
    </dataValidation>
    <dataValidation type="list" allowBlank="1" showErrorMessage="1" errorTitle="Invalid value" error="Choose a value from the WrittenPurchased list." sqref="AM2:AM5000" xr:uid="{00000000-0002-0000-22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22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22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22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2201-000011000000}">
      <formula1>"Y,N"</formula1>
    </dataValidation>
  </dataValidations>
  <pageMargins left="0.75" right="0.75" top="1" bottom="1" header="0.5" footer="0.5"/>
  <legacyDrawing r:id="rId1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23010000}"/>
  <pageMargins left="0.75" right="0.75" top="1" bottom="1" header="0.5" footer="0.5"/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IFERROR(_xll.BDP("XLYX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IFERROR(_xll.BDP("XLYX US Equity","CUST_TRR_RETURN_HOLDING_PER","CUST_TRR_START_DT","20260601","CUST_TRR_END_DT","20260630","CUST_TRR_CRNCY","USD"),"")</f>
        <v>0.42651280000000003</v>
      </c>
    </row>
    <row r="23" spans="1:3" x14ac:dyDescent="0.25">
      <c r="A23" s="2" t="s">
        <v>46</v>
      </c>
      <c r="B23" s="2" t="s">
        <v>68</v>
      </c>
      <c r="C23" s="4">
        <f>IFERROR(_xll.BDP("XLYX US Equity","CUST_TRR_RETURN_HOLDING_PER","CUST_TRR_START_DT","20260701","CUST_TRR_END_DT","20260731","CUST_TRR_CRNCY","USD"),"")</f>
        <v>-4.5679410000000003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24010000}"/>
  <dataValidations count="1">
    <dataValidation type="list" allowBlank="1" showErrorMessage="1" errorTitle="Invalid value" error="Choose a value from the Periods list." sqref="A2:A5000" xr:uid="{00000000-0002-0000-2401-000000000000}">
      <formula1>"2026-07"</formula1>
    </dataValidation>
  </dataValidations>
  <pageMargins left="0.75" right="0.75" top="1" bottom="1" header="0.5" footer="0.5"/>
  <legacyDrawing r:id="rId1"/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25010000}"/>
  <dataValidations count="14">
    <dataValidation type="list" allowBlank="1" showErrorMessage="1" errorTitle="Invalid value" error="Choose a value from the Periods list." sqref="A2:A5000" xr:uid="{00000000-0002-0000-2501-000000000000}">
      <formula1>"2026-07"</formula1>
    </dataValidation>
    <dataValidation type="list" allowBlank="1" showErrorMessage="1" errorTitle="Invalid value" error="Choose a value from the Units list." sqref="J2:J5000" xr:uid="{00000000-0002-0000-2501-000001000000}">
      <formula1>"NS,PA,NC,OU"</formula1>
    </dataValidation>
    <dataValidation type="list" allowBlank="1" showErrorMessage="1" errorTitle="Invalid value" error="Choose a value from the PayoffProfiles list." sqref="N2:N5000" xr:uid="{00000000-0002-0000-2501-000002000000}">
      <formula1>"Long,Short,N/A"</formula1>
    </dataValidation>
    <dataValidation type="list" allowBlank="1" showErrorMessage="1" errorTitle="Invalid value" error="Choose a value from the AssetCategories list." sqref="O2:O5000" xr:uid="{00000000-0002-0000-25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25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25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25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25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2501-000008000000}">
      <formula1>"Put,Call"</formula1>
    </dataValidation>
    <dataValidation type="list" allowBlank="1" showErrorMessage="1" errorTitle="Invalid value" error="Choose a value from the WrittenPurchased list." sqref="AM2:AM5000" xr:uid="{00000000-0002-0000-25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25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25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25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2501-000011000000}">
      <formula1>"Y,N"</formula1>
    </dataValidation>
  </dataValidations>
  <pageMargins left="0.75" right="0.75" top="1" bottom="1" header="0.5" footer="0.5"/>
  <legacyDrawing r:id="rId1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26010000}"/>
  <pageMargins left="0.75" right="0.75" top="1" bottom="1" header="0.5" footer="0.5"/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IFERROR(_xll.BDP("XPAV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IFERROR(_xll.BDP("XPAV US Equity","CUST_TRR_RETURN_HOLDING_PER","CUST_TRR_START_DT","20260601","CUST_TRR_END_DT","20260630","CUST_TRR_CRNCY","USD"),"")</f>
        <v>4.6195550000000001</v>
      </c>
    </row>
    <row r="23" spans="1:3" x14ac:dyDescent="0.25">
      <c r="A23" s="2" t="s">
        <v>46</v>
      </c>
      <c r="B23" s="2" t="s">
        <v>68</v>
      </c>
      <c r="C23" s="4">
        <f>IFERROR(_xll.BDP("XPAV US Equity","CUST_TRR_RETURN_HOLDING_PER","CUST_TRR_START_DT","20260701","CUST_TRR_END_DT","20260731","CUST_TRR_CRNCY","USD"),"")</f>
        <v>-5.7314109999999996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27010000}"/>
  <dataValidations count="1">
    <dataValidation type="list" allowBlank="1" showErrorMessage="1" errorTitle="Invalid value" error="Choose a value from the Periods list." sqref="A2:A5000" xr:uid="{00000000-0002-0000-2701-000000000000}">
      <formula1>"2026-07"</formula1>
    </dataValidation>
  </dataValidations>
  <pageMargins left="0.75" right="0.75" top="1" bottom="1" header="0.5" footer="0.5"/>
  <legacyDrawing r:id="rId1"/>
</worksheet>
</file>

<file path=xl/worksheets/sheet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28010000}"/>
  <dataValidations count="14">
    <dataValidation type="list" allowBlank="1" showErrorMessage="1" errorTitle="Invalid value" error="Choose a value from the Periods list." sqref="A2:A5000" xr:uid="{00000000-0002-0000-2801-000000000000}">
      <formula1>"2026-07"</formula1>
    </dataValidation>
    <dataValidation type="list" allowBlank="1" showErrorMessage="1" errorTitle="Invalid value" error="Choose a value from the Units list." sqref="J2:J5000" xr:uid="{00000000-0002-0000-2801-000001000000}">
      <formula1>"NS,PA,NC,OU"</formula1>
    </dataValidation>
    <dataValidation type="list" allowBlank="1" showErrorMessage="1" errorTitle="Invalid value" error="Choose a value from the PayoffProfiles list." sqref="N2:N5000" xr:uid="{00000000-0002-0000-2801-000002000000}">
      <formula1>"Long,Short,N/A"</formula1>
    </dataValidation>
    <dataValidation type="list" allowBlank="1" showErrorMessage="1" errorTitle="Invalid value" error="Choose a value from the AssetCategories list." sqref="O2:O5000" xr:uid="{00000000-0002-0000-28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28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28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28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28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2801-000008000000}">
      <formula1>"Put,Call"</formula1>
    </dataValidation>
    <dataValidation type="list" allowBlank="1" showErrorMessage="1" errorTitle="Invalid value" error="Choose a value from the WrittenPurchased list." sqref="AM2:AM5000" xr:uid="{00000000-0002-0000-28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28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28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28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2801-000011000000}">
      <formula1>"Y,N"</formula1>
    </dataValidation>
  </dataValidations>
  <pageMargins left="0.75" right="0.75" top="1" bottom="1" header="0.5" footer="0.5"/>
  <legacyDrawing r:id="rId1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29010000}"/>
  <pageMargins left="0.75" right="0.75" top="1" bottom="1" header="0.5" footer="0.5"/>
</worksheet>
</file>

<file path=xl/worksheets/sheet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IFERROR(_xll.BDP("XSEM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IFERROR(_xll.BDP("XSEM US Equity","CUST_TRR_RETURN_HOLDING_PER","CUST_TRR_START_DT","20260601","CUST_TRR_END_DT","20260630","CUST_TRR_CRNCY","USD"),"")</f>
        <v>1.618554</v>
      </c>
    </row>
    <row r="23" spans="1:3" x14ac:dyDescent="0.25">
      <c r="A23" s="2" t="s">
        <v>46</v>
      </c>
      <c r="B23" s="2" t="s">
        <v>68</v>
      </c>
      <c r="C23" s="4">
        <f>IFERROR(_xll.BDP("XSEM US Equity","CUST_TRR_RETURN_HOLDING_PER","CUST_TRR_START_DT","20260701","CUST_TRR_END_DT","20260731","CUST_TRR_CRNCY","USD"),"")</f>
        <v>-25.967739999999999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2A010000}"/>
  <dataValidations count="1">
    <dataValidation type="list" allowBlank="1" showErrorMessage="1" errorTitle="Invalid value" error="Choose a value from the Periods list." sqref="A2:A5000" xr:uid="{00000000-0002-0000-2A01-000000000000}">
      <formula1>"2026-07"</formula1>
    </dataValidation>
  </dataValidations>
  <pageMargins left="0.75" right="0.75" top="1" bottom="1" header="0.5" footer="0.5"/>
  <legacyDrawing r:id="rId1"/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2B010000}"/>
  <dataValidations count="14">
    <dataValidation type="list" allowBlank="1" showErrorMessage="1" errorTitle="Invalid value" error="Choose a value from the Periods list." sqref="A2:A5000" xr:uid="{00000000-0002-0000-2B01-000000000000}">
      <formula1>"2026-07"</formula1>
    </dataValidation>
    <dataValidation type="list" allowBlank="1" showErrorMessage="1" errorTitle="Invalid value" error="Choose a value from the Units list." sqref="J2:J5000" xr:uid="{00000000-0002-0000-2B01-000001000000}">
      <formula1>"NS,PA,NC,OU"</formula1>
    </dataValidation>
    <dataValidation type="list" allowBlank="1" showErrorMessage="1" errorTitle="Invalid value" error="Choose a value from the PayoffProfiles list." sqref="N2:N5000" xr:uid="{00000000-0002-0000-2B01-000002000000}">
      <formula1>"Long,Short,N/A"</formula1>
    </dataValidation>
    <dataValidation type="list" allowBlank="1" showErrorMessage="1" errorTitle="Invalid value" error="Choose a value from the AssetCategories list." sqref="O2:O5000" xr:uid="{00000000-0002-0000-2B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2B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2B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2B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2B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2B01-000008000000}">
      <formula1>"Put,Call"</formula1>
    </dataValidation>
    <dataValidation type="list" allowBlank="1" showErrorMessage="1" errorTitle="Invalid value" error="Choose a value from the WrittenPurchased list." sqref="AM2:AM5000" xr:uid="{00000000-0002-0000-2B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2B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2B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2B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2B01-000011000000}">
      <formula1>"Y,N"</formula1>
    </dataValidation>
  </dataValidations>
  <pageMargins left="0.75" right="0.75" top="1" bottom="1" header="0.5" footer="0.5"/>
  <legacyDrawing r:id="rId1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2C010000}"/>
  <pageMargins left="0.75" right="0.75" top="1" bottom="1" header="0.5" footer="0.5"/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IFERROR(_xll.BDP("XTAI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IFERROR(_xll.BDP("XTAI US Equity","CUST_TRR_RETURN_HOLDING_PER","CUST_TRR_START_DT","20260601","CUST_TRR_END_DT","20260630","CUST_TRR_CRNCY","USD"),"")</f>
        <v>0.33987129999999999</v>
      </c>
    </row>
    <row r="23" spans="1:3" x14ac:dyDescent="0.25">
      <c r="A23" s="2" t="s">
        <v>46</v>
      </c>
      <c r="B23" s="2" t="s">
        <v>68</v>
      </c>
      <c r="C23" s="4">
        <f>IFERROR(_xll.BDP("XTAI US Equity","CUST_TRR_RETURN_HOLDING_PER","CUST_TRR_START_DT","20260701","CUST_TRR_END_DT","20260731","CUST_TRR_CRNCY","USD"),"")</f>
        <v>-19.065550000000002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2D010000}"/>
  <dataValidations count="1">
    <dataValidation type="list" allowBlank="1" showErrorMessage="1" errorTitle="Invalid value" error="Choose a value from the Periods list." sqref="A2:A5000" xr:uid="{00000000-0002-0000-2D01-000000000000}">
      <formula1>"2026-07"</formula1>
    </dataValidation>
  </dataValidations>
  <pageMargins left="0.75" right="0.75" top="1" bottom="1" header="0.5" footer="0.5"/>
  <legacyDrawing r:id="rId1"/>
</worksheet>
</file>

<file path=xl/worksheets/sheet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2E010000}"/>
  <dataValidations count="14">
    <dataValidation type="list" allowBlank="1" showErrorMessage="1" errorTitle="Invalid value" error="Choose a value from the Periods list." sqref="A2:A5000" xr:uid="{00000000-0002-0000-2E01-000000000000}">
      <formula1>"2026-07"</formula1>
    </dataValidation>
    <dataValidation type="list" allowBlank="1" showErrorMessage="1" errorTitle="Invalid value" error="Choose a value from the Units list." sqref="J2:J5000" xr:uid="{00000000-0002-0000-2E01-000001000000}">
      <formula1>"NS,PA,NC,OU"</formula1>
    </dataValidation>
    <dataValidation type="list" allowBlank="1" showErrorMessage="1" errorTitle="Invalid value" error="Choose a value from the PayoffProfiles list." sqref="N2:N5000" xr:uid="{00000000-0002-0000-2E01-000002000000}">
      <formula1>"Long,Short,N/A"</formula1>
    </dataValidation>
    <dataValidation type="list" allowBlank="1" showErrorMessage="1" errorTitle="Invalid value" error="Choose a value from the AssetCategories list." sqref="O2:O5000" xr:uid="{00000000-0002-0000-2E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2E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2E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2E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2E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2E01-000008000000}">
      <formula1>"Put,Call"</formula1>
    </dataValidation>
    <dataValidation type="list" allowBlank="1" showErrorMessage="1" errorTitle="Invalid value" error="Choose a value from the WrittenPurchased list." sqref="AM2:AM5000" xr:uid="{00000000-0002-0000-2E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2E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2E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2E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2E01-000011000000}">
      <formula1>"Y,N"</formula1>
    </dataValidation>
  </dataValidations>
  <pageMargins left="0.75" right="0.75" top="1" bottom="1" header="0.5" footer="0.5"/>
  <legacyDrawing r:id="rId1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2F010000}"/>
  <pageMargins left="0.75" right="0.75" top="1" bottom="1" header="0.5" footer="0.5"/>
</worksheet>
</file>

<file path=xl/worksheets/sheet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IFERROR(_xll.BDP("XVO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 t="str">
        <f>IFERROR(_xll.BDP("XVO US Equity","CUST_TRR_RETURN_HOLDING_PER","CUST_TRR_START_DT","20260601","CUST_TRR_END_DT","20260630","CUST_TRR_CRNCY","USD"),"")</f>
        <v>#N/A N/A</v>
      </c>
    </row>
    <row r="23" spans="1:3" x14ac:dyDescent="0.25">
      <c r="A23" s="2" t="s">
        <v>46</v>
      </c>
      <c r="B23" s="2" t="s">
        <v>68</v>
      </c>
      <c r="C23" s="4" t="str">
        <f>IFERROR(_xll.BDP("XVO US Equity","CUST_TRR_RETURN_HOLDING_PER","CUST_TRR_START_DT","20260701","CUST_TRR_END_DT","20260731","CUST_TRR_CRNCY","USD"),"")</f>
        <v>#N/A N/A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30010000}"/>
  <dataValidations count="1">
    <dataValidation type="list" allowBlank="1" showErrorMessage="1" errorTitle="Invalid value" error="Choose a value from the Periods list." sqref="A2:A5000" xr:uid="{00000000-0002-0000-3001-000000000000}">
      <formula1>"2026-07"</formula1>
    </dataValidation>
  </dataValidations>
  <pageMargins left="0.75" right="0.75" top="1" bottom="1" header="0.5" footer="0.5"/>
  <legacyDrawing r:id="rId1"/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31010000}"/>
  <dataValidations count="14">
    <dataValidation type="list" allowBlank="1" showErrorMessage="1" errorTitle="Invalid value" error="Choose a value from the Periods list." sqref="A2:A5000" xr:uid="{00000000-0002-0000-3101-000000000000}">
      <formula1>"2026-07"</formula1>
    </dataValidation>
    <dataValidation type="list" allowBlank="1" showErrorMessage="1" errorTitle="Invalid value" error="Choose a value from the Units list." sqref="J2:J5000" xr:uid="{00000000-0002-0000-3101-000001000000}">
      <formula1>"NS,PA,NC,OU"</formula1>
    </dataValidation>
    <dataValidation type="list" allowBlank="1" showErrorMessage="1" errorTitle="Invalid value" error="Choose a value from the PayoffProfiles list." sqref="N2:N5000" xr:uid="{00000000-0002-0000-3101-000002000000}">
      <formula1>"Long,Short,N/A"</formula1>
    </dataValidation>
    <dataValidation type="list" allowBlank="1" showErrorMessage="1" errorTitle="Invalid value" error="Choose a value from the AssetCategories list." sqref="O2:O5000" xr:uid="{00000000-0002-0000-31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31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31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31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31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3101-000008000000}">
      <formula1>"Put,Call"</formula1>
    </dataValidation>
    <dataValidation type="list" allowBlank="1" showErrorMessage="1" errorTitle="Invalid value" error="Choose a value from the WrittenPurchased list." sqref="AM2:AM5000" xr:uid="{00000000-0002-0000-31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31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31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31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3101-000011000000}">
      <formula1>"Y,N"</formula1>
    </dataValidation>
  </dataValidations>
  <pageMargins left="0.75" right="0.75" top="1" bottom="1" header="0.5" footer="0.5"/>
  <legacyDrawing r:id="rId1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32010000}"/>
  <pageMargins left="0.75" right="0.75" top="1" bottom="1" header="0.5" footer="0.5"/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IFERROR(_xll.BDP("XVUG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 t="str">
        <f>IFERROR(_xll.BDP("XVUG US Equity","CUST_TRR_RETURN_HOLDING_PER","CUST_TRR_START_DT","20260601","CUST_TRR_END_DT","20260630","CUST_TRR_CRNCY","USD"),"")</f>
        <v>#N/A N/A</v>
      </c>
    </row>
    <row r="23" spans="1:3" x14ac:dyDescent="0.25">
      <c r="A23" s="2" t="s">
        <v>46</v>
      </c>
      <c r="B23" s="2" t="s">
        <v>68</v>
      </c>
      <c r="C23" s="4" t="str">
        <f>IFERROR(_xll.BDP("XVUG US Equity","CUST_TRR_RETURN_HOLDING_PER","CUST_TRR_START_DT","20260701","CUST_TRR_END_DT","20260731","CUST_TRR_CRNCY","USD"),"")</f>
        <v>#N/A N/A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33010000}"/>
  <dataValidations count="1">
    <dataValidation type="list" allowBlank="1" showErrorMessage="1" errorTitle="Invalid value" error="Choose a value from the Periods list." sqref="A2:A5000" xr:uid="{00000000-0002-0000-3301-000000000000}">
      <formula1>"2026-07"</formula1>
    </dataValidation>
  </dataValidations>
  <pageMargins left="0.75" right="0.75" top="1" bottom="1" header="0.5" footer="0.5"/>
  <legacyDrawing r:id="rId1"/>
</worksheet>
</file>

<file path=xl/worksheets/sheet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34010000}"/>
  <dataValidations count="14">
    <dataValidation type="list" allowBlank="1" showErrorMessage="1" errorTitle="Invalid value" error="Choose a value from the Periods list." sqref="A2:A5000" xr:uid="{00000000-0002-0000-3401-000000000000}">
      <formula1>"2026-07"</formula1>
    </dataValidation>
    <dataValidation type="list" allowBlank="1" showErrorMessage="1" errorTitle="Invalid value" error="Choose a value from the Units list." sqref="J2:J5000" xr:uid="{00000000-0002-0000-3401-000001000000}">
      <formula1>"NS,PA,NC,OU"</formula1>
    </dataValidation>
    <dataValidation type="list" allowBlank="1" showErrorMessage="1" errorTitle="Invalid value" error="Choose a value from the PayoffProfiles list." sqref="N2:N5000" xr:uid="{00000000-0002-0000-3401-000002000000}">
      <formula1>"Long,Short,N/A"</formula1>
    </dataValidation>
    <dataValidation type="list" allowBlank="1" showErrorMessage="1" errorTitle="Invalid value" error="Choose a value from the AssetCategories list." sqref="O2:O5000" xr:uid="{00000000-0002-0000-34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34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34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34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34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3401-000008000000}">
      <formula1>"Put,Call"</formula1>
    </dataValidation>
    <dataValidation type="list" allowBlank="1" showErrorMessage="1" errorTitle="Invalid value" error="Choose a value from the WrittenPurchased list." sqref="AM2:AM5000" xr:uid="{00000000-0002-0000-34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34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34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34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3401-000011000000}">
      <formula1>"Y,N"</formula1>
    </dataValidation>
  </dataValidations>
  <pageMargins left="0.75" right="0.75" top="1" bottom="1" header="0.5" footer="0.5"/>
  <legacyDrawing r:id="rId1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35010000}"/>
  <pageMargins left="0.75" right="0.75" top="1" bottom="1" header="0.5" footer="0.5"/>
</worksheet>
</file>

<file path=xl/worksheets/sheet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 t="str">
        <f>IFERROR(_xll.BDP("XW US Equity","CUST_TRR_RETURN_HOLDING_PER","CUST_TRR_START_DT","20260501","CUST_TRR_END_DT","20260531","CUST_TRR_CRNCY","USD"),"")</f>
        <v>#N/A N/A</v>
      </c>
    </row>
    <row r="22" spans="1:3" x14ac:dyDescent="0.25">
      <c r="A22" s="2" t="s">
        <v>46</v>
      </c>
      <c r="B22" s="2" t="s">
        <v>67</v>
      </c>
      <c r="C22" s="4">
        <f>IFERROR(_xll.BDP("XW US Equity","CUST_TRR_RETURN_HOLDING_PER","CUST_TRR_START_DT","20260601","CUST_TRR_END_DT","20260630","CUST_TRR_CRNCY","USD"),"")</f>
        <v>-1.672609</v>
      </c>
    </row>
    <row r="23" spans="1:3" x14ac:dyDescent="0.25">
      <c r="A23" s="2" t="s">
        <v>46</v>
      </c>
      <c r="B23" s="2" t="s">
        <v>68</v>
      </c>
      <c r="C23" s="4">
        <f>IFERROR(_xll.BDP("XW US Equity","CUST_TRR_RETURN_HOLDING_PER","CUST_TRR_START_DT","20260701","CUST_TRR_END_DT","20260731","CUST_TRR_CRNCY","USD"),"")</f>
        <v>-1.038867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36010000}"/>
  <dataValidations count="1">
    <dataValidation type="list" allowBlank="1" showErrorMessage="1" errorTitle="Invalid value" error="Choose a value from the Periods list." sqref="A2:A5000" xr:uid="{00000000-0002-0000-3601-000000000000}">
      <formula1>"2026-07"</formula1>
    </dataValidation>
  </dataValidations>
  <pageMargins left="0.75" right="0.75" top="1" bottom="1" header="0.5" footer="0.5"/>
  <legacyDrawing r:id="rId1"/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37010000}"/>
  <dataValidations count="14">
    <dataValidation type="list" allowBlank="1" showErrorMessage="1" errorTitle="Invalid value" error="Choose a value from the Periods list." sqref="A2:A5000" xr:uid="{00000000-0002-0000-3701-000000000000}">
      <formula1>"2026-07"</formula1>
    </dataValidation>
    <dataValidation type="list" allowBlank="1" showErrorMessage="1" errorTitle="Invalid value" error="Choose a value from the Units list." sqref="J2:J5000" xr:uid="{00000000-0002-0000-3701-000001000000}">
      <formula1>"NS,PA,NC,OU"</formula1>
    </dataValidation>
    <dataValidation type="list" allowBlank="1" showErrorMessage="1" errorTitle="Invalid value" error="Choose a value from the PayoffProfiles list." sqref="N2:N5000" xr:uid="{00000000-0002-0000-3701-000002000000}">
      <formula1>"Long,Short,N/A"</formula1>
    </dataValidation>
    <dataValidation type="list" allowBlank="1" showErrorMessage="1" errorTitle="Invalid value" error="Choose a value from the AssetCategories list." sqref="O2:O5000" xr:uid="{00000000-0002-0000-37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37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37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37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37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3701-000008000000}">
      <formula1>"Put,Call"</formula1>
    </dataValidation>
    <dataValidation type="list" allowBlank="1" showErrorMessage="1" errorTitle="Invalid value" error="Choose a value from the WrittenPurchased list." sqref="AM2:AM5000" xr:uid="{00000000-0002-0000-37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37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37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37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3701-000011000000}">
      <formula1>"Y,N"</formula1>
    </dataValidation>
  </dataValidations>
  <pageMargins left="0.75" right="0.75" top="1" bottom="1" header="0.5" footer="0.5"/>
  <legacyDrawing r:id="rId1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4</v>
      </c>
      <c r="B3" s="3"/>
    </row>
    <row r="4" spans="1:2" x14ac:dyDescent="0.25">
      <c r="A4" s="2" t="s">
        <v>5</v>
      </c>
      <c r="B4" s="3"/>
    </row>
    <row r="5" spans="1:2" x14ac:dyDescent="0.25">
      <c r="A5" s="2" t="s">
        <v>7</v>
      </c>
      <c r="B5" s="3"/>
    </row>
    <row r="6" spans="1:2" x14ac:dyDescent="0.25">
      <c r="A6" s="2" t="s">
        <v>9</v>
      </c>
      <c r="B6" s="3"/>
    </row>
    <row r="7" spans="1:2" x14ac:dyDescent="0.25">
      <c r="A7" s="2" t="s">
        <v>10</v>
      </c>
      <c r="B7" s="3"/>
    </row>
    <row r="8" spans="1:2" x14ac:dyDescent="0.25">
      <c r="A8" s="2" t="s">
        <v>12</v>
      </c>
      <c r="B8" s="3"/>
    </row>
    <row r="9" spans="1:2" x14ac:dyDescent="0.25">
      <c r="A9" s="2" t="s">
        <v>14</v>
      </c>
      <c r="B9" s="3"/>
    </row>
    <row r="10" spans="1:2" x14ac:dyDescent="0.25">
      <c r="A10" s="2" t="s">
        <v>16</v>
      </c>
      <c r="B10" s="3"/>
    </row>
    <row r="11" spans="1:2" x14ac:dyDescent="0.25">
      <c r="A11" s="2" t="s">
        <v>18</v>
      </c>
      <c r="B11" s="3"/>
    </row>
    <row r="12" spans="1:2" x14ac:dyDescent="0.25">
      <c r="A12" s="2" t="s">
        <v>20</v>
      </c>
      <c r="B12" s="3"/>
    </row>
    <row r="13" spans="1:2" x14ac:dyDescent="0.25">
      <c r="A13" s="2" t="s">
        <v>22</v>
      </c>
      <c r="B13" s="3"/>
    </row>
    <row r="14" spans="1:2" x14ac:dyDescent="0.25">
      <c r="A14" s="2" t="s">
        <v>24</v>
      </c>
      <c r="B14" s="3"/>
    </row>
    <row r="15" spans="1:2" x14ac:dyDescent="0.25">
      <c r="A15" s="2" t="s">
        <v>26</v>
      </c>
      <c r="B15" s="3"/>
    </row>
    <row r="16" spans="1:2" x14ac:dyDescent="0.25">
      <c r="A16" s="2" t="s">
        <v>28</v>
      </c>
      <c r="B16" s="3"/>
    </row>
    <row r="17" spans="1:2" x14ac:dyDescent="0.25">
      <c r="A17" s="2" t="s">
        <v>30</v>
      </c>
      <c r="B17" s="3"/>
    </row>
    <row r="18" spans="1:2" x14ac:dyDescent="0.25">
      <c r="A18" s="2" t="s">
        <v>32</v>
      </c>
      <c r="B18" s="3"/>
    </row>
    <row r="19" spans="1:2" x14ac:dyDescent="0.25">
      <c r="A19" s="2" t="s">
        <v>34</v>
      </c>
      <c r="B19" s="3"/>
    </row>
    <row r="20" spans="1:2" x14ac:dyDescent="0.25">
      <c r="A20" s="2" t="s">
        <v>35</v>
      </c>
      <c r="B20" s="3"/>
    </row>
    <row r="21" spans="1:2" x14ac:dyDescent="0.25">
      <c r="A21" s="2" t="s">
        <v>37</v>
      </c>
      <c r="B21" s="3"/>
    </row>
    <row r="22" spans="1:2" x14ac:dyDescent="0.25">
      <c r="A22" s="2" t="s">
        <v>39</v>
      </c>
      <c r="B22" s="3"/>
    </row>
    <row r="23" spans="1:2" x14ac:dyDescent="0.25">
      <c r="A23" s="2" t="s">
        <v>40</v>
      </c>
      <c r="B23" s="3"/>
    </row>
    <row r="24" spans="1:2" x14ac:dyDescent="0.25">
      <c r="A24" s="2" t="s">
        <v>41</v>
      </c>
      <c r="B24" s="3"/>
    </row>
    <row r="25" spans="1:2" x14ac:dyDescent="0.25">
      <c r="A25" s="2" t="s">
        <v>42</v>
      </c>
      <c r="B25" s="3"/>
    </row>
    <row r="26" spans="1:2" x14ac:dyDescent="0.25">
      <c r="A26" s="2" t="s">
        <v>43</v>
      </c>
      <c r="B26" s="3"/>
    </row>
    <row r="27" spans="1:2" x14ac:dyDescent="0.25">
      <c r="A27" s="2" t="s">
        <v>44</v>
      </c>
      <c r="B27" s="3"/>
    </row>
  </sheetData>
  <autoFilter ref="A1:B27" xr:uid="{00000000-0009-0000-0000-000038010000}"/>
  <pageMargins left="0.75" right="0.75" top="1" bottom="1" header="0.5" footer="0.5"/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45</v>
      </c>
      <c r="B1" s="1" t="s">
        <v>0</v>
      </c>
      <c r="C1" s="1" t="s">
        <v>1</v>
      </c>
    </row>
    <row r="2" spans="1:3" x14ac:dyDescent="0.25">
      <c r="A2" s="2" t="s">
        <v>46</v>
      </c>
      <c r="B2" s="2" t="s">
        <v>47</v>
      </c>
      <c r="C2" s="3"/>
    </row>
    <row r="3" spans="1:3" x14ac:dyDescent="0.25">
      <c r="A3" s="2" t="s">
        <v>46</v>
      </c>
      <c r="B3" s="2" t="s">
        <v>48</v>
      </c>
      <c r="C3" s="3"/>
    </row>
    <row r="4" spans="1:3" x14ac:dyDescent="0.25">
      <c r="A4" s="2" t="s">
        <v>46</v>
      </c>
      <c r="B4" s="2" t="s">
        <v>49</v>
      </c>
      <c r="C4" s="3"/>
    </row>
    <row r="5" spans="1:3" x14ac:dyDescent="0.25">
      <c r="A5" s="2" t="s">
        <v>46</v>
      </c>
      <c r="B5" s="2" t="s">
        <v>50</v>
      </c>
      <c r="C5" s="3"/>
    </row>
    <row r="6" spans="1:3" x14ac:dyDescent="0.25">
      <c r="A6" s="2" t="s">
        <v>46</v>
      </c>
      <c r="B6" s="2" t="s">
        <v>51</v>
      </c>
      <c r="C6" s="3"/>
    </row>
    <row r="7" spans="1:3" x14ac:dyDescent="0.25">
      <c r="A7" s="2" t="s">
        <v>46</v>
      </c>
      <c r="B7" s="2" t="s">
        <v>52</v>
      </c>
      <c r="C7" s="3"/>
    </row>
    <row r="8" spans="1:3" x14ac:dyDescent="0.25">
      <c r="A8" s="2" t="s">
        <v>46</v>
      </c>
      <c r="B8" s="2" t="s">
        <v>53</v>
      </c>
      <c r="C8" s="3"/>
    </row>
    <row r="9" spans="1:3" x14ac:dyDescent="0.25">
      <c r="A9" s="2" t="s">
        <v>46</v>
      </c>
      <c r="B9" s="2" t="s">
        <v>54</v>
      </c>
      <c r="C9" s="3"/>
    </row>
    <row r="10" spans="1:3" x14ac:dyDescent="0.25">
      <c r="A10" s="2" t="s">
        <v>46</v>
      </c>
      <c r="B10" s="2" t="s">
        <v>55</v>
      </c>
      <c r="C10" s="3"/>
    </row>
    <row r="11" spans="1:3" x14ac:dyDescent="0.25">
      <c r="A11" s="2" t="s">
        <v>46</v>
      </c>
      <c r="B11" s="2" t="s">
        <v>56</v>
      </c>
      <c r="C11" s="3"/>
    </row>
    <row r="12" spans="1:3" x14ac:dyDescent="0.25">
      <c r="A12" s="2" t="s">
        <v>46</v>
      </c>
      <c r="B12" s="2" t="s">
        <v>57</v>
      </c>
      <c r="C12" s="3"/>
    </row>
    <row r="13" spans="1:3" x14ac:dyDescent="0.25">
      <c r="A13" s="2" t="s">
        <v>46</v>
      </c>
      <c r="B13" s="2" t="s">
        <v>58</v>
      </c>
      <c r="C13" s="3"/>
    </row>
    <row r="14" spans="1:3" x14ac:dyDescent="0.25">
      <c r="A14" s="2" t="s">
        <v>46</v>
      </c>
      <c r="B14" s="2" t="s">
        <v>59</v>
      </c>
      <c r="C14" s="3"/>
    </row>
    <row r="15" spans="1:3" x14ac:dyDescent="0.25">
      <c r="A15" s="2" t="s">
        <v>46</v>
      </c>
      <c r="B15" s="2" t="s">
        <v>60</v>
      </c>
      <c r="C15" s="3"/>
    </row>
    <row r="16" spans="1:3" x14ac:dyDescent="0.25">
      <c r="A16" s="2" t="s">
        <v>46</v>
      </c>
      <c r="B16" s="2" t="s">
        <v>61</v>
      </c>
      <c r="C16" s="3"/>
    </row>
    <row r="17" spans="1:3" x14ac:dyDescent="0.25">
      <c r="A17" s="2" t="s">
        <v>46</v>
      </c>
      <c r="B17" s="2" t="s">
        <v>62</v>
      </c>
      <c r="C17" s="3"/>
    </row>
    <row r="18" spans="1:3" x14ac:dyDescent="0.25">
      <c r="A18" s="2" t="s">
        <v>46</v>
      </c>
      <c r="B18" s="2" t="s">
        <v>63</v>
      </c>
      <c r="C18" s="3"/>
    </row>
    <row r="19" spans="1:3" x14ac:dyDescent="0.25">
      <c r="A19" s="2" t="s">
        <v>46</v>
      </c>
      <c r="B19" s="2" t="s">
        <v>64</v>
      </c>
      <c r="C19" s="3"/>
    </row>
    <row r="20" spans="1:3" x14ac:dyDescent="0.25">
      <c r="A20" s="2" t="s">
        <v>46</v>
      </c>
      <c r="B20" s="2" t="s">
        <v>65</v>
      </c>
      <c r="C20" s="3"/>
    </row>
    <row r="21" spans="1:3" x14ac:dyDescent="0.25">
      <c r="A21" s="2" t="s">
        <v>46</v>
      </c>
      <c r="B21" s="2" t="s">
        <v>66</v>
      </c>
      <c r="C21" s="4">
        <f>IFERROR(_xll.BDP("YUNG US Equity","CUST_TRR_RETURN_HOLDING_PER","CUST_TRR_START_DT","20260501","CUST_TRR_END_DT","20260531","CUST_TRR_CRNCY","USD"),"")</f>
        <v>2.8985850000000002</v>
      </c>
    </row>
    <row r="22" spans="1:3" x14ac:dyDescent="0.25">
      <c r="A22" s="2" t="s">
        <v>46</v>
      </c>
      <c r="B22" s="2" t="s">
        <v>67</v>
      </c>
      <c r="C22" s="4">
        <f>IFERROR(_xll.BDP("YUNG US Equity","CUST_TRR_RETURN_HOLDING_PER","CUST_TRR_START_DT","20260601","CUST_TRR_END_DT","20260630","CUST_TRR_CRNCY","USD"),"")</f>
        <v>10.74492</v>
      </c>
    </row>
    <row r="23" spans="1:3" x14ac:dyDescent="0.25">
      <c r="A23" s="2" t="s">
        <v>46</v>
      </c>
      <c r="B23" s="2" t="s">
        <v>68</v>
      </c>
      <c r="C23" s="4">
        <f>IFERROR(_xll.BDP("YUNG US Equity","CUST_TRR_RETURN_HOLDING_PER","CUST_TRR_START_DT","20260701","CUST_TRR_END_DT","20260731","CUST_TRR_CRNCY","USD"),"")</f>
        <v>-0.94847539999999997</v>
      </c>
    </row>
    <row r="24" spans="1:3" x14ac:dyDescent="0.25">
      <c r="A24" s="2" t="s">
        <v>46</v>
      </c>
      <c r="B24" s="2" t="s">
        <v>69</v>
      </c>
      <c r="C24" s="3"/>
    </row>
    <row r="25" spans="1:3" x14ac:dyDescent="0.25">
      <c r="A25" s="2" t="s">
        <v>46</v>
      </c>
      <c r="B25" s="2" t="s">
        <v>70</v>
      </c>
      <c r="C25" s="3"/>
    </row>
    <row r="26" spans="1:3" x14ac:dyDescent="0.25">
      <c r="A26" s="2" t="s">
        <v>46</v>
      </c>
      <c r="B26" s="2" t="s">
        <v>71</v>
      </c>
      <c r="C26" s="3"/>
    </row>
    <row r="27" spans="1:3" x14ac:dyDescent="0.25">
      <c r="A27" s="2" t="s">
        <v>46</v>
      </c>
      <c r="B27" s="2" t="s">
        <v>72</v>
      </c>
      <c r="C27" s="3"/>
    </row>
    <row r="28" spans="1:3" x14ac:dyDescent="0.25">
      <c r="A28" s="2" t="s">
        <v>46</v>
      </c>
      <c r="B28" s="2" t="s">
        <v>73</v>
      </c>
      <c r="C28" s="3"/>
    </row>
    <row r="29" spans="1:3" x14ac:dyDescent="0.25">
      <c r="A29" s="2" t="s">
        <v>46</v>
      </c>
      <c r="B29" s="2" t="s">
        <v>74</v>
      </c>
      <c r="C29" s="3"/>
    </row>
    <row r="30" spans="1:3" x14ac:dyDescent="0.25">
      <c r="A30" s="2" t="s">
        <v>46</v>
      </c>
      <c r="B30" s="2" t="s">
        <v>75</v>
      </c>
      <c r="C30" s="3"/>
    </row>
    <row r="31" spans="1:3" x14ac:dyDescent="0.25">
      <c r="A31" s="2" t="s">
        <v>46</v>
      </c>
      <c r="B31" s="2" t="s">
        <v>76</v>
      </c>
      <c r="C31" s="3"/>
    </row>
    <row r="32" spans="1:3" x14ac:dyDescent="0.25">
      <c r="A32" s="2" t="s">
        <v>46</v>
      </c>
      <c r="B32" s="2" t="s">
        <v>77</v>
      </c>
      <c r="C32" s="3"/>
    </row>
    <row r="33" spans="1:3" x14ac:dyDescent="0.25">
      <c r="A33" s="2" t="s">
        <v>46</v>
      </c>
      <c r="B33" s="2" t="s">
        <v>78</v>
      </c>
      <c r="C33" s="3"/>
    </row>
    <row r="34" spans="1:3" x14ac:dyDescent="0.25">
      <c r="A34" s="2" t="s">
        <v>46</v>
      </c>
      <c r="B34" s="2" t="s">
        <v>79</v>
      </c>
      <c r="C34" s="3"/>
    </row>
    <row r="35" spans="1:3" x14ac:dyDescent="0.25">
      <c r="A35" s="2" t="s">
        <v>46</v>
      </c>
      <c r="B35" s="2" t="s">
        <v>80</v>
      </c>
      <c r="C35" s="3"/>
    </row>
    <row r="36" spans="1:3" x14ac:dyDescent="0.25">
      <c r="A36" s="2" t="s">
        <v>46</v>
      </c>
      <c r="B36" s="2" t="s">
        <v>81</v>
      </c>
      <c r="C36" s="3"/>
    </row>
    <row r="37" spans="1:3" x14ac:dyDescent="0.25">
      <c r="A37" s="2" t="s">
        <v>46</v>
      </c>
      <c r="B37" s="2" t="s">
        <v>82</v>
      </c>
      <c r="C37" s="3"/>
    </row>
    <row r="38" spans="1:3" x14ac:dyDescent="0.25">
      <c r="A38" s="2" t="s">
        <v>46</v>
      </c>
      <c r="B38" s="2" t="s">
        <v>83</v>
      </c>
      <c r="C38" s="3"/>
    </row>
    <row r="39" spans="1:3" x14ac:dyDescent="0.25">
      <c r="A39" s="2" t="s">
        <v>46</v>
      </c>
      <c r="B39" s="2" t="s">
        <v>84</v>
      </c>
      <c r="C39" s="3"/>
    </row>
    <row r="40" spans="1:3" x14ac:dyDescent="0.25">
      <c r="A40" s="2" t="s">
        <v>46</v>
      </c>
      <c r="B40" s="2" t="s">
        <v>85</v>
      </c>
      <c r="C40" s="3"/>
    </row>
    <row r="41" spans="1:3" x14ac:dyDescent="0.25">
      <c r="A41" s="2" t="s">
        <v>46</v>
      </c>
      <c r="B41" s="2" t="s">
        <v>86</v>
      </c>
      <c r="C41" s="3"/>
    </row>
    <row r="42" spans="1:3" x14ac:dyDescent="0.25">
      <c r="A42" s="2" t="s">
        <v>46</v>
      </c>
      <c r="B42" s="2" t="s">
        <v>87</v>
      </c>
      <c r="C42" s="3"/>
    </row>
    <row r="43" spans="1:3" x14ac:dyDescent="0.25">
      <c r="A43" s="2" t="s">
        <v>46</v>
      </c>
      <c r="B43" s="2" t="s">
        <v>88</v>
      </c>
      <c r="C43" s="3"/>
    </row>
    <row r="44" spans="1:3" x14ac:dyDescent="0.25">
      <c r="A44" s="2" t="s">
        <v>46</v>
      </c>
      <c r="B44" s="2" t="s">
        <v>89</v>
      </c>
      <c r="C44" s="3"/>
    </row>
    <row r="45" spans="1:3" x14ac:dyDescent="0.25">
      <c r="A45" s="2" t="s">
        <v>46</v>
      </c>
      <c r="B45" s="2" t="s">
        <v>90</v>
      </c>
      <c r="C45" s="3"/>
    </row>
    <row r="46" spans="1:3" x14ac:dyDescent="0.25">
      <c r="A46" s="2" t="s">
        <v>46</v>
      </c>
      <c r="B46" s="2" t="s">
        <v>91</v>
      </c>
      <c r="C46" s="3"/>
    </row>
    <row r="47" spans="1:3" x14ac:dyDescent="0.25">
      <c r="A47" s="2" t="s">
        <v>46</v>
      </c>
      <c r="B47" s="2" t="s">
        <v>92</v>
      </c>
      <c r="C47" s="3"/>
    </row>
    <row r="48" spans="1:3" x14ac:dyDescent="0.25">
      <c r="A48" s="2" t="s">
        <v>46</v>
      </c>
      <c r="B48" s="2" t="s">
        <v>93</v>
      </c>
      <c r="C48" s="3"/>
    </row>
    <row r="49" spans="1:3" x14ac:dyDescent="0.25">
      <c r="A49" s="2" t="s">
        <v>46</v>
      </c>
      <c r="B49" s="2" t="s">
        <v>94</v>
      </c>
      <c r="C49" s="3"/>
    </row>
    <row r="50" spans="1:3" x14ac:dyDescent="0.25">
      <c r="A50" s="2" t="s">
        <v>46</v>
      </c>
      <c r="B50" s="2" t="s">
        <v>95</v>
      </c>
      <c r="C50" s="3"/>
    </row>
    <row r="51" spans="1:3" x14ac:dyDescent="0.25">
      <c r="A51" s="2" t="s">
        <v>46</v>
      </c>
      <c r="B51" s="2" t="s">
        <v>96</v>
      </c>
      <c r="C51" s="3"/>
    </row>
    <row r="52" spans="1:3" x14ac:dyDescent="0.25">
      <c r="A52" s="2" t="s">
        <v>46</v>
      </c>
      <c r="B52" s="2" t="s">
        <v>97</v>
      </c>
      <c r="C52" s="3"/>
    </row>
  </sheetData>
  <autoFilter ref="A1:C52" xr:uid="{00000000-0009-0000-0000-000039010000}"/>
  <dataValidations count="1">
    <dataValidation type="list" allowBlank="1" showErrorMessage="1" errorTitle="Invalid value" error="Choose a value from the Periods list." sqref="A2:A5000" xr:uid="{00000000-0002-0000-3901-000000000000}">
      <formula1>"2026-07"</formula1>
    </dataValidation>
  </dataValidations>
  <pageMargins left="0.75" right="0.75" top="1" bottom="1" header="0.5" footer="0.5"/>
  <legacyDrawing r:id="rId1"/>
</worksheet>
</file>

<file path=xl/worksheets/sheet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45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65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</row>
    <row r="2" spans="1:86" x14ac:dyDescent="0.25">
      <c r="A2" s="3" t="s">
        <v>46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3A010000}"/>
  <dataValidations count="14">
    <dataValidation type="list" allowBlank="1" showErrorMessage="1" errorTitle="Invalid value" error="Choose a value from the Periods list." sqref="A2:A5000" xr:uid="{00000000-0002-0000-3A01-000000000000}">
      <formula1>"2026-07"</formula1>
    </dataValidation>
    <dataValidation type="list" allowBlank="1" showErrorMessage="1" errorTitle="Invalid value" error="Choose a value from the Units list." sqref="J2:J5000" xr:uid="{00000000-0002-0000-3A01-000001000000}">
      <formula1>"NS,PA,NC,OU"</formula1>
    </dataValidation>
    <dataValidation type="list" allowBlank="1" showErrorMessage="1" errorTitle="Invalid value" error="Choose a value from the PayoffProfiles list." sqref="N2:N5000" xr:uid="{00000000-0002-0000-3A01-000002000000}">
      <formula1>"Long,Short,N/A"</formula1>
    </dataValidation>
    <dataValidation type="list" allowBlank="1" showErrorMessage="1" errorTitle="Invalid value" error="Choose a value from the AssetCategories list." sqref="O2:O5000" xr:uid="{00000000-0002-0000-3A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3A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3A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3A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3A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3A01-000008000000}">
      <formula1>"Put,Call"</formula1>
    </dataValidation>
    <dataValidation type="list" allowBlank="1" showErrorMessage="1" errorTitle="Invalid value" error="Choose a value from the WrittenPurchased list." sqref="AM2:AM5000" xr:uid="{00000000-0002-0000-3A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3A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3A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3A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3A01-000011000000}">
      <formula1>"Y,N"</formula1>
    </dataValidation>
  </dataValidations>
  <pageMargins left="0.75" right="0.75" top="1" bottom="1" header="0.5" footer="0.5"/>
  <legacyDrawing r:id="rId1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1-000000000000}">
  <sheetPr>
    <tabColor rgb="FFA5A5A5"/>
  </sheetPr>
  <dimension ref="A1:G10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18" customWidth="1"/>
    <col min="3" max="6" width="14" customWidth="1"/>
    <col min="7" max="7" width="18" customWidth="1"/>
  </cols>
  <sheetData>
    <row r="1" spans="1:7" ht="27.95" customHeight="1" x14ac:dyDescent="0.25">
      <c r="A1" s="1" t="s">
        <v>242</v>
      </c>
      <c r="B1" s="1" t="s">
        <v>45</v>
      </c>
      <c r="C1" s="1" t="s">
        <v>243</v>
      </c>
      <c r="D1" s="1" t="s">
        <v>244</v>
      </c>
      <c r="E1" s="1" t="s">
        <v>245</v>
      </c>
      <c r="F1" s="1" t="s">
        <v>246</v>
      </c>
      <c r="G1" s="1" t="s">
        <v>247</v>
      </c>
    </row>
    <row r="2" spans="1:7" x14ac:dyDescent="0.25">
      <c r="A2" s="3" t="s">
        <v>248</v>
      </c>
      <c r="B2" s="3" t="s">
        <v>46</v>
      </c>
      <c r="C2" s="3" t="s">
        <v>248</v>
      </c>
      <c r="D2" s="3"/>
      <c r="E2" s="3"/>
      <c r="F2" s="3"/>
      <c r="G2" s="3"/>
    </row>
    <row r="3" spans="1:7" x14ac:dyDescent="0.25">
      <c r="A3" s="3" t="s">
        <v>249</v>
      </c>
      <c r="B3" s="3" t="s">
        <v>46</v>
      </c>
      <c r="C3" s="3" t="s">
        <v>249</v>
      </c>
      <c r="D3" s="3"/>
      <c r="E3" s="3"/>
      <c r="F3" s="3"/>
      <c r="G3" s="3"/>
    </row>
    <row r="4" spans="1:7" x14ac:dyDescent="0.25">
      <c r="A4" s="3" t="s">
        <v>250</v>
      </c>
      <c r="B4" s="3" t="s">
        <v>46</v>
      </c>
      <c r="C4" s="3" t="s">
        <v>250</v>
      </c>
      <c r="D4" s="3"/>
      <c r="E4" s="3"/>
      <c r="F4" s="3"/>
      <c r="G4" s="3"/>
    </row>
    <row r="5" spans="1:7" x14ac:dyDescent="0.25">
      <c r="A5" s="3" t="s">
        <v>251</v>
      </c>
      <c r="B5" s="3" t="s">
        <v>46</v>
      </c>
      <c r="C5" s="3" t="s">
        <v>251</v>
      </c>
      <c r="D5" s="3"/>
      <c r="E5" s="3"/>
      <c r="F5" s="3"/>
      <c r="G5" s="3"/>
    </row>
    <row r="6" spans="1:7" x14ac:dyDescent="0.25">
      <c r="A6" s="3" t="s">
        <v>252</v>
      </c>
      <c r="B6" s="3" t="s">
        <v>46</v>
      </c>
      <c r="C6" s="3" t="s">
        <v>252</v>
      </c>
      <c r="D6" s="3"/>
      <c r="E6" s="3"/>
      <c r="F6" s="3"/>
      <c r="G6" s="3"/>
    </row>
    <row r="7" spans="1:7" x14ac:dyDescent="0.25">
      <c r="A7" s="3" t="s">
        <v>253</v>
      </c>
      <c r="B7" s="3" t="s">
        <v>46</v>
      </c>
      <c r="C7" s="3" t="s">
        <v>253</v>
      </c>
      <c r="D7" s="3"/>
      <c r="E7" s="3"/>
      <c r="F7" s="3"/>
      <c r="G7" s="3"/>
    </row>
    <row r="8" spans="1:7" x14ac:dyDescent="0.25">
      <c r="A8" s="3" t="s">
        <v>254</v>
      </c>
      <c r="B8" s="3" t="s">
        <v>46</v>
      </c>
      <c r="C8" s="3" t="s">
        <v>254</v>
      </c>
      <c r="D8" s="3"/>
      <c r="E8" s="3"/>
      <c r="F8" s="3"/>
      <c r="G8" s="3"/>
    </row>
    <row r="9" spans="1:7" x14ac:dyDescent="0.25">
      <c r="A9" s="3" t="s">
        <v>255</v>
      </c>
      <c r="B9" s="3" t="s">
        <v>46</v>
      </c>
      <c r="C9" s="3" t="s">
        <v>255</v>
      </c>
      <c r="D9" s="3"/>
      <c r="E9" s="3"/>
      <c r="F9" s="3"/>
      <c r="G9" s="3"/>
    </row>
    <row r="10" spans="1:7" x14ac:dyDescent="0.25">
      <c r="A10" s="3" t="s">
        <v>256</v>
      </c>
      <c r="B10" s="3" t="s">
        <v>46</v>
      </c>
      <c r="C10" s="3" t="s">
        <v>256</v>
      </c>
      <c r="D10" s="3"/>
      <c r="E10" s="3"/>
      <c r="F10" s="3"/>
      <c r="G10" s="3"/>
    </row>
    <row r="11" spans="1:7" x14ac:dyDescent="0.25">
      <c r="A11" s="3" t="s">
        <v>257</v>
      </c>
      <c r="B11" s="3" t="s">
        <v>46</v>
      </c>
      <c r="C11" s="3" t="s">
        <v>257</v>
      </c>
      <c r="D11" s="3"/>
      <c r="E11" s="3"/>
      <c r="F11" s="3"/>
      <c r="G11" s="3"/>
    </row>
    <row r="12" spans="1:7" x14ac:dyDescent="0.25">
      <c r="A12" s="3" t="s">
        <v>258</v>
      </c>
      <c r="B12" s="3" t="s">
        <v>46</v>
      </c>
      <c r="C12" s="3" t="s">
        <v>258</v>
      </c>
      <c r="D12" s="3"/>
      <c r="E12" s="3"/>
      <c r="F12" s="3"/>
      <c r="G12" s="3"/>
    </row>
    <row r="13" spans="1:7" x14ac:dyDescent="0.25">
      <c r="A13" s="3" t="s">
        <v>259</v>
      </c>
      <c r="B13" s="3" t="s">
        <v>46</v>
      </c>
      <c r="C13" s="3" t="s">
        <v>259</v>
      </c>
      <c r="D13" s="3"/>
      <c r="E13" s="3"/>
      <c r="F13" s="3"/>
      <c r="G13" s="3"/>
    </row>
    <row r="14" spans="1:7" x14ac:dyDescent="0.25">
      <c r="A14" s="3" t="s">
        <v>260</v>
      </c>
      <c r="B14" s="3" t="s">
        <v>46</v>
      </c>
      <c r="C14" s="3" t="s">
        <v>260</v>
      </c>
      <c r="D14" s="3"/>
      <c r="E14" s="3"/>
      <c r="F14" s="3"/>
      <c r="G14" s="3"/>
    </row>
    <row r="15" spans="1:7" x14ac:dyDescent="0.25">
      <c r="A15" s="3" t="s">
        <v>261</v>
      </c>
      <c r="B15" s="3" t="s">
        <v>46</v>
      </c>
      <c r="C15" s="3" t="s">
        <v>261</v>
      </c>
      <c r="D15" s="3"/>
      <c r="E15" s="3"/>
      <c r="F15" s="3"/>
      <c r="G15" s="3"/>
    </row>
    <row r="16" spans="1:7" x14ac:dyDescent="0.25">
      <c r="A16" s="3" t="s">
        <v>262</v>
      </c>
      <c r="B16" s="3" t="s">
        <v>46</v>
      </c>
      <c r="C16" s="3" t="s">
        <v>262</v>
      </c>
      <c r="D16" s="3"/>
      <c r="E16" s="3"/>
      <c r="F16" s="3"/>
      <c r="G16" s="3"/>
    </row>
    <row r="17" spans="1:7" x14ac:dyDescent="0.25">
      <c r="A17" s="3" t="s">
        <v>263</v>
      </c>
      <c r="B17" s="3" t="s">
        <v>46</v>
      </c>
      <c r="C17" s="3" t="s">
        <v>263</v>
      </c>
      <c r="D17" s="3"/>
      <c r="E17" s="3"/>
      <c r="F17" s="3"/>
      <c r="G17" s="3"/>
    </row>
    <row r="18" spans="1:7" x14ac:dyDescent="0.25">
      <c r="A18" s="3" t="s">
        <v>264</v>
      </c>
      <c r="B18" s="3" t="s">
        <v>46</v>
      </c>
      <c r="C18" s="3" t="s">
        <v>264</v>
      </c>
      <c r="D18" s="3"/>
      <c r="E18" s="3"/>
      <c r="F18" s="3"/>
      <c r="G18" s="3"/>
    </row>
    <row r="19" spans="1:7" x14ac:dyDescent="0.25">
      <c r="A19" s="3" t="s">
        <v>265</v>
      </c>
      <c r="B19" s="3" t="s">
        <v>46</v>
      </c>
      <c r="C19" s="3" t="s">
        <v>265</v>
      </c>
      <c r="D19" s="3"/>
      <c r="E19" s="3"/>
      <c r="F19" s="3"/>
      <c r="G19" s="3"/>
    </row>
    <row r="20" spans="1:7" x14ac:dyDescent="0.25">
      <c r="A20" s="3" t="s">
        <v>266</v>
      </c>
      <c r="B20" s="3" t="s">
        <v>46</v>
      </c>
      <c r="C20" s="3" t="s">
        <v>266</v>
      </c>
      <c r="D20" s="3"/>
      <c r="E20" s="3"/>
      <c r="F20" s="3"/>
      <c r="G20" s="3"/>
    </row>
    <row r="21" spans="1:7" x14ac:dyDescent="0.25">
      <c r="A21" s="3" t="s">
        <v>267</v>
      </c>
      <c r="B21" s="3" t="s">
        <v>46</v>
      </c>
      <c r="C21" s="3" t="s">
        <v>267</v>
      </c>
      <c r="D21" s="3"/>
      <c r="E21" s="3"/>
      <c r="F21" s="3"/>
      <c r="G21" s="3"/>
    </row>
    <row r="22" spans="1:7" x14ac:dyDescent="0.25">
      <c r="A22" s="3" t="s">
        <v>268</v>
      </c>
      <c r="B22" s="3" t="s">
        <v>46</v>
      </c>
      <c r="C22" s="3" t="s">
        <v>268</v>
      </c>
      <c r="D22" s="3"/>
      <c r="E22" s="3"/>
      <c r="F22" s="3"/>
      <c r="G22" s="3"/>
    </row>
    <row r="23" spans="1:7" x14ac:dyDescent="0.25">
      <c r="A23" s="3" t="s">
        <v>269</v>
      </c>
      <c r="B23" s="3" t="s">
        <v>46</v>
      </c>
      <c r="C23" s="3" t="s">
        <v>269</v>
      </c>
      <c r="D23" s="3"/>
      <c r="E23" s="3"/>
      <c r="F23" s="3"/>
      <c r="G23" s="3"/>
    </row>
    <row r="24" spans="1:7" x14ac:dyDescent="0.25">
      <c r="A24" s="3" t="s">
        <v>270</v>
      </c>
      <c r="B24" s="3" t="s">
        <v>46</v>
      </c>
      <c r="C24" s="3" t="s">
        <v>270</v>
      </c>
      <c r="D24" s="3"/>
      <c r="E24" s="3"/>
      <c r="F24" s="3"/>
      <c r="G24" s="3"/>
    </row>
    <row r="25" spans="1:7" x14ac:dyDescent="0.25">
      <c r="A25" s="3" t="s">
        <v>271</v>
      </c>
      <c r="B25" s="3" t="s">
        <v>46</v>
      </c>
      <c r="C25" s="3" t="s">
        <v>271</v>
      </c>
      <c r="D25" s="3"/>
      <c r="E25" s="3"/>
      <c r="F25" s="3"/>
      <c r="G25" s="3"/>
    </row>
    <row r="26" spans="1:7" x14ac:dyDescent="0.25">
      <c r="A26" s="3" t="s">
        <v>272</v>
      </c>
      <c r="B26" s="3" t="s">
        <v>46</v>
      </c>
      <c r="C26" s="3" t="s">
        <v>272</v>
      </c>
      <c r="D26" s="3"/>
      <c r="E26" s="3"/>
      <c r="F26" s="3"/>
      <c r="G26" s="3"/>
    </row>
    <row r="27" spans="1:7" x14ac:dyDescent="0.25">
      <c r="A27" s="3" t="s">
        <v>273</v>
      </c>
      <c r="B27" s="3" t="s">
        <v>46</v>
      </c>
      <c r="C27" s="3" t="s">
        <v>273</v>
      </c>
      <c r="D27" s="3"/>
      <c r="E27" s="3"/>
      <c r="F27" s="3"/>
      <c r="G27" s="3"/>
    </row>
    <row r="28" spans="1:7" x14ac:dyDescent="0.25">
      <c r="A28" s="3" t="s">
        <v>274</v>
      </c>
      <c r="B28" s="3" t="s">
        <v>46</v>
      </c>
      <c r="C28" s="3" t="s">
        <v>274</v>
      </c>
      <c r="D28" s="3"/>
      <c r="E28" s="3"/>
      <c r="F28" s="3"/>
      <c r="G28" s="3"/>
    </row>
    <row r="29" spans="1:7" x14ac:dyDescent="0.25">
      <c r="A29" s="3" t="s">
        <v>275</v>
      </c>
      <c r="B29" s="3" t="s">
        <v>46</v>
      </c>
      <c r="C29" s="3" t="s">
        <v>275</v>
      </c>
      <c r="D29" s="3"/>
      <c r="E29" s="3"/>
      <c r="F29" s="3"/>
      <c r="G29" s="3"/>
    </row>
    <row r="30" spans="1:7" x14ac:dyDescent="0.25">
      <c r="A30" s="3" t="s">
        <v>276</v>
      </c>
      <c r="B30" s="3" t="s">
        <v>46</v>
      </c>
      <c r="C30" s="3" t="s">
        <v>276</v>
      </c>
      <c r="D30" s="3"/>
      <c r="E30" s="3"/>
      <c r="F30" s="3"/>
      <c r="G30" s="3"/>
    </row>
    <row r="31" spans="1:7" x14ac:dyDescent="0.25">
      <c r="A31" s="3" t="s">
        <v>277</v>
      </c>
      <c r="B31" s="3" t="s">
        <v>46</v>
      </c>
      <c r="C31" s="3" t="s">
        <v>277</v>
      </c>
      <c r="D31" s="3"/>
      <c r="E31" s="3"/>
      <c r="F31" s="3"/>
      <c r="G31" s="3"/>
    </row>
    <row r="32" spans="1:7" x14ac:dyDescent="0.25">
      <c r="A32" s="3" t="s">
        <v>278</v>
      </c>
      <c r="B32" s="3" t="s">
        <v>46</v>
      </c>
      <c r="C32" s="3" t="s">
        <v>278</v>
      </c>
      <c r="D32" s="3"/>
      <c r="E32" s="3"/>
      <c r="F32" s="3"/>
      <c r="G32" s="3"/>
    </row>
    <row r="33" spans="1:7" x14ac:dyDescent="0.25">
      <c r="A33" s="3" t="s">
        <v>279</v>
      </c>
      <c r="B33" s="3" t="s">
        <v>46</v>
      </c>
      <c r="C33" s="3" t="s">
        <v>279</v>
      </c>
      <c r="D33" s="3"/>
      <c r="E33" s="3"/>
      <c r="F33" s="3"/>
      <c r="G33" s="3"/>
    </row>
    <row r="34" spans="1:7" x14ac:dyDescent="0.25">
      <c r="A34" s="3" t="s">
        <v>280</v>
      </c>
      <c r="B34" s="3" t="s">
        <v>46</v>
      </c>
      <c r="C34" s="3" t="s">
        <v>280</v>
      </c>
      <c r="D34" s="3"/>
      <c r="E34" s="3"/>
      <c r="F34" s="3"/>
      <c r="G34" s="3"/>
    </row>
    <row r="35" spans="1:7" x14ac:dyDescent="0.25">
      <c r="A35" s="3" t="s">
        <v>281</v>
      </c>
      <c r="B35" s="3" t="s">
        <v>46</v>
      </c>
      <c r="C35" s="3" t="s">
        <v>281</v>
      </c>
      <c r="D35" s="3"/>
      <c r="E35" s="3"/>
      <c r="F35" s="3"/>
      <c r="G35" s="3"/>
    </row>
    <row r="36" spans="1:7" x14ac:dyDescent="0.25">
      <c r="A36" s="3" t="s">
        <v>282</v>
      </c>
      <c r="B36" s="3" t="s">
        <v>46</v>
      </c>
      <c r="C36" s="3" t="s">
        <v>282</v>
      </c>
      <c r="D36" s="3"/>
      <c r="E36" s="3"/>
      <c r="F36" s="3"/>
      <c r="G36" s="3"/>
    </row>
    <row r="37" spans="1:7" x14ac:dyDescent="0.25">
      <c r="A37" s="3" t="s">
        <v>283</v>
      </c>
      <c r="B37" s="3" t="s">
        <v>46</v>
      </c>
      <c r="C37" s="3" t="s">
        <v>283</v>
      </c>
      <c r="D37" s="3"/>
      <c r="E37" s="3"/>
      <c r="F37" s="3"/>
      <c r="G37" s="3"/>
    </row>
    <row r="38" spans="1:7" x14ac:dyDescent="0.25">
      <c r="A38" s="3" t="s">
        <v>284</v>
      </c>
      <c r="B38" s="3" t="s">
        <v>46</v>
      </c>
      <c r="C38" s="3" t="s">
        <v>284</v>
      </c>
      <c r="D38" s="3"/>
      <c r="E38" s="3"/>
      <c r="F38" s="3"/>
      <c r="G38" s="3"/>
    </row>
    <row r="39" spans="1:7" x14ac:dyDescent="0.25">
      <c r="A39" s="3" t="s">
        <v>285</v>
      </c>
      <c r="B39" s="3" t="s">
        <v>46</v>
      </c>
      <c r="C39" s="3" t="s">
        <v>285</v>
      </c>
      <c r="D39" s="3"/>
      <c r="E39" s="3"/>
      <c r="F39" s="3"/>
      <c r="G39" s="3"/>
    </row>
    <row r="40" spans="1:7" x14ac:dyDescent="0.25">
      <c r="A40" s="3" t="s">
        <v>286</v>
      </c>
      <c r="B40" s="3" t="s">
        <v>46</v>
      </c>
      <c r="C40" s="3" t="s">
        <v>286</v>
      </c>
      <c r="D40" s="3"/>
      <c r="E40" s="3"/>
      <c r="F40" s="3"/>
      <c r="G40" s="3"/>
    </row>
    <row r="41" spans="1:7" x14ac:dyDescent="0.25">
      <c r="A41" s="3" t="s">
        <v>287</v>
      </c>
      <c r="B41" s="3" t="s">
        <v>46</v>
      </c>
      <c r="C41" s="3" t="s">
        <v>287</v>
      </c>
      <c r="D41" s="3"/>
      <c r="E41" s="3"/>
      <c r="F41" s="3"/>
      <c r="G41" s="3"/>
    </row>
    <row r="42" spans="1:7" x14ac:dyDescent="0.25">
      <c r="A42" s="3" t="s">
        <v>288</v>
      </c>
      <c r="B42" s="3" t="s">
        <v>46</v>
      </c>
      <c r="C42" s="3" t="s">
        <v>288</v>
      </c>
      <c r="D42" s="3"/>
      <c r="E42" s="3"/>
      <c r="F42" s="3"/>
      <c r="G42" s="3"/>
    </row>
    <row r="43" spans="1:7" x14ac:dyDescent="0.25">
      <c r="A43" s="3" t="s">
        <v>289</v>
      </c>
      <c r="B43" s="3" t="s">
        <v>46</v>
      </c>
      <c r="C43" s="3" t="s">
        <v>289</v>
      </c>
      <c r="D43" s="3"/>
      <c r="E43" s="3"/>
      <c r="F43" s="3"/>
      <c r="G43" s="3"/>
    </row>
    <row r="44" spans="1:7" x14ac:dyDescent="0.25">
      <c r="A44" s="3" t="s">
        <v>290</v>
      </c>
      <c r="B44" s="3" t="s">
        <v>46</v>
      </c>
      <c r="C44" s="3" t="s">
        <v>290</v>
      </c>
      <c r="D44" s="3"/>
      <c r="E44" s="3"/>
      <c r="F44" s="3"/>
      <c r="G44" s="3"/>
    </row>
    <row r="45" spans="1:7" x14ac:dyDescent="0.25">
      <c r="A45" s="3" t="s">
        <v>291</v>
      </c>
      <c r="B45" s="3" t="s">
        <v>46</v>
      </c>
      <c r="C45" s="3" t="s">
        <v>291</v>
      </c>
      <c r="D45" s="3"/>
      <c r="E45" s="3"/>
      <c r="F45" s="3"/>
      <c r="G45" s="3"/>
    </row>
    <row r="46" spans="1:7" x14ac:dyDescent="0.25">
      <c r="A46" s="3" t="s">
        <v>292</v>
      </c>
      <c r="B46" s="3" t="s">
        <v>46</v>
      </c>
      <c r="C46" s="3" t="s">
        <v>292</v>
      </c>
      <c r="D46" s="3"/>
      <c r="E46" s="3"/>
      <c r="F46" s="3"/>
      <c r="G46" s="3"/>
    </row>
    <row r="47" spans="1:7" x14ac:dyDescent="0.25">
      <c r="A47" s="3" t="s">
        <v>293</v>
      </c>
      <c r="B47" s="3" t="s">
        <v>46</v>
      </c>
      <c r="C47" s="3" t="s">
        <v>293</v>
      </c>
      <c r="D47" s="3"/>
      <c r="E47" s="3"/>
      <c r="F47" s="3"/>
      <c r="G47" s="3"/>
    </row>
    <row r="48" spans="1:7" x14ac:dyDescent="0.25">
      <c r="A48" s="3" t="s">
        <v>294</v>
      </c>
      <c r="B48" s="3" t="s">
        <v>46</v>
      </c>
      <c r="C48" s="3" t="s">
        <v>294</v>
      </c>
      <c r="D48" s="3"/>
      <c r="E48" s="3"/>
      <c r="F48" s="3"/>
      <c r="G48" s="3"/>
    </row>
    <row r="49" spans="1:7" x14ac:dyDescent="0.25">
      <c r="A49" s="3" t="s">
        <v>295</v>
      </c>
      <c r="B49" s="3" t="s">
        <v>46</v>
      </c>
      <c r="C49" s="3" t="s">
        <v>295</v>
      </c>
      <c r="D49" s="3"/>
      <c r="E49" s="3"/>
      <c r="F49" s="3"/>
      <c r="G49" s="3"/>
    </row>
    <row r="50" spans="1:7" x14ac:dyDescent="0.25">
      <c r="A50" s="3" t="s">
        <v>296</v>
      </c>
      <c r="B50" s="3" t="s">
        <v>46</v>
      </c>
      <c r="C50" s="3" t="s">
        <v>296</v>
      </c>
      <c r="D50" s="3"/>
      <c r="E50" s="3"/>
      <c r="F50" s="3"/>
      <c r="G50" s="3"/>
    </row>
    <row r="51" spans="1:7" x14ac:dyDescent="0.25">
      <c r="A51" s="3" t="s">
        <v>297</v>
      </c>
      <c r="B51" s="3" t="s">
        <v>46</v>
      </c>
      <c r="C51" s="3" t="s">
        <v>297</v>
      </c>
      <c r="D51" s="3"/>
      <c r="E51" s="3"/>
      <c r="F51" s="3"/>
      <c r="G51" s="3"/>
    </row>
    <row r="52" spans="1:7" x14ac:dyDescent="0.25">
      <c r="A52" s="3" t="s">
        <v>298</v>
      </c>
      <c r="B52" s="3" t="s">
        <v>46</v>
      </c>
      <c r="C52" s="3" t="s">
        <v>298</v>
      </c>
      <c r="D52" s="3"/>
      <c r="E52" s="3"/>
      <c r="F52" s="3"/>
      <c r="G52" s="3"/>
    </row>
    <row r="53" spans="1:7" x14ac:dyDescent="0.25">
      <c r="A53" s="3" t="s">
        <v>299</v>
      </c>
      <c r="B53" s="3" t="s">
        <v>46</v>
      </c>
      <c r="C53" s="3" t="s">
        <v>299</v>
      </c>
      <c r="D53" s="3"/>
      <c r="E53" s="3"/>
      <c r="F53" s="3"/>
      <c r="G53" s="3"/>
    </row>
    <row r="54" spans="1:7" x14ac:dyDescent="0.25">
      <c r="A54" s="3" t="s">
        <v>300</v>
      </c>
      <c r="B54" s="3" t="s">
        <v>46</v>
      </c>
      <c r="C54" s="3" t="s">
        <v>300</v>
      </c>
      <c r="D54" s="3"/>
      <c r="E54" s="3"/>
      <c r="F54" s="3"/>
      <c r="G54" s="3"/>
    </row>
    <row r="55" spans="1:7" x14ac:dyDescent="0.25">
      <c r="A55" s="3" t="s">
        <v>301</v>
      </c>
      <c r="B55" s="3" t="s">
        <v>46</v>
      </c>
      <c r="C55" s="3" t="s">
        <v>301</v>
      </c>
      <c r="D55" s="3"/>
      <c r="E55" s="3"/>
      <c r="F55" s="3"/>
      <c r="G55" s="3"/>
    </row>
    <row r="56" spans="1:7" x14ac:dyDescent="0.25">
      <c r="A56" s="3" t="s">
        <v>302</v>
      </c>
      <c r="B56" s="3" t="s">
        <v>46</v>
      </c>
      <c r="C56" s="3" t="s">
        <v>302</v>
      </c>
      <c r="D56" s="3"/>
      <c r="E56" s="3"/>
      <c r="F56" s="3"/>
      <c r="G56" s="3"/>
    </row>
    <row r="57" spans="1:7" x14ac:dyDescent="0.25">
      <c r="A57" s="3" t="s">
        <v>303</v>
      </c>
      <c r="B57" s="3" t="s">
        <v>46</v>
      </c>
      <c r="C57" s="3" t="s">
        <v>303</v>
      </c>
      <c r="D57" s="3"/>
      <c r="E57" s="3"/>
      <c r="F57" s="3"/>
      <c r="G57" s="3"/>
    </row>
    <row r="58" spans="1:7" x14ac:dyDescent="0.25">
      <c r="A58" s="3" t="s">
        <v>304</v>
      </c>
      <c r="B58" s="3" t="s">
        <v>46</v>
      </c>
      <c r="C58" s="3" t="s">
        <v>304</v>
      </c>
      <c r="D58" s="3"/>
      <c r="E58" s="3"/>
      <c r="F58" s="3"/>
      <c r="G58" s="3"/>
    </row>
    <row r="59" spans="1:7" x14ac:dyDescent="0.25">
      <c r="A59" s="3" t="s">
        <v>305</v>
      </c>
      <c r="B59" s="3" t="s">
        <v>46</v>
      </c>
      <c r="C59" s="3" t="s">
        <v>305</v>
      </c>
      <c r="D59" s="3"/>
      <c r="E59" s="3"/>
      <c r="F59" s="3"/>
      <c r="G59" s="3"/>
    </row>
    <row r="60" spans="1:7" x14ac:dyDescent="0.25">
      <c r="A60" s="3" t="s">
        <v>306</v>
      </c>
      <c r="B60" s="3" t="s">
        <v>46</v>
      </c>
      <c r="C60" s="3" t="s">
        <v>306</v>
      </c>
      <c r="D60" s="3"/>
      <c r="E60" s="3"/>
      <c r="F60" s="3"/>
      <c r="G60" s="3"/>
    </row>
    <row r="61" spans="1:7" x14ac:dyDescent="0.25">
      <c r="A61" s="3" t="s">
        <v>307</v>
      </c>
      <c r="B61" s="3" t="s">
        <v>46</v>
      </c>
      <c r="C61" s="3" t="s">
        <v>307</v>
      </c>
      <c r="D61" s="3"/>
      <c r="E61" s="3"/>
      <c r="F61" s="3"/>
      <c r="G61" s="3"/>
    </row>
    <row r="62" spans="1:7" x14ac:dyDescent="0.25">
      <c r="A62" s="3" t="s">
        <v>308</v>
      </c>
      <c r="B62" s="3" t="s">
        <v>46</v>
      </c>
      <c r="C62" s="3" t="s">
        <v>308</v>
      </c>
      <c r="D62" s="3"/>
      <c r="E62" s="3"/>
      <c r="F62" s="3"/>
      <c r="G62" s="3"/>
    </row>
    <row r="63" spans="1:7" x14ac:dyDescent="0.25">
      <c r="A63" s="3" t="s">
        <v>309</v>
      </c>
      <c r="B63" s="3" t="s">
        <v>46</v>
      </c>
      <c r="C63" s="3" t="s">
        <v>309</v>
      </c>
      <c r="D63" s="3"/>
      <c r="E63" s="3"/>
      <c r="F63" s="3"/>
      <c r="G63" s="3"/>
    </row>
    <row r="64" spans="1:7" x14ac:dyDescent="0.25">
      <c r="A64" s="3" t="s">
        <v>310</v>
      </c>
      <c r="B64" s="3" t="s">
        <v>46</v>
      </c>
      <c r="C64" s="3" t="s">
        <v>310</v>
      </c>
      <c r="D64" s="3"/>
      <c r="E64" s="3"/>
      <c r="F64" s="3"/>
      <c r="G64" s="3"/>
    </row>
    <row r="65" spans="1:7" x14ac:dyDescent="0.25">
      <c r="A65" s="3" t="s">
        <v>311</v>
      </c>
      <c r="B65" s="3" t="s">
        <v>46</v>
      </c>
      <c r="C65" s="3" t="s">
        <v>311</v>
      </c>
      <c r="D65" s="3"/>
      <c r="E65" s="3"/>
      <c r="F65" s="3"/>
      <c r="G65" s="3"/>
    </row>
    <row r="66" spans="1:7" x14ac:dyDescent="0.25">
      <c r="A66" s="3" t="s">
        <v>312</v>
      </c>
      <c r="B66" s="3" t="s">
        <v>46</v>
      </c>
      <c r="C66" s="3" t="s">
        <v>312</v>
      </c>
      <c r="D66" s="3"/>
      <c r="E66" s="3"/>
      <c r="F66" s="3"/>
      <c r="G66" s="3"/>
    </row>
    <row r="67" spans="1:7" x14ac:dyDescent="0.25">
      <c r="A67" s="3" t="s">
        <v>313</v>
      </c>
      <c r="B67" s="3" t="s">
        <v>46</v>
      </c>
      <c r="C67" s="3" t="s">
        <v>313</v>
      </c>
      <c r="D67" s="3"/>
      <c r="E67" s="3"/>
      <c r="F67" s="3"/>
      <c r="G67" s="3"/>
    </row>
    <row r="68" spans="1:7" x14ac:dyDescent="0.25">
      <c r="A68" s="3" t="s">
        <v>314</v>
      </c>
      <c r="B68" s="3" t="s">
        <v>46</v>
      </c>
      <c r="C68" s="3" t="s">
        <v>314</v>
      </c>
      <c r="D68" s="3"/>
      <c r="E68" s="3"/>
      <c r="F68" s="3"/>
      <c r="G68" s="3"/>
    </row>
    <row r="69" spans="1:7" x14ac:dyDescent="0.25">
      <c r="A69" s="3" t="s">
        <v>315</v>
      </c>
      <c r="B69" s="3" t="s">
        <v>46</v>
      </c>
      <c r="C69" s="3" t="s">
        <v>315</v>
      </c>
      <c r="D69" s="3"/>
      <c r="E69" s="3"/>
      <c r="F69" s="3"/>
      <c r="G69" s="3"/>
    </row>
    <row r="70" spans="1:7" x14ac:dyDescent="0.25">
      <c r="A70" s="3" t="s">
        <v>316</v>
      </c>
      <c r="B70" s="3" t="s">
        <v>46</v>
      </c>
      <c r="C70" s="3" t="s">
        <v>316</v>
      </c>
      <c r="D70" s="3"/>
      <c r="E70" s="3"/>
      <c r="F70" s="3"/>
      <c r="G70" s="3"/>
    </row>
    <row r="71" spans="1:7" x14ac:dyDescent="0.25">
      <c r="A71" s="3" t="s">
        <v>317</v>
      </c>
      <c r="B71" s="3" t="s">
        <v>46</v>
      </c>
      <c r="C71" s="3" t="s">
        <v>317</v>
      </c>
      <c r="D71" s="3"/>
      <c r="E71" s="3"/>
      <c r="F71" s="3"/>
      <c r="G71" s="3"/>
    </row>
    <row r="72" spans="1:7" x14ac:dyDescent="0.25">
      <c r="A72" s="3" t="s">
        <v>318</v>
      </c>
      <c r="B72" s="3" t="s">
        <v>46</v>
      </c>
      <c r="C72" s="3" t="s">
        <v>318</v>
      </c>
      <c r="D72" s="3"/>
      <c r="E72" s="3"/>
      <c r="F72" s="3"/>
      <c r="G72" s="3"/>
    </row>
    <row r="73" spans="1:7" x14ac:dyDescent="0.25">
      <c r="A73" s="3" t="s">
        <v>319</v>
      </c>
      <c r="B73" s="3" t="s">
        <v>46</v>
      </c>
      <c r="C73" s="3" t="s">
        <v>319</v>
      </c>
      <c r="D73" s="3"/>
      <c r="E73" s="3"/>
      <c r="F73" s="3"/>
      <c r="G73" s="3"/>
    </row>
    <row r="74" spans="1:7" x14ac:dyDescent="0.25">
      <c r="A74" s="3" t="s">
        <v>320</v>
      </c>
      <c r="B74" s="3" t="s">
        <v>46</v>
      </c>
      <c r="C74" s="3" t="s">
        <v>320</v>
      </c>
      <c r="D74" s="3"/>
      <c r="E74" s="3"/>
      <c r="F74" s="3"/>
      <c r="G74" s="3"/>
    </row>
    <row r="75" spans="1:7" x14ac:dyDescent="0.25">
      <c r="A75" s="3" t="s">
        <v>321</v>
      </c>
      <c r="B75" s="3" t="s">
        <v>46</v>
      </c>
      <c r="C75" s="3" t="s">
        <v>321</v>
      </c>
      <c r="D75" s="3"/>
      <c r="E75" s="3"/>
      <c r="F75" s="3"/>
      <c r="G75" s="3"/>
    </row>
    <row r="76" spans="1:7" x14ac:dyDescent="0.25">
      <c r="A76" s="3" t="s">
        <v>322</v>
      </c>
      <c r="B76" s="3" t="s">
        <v>46</v>
      </c>
      <c r="C76" s="3" t="s">
        <v>322</v>
      </c>
      <c r="D76" s="3"/>
      <c r="E76" s="3"/>
      <c r="F76" s="3"/>
      <c r="G76" s="3"/>
    </row>
    <row r="77" spans="1:7" x14ac:dyDescent="0.25">
      <c r="A77" s="3" t="s">
        <v>323</v>
      </c>
      <c r="B77" s="3" t="s">
        <v>46</v>
      </c>
      <c r="C77" s="3" t="s">
        <v>323</v>
      </c>
      <c r="D77" s="3"/>
      <c r="E77" s="3"/>
      <c r="F77" s="3"/>
      <c r="G77" s="3"/>
    </row>
    <row r="78" spans="1:7" x14ac:dyDescent="0.25">
      <c r="A78" s="3" t="s">
        <v>324</v>
      </c>
      <c r="B78" s="3" t="s">
        <v>46</v>
      </c>
      <c r="C78" s="3" t="s">
        <v>324</v>
      </c>
      <c r="D78" s="3"/>
      <c r="E78" s="3"/>
      <c r="F78" s="3"/>
      <c r="G78" s="3"/>
    </row>
    <row r="79" spans="1:7" x14ac:dyDescent="0.25">
      <c r="A79" s="3" t="s">
        <v>325</v>
      </c>
      <c r="B79" s="3" t="s">
        <v>46</v>
      </c>
      <c r="C79" s="3" t="s">
        <v>325</v>
      </c>
      <c r="D79" s="3"/>
      <c r="E79" s="3"/>
      <c r="F79" s="3"/>
      <c r="G79" s="3"/>
    </row>
    <row r="80" spans="1:7" x14ac:dyDescent="0.25">
      <c r="A80" s="3" t="s">
        <v>326</v>
      </c>
      <c r="B80" s="3" t="s">
        <v>46</v>
      </c>
      <c r="C80" s="3" t="s">
        <v>326</v>
      </c>
      <c r="D80" s="3"/>
      <c r="E80" s="3"/>
      <c r="F80" s="3"/>
      <c r="G80" s="3"/>
    </row>
    <row r="81" spans="1:7" x14ac:dyDescent="0.25">
      <c r="A81" s="3" t="s">
        <v>327</v>
      </c>
      <c r="B81" s="3" t="s">
        <v>46</v>
      </c>
      <c r="C81" s="3" t="s">
        <v>327</v>
      </c>
      <c r="D81" s="3"/>
      <c r="E81" s="3"/>
      <c r="F81" s="3"/>
      <c r="G81" s="3"/>
    </row>
    <row r="82" spans="1:7" x14ac:dyDescent="0.25">
      <c r="A82" s="3" t="s">
        <v>328</v>
      </c>
      <c r="B82" s="3" t="s">
        <v>46</v>
      </c>
      <c r="C82" s="3" t="s">
        <v>328</v>
      </c>
      <c r="D82" s="3"/>
      <c r="E82" s="3"/>
      <c r="F82" s="3"/>
      <c r="G82" s="3"/>
    </row>
    <row r="83" spans="1:7" x14ac:dyDescent="0.25">
      <c r="A83" s="3" t="s">
        <v>329</v>
      </c>
      <c r="B83" s="3" t="s">
        <v>46</v>
      </c>
      <c r="C83" s="3" t="s">
        <v>329</v>
      </c>
      <c r="D83" s="3"/>
      <c r="E83" s="3"/>
      <c r="F83" s="3"/>
      <c r="G83" s="3"/>
    </row>
    <row r="84" spans="1:7" x14ac:dyDescent="0.25">
      <c r="A84" s="3" t="s">
        <v>330</v>
      </c>
      <c r="B84" s="3" t="s">
        <v>46</v>
      </c>
      <c r="C84" s="3" t="s">
        <v>330</v>
      </c>
      <c r="D84" s="3"/>
      <c r="E84" s="3"/>
      <c r="F84" s="3"/>
      <c r="G84" s="3"/>
    </row>
    <row r="85" spans="1:7" x14ac:dyDescent="0.25">
      <c r="A85" s="3" t="s">
        <v>331</v>
      </c>
      <c r="B85" s="3" t="s">
        <v>46</v>
      </c>
      <c r="C85" s="3" t="s">
        <v>331</v>
      </c>
      <c r="D85" s="3"/>
      <c r="E85" s="3"/>
      <c r="F85" s="3"/>
      <c r="G85" s="3"/>
    </row>
    <row r="86" spans="1:7" x14ac:dyDescent="0.25">
      <c r="A86" s="3" t="s">
        <v>332</v>
      </c>
      <c r="B86" s="3" t="s">
        <v>46</v>
      </c>
      <c r="C86" s="3" t="s">
        <v>332</v>
      </c>
      <c r="D86" s="3"/>
      <c r="E86" s="3"/>
      <c r="F86" s="3"/>
      <c r="G86" s="3"/>
    </row>
    <row r="87" spans="1:7" x14ac:dyDescent="0.25">
      <c r="A87" s="3" t="s">
        <v>333</v>
      </c>
      <c r="B87" s="3" t="s">
        <v>46</v>
      </c>
      <c r="C87" s="3" t="s">
        <v>333</v>
      </c>
      <c r="D87" s="3"/>
      <c r="E87" s="3"/>
      <c r="F87" s="3"/>
      <c r="G87" s="3"/>
    </row>
    <row r="88" spans="1:7" x14ac:dyDescent="0.25">
      <c r="A88" s="3" t="s">
        <v>334</v>
      </c>
      <c r="B88" s="3" t="s">
        <v>46</v>
      </c>
      <c r="C88" s="3" t="s">
        <v>334</v>
      </c>
      <c r="D88" s="3"/>
      <c r="E88" s="3"/>
      <c r="F88" s="3"/>
      <c r="G88" s="3"/>
    </row>
    <row r="89" spans="1:7" x14ac:dyDescent="0.25">
      <c r="A89" s="3" t="s">
        <v>335</v>
      </c>
      <c r="B89" s="3" t="s">
        <v>46</v>
      </c>
      <c r="C89" s="3" t="s">
        <v>335</v>
      </c>
      <c r="D89" s="3"/>
      <c r="E89" s="3"/>
      <c r="F89" s="3"/>
      <c r="G89" s="3"/>
    </row>
    <row r="90" spans="1:7" x14ac:dyDescent="0.25">
      <c r="A90" s="3" t="s">
        <v>336</v>
      </c>
      <c r="B90" s="3" t="s">
        <v>46</v>
      </c>
      <c r="C90" s="3" t="s">
        <v>336</v>
      </c>
      <c r="D90" s="3"/>
      <c r="E90" s="3"/>
      <c r="F90" s="3"/>
      <c r="G90" s="3"/>
    </row>
    <row r="91" spans="1:7" x14ac:dyDescent="0.25">
      <c r="A91" s="3" t="s">
        <v>337</v>
      </c>
      <c r="B91" s="3" t="s">
        <v>46</v>
      </c>
      <c r="C91" s="3" t="s">
        <v>337</v>
      </c>
      <c r="D91" s="3"/>
      <c r="E91" s="3"/>
      <c r="F91" s="3"/>
      <c r="G91" s="3"/>
    </row>
    <row r="92" spans="1:7" x14ac:dyDescent="0.25">
      <c r="A92" s="3" t="s">
        <v>338</v>
      </c>
      <c r="B92" s="3" t="s">
        <v>46</v>
      </c>
      <c r="C92" s="3" t="s">
        <v>338</v>
      </c>
      <c r="D92" s="3"/>
      <c r="E92" s="3"/>
      <c r="F92" s="3"/>
      <c r="G92" s="3"/>
    </row>
    <row r="93" spans="1:7" x14ac:dyDescent="0.25">
      <c r="A93" s="3" t="s">
        <v>339</v>
      </c>
      <c r="B93" s="3" t="s">
        <v>46</v>
      </c>
      <c r="C93" s="3" t="s">
        <v>339</v>
      </c>
      <c r="D93" s="3"/>
      <c r="E93" s="3"/>
      <c r="F93" s="3"/>
      <c r="G93" s="3"/>
    </row>
    <row r="94" spans="1:7" x14ac:dyDescent="0.25">
      <c r="A94" s="3" t="s">
        <v>340</v>
      </c>
      <c r="B94" s="3" t="s">
        <v>46</v>
      </c>
      <c r="C94" s="3" t="s">
        <v>340</v>
      </c>
      <c r="D94" s="3"/>
      <c r="E94" s="3"/>
      <c r="F94" s="3"/>
      <c r="G94" s="3"/>
    </row>
    <row r="95" spans="1:7" x14ac:dyDescent="0.25">
      <c r="A95" s="3" t="s">
        <v>341</v>
      </c>
      <c r="B95" s="3" t="s">
        <v>46</v>
      </c>
      <c r="C95" s="3" t="s">
        <v>341</v>
      </c>
      <c r="D95" s="3"/>
      <c r="E95" s="3"/>
      <c r="F95" s="3"/>
      <c r="G95" s="3"/>
    </row>
    <row r="96" spans="1:7" x14ac:dyDescent="0.25">
      <c r="A96" s="3" t="s">
        <v>342</v>
      </c>
      <c r="B96" s="3" t="s">
        <v>46</v>
      </c>
      <c r="C96" s="3" t="s">
        <v>342</v>
      </c>
      <c r="D96" s="3"/>
      <c r="E96" s="3"/>
      <c r="F96" s="3"/>
      <c r="G96" s="3"/>
    </row>
    <row r="97" spans="1:7" x14ac:dyDescent="0.25">
      <c r="A97" s="3" t="s">
        <v>343</v>
      </c>
      <c r="B97" s="3" t="s">
        <v>46</v>
      </c>
      <c r="C97" s="3" t="s">
        <v>343</v>
      </c>
      <c r="D97" s="3"/>
      <c r="E97" s="3"/>
      <c r="F97" s="3"/>
      <c r="G97" s="3"/>
    </row>
    <row r="98" spans="1:7" x14ac:dyDescent="0.25">
      <c r="A98" s="3" t="s">
        <v>344</v>
      </c>
      <c r="B98" s="3" t="s">
        <v>46</v>
      </c>
      <c r="C98" s="3" t="s">
        <v>344</v>
      </c>
      <c r="D98" s="3"/>
      <c r="E98" s="3"/>
      <c r="F98" s="3"/>
      <c r="G98" s="3"/>
    </row>
    <row r="99" spans="1:7" x14ac:dyDescent="0.25">
      <c r="A99" s="3" t="s">
        <v>345</v>
      </c>
      <c r="B99" s="3" t="s">
        <v>46</v>
      </c>
      <c r="C99" s="3" t="s">
        <v>345</v>
      </c>
      <c r="D99" s="3"/>
      <c r="E99" s="3"/>
      <c r="F99" s="3"/>
      <c r="G99" s="3"/>
    </row>
    <row r="100" spans="1:7" x14ac:dyDescent="0.25">
      <c r="A100" s="3" t="s">
        <v>346</v>
      </c>
      <c r="B100" s="3" t="s">
        <v>46</v>
      </c>
      <c r="C100" s="3" t="s">
        <v>346</v>
      </c>
      <c r="D100" s="3"/>
      <c r="E100" s="3"/>
      <c r="F100" s="3"/>
      <c r="G100" s="3"/>
    </row>
    <row r="101" spans="1:7" x14ac:dyDescent="0.25">
      <c r="A101" s="3" t="s">
        <v>347</v>
      </c>
      <c r="B101" s="3" t="s">
        <v>46</v>
      </c>
      <c r="C101" s="3" t="s">
        <v>347</v>
      </c>
      <c r="D101" s="3"/>
      <c r="E101" s="3"/>
      <c r="F101" s="3"/>
      <c r="G101" s="3"/>
    </row>
    <row r="102" spans="1:7" x14ac:dyDescent="0.25">
      <c r="A102" s="3" t="s">
        <v>348</v>
      </c>
      <c r="B102" s="3" t="s">
        <v>46</v>
      </c>
      <c r="C102" s="3" t="s">
        <v>348</v>
      </c>
      <c r="D102" s="3"/>
      <c r="E102" s="3"/>
      <c r="F102" s="3"/>
      <c r="G102" s="3"/>
    </row>
    <row r="103" spans="1:7" x14ac:dyDescent="0.25">
      <c r="A103" s="3" t="s">
        <v>349</v>
      </c>
      <c r="B103" s="3" t="s">
        <v>46</v>
      </c>
      <c r="C103" s="3" t="s">
        <v>349</v>
      </c>
      <c r="D103" s="3"/>
      <c r="E103" s="3"/>
      <c r="F103" s="3"/>
      <c r="G103" s="3"/>
    </row>
    <row r="104" spans="1:7" x14ac:dyDescent="0.25">
      <c r="A104" s="3" t="s">
        <v>350</v>
      </c>
      <c r="B104" s="3" t="s">
        <v>46</v>
      </c>
      <c r="C104" s="3" t="s">
        <v>350</v>
      </c>
      <c r="D104" s="3"/>
      <c r="E104" s="3"/>
      <c r="F104" s="3"/>
      <c r="G104" s="3"/>
    </row>
    <row r="105" spans="1:7" x14ac:dyDescent="0.25">
      <c r="A105" s="3" t="s">
        <v>351</v>
      </c>
      <c r="B105" s="3" t="s">
        <v>46</v>
      </c>
      <c r="C105" s="3" t="s">
        <v>351</v>
      </c>
      <c r="D105" s="3"/>
      <c r="E105" s="3"/>
      <c r="F105" s="3"/>
      <c r="G105" s="3"/>
    </row>
    <row r="106" spans="1:7" x14ac:dyDescent="0.25">
      <c r="A106" s="3" t="s">
        <v>352</v>
      </c>
      <c r="B106" s="3" t="s">
        <v>46</v>
      </c>
      <c r="C106" s="3" t="s">
        <v>352</v>
      </c>
      <c r="D106" s="3"/>
      <c r="E106" s="3"/>
      <c r="F106" s="3"/>
      <c r="G106" s="3"/>
    </row>
  </sheetData>
  <autoFilter ref="A1:G106" xr:uid="{00000000-0009-0000-0000-00003B010000}"/>
  <dataValidations count="3">
    <dataValidation type="list" allowBlank="1" showErrorMessage="1" errorTitle="Invalid value" error="Choose a value from the Periods list." sqref="B2:B5000" xr:uid="{00000000-0002-0000-3B01-000000000000}">
      <formula1>"2026-07"</formula1>
    </dataValidation>
    <dataValidation type="list" allowBlank="1" showErrorMessage="1" errorTitle="Invalid value" error="Choose a value from the OrderSides list." sqref="D2:D5000" xr:uid="{00000000-0002-0000-3B01-000001000000}">
      <formula1>"CREATE,REDEEM"</formula1>
    </dataValidation>
    <dataValidation type="list" allowBlank="1" showErrorMessage="1" errorTitle="Invalid value" error="Choose a value from the OrderStatuses list." sqref="G2:G5000" xr:uid="{00000000-0002-0000-3B01-000002000000}">
      <formula1>"ACCEPTED,CANCELLED"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316</vt:i4>
      </vt:variant>
    </vt:vector>
  </HeadingPairs>
  <TitlesOfParts>
    <vt:vector size="316" baseType="lpstr">
      <vt:lpstr>ACLZ_Config</vt:lpstr>
      <vt:lpstr>ACLZ_FundData</vt:lpstr>
      <vt:lpstr>ACLZ_Positions</vt:lpstr>
      <vt:lpstr>ACMM_Config</vt:lpstr>
      <vt:lpstr>ACMM_FundData</vt:lpstr>
      <vt:lpstr>ACMM_Positions</vt:lpstr>
      <vt:lpstr>AV_Config</vt:lpstr>
      <vt:lpstr>AV_FundData</vt:lpstr>
      <vt:lpstr>AV_Positions</vt:lpstr>
      <vt:lpstr>BAY_Config</vt:lpstr>
      <vt:lpstr>BAY_FundData</vt:lpstr>
      <vt:lpstr>BAY_Positions</vt:lpstr>
      <vt:lpstr>BLCK_Config</vt:lpstr>
      <vt:lpstr>BLCK_FundData</vt:lpstr>
      <vt:lpstr>BLCK_Positions</vt:lpstr>
      <vt:lpstr>BREW_Config</vt:lpstr>
      <vt:lpstr>BREW_FundData</vt:lpstr>
      <vt:lpstr>BREW_Positions</vt:lpstr>
      <vt:lpstr>BRZX_Config</vt:lpstr>
      <vt:lpstr>BRZX_FundData</vt:lpstr>
      <vt:lpstr>BRZX_Positions</vt:lpstr>
      <vt:lpstr>BZZ_Config</vt:lpstr>
      <vt:lpstr>BZZ_FundData</vt:lpstr>
      <vt:lpstr>BZZ_Positions</vt:lpstr>
      <vt:lpstr>CAMC_Config</vt:lpstr>
      <vt:lpstr>CAMC_FundData</vt:lpstr>
      <vt:lpstr>CAMC_Positions</vt:lpstr>
      <vt:lpstr>CARX_Config</vt:lpstr>
      <vt:lpstr>CARX_FundData</vt:lpstr>
      <vt:lpstr>CARX_Positions</vt:lpstr>
      <vt:lpstr>CBIL_Config</vt:lpstr>
      <vt:lpstr>CBIL_FundData</vt:lpstr>
      <vt:lpstr>CBIL_Positions</vt:lpstr>
      <vt:lpstr>CBOT_Config</vt:lpstr>
      <vt:lpstr>CBOT_FundData</vt:lpstr>
      <vt:lpstr>CBOT_Positions</vt:lpstr>
      <vt:lpstr>CCPX_Config</vt:lpstr>
      <vt:lpstr>CCPX_FundData</vt:lpstr>
      <vt:lpstr>CCPX_Positions</vt:lpstr>
      <vt:lpstr>CGOV_Config</vt:lpstr>
      <vt:lpstr>CGOV_FundData</vt:lpstr>
      <vt:lpstr>CGOV_Positions</vt:lpstr>
      <vt:lpstr>CHYG_Config</vt:lpstr>
      <vt:lpstr>CHYG_FundData</vt:lpstr>
      <vt:lpstr>CHYG_Positions</vt:lpstr>
      <vt:lpstr>CIEI_Config</vt:lpstr>
      <vt:lpstr>CIEI_FundData</vt:lpstr>
      <vt:lpstr>CIEI_Positions</vt:lpstr>
      <vt:lpstr>CIVG_Config</vt:lpstr>
      <vt:lpstr>CIVG_FundData</vt:lpstr>
      <vt:lpstr>CIVG_Positions</vt:lpstr>
      <vt:lpstr>CJUN_Config</vt:lpstr>
      <vt:lpstr>CJUN_FundData</vt:lpstr>
      <vt:lpstr>CJUN_Positions</vt:lpstr>
      <vt:lpstr>CMAG_Config</vt:lpstr>
      <vt:lpstr>CMAG_FundData</vt:lpstr>
      <vt:lpstr>CMAG_Positions</vt:lpstr>
      <vt:lpstr>CMAY_Config</vt:lpstr>
      <vt:lpstr>CMAY_FundData</vt:lpstr>
      <vt:lpstr>CMAY_Positions</vt:lpstr>
      <vt:lpstr>CQTM_Config</vt:lpstr>
      <vt:lpstr>CQTM_FundData</vt:lpstr>
      <vt:lpstr>CQTM_Positions</vt:lpstr>
      <vt:lpstr>CRUC_Config</vt:lpstr>
      <vt:lpstr>CRUC_FundData</vt:lpstr>
      <vt:lpstr>CRUC_Positions</vt:lpstr>
      <vt:lpstr>CTJN_Config</vt:lpstr>
      <vt:lpstr>CTJN_FundData</vt:lpstr>
      <vt:lpstr>CTJN_Positions</vt:lpstr>
      <vt:lpstr>CTMA_Config</vt:lpstr>
      <vt:lpstr>CTMA_FundData</vt:lpstr>
      <vt:lpstr>CTMA_Positions</vt:lpstr>
      <vt:lpstr>CUST_Config</vt:lpstr>
      <vt:lpstr>CUST_FundData</vt:lpstr>
      <vt:lpstr>CUST_Positions</vt:lpstr>
      <vt:lpstr>DIPR_Config</vt:lpstr>
      <vt:lpstr>DIPR_FundData</vt:lpstr>
      <vt:lpstr>DIPR_Positions</vt:lpstr>
      <vt:lpstr>DOCK_Config</vt:lpstr>
      <vt:lpstr>DOCK_FundData</vt:lpstr>
      <vt:lpstr>DOCK_Positions</vt:lpstr>
      <vt:lpstr>EMJN_Config</vt:lpstr>
      <vt:lpstr>EMJN_FundData</vt:lpstr>
      <vt:lpstr>EMJN_Positions</vt:lpstr>
      <vt:lpstr>EMMY_Config</vt:lpstr>
      <vt:lpstr>EMMY_FundData</vt:lpstr>
      <vt:lpstr>EMMY_Positions</vt:lpstr>
      <vt:lpstr>EMXX_Config</vt:lpstr>
      <vt:lpstr>EMXX_FundData</vt:lpstr>
      <vt:lpstr>EMXX_Positions</vt:lpstr>
      <vt:lpstr>EUV_Config</vt:lpstr>
      <vt:lpstr>EUV_FundData</vt:lpstr>
      <vt:lpstr>EUV_Positions</vt:lpstr>
      <vt:lpstr>EUVX_Config</vt:lpstr>
      <vt:lpstr>EUVX_FundData</vt:lpstr>
      <vt:lpstr>EUVX_Positions</vt:lpstr>
      <vt:lpstr>EYES_Config</vt:lpstr>
      <vt:lpstr>EYES_FundData</vt:lpstr>
      <vt:lpstr>EYES_Positions</vt:lpstr>
      <vt:lpstr>FDRS_Config</vt:lpstr>
      <vt:lpstr>FDRS_FundData</vt:lpstr>
      <vt:lpstr>FDRS_Positions</vt:lpstr>
      <vt:lpstr>FDRX_Config</vt:lpstr>
      <vt:lpstr>FDRX_FundData</vt:lpstr>
      <vt:lpstr>FDRX_Positions</vt:lpstr>
      <vt:lpstr>GASZ_Config</vt:lpstr>
      <vt:lpstr>GASZ_FundData</vt:lpstr>
      <vt:lpstr>GASZ_Positions</vt:lpstr>
      <vt:lpstr>GLAM_Config</vt:lpstr>
      <vt:lpstr>GLAM_FundData</vt:lpstr>
      <vt:lpstr>GLAM_Positions</vt:lpstr>
      <vt:lpstr>GNMX_Config</vt:lpstr>
      <vt:lpstr>GNMX_FundData</vt:lpstr>
      <vt:lpstr>GNMX_Positions</vt:lpstr>
      <vt:lpstr>GPTZ_Config</vt:lpstr>
      <vt:lpstr>GPTZ_FundData</vt:lpstr>
      <vt:lpstr>GPTZ_Positions</vt:lpstr>
      <vt:lpstr>HJUN_Config</vt:lpstr>
      <vt:lpstr>HJUN_FundData</vt:lpstr>
      <vt:lpstr>HJUN_Positions</vt:lpstr>
      <vt:lpstr>HMAY_Config</vt:lpstr>
      <vt:lpstr>HMAY_FundData</vt:lpstr>
      <vt:lpstr>HMAY_Positions</vt:lpstr>
      <vt:lpstr>HULL_Config</vt:lpstr>
      <vt:lpstr>HULL_FundData</vt:lpstr>
      <vt:lpstr>HULL_Positions</vt:lpstr>
      <vt:lpstr>IDJN_Config</vt:lpstr>
      <vt:lpstr>IDJN_FundData</vt:lpstr>
      <vt:lpstr>IDJN_Positions</vt:lpstr>
      <vt:lpstr>IDMY_Config</vt:lpstr>
      <vt:lpstr>IDMY_FundData</vt:lpstr>
      <vt:lpstr>IDMY_Positions</vt:lpstr>
      <vt:lpstr>JOUL_Config</vt:lpstr>
      <vt:lpstr>JOUL_FundData</vt:lpstr>
      <vt:lpstr>JOUL_Positions</vt:lpstr>
      <vt:lpstr>JUNC_Config</vt:lpstr>
      <vt:lpstr>JUNC_FundData</vt:lpstr>
      <vt:lpstr>JUNC_Positions</vt:lpstr>
      <vt:lpstr>KEYX_Config</vt:lpstr>
      <vt:lpstr>KEYX_FundData</vt:lpstr>
      <vt:lpstr>KEYX_Positions</vt:lpstr>
      <vt:lpstr>KRWX_Config</vt:lpstr>
      <vt:lpstr>KRWX_FundData</vt:lpstr>
      <vt:lpstr>KRWX_Positions</vt:lpstr>
      <vt:lpstr>KYC_Config</vt:lpstr>
      <vt:lpstr>KYC_FundData</vt:lpstr>
      <vt:lpstr>KYC_Positions</vt:lpstr>
      <vt:lpstr>LASC_Config</vt:lpstr>
      <vt:lpstr>LASC_FundData</vt:lpstr>
      <vt:lpstr>LASC_Positions</vt:lpstr>
      <vt:lpstr>LATR_Config</vt:lpstr>
      <vt:lpstr>LATR_FundData</vt:lpstr>
      <vt:lpstr>LATR_Positions</vt:lpstr>
      <vt:lpstr>LRNX_Config</vt:lpstr>
      <vt:lpstr>LRNX_FundData</vt:lpstr>
      <vt:lpstr>LRNX_Positions</vt:lpstr>
      <vt:lpstr>MAYC_Config</vt:lpstr>
      <vt:lpstr>MAYC_FundData</vt:lpstr>
      <vt:lpstr>MAYC_Positions</vt:lpstr>
      <vt:lpstr>MGKX_Config</vt:lpstr>
      <vt:lpstr>MGKX_FundData</vt:lpstr>
      <vt:lpstr>MGKX_Positions</vt:lpstr>
      <vt:lpstr>MNSX_Config</vt:lpstr>
      <vt:lpstr>MNSX_FundData</vt:lpstr>
      <vt:lpstr>MNSX_Positions</vt:lpstr>
      <vt:lpstr>MSIX_Config</vt:lpstr>
      <vt:lpstr>MSIX_FundData</vt:lpstr>
      <vt:lpstr>MSIX_Positions</vt:lpstr>
      <vt:lpstr>NYNY_Config</vt:lpstr>
      <vt:lpstr>NYNY_FundData</vt:lpstr>
      <vt:lpstr>NYNY_Positions</vt:lpstr>
      <vt:lpstr>ODDZ_Config</vt:lpstr>
      <vt:lpstr>ODDZ_FundData</vt:lpstr>
      <vt:lpstr>ODDZ_Positions</vt:lpstr>
      <vt:lpstr>ONTX_Config</vt:lpstr>
      <vt:lpstr>ONTX_FundData</vt:lpstr>
      <vt:lpstr>ONTX_Positions</vt:lpstr>
      <vt:lpstr>OWN_Config</vt:lpstr>
      <vt:lpstr>OWN_FundData</vt:lpstr>
      <vt:lpstr>OWN_Positions</vt:lpstr>
      <vt:lpstr>PTNT_Config</vt:lpstr>
      <vt:lpstr>PTNT_FundData</vt:lpstr>
      <vt:lpstr>PTNT_Positions</vt:lpstr>
      <vt:lpstr>QJN_Config</vt:lpstr>
      <vt:lpstr>QJN_FundData</vt:lpstr>
      <vt:lpstr>QJN_Positions</vt:lpstr>
      <vt:lpstr>QMY_Config</vt:lpstr>
      <vt:lpstr>QMY_FundData</vt:lpstr>
      <vt:lpstr>QMY_Positions</vt:lpstr>
      <vt:lpstr>QQJN_Config</vt:lpstr>
      <vt:lpstr>QQJN_FundData</vt:lpstr>
      <vt:lpstr>QQJN_Positions</vt:lpstr>
      <vt:lpstr>QQMY_Config</vt:lpstr>
      <vt:lpstr>QQMY_FundData</vt:lpstr>
      <vt:lpstr>QQMY_Positions</vt:lpstr>
      <vt:lpstr>RMBC_Config</vt:lpstr>
      <vt:lpstr>RMBC_FundData</vt:lpstr>
      <vt:lpstr>RMBC_Positions</vt:lpstr>
      <vt:lpstr>SCJN_Config</vt:lpstr>
      <vt:lpstr>SCJN_FundData</vt:lpstr>
      <vt:lpstr>SCJN_Positions</vt:lpstr>
      <vt:lpstr>SCMY_Config</vt:lpstr>
      <vt:lpstr>SCMY_FundData</vt:lpstr>
      <vt:lpstr>SCMY_Positions</vt:lpstr>
      <vt:lpstr>SIMX_Config</vt:lpstr>
      <vt:lpstr>SIMX_FundData</vt:lpstr>
      <vt:lpstr>SIMX_Positions</vt:lpstr>
      <vt:lpstr>STYL_Config</vt:lpstr>
      <vt:lpstr>STYL_FundData</vt:lpstr>
      <vt:lpstr>STYL_Positions</vt:lpstr>
      <vt:lpstr>TAJX_Config</vt:lpstr>
      <vt:lpstr>TAJX_FundData</vt:lpstr>
      <vt:lpstr>TAJX_Positions</vt:lpstr>
      <vt:lpstr>TPLX_Config</vt:lpstr>
      <vt:lpstr>TPLX_FundData</vt:lpstr>
      <vt:lpstr>TPLX_Positions</vt:lpstr>
      <vt:lpstr>UMCX_Config</vt:lpstr>
      <vt:lpstr>UMCX_FundData</vt:lpstr>
      <vt:lpstr>UMCX_Positions</vt:lpstr>
      <vt:lpstr>USX_Config</vt:lpstr>
      <vt:lpstr>USX_FundData</vt:lpstr>
      <vt:lpstr>USX_Positions</vt:lpstr>
      <vt:lpstr>VBX_Config</vt:lpstr>
      <vt:lpstr>VBX_FundData</vt:lpstr>
      <vt:lpstr>VBX_Positions</vt:lpstr>
      <vt:lpstr>VOOX_Config</vt:lpstr>
      <vt:lpstr>VOOX_FundData</vt:lpstr>
      <vt:lpstr>VOOX_Positions</vt:lpstr>
      <vt:lpstr>WATS_Config</vt:lpstr>
      <vt:lpstr>WATS_FundData</vt:lpstr>
      <vt:lpstr>WATS_Positions</vt:lpstr>
      <vt:lpstr>WEBX_Config</vt:lpstr>
      <vt:lpstr>WEBX_FundData</vt:lpstr>
      <vt:lpstr>WEBX_Positions</vt:lpstr>
      <vt:lpstr>WNDR_Config</vt:lpstr>
      <vt:lpstr>WNDR_FundData</vt:lpstr>
      <vt:lpstr>WNDR_Positions</vt:lpstr>
      <vt:lpstr>WR_Config</vt:lpstr>
      <vt:lpstr>WR_FundData</vt:lpstr>
      <vt:lpstr>WR_Positions</vt:lpstr>
      <vt:lpstr>WX_Config</vt:lpstr>
      <vt:lpstr>WX_FundData</vt:lpstr>
      <vt:lpstr>WX_Positions</vt:lpstr>
      <vt:lpstr>XA_Config</vt:lpstr>
      <vt:lpstr>XA_FundData</vt:lpstr>
      <vt:lpstr>XA_Positions</vt:lpstr>
      <vt:lpstr>XAGI_Config</vt:lpstr>
      <vt:lpstr>XAGI_FundData</vt:lpstr>
      <vt:lpstr>XAGI_Positions</vt:lpstr>
      <vt:lpstr>XBIX_Config</vt:lpstr>
      <vt:lpstr>XBIX_FundData</vt:lpstr>
      <vt:lpstr>XBIX_Positions</vt:lpstr>
      <vt:lpstr>XCOM_Config</vt:lpstr>
      <vt:lpstr>XCOM_FundData</vt:lpstr>
      <vt:lpstr>XCOM_Positions</vt:lpstr>
      <vt:lpstr>XEUR_Config</vt:lpstr>
      <vt:lpstr>XEUR_FundData</vt:lpstr>
      <vt:lpstr>XEUR_Positions</vt:lpstr>
      <vt:lpstr>XHOA_Config</vt:lpstr>
      <vt:lpstr>XHOA_FundData</vt:lpstr>
      <vt:lpstr>XHOA_Positions</vt:lpstr>
      <vt:lpstr>XIWC_Config</vt:lpstr>
      <vt:lpstr>XIWC_FundData</vt:lpstr>
      <vt:lpstr>XIWC_Positions</vt:lpstr>
      <vt:lpstr>XKRE_Config</vt:lpstr>
      <vt:lpstr>XKRE_FundData</vt:lpstr>
      <vt:lpstr>XKRE_Positions</vt:lpstr>
      <vt:lpstr>XLBX_Config</vt:lpstr>
      <vt:lpstr>XLBX_FundData</vt:lpstr>
      <vt:lpstr>XLBX_Positions</vt:lpstr>
      <vt:lpstr>XLEX_Config</vt:lpstr>
      <vt:lpstr>XLEX_FundData</vt:lpstr>
      <vt:lpstr>XLEX_Positions</vt:lpstr>
      <vt:lpstr>XLFX_Config</vt:lpstr>
      <vt:lpstr>XLFX_FundData</vt:lpstr>
      <vt:lpstr>XLFX_Positions</vt:lpstr>
      <vt:lpstr>XLIX_Config</vt:lpstr>
      <vt:lpstr>XLIX_FundData</vt:lpstr>
      <vt:lpstr>XLIX_Positions</vt:lpstr>
      <vt:lpstr>XLKX_Config</vt:lpstr>
      <vt:lpstr>XLKX_FundData</vt:lpstr>
      <vt:lpstr>XLKX_Positions</vt:lpstr>
      <vt:lpstr>XLPX_Config</vt:lpstr>
      <vt:lpstr>XLPX_FundData</vt:lpstr>
      <vt:lpstr>XLPX_Positions</vt:lpstr>
      <vt:lpstr>XLUX_Config</vt:lpstr>
      <vt:lpstr>XLUX_FundData</vt:lpstr>
      <vt:lpstr>XLUX_Positions</vt:lpstr>
      <vt:lpstr>XLVX_Config</vt:lpstr>
      <vt:lpstr>XLVX_FundData</vt:lpstr>
      <vt:lpstr>XLVX_Positions</vt:lpstr>
      <vt:lpstr>XLYX_Config</vt:lpstr>
      <vt:lpstr>XLYX_FundData</vt:lpstr>
      <vt:lpstr>XLYX_Positions</vt:lpstr>
      <vt:lpstr>XPAV_Config</vt:lpstr>
      <vt:lpstr>XPAV_FundData</vt:lpstr>
      <vt:lpstr>XPAV_Positions</vt:lpstr>
      <vt:lpstr>XSEM_Config</vt:lpstr>
      <vt:lpstr>XSEM_FundData</vt:lpstr>
      <vt:lpstr>XSEM_Positions</vt:lpstr>
      <vt:lpstr>XTAI_Config</vt:lpstr>
      <vt:lpstr>XTAI_FundData</vt:lpstr>
      <vt:lpstr>XTAI_Positions</vt:lpstr>
      <vt:lpstr>XVO_Config</vt:lpstr>
      <vt:lpstr>XVO_FundData</vt:lpstr>
      <vt:lpstr>XVO_Positions</vt:lpstr>
      <vt:lpstr>XVUG_Config</vt:lpstr>
      <vt:lpstr>XVUG_FundData</vt:lpstr>
      <vt:lpstr>XVUG_Positions</vt:lpstr>
      <vt:lpstr>XW_Config</vt:lpstr>
      <vt:lpstr>XW_FundData</vt:lpstr>
      <vt:lpstr>XW_Positions</vt:lpstr>
      <vt:lpstr>YUNG_Config</vt:lpstr>
      <vt:lpstr>YUNG_FundData</vt:lpstr>
      <vt:lpstr>YUNG_Positions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Damien Wiese</cp:lastModifiedBy>
  <dcterms:created xsi:type="dcterms:W3CDTF">2026-09-04T22:01:00Z</dcterms:created>
  <dcterms:modified xsi:type="dcterms:W3CDTF">2026-09-04T22:04:49Z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portFormatVersion">
    <vt:lpwstr>3</vt:lpwstr>
  </property>
  <property fmtid="{D5CDD505-2E9C-101B-9397-08002B2CF9AE}" pid="3" name="nportSchemaVersion">
    <vt:lpwstr>1.13</vt:lpwstr>
  </property>
  <property fmtid="{D5CDD505-2E9C-101B-9397-08002B2CF9AE}" pid="4" name="nportPeriods">
    <vt:lpwstr>2026-07</vt:lpwstr>
  </property>
  <property fmtid="{D5CDD505-2E9C-101B-9397-08002B2CF9AE}" pid="5" name="nportFunds">
    <vt:lpwstr>ACLZ;ACMM;AV;BAY;BLCK;BREW;BRZX;BZZ;CAMC;CARX;CBIL;CBOT;CCPX;CGOV;CHYG;CIEI;CIVG;CJUN;CMAG;CMAY;CQTM;CRUC;CTJN;CTMA;CUST;DIPR;DOCK;EMJN;EMMY;EMXX;EUV;EUVX;EYES;FDRS;FDRX;GASZ;GLAM;GNMX;GPTZ;HJUN;HMAY;HULL;IDJN;IDMY;JOUL;JUNC;KEYX;KRWX;KYC;LASC;LATR;LRNX;MAYC;MGKX;MNSX;MSIX;NYNY;ODDZ;ONTX;OWN;PTNT;QJN;QMY;QQJN;QQMY;RMBC;SCJN;SCMY;SIMX;STYL;TAJX;TPLX;UMCX;USX;VBX;VOOX;WATS;WEBX;WNDR;WR;WX;XA;XAGI;XBIX;XCOM;XEUR;XHOA;XIWC;XKRE;XLBX;XLEX;XLFX;XLIX;XLKX;XLPX;XLUX;XLVX;XLYX;XPAV;XSEM;XTAI;XVO;XVUG;XW;YUNG</vt:lpwstr>
  </property>
</Properties>
</file>