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usto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bbgid</t>
        </is>
      </c>
      <c r="C1" t="inlineStr">
        <is>
          <t>rawTicker</t>
        </is>
      </c>
      <c r="D1" t="inlineStr">
        <is>
          <t>name</t>
        </is>
      </c>
      <c r="E1" t="inlineStr">
        <is>
          <t>lei</t>
        </is>
      </c>
      <c r="F1" t="inlineStr">
        <is>
          <t>title</t>
        </is>
      </c>
      <c r="G1" t="inlineStr">
        <is>
          <t>cusip</t>
        </is>
      </c>
      <c r="H1" t="inlineStr">
        <is>
          <t>isin</t>
        </is>
      </c>
      <c r="I1" t="inlineStr">
        <is>
          <t>ticker</t>
        </is>
      </c>
      <c r="J1" t="inlineStr">
        <is>
          <t>invCountry</t>
        </is>
      </c>
      <c r="K1" t="inlineStr">
        <is>
          <t>assetCat</t>
        </is>
      </c>
      <c r="L1" t="inlineStr">
        <is>
          <t>issuerCat</t>
        </is>
      </c>
      <c r="M1" t="inlineStr">
        <is>
          <t>derivCat</t>
        </is>
      </c>
      <c r="N1" t="inlineStr">
        <is>
          <t>counterpartyName</t>
        </is>
      </c>
      <c r="O1" t="inlineStr">
        <is>
          <t>counterpartyLei</t>
        </is>
      </c>
      <c r="P1" t="inlineStr">
        <is>
          <t>putOrCall</t>
        </is>
      </c>
      <c r="Q1" t="inlineStr">
        <is>
          <t>writtenOrPur</t>
        </is>
      </c>
      <c r="R1" t="inlineStr">
        <is>
          <t>exercisePrice</t>
        </is>
      </c>
      <c r="S1" t="inlineStr">
        <is>
          <t>exercisePriceCurCd</t>
        </is>
      </c>
      <c r="T1" t="inlineStr">
        <is>
          <t>expDt</t>
        </is>
      </c>
      <c r="U1" t="inlineStr">
        <is>
          <t>delta</t>
        </is>
      </c>
      <c r="V1" t="inlineStr">
        <is>
          <t>refInstType</t>
        </is>
      </c>
      <c r="W1" t="inlineStr">
        <is>
          <t>refIndexName</t>
        </is>
      </c>
      <c r="X1" t="inlineStr">
        <is>
          <t>refIndexIdentifier</t>
        </is>
      </c>
      <c r="Y1" t="inlineStr">
        <is>
          <t>swapFlag</t>
        </is>
      </c>
      <c r="Z1" t="inlineStr">
        <is>
          <t>terminationDt</t>
        </is>
      </c>
      <c r="AA1" t="inlineStr">
        <is>
          <t>notionalAmt</t>
        </is>
      </c>
      <c r="AB1" t="inlineStr">
        <is>
          <t>swapCurCd</t>
        </is>
      </c>
      <c r="AC1" t="inlineStr">
        <is>
          <t>unrealizedAppr</t>
        </is>
      </c>
      <c r="AD1" t="inlineStr">
        <is>
          <t>valUSD</t>
        </is>
      </c>
      <c r="AE1" t="inlineStr">
        <is>
          <t>pctVal</t>
        </is>
      </c>
      <c r="AF1" t="inlineStr">
        <is>
          <t>recFixedOrFloating</t>
        </is>
      </c>
      <c r="AG1" t="inlineStr">
        <is>
          <t>recDesc</t>
        </is>
      </c>
      <c r="AH1" t="inlineStr">
        <is>
          <t>pmntFixedOrFloating</t>
        </is>
      </c>
      <c r="AI1" t="inlineStr">
        <is>
          <t>pmntFloatingRtIndex</t>
        </is>
      </c>
      <c r="AJ1" t="inlineStr">
        <is>
          <t>pmntFloatingRtSpread</t>
        </is>
      </c>
      <c r="AK1" t="inlineStr">
        <is>
          <t>pmntPmntAmt</t>
        </is>
      </c>
      <c r="AL1" t="inlineStr">
        <is>
          <t>pmntCurCdLeg</t>
        </is>
      </c>
      <c r="AM1" t="inlineStr">
        <is>
          <t>pmntRateTenor</t>
        </is>
      </c>
      <c r="AN1" t="inlineStr">
        <is>
          <t>pmntRateUnit</t>
        </is>
      </c>
      <c r="AO1" t="inlineStr">
        <is>
          <t>refIssuerName</t>
        </is>
      </c>
      <c r="AP1" t="inlineStr">
        <is>
          <t>refIssueTitle</t>
        </is>
      </c>
      <c r="AQ1" t="inlineStr">
        <is>
          <t>refCusip</t>
        </is>
      </c>
      <c r="AR1" t="inlineStr">
        <is>
          <t>refIsin</t>
        </is>
      </c>
      <c r="AS1" t="inlineStr">
        <is>
          <t>refTicker</t>
        </is>
      </c>
      <c r="AT1" t="inlineStr">
        <is>
          <t>maturityDt</t>
        </is>
      </c>
      <c r="AU1" t="inlineStr">
        <is>
          <t>couponKind</t>
        </is>
      </c>
      <c r="AV1" t="inlineStr">
        <is>
          <t>annualizedRt</t>
        </is>
      </c>
      <c r="AW1" t="inlineStr">
        <is>
          <t>isDefault</t>
        </is>
      </c>
      <c r="AX1" t="inlineStr">
        <is>
          <t>areIntrstPmntsInArrs</t>
        </is>
      </c>
      <c r="AY1" t="inlineStr">
        <is>
          <t>isPaidKind</t>
        </is>
      </c>
    </row>
    <row r="2">
      <c r="A2" t="inlineStr">
        <is>
          <t>GPTZ</t>
        </is>
      </c>
      <c r="B2" t="inlineStr"/>
      <c r="C2" s="1" t="inlineStr">
        <is>
          <t>Cash&amp;Other</t>
        </is>
      </c>
      <c r="D2" t="inlineStr"/>
      <c r="E2" s="1" t="inlineStr"/>
      <c r="F2" t="inlineStr"/>
      <c r="G2">
        <f>custodian!D2</f>
        <v/>
      </c>
      <c r="H2" s="1" t="inlineStr"/>
      <c r="I2" s="1" t="inlineStr"/>
      <c r="J2" t="inlineStr"/>
      <c r="K2" t="inlineStr"/>
      <c r="L2" t="inlineStr"/>
      <c r="M2" t="inlineStr"/>
      <c r="N2" t="inlineStr"/>
      <c r="O2" s="1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s="1" t="inlineStr"/>
      <c r="AR2" s="1" t="inlineStr"/>
      <c r="AS2" s="1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ACLZ</t>
        </is>
      </c>
      <c r="B3" t="inlineStr">
        <is>
          <t>054540208 Equity</t>
        </is>
      </c>
      <c r="C3" s="1" t="inlineStr">
        <is>
          <t>054540208-TRS-12/01/27-L-CANT</t>
        </is>
      </c>
      <c r="D3" t="inlineStr">
        <is>
          <t>N/A</t>
        </is>
      </c>
      <c r="E3" s="1" t="inlineStr">
        <is>
          <t>N/A</t>
        </is>
      </c>
      <c r="F3" t="inlineStr">
        <is>
          <t>AXCELIS TECHNOLOGIES, INC.-SWAP-CANT-L</t>
        </is>
      </c>
      <c r="G3">
        <f>custodian!D3</f>
        <v/>
      </c>
      <c r="H3" s="1" t="inlineStr"/>
      <c r="I3" s="1" t="inlineStr">
        <is>
          <t>054540208-TRS-12/01/27-L-CANT</t>
        </is>
      </c>
      <c r="J3" t="inlineStr">
        <is>
          <t>US</t>
        </is>
      </c>
      <c r="K3" t="inlineStr">
        <is>
          <t>DE</t>
        </is>
      </c>
      <c r="L3" t="inlineStr">
        <is>
          <t>OTHER</t>
        </is>
      </c>
      <c r="M3" t="inlineStr">
        <is>
          <t>SWP</t>
        </is>
      </c>
      <c r="N3" t="inlineStr"/>
      <c r="O3" s="1" t="inlineStr"/>
      <c r="P3" t="inlineStr"/>
      <c r="Q3" t="inlineStr"/>
      <c r="R3" t="inlineStr"/>
      <c r="S3" t="inlineStr"/>
      <c r="T3" t="inlineStr"/>
      <c r="U3" t="inlineStr"/>
      <c r="V3" t="inlineStr">
        <is>
          <t>otherRefInst</t>
        </is>
      </c>
      <c r="W3" t="inlineStr"/>
      <c r="X3" t="inlineStr"/>
      <c r="Y3" t="inlineStr">
        <is>
          <t>Y</t>
        </is>
      </c>
      <c r="Z3" t="inlineStr">
        <is>
          <t>2027-12-01</t>
        </is>
      </c>
      <c r="AA3" t="inlineStr">
        <is>
          <t>485785.16</t>
        </is>
      </c>
      <c r="AB3" t="inlineStr">
        <is>
          <t>USD</t>
        </is>
      </c>
      <c r="AC3" t="inlineStr">
        <is>
          <t>-6321.11</t>
        </is>
      </c>
      <c r="AD3" t="inlineStr">
        <is>
          <t>-6321.11</t>
        </is>
      </c>
      <c r="AE3" t="inlineStr">
        <is>
          <t>-2.59</t>
        </is>
      </c>
      <c r="AF3" t="inlineStr"/>
      <c r="AG3" t="inlineStr"/>
      <c r="AH3" t="inlineStr">
        <is>
          <t>Floating</t>
        </is>
      </c>
      <c r="AI3" t="inlineStr"/>
      <c r="AJ3" t="inlineStr"/>
      <c r="AK3" t="inlineStr">
        <is>
          <t>485785.16</t>
        </is>
      </c>
      <c r="AL3" t="inlineStr">
        <is>
          <t>USD</t>
        </is>
      </c>
      <c r="AM3" t="inlineStr"/>
      <c r="AN3" t="inlineStr"/>
      <c r="AO3">
        <f>BDP($B3,"ISSUER")</f>
        <v/>
      </c>
      <c r="AP3">
        <f>BDP($B3,"NAME")</f>
        <v/>
      </c>
      <c r="AQ3" s="1" t="inlineStr">
        <is>
          <t>054540208</t>
        </is>
      </c>
      <c r="AR3">
        <f>BDP($B3,"ID_ISIN")</f>
        <v/>
      </c>
      <c r="AS3">
        <f>BDP($B3,"TICKER")</f>
        <v/>
      </c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ACLZ</t>
        </is>
      </c>
      <c r="B4" t="inlineStr">
        <is>
          <t>FGXXX US Equity</t>
        </is>
      </c>
      <c r="C4" s="1" t="inlineStr">
        <is>
          <t>FGXXX</t>
        </is>
      </c>
      <c r="D4" t="inlineStr">
        <is>
          <t>First American Government Obli</t>
        </is>
      </c>
      <c r="E4">
        <f>BDP($B4,"LEGAL_ENTITY_IDENTIFIER")</f>
        <v/>
      </c>
      <c r="F4" t="inlineStr">
        <is>
          <t>First American Government Obligations Fund</t>
        </is>
      </c>
      <c r="G4">
        <f>custodian!D4</f>
        <v/>
      </c>
      <c r="H4">
        <f>BDP($B4,"ID_ISIN")</f>
        <v/>
      </c>
      <c r="I4" s="1" t="inlineStr">
        <is>
          <t>FGXXX</t>
        </is>
      </c>
      <c r="J4">
        <f>BDP($B4,"CNTRY_OF_DOMICILE")</f>
        <v/>
      </c>
      <c r="K4" t="inlineStr">
        <is>
          <t>STIV</t>
        </is>
      </c>
      <c r="L4" t="inlineStr">
        <is>
          <t>RF</t>
        </is>
      </c>
      <c r="M4" t="inlineStr"/>
      <c r="N4" t="inlineStr"/>
      <c r="O4" s="1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s="1" t="inlineStr"/>
      <c r="AR4" s="1" t="inlineStr"/>
      <c r="AS4" s="1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ACLZ</t>
        </is>
      </c>
      <c r="B5" t="inlineStr"/>
      <c r="C5" s="1" t="inlineStr">
        <is>
          <t>Cash&amp;Other</t>
        </is>
      </c>
      <c r="D5" t="inlineStr"/>
      <c r="E5" s="1" t="inlineStr"/>
      <c r="F5" t="inlineStr"/>
      <c r="G5">
        <f>custodian!D5</f>
        <v/>
      </c>
      <c r="H5" s="1" t="inlineStr"/>
      <c r="I5" s="1" t="inlineStr"/>
      <c r="J5" t="inlineStr"/>
      <c r="K5" t="inlineStr"/>
      <c r="L5" t="inlineStr"/>
      <c r="M5" t="inlineStr"/>
      <c r="N5" t="inlineStr"/>
      <c r="O5" s="1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s="1" t="inlineStr"/>
      <c r="AR5" s="1" t="inlineStr"/>
      <c r="AS5" s="1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ACMM</t>
        </is>
      </c>
      <c r="B6" t="inlineStr">
        <is>
          <t>00108J109 Equity</t>
        </is>
      </c>
      <c r="C6" s="1" t="inlineStr">
        <is>
          <t>00108J109-TRS-07/26/27-L-MREX</t>
        </is>
      </c>
      <c r="D6" t="inlineStr">
        <is>
          <t>N/A</t>
        </is>
      </c>
      <c r="E6" s="1" t="inlineStr">
        <is>
          <t>N/A</t>
        </is>
      </c>
      <c r="F6" t="inlineStr">
        <is>
          <t>ACM RESEARCH, INC.-SWAP-MREX-L</t>
        </is>
      </c>
      <c r="G6">
        <f>custodian!D6</f>
        <v/>
      </c>
      <c r="H6" s="1" t="inlineStr"/>
      <c r="I6" s="1" t="inlineStr">
        <is>
          <t>00108J109-TRS-07/26/27-L-MREX</t>
        </is>
      </c>
      <c r="J6" t="inlineStr">
        <is>
          <t>US</t>
        </is>
      </c>
      <c r="K6" t="inlineStr">
        <is>
          <t>DE</t>
        </is>
      </c>
      <c r="L6" t="inlineStr">
        <is>
          <t>OTHER</t>
        </is>
      </c>
      <c r="M6" t="inlineStr">
        <is>
          <t>SWP</t>
        </is>
      </c>
      <c r="N6" t="inlineStr"/>
      <c r="O6" s="1" t="inlineStr"/>
      <c r="P6" t="inlineStr"/>
      <c r="Q6" t="inlineStr"/>
      <c r="R6" t="inlineStr"/>
      <c r="S6" t="inlineStr"/>
      <c r="T6" t="inlineStr"/>
      <c r="U6" t="inlineStr"/>
      <c r="V6" t="inlineStr">
        <is>
          <t>otherRefInst</t>
        </is>
      </c>
      <c r="W6" t="inlineStr"/>
      <c r="X6" t="inlineStr"/>
      <c r="Y6" t="inlineStr">
        <is>
          <t>Y</t>
        </is>
      </c>
      <c r="Z6" t="inlineStr">
        <is>
          <t>2027-07-26</t>
        </is>
      </c>
      <c r="AA6" t="inlineStr">
        <is>
          <t>519176.00</t>
        </is>
      </c>
      <c r="AB6" t="inlineStr">
        <is>
          <t>USD</t>
        </is>
      </c>
      <c r="AC6" t="inlineStr">
        <is>
          <t>12399.29</t>
        </is>
      </c>
      <c r="AD6" t="inlineStr">
        <is>
          <t>12399.29</t>
        </is>
      </c>
      <c r="AE6" t="inlineStr">
        <is>
          <t>4.72</t>
        </is>
      </c>
      <c r="AF6" t="inlineStr"/>
      <c r="AG6" t="inlineStr"/>
      <c r="AH6" t="inlineStr">
        <is>
          <t>Floating</t>
        </is>
      </c>
      <c r="AI6" t="inlineStr"/>
      <c r="AJ6" t="inlineStr"/>
      <c r="AK6" t="inlineStr">
        <is>
          <t>519176.00</t>
        </is>
      </c>
      <c r="AL6" t="inlineStr">
        <is>
          <t>USD</t>
        </is>
      </c>
      <c r="AM6" t="inlineStr"/>
      <c r="AN6" t="inlineStr"/>
      <c r="AO6">
        <f>BDP($B6,"ISSUER")</f>
        <v/>
      </c>
      <c r="AP6">
        <f>BDP($B6,"NAME")</f>
        <v/>
      </c>
      <c r="AQ6" s="1" t="inlineStr">
        <is>
          <t>00108J109</t>
        </is>
      </c>
      <c r="AR6">
        <f>BDP($B6,"ID_ISIN")</f>
        <v/>
      </c>
      <c r="AS6">
        <f>BDP($B6,"TICKER")</f>
        <v/>
      </c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ACMM</t>
        </is>
      </c>
      <c r="B7" t="inlineStr">
        <is>
          <t>FGXXX US Equity</t>
        </is>
      </c>
      <c r="C7" s="1" t="inlineStr">
        <is>
          <t>FGXXX</t>
        </is>
      </c>
      <c r="D7" t="inlineStr">
        <is>
          <t>First American Government Obli</t>
        </is>
      </c>
      <c r="E7">
        <f>BDP($B7,"LEGAL_ENTITY_IDENTIFIER")</f>
        <v/>
      </c>
      <c r="F7" t="inlineStr">
        <is>
          <t>First American Government Obligations Fund</t>
        </is>
      </c>
      <c r="G7">
        <f>custodian!D7</f>
        <v/>
      </c>
      <c r="H7">
        <f>BDP($B7,"ID_ISIN")</f>
        <v/>
      </c>
      <c r="I7" s="1" t="inlineStr">
        <is>
          <t>FGXXX</t>
        </is>
      </c>
      <c r="J7">
        <f>BDP($B7,"CNTRY_OF_DOMICILE")</f>
        <v/>
      </c>
      <c r="K7" t="inlineStr">
        <is>
          <t>STIV</t>
        </is>
      </c>
      <c r="L7" t="inlineStr">
        <is>
          <t>RF</t>
        </is>
      </c>
      <c r="M7" t="inlineStr"/>
      <c r="N7" t="inlineStr"/>
      <c r="O7" s="1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s="1" t="inlineStr"/>
      <c r="AR7" s="1" t="inlineStr"/>
      <c r="AS7" s="1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ACMM</t>
        </is>
      </c>
      <c r="B8" t="inlineStr"/>
      <c r="C8" s="1" t="inlineStr">
        <is>
          <t>Cash&amp;Other</t>
        </is>
      </c>
      <c r="D8" t="inlineStr"/>
      <c r="E8" s="1" t="inlineStr"/>
      <c r="F8" t="inlineStr"/>
      <c r="G8">
        <f>custodian!D8</f>
        <v/>
      </c>
      <c r="H8" s="1" t="inlineStr"/>
      <c r="I8" s="1" t="inlineStr"/>
      <c r="J8" t="inlineStr"/>
      <c r="K8" t="inlineStr"/>
      <c r="L8" t="inlineStr"/>
      <c r="M8" t="inlineStr"/>
      <c r="N8" t="inlineStr"/>
      <c r="O8" s="1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s="1" t="inlineStr"/>
      <c r="AR8" s="1" t="inlineStr"/>
      <c r="AS8" s="1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AV</t>
        </is>
      </c>
      <c r="B9" t="inlineStr">
        <is>
          <t>AAL US Equity</t>
        </is>
      </c>
      <c r="C9" s="1" t="inlineStr">
        <is>
          <t>AAL</t>
        </is>
      </c>
      <c r="D9" t="inlineStr">
        <is>
          <t>American Airlines Group Inc</t>
        </is>
      </c>
      <c r="E9">
        <f>BDP($B9,"LEGAL_ENTITY_IDENTIFIER")</f>
        <v/>
      </c>
      <c r="F9" t="inlineStr">
        <is>
          <t>American Airlines Group Inc</t>
        </is>
      </c>
      <c r="G9">
        <f>custodian!D9</f>
        <v/>
      </c>
      <c r="H9">
        <f>BDP($B9,"ID_ISIN")</f>
        <v/>
      </c>
      <c r="I9" s="1" t="inlineStr">
        <is>
          <t>AAL</t>
        </is>
      </c>
      <c r="J9">
        <f>BDP($B9,"CNTRY_OF_DOMICILE")</f>
        <v/>
      </c>
      <c r="K9" t="inlineStr">
        <is>
          <t>EC</t>
        </is>
      </c>
      <c r="L9" t="inlineStr">
        <is>
          <t>CORP</t>
        </is>
      </c>
      <c r="M9" t="inlineStr"/>
      <c r="N9" t="inlineStr"/>
      <c r="O9" s="1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s="1" t="inlineStr"/>
      <c r="AR9" s="1" t="inlineStr"/>
      <c r="AS9" s="1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AV</t>
        </is>
      </c>
      <c r="B10" t="inlineStr">
        <is>
          <t>AER US Equity</t>
        </is>
      </c>
      <c r="C10" s="1" t="inlineStr">
        <is>
          <t>AER</t>
        </is>
      </c>
      <c r="D10" t="inlineStr">
        <is>
          <t>AerCap Holdings NV</t>
        </is>
      </c>
      <c r="E10">
        <f>BDP($B10,"LEGAL_ENTITY_IDENTIFIER")</f>
        <v/>
      </c>
      <c r="F10" t="inlineStr">
        <is>
          <t>AerCap Holdings NV</t>
        </is>
      </c>
      <c r="G10">
        <f>custodian!D10</f>
        <v/>
      </c>
      <c r="H10">
        <f>BDP($B10,"ID_ISIN")</f>
        <v/>
      </c>
      <c r="I10" s="1" t="inlineStr">
        <is>
          <t>AER</t>
        </is>
      </c>
      <c r="J10">
        <f>BDP($B10,"CNTRY_OF_DOMICILE")</f>
        <v/>
      </c>
      <c r="K10" t="inlineStr">
        <is>
          <t>EC</t>
        </is>
      </c>
      <c r="L10" t="inlineStr">
        <is>
          <t>CORP</t>
        </is>
      </c>
      <c r="M10" t="inlineStr"/>
      <c r="N10" t="inlineStr"/>
      <c r="O10" s="1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s="1" t="inlineStr"/>
      <c r="AR10" s="1" t="inlineStr"/>
      <c r="AS10" s="1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AV</t>
        </is>
      </c>
      <c r="B11" t="inlineStr">
        <is>
          <t>AIR US Equity</t>
        </is>
      </c>
      <c r="C11" s="1" t="inlineStr">
        <is>
          <t>AIR</t>
        </is>
      </c>
      <c r="D11" t="inlineStr">
        <is>
          <t>AAR Corp</t>
        </is>
      </c>
      <c r="E11">
        <f>BDP($B11,"LEGAL_ENTITY_IDENTIFIER")</f>
        <v/>
      </c>
      <c r="F11" t="inlineStr">
        <is>
          <t>AAR Corp</t>
        </is>
      </c>
      <c r="G11">
        <f>custodian!D11</f>
        <v/>
      </c>
      <c r="H11">
        <f>BDP($B11,"ID_ISIN")</f>
        <v/>
      </c>
      <c r="I11" s="1" t="inlineStr">
        <is>
          <t>AIR</t>
        </is>
      </c>
      <c r="J11">
        <f>BDP($B11,"CNTRY_OF_DOMICILE")</f>
        <v/>
      </c>
      <c r="K11" t="inlineStr">
        <is>
          <t>EC</t>
        </is>
      </c>
      <c r="L11" t="inlineStr">
        <is>
          <t>CORP</t>
        </is>
      </c>
      <c r="M11" t="inlineStr"/>
      <c r="N11" t="inlineStr"/>
      <c r="O11" s="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s="1" t="inlineStr"/>
      <c r="AR11" s="1" t="inlineStr"/>
      <c r="AS11" s="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AV</t>
        </is>
      </c>
      <c r="B12" t="inlineStr">
        <is>
          <t>ALGT US Equity</t>
        </is>
      </c>
      <c r="C12" s="1" t="inlineStr">
        <is>
          <t>ALGT</t>
        </is>
      </c>
      <c r="D12" t="inlineStr">
        <is>
          <t>Allegiant Travel Co</t>
        </is>
      </c>
      <c r="E12">
        <f>BDP($B12,"LEGAL_ENTITY_IDENTIFIER")</f>
        <v/>
      </c>
      <c r="F12" t="inlineStr">
        <is>
          <t>Allegiant Travel Co</t>
        </is>
      </c>
      <c r="G12">
        <f>custodian!D12</f>
        <v/>
      </c>
      <c r="H12">
        <f>BDP($B12,"ID_ISIN")</f>
        <v/>
      </c>
      <c r="I12" s="1" t="inlineStr">
        <is>
          <t>ALGT</t>
        </is>
      </c>
      <c r="J12">
        <f>BDP($B12,"CNTRY_OF_DOMICILE")</f>
        <v/>
      </c>
      <c r="K12" t="inlineStr">
        <is>
          <t>EC</t>
        </is>
      </c>
      <c r="L12" t="inlineStr">
        <is>
          <t>CORP</t>
        </is>
      </c>
      <c r="M12" t="inlineStr"/>
      <c r="N12" t="inlineStr"/>
      <c r="O12" s="1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s="1" t="inlineStr"/>
      <c r="AR12" s="1" t="inlineStr"/>
      <c r="AS12" s="1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AV</t>
        </is>
      </c>
      <c r="B13" t="inlineStr">
        <is>
          <t>ALK US Equity</t>
        </is>
      </c>
      <c r="C13" s="1" t="inlineStr">
        <is>
          <t>ALK</t>
        </is>
      </c>
      <c r="D13" t="inlineStr">
        <is>
          <t>Alaska Air Group Inc</t>
        </is>
      </c>
      <c r="E13">
        <f>BDP($B13,"LEGAL_ENTITY_IDENTIFIER")</f>
        <v/>
      </c>
      <c r="F13" t="inlineStr">
        <is>
          <t>Alaska Air Group Inc</t>
        </is>
      </c>
      <c r="G13">
        <f>custodian!D13</f>
        <v/>
      </c>
      <c r="H13">
        <f>BDP($B13,"ID_ISIN")</f>
        <v/>
      </c>
      <c r="I13" s="1" t="inlineStr">
        <is>
          <t>ALK</t>
        </is>
      </c>
      <c r="J13">
        <f>BDP($B13,"CNTRY_OF_DOMICILE")</f>
        <v/>
      </c>
      <c r="K13" t="inlineStr">
        <is>
          <t>EC</t>
        </is>
      </c>
      <c r="L13" t="inlineStr">
        <is>
          <t>CORP</t>
        </is>
      </c>
      <c r="M13" t="inlineStr"/>
      <c r="N13" t="inlineStr"/>
      <c r="O13" s="1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s="1" t="inlineStr"/>
      <c r="AR13" s="1" t="inlineStr"/>
      <c r="AS13" s="1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AV</t>
        </is>
      </c>
      <c r="B14" t="inlineStr">
        <is>
          <t>ASR US Equity</t>
        </is>
      </c>
      <c r="C14" s="1" t="inlineStr">
        <is>
          <t>ASR</t>
        </is>
      </c>
      <c r="D14" t="inlineStr">
        <is>
          <t>Grupo Aeroportuario del Surest</t>
        </is>
      </c>
      <c r="E14">
        <f>BDP($B14,"LEGAL_ENTITY_IDENTIFIER")</f>
        <v/>
      </c>
      <c r="F14" t="inlineStr">
        <is>
          <t>Grupo Aeroportuario del Sureste SAB de CV</t>
        </is>
      </c>
      <c r="G14">
        <f>custodian!D14</f>
        <v/>
      </c>
      <c r="H14">
        <f>BDP($B14,"ID_ISIN")</f>
        <v/>
      </c>
      <c r="I14" s="1" t="inlineStr">
        <is>
          <t>ASR</t>
        </is>
      </c>
      <c r="J14">
        <f>BDP($B14,"CNTRY_OF_DOMICILE")</f>
        <v/>
      </c>
      <c r="K14" t="inlineStr">
        <is>
          <t>EC</t>
        </is>
      </c>
      <c r="L14" t="inlineStr">
        <is>
          <t>CORP</t>
        </is>
      </c>
      <c r="M14" t="inlineStr"/>
      <c r="N14" t="inlineStr"/>
      <c r="O14" s="1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s="1" t="inlineStr"/>
      <c r="AR14" s="1" t="inlineStr"/>
      <c r="AS14" s="1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AV</t>
        </is>
      </c>
      <c r="B15" t="inlineStr">
        <is>
          <t>ATI US Equity</t>
        </is>
      </c>
      <c r="C15" s="1" t="inlineStr">
        <is>
          <t>ATI</t>
        </is>
      </c>
      <c r="D15" t="inlineStr">
        <is>
          <t>ATI Inc</t>
        </is>
      </c>
      <c r="E15">
        <f>BDP($B15,"LEGAL_ENTITY_IDENTIFIER")</f>
        <v/>
      </c>
      <c r="F15" t="inlineStr">
        <is>
          <t>ATI Inc</t>
        </is>
      </c>
      <c r="G15">
        <f>custodian!D15</f>
        <v/>
      </c>
      <c r="H15">
        <f>BDP($B15,"ID_ISIN")</f>
        <v/>
      </c>
      <c r="I15" s="1" t="inlineStr">
        <is>
          <t>ATI</t>
        </is>
      </c>
      <c r="J15">
        <f>BDP($B15,"CNTRY_OF_DOMICILE")</f>
        <v/>
      </c>
      <c r="K15" t="inlineStr">
        <is>
          <t>EC</t>
        </is>
      </c>
      <c r="L15" t="inlineStr">
        <is>
          <t>CORP</t>
        </is>
      </c>
      <c r="M15" t="inlineStr"/>
      <c r="N15" t="inlineStr"/>
      <c r="O15" s="1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s="1" t="inlineStr"/>
      <c r="AR15" s="1" t="inlineStr"/>
      <c r="AS15" s="1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AV</t>
        </is>
      </c>
      <c r="B16" t="inlineStr">
        <is>
          <t>BA US Equity</t>
        </is>
      </c>
      <c r="C16" s="1" t="inlineStr">
        <is>
          <t>BA</t>
        </is>
      </c>
      <c r="D16" t="inlineStr">
        <is>
          <t>Boeing Co/The</t>
        </is>
      </c>
      <c r="E16">
        <f>BDP($B16,"LEGAL_ENTITY_IDENTIFIER")</f>
        <v/>
      </c>
      <c r="F16" t="inlineStr">
        <is>
          <t>Boeing Co/The</t>
        </is>
      </c>
      <c r="G16">
        <f>custodian!D16</f>
        <v/>
      </c>
      <c r="H16">
        <f>BDP($B16,"ID_ISIN")</f>
        <v/>
      </c>
      <c r="I16" s="1" t="inlineStr">
        <is>
          <t>BA</t>
        </is>
      </c>
      <c r="J16">
        <f>BDP($B16,"CNTRY_OF_DOMICILE")</f>
        <v/>
      </c>
      <c r="K16" t="inlineStr">
        <is>
          <t>EC</t>
        </is>
      </c>
      <c r="L16" t="inlineStr">
        <is>
          <t>CORP</t>
        </is>
      </c>
      <c r="M16" t="inlineStr"/>
      <c r="N16" t="inlineStr"/>
      <c r="O16" s="1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s="1" t="inlineStr"/>
      <c r="AR16" s="1" t="inlineStr"/>
      <c r="AS16" s="1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AV</t>
        </is>
      </c>
      <c r="B17" t="inlineStr">
        <is>
          <t>CAE US Equity</t>
        </is>
      </c>
      <c r="C17" s="1" t="inlineStr">
        <is>
          <t>CAE</t>
        </is>
      </c>
      <c r="D17" t="inlineStr">
        <is>
          <t>CAE Inc</t>
        </is>
      </c>
      <c r="E17">
        <f>BDP($B17,"LEGAL_ENTITY_IDENTIFIER")</f>
        <v/>
      </c>
      <c r="F17" t="inlineStr">
        <is>
          <t>CAE Inc</t>
        </is>
      </c>
      <c r="G17">
        <f>custodian!D17</f>
        <v/>
      </c>
      <c r="H17">
        <f>BDP($B17,"ID_ISIN")</f>
        <v/>
      </c>
      <c r="I17" s="1" t="inlineStr">
        <is>
          <t>CAE</t>
        </is>
      </c>
      <c r="J17">
        <f>BDP($B17,"CNTRY_OF_DOMICILE")</f>
        <v/>
      </c>
      <c r="K17" t="inlineStr">
        <is>
          <t>EC</t>
        </is>
      </c>
      <c r="L17" t="inlineStr">
        <is>
          <t>CORP</t>
        </is>
      </c>
      <c r="M17" t="inlineStr"/>
      <c r="N17" t="inlineStr"/>
      <c r="O17" s="1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s="1" t="inlineStr"/>
      <c r="AR17" s="1" t="inlineStr"/>
      <c r="AS17" s="1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AV</t>
        </is>
      </c>
      <c r="B18" t="inlineStr">
        <is>
          <t>CPA US Equity</t>
        </is>
      </c>
      <c r="C18" s="1" t="inlineStr">
        <is>
          <t>CPA</t>
        </is>
      </c>
      <c r="D18" t="inlineStr">
        <is>
          <t>Copa Holdings SA</t>
        </is>
      </c>
      <c r="E18">
        <f>BDP($B18,"LEGAL_ENTITY_IDENTIFIER")</f>
        <v/>
      </c>
      <c r="F18" t="inlineStr">
        <is>
          <t>Copa Holdings SA</t>
        </is>
      </c>
      <c r="G18">
        <f>custodian!D18</f>
        <v/>
      </c>
      <c r="H18">
        <f>BDP($B18,"ID_ISIN")</f>
        <v/>
      </c>
      <c r="I18" s="1" t="inlineStr">
        <is>
          <t>CPA</t>
        </is>
      </c>
      <c r="J18">
        <f>BDP($B18,"CNTRY_OF_DOMICILE")</f>
        <v/>
      </c>
      <c r="K18" t="inlineStr">
        <is>
          <t>EC</t>
        </is>
      </c>
      <c r="L18" t="inlineStr">
        <is>
          <t>CORP</t>
        </is>
      </c>
      <c r="M18" t="inlineStr"/>
      <c r="N18" t="inlineStr"/>
      <c r="O18" s="1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s="1" t="inlineStr"/>
      <c r="AR18" s="1" t="inlineStr"/>
      <c r="AS18" s="1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AV</t>
        </is>
      </c>
      <c r="B19" t="inlineStr">
        <is>
          <t>CRS US Equity</t>
        </is>
      </c>
      <c r="C19" s="1" t="inlineStr">
        <is>
          <t>CRS</t>
        </is>
      </c>
      <c r="D19" t="inlineStr">
        <is>
          <t>Carpenter Technology Corp</t>
        </is>
      </c>
      <c r="E19">
        <f>BDP($B19,"LEGAL_ENTITY_IDENTIFIER")</f>
        <v/>
      </c>
      <c r="F19" t="inlineStr">
        <is>
          <t>Carpenter Technology Corp</t>
        </is>
      </c>
      <c r="G19">
        <f>custodian!D19</f>
        <v/>
      </c>
      <c r="H19">
        <f>BDP($B19,"ID_ISIN")</f>
        <v/>
      </c>
      <c r="I19" s="1" t="inlineStr">
        <is>
          <t>CRS</t>
        </is>
      </c>
      <c r="J19">
        <f>BDP($B19,"CNTRY_OF_DOMICILE")</f>
        <v/>
      </c>
      <c r="K19" t="inlineStr">
        <is>
          <t>EC</t>
        </is>
      </c>
      <c r="L19" t="inlineStr">
        <is>
          <t>CORP</t>
        </is>
      </c>
      <c r="M19" t="inlineStr"/>
      <c r="N19" t="inlineStr"/>
      <c r="O19" s="1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s="1" t="inlineStr"/>
      <c r="AR19" s="1" t="inlineStr"/>
      <c r="AS19" s="1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AV</t>
        </is>
      </c>
      <c r="B20" t="inlineStr">
        <is>
          <t>DAL US Equity</t>
        </is>
      </c>
      <c r="C20" s="1" t="inlineStr">
        <is>
          <t>DAL</t>
        </is>
      </c>
      <c r="D20" t="inlineStr">
        <is>
          <t>Delta Air Lines Inc</t>
        </is>
      </c>
      <c r="E20">
        <f>BDP($B20,"LEGAL_ENTITY_IDENTIFIER")</f>
        <v/>
      </c>
      <c r="F20" t="inlineStr">
        <is>
          <t>Delta Air Lines Inc</t>
        </is>
      </c>
      <c r="G20">
        <f>custodian!D20</f>
        <v/>
      </c>
      <c r="H20">
        <f>BDP($B20,"ID_ISIN")</f>
        <v/>
      </c>
      <c r="I20" s="1" t="inlineStr">
        <is>
          <t>DAL</t>
        </is>
      </c>
      <c r="J20">
        <f>BDP($B20,"CNTRY_OF_DOMICILE")</f>
        <v/>
      </c>
      <c r="K20" t="inlineStr">
        <is>
          <t>EC</t>
        </is>
      </c>
      <c r="L20" t="inlineStr">
        <is>
          <t>CORP</t>
        </is>
      </c>
      <c r="M20" t="inlineStr"/>
      <c r="N20" t="inlineStr"/>
      <c r="O20" s="1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s="1" t="inlineStr"/>
      <c r="AR20" s="1" t="inlineStr"/>
      <c r="AS20" s="1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AV</t>
        </is>
      </c>
      <c r="B21" t="inlineStr">
        <is>
          <t>DCO US Equity</t>
        </is>
      </c>
      <c r="C21" s="1" t="inlineStr">
        <is>
          <t>DCO</t>
        </is>
      </c>
      <c r="D21" t="inlineStr">
        <is>
          <t>Ducommun Inc</t>
        </is>
      </c>
      <c r="E21">
        <f>BDP($B21,"LEGAL_ENTITY_IDENTIFIER")</f>
        <v/>
      </c>
      <c r="F21" t="inlineStr">
        <is>
          <t>Ducommun Inc</t>
        </is>
      </c>
      <c r="G21">
        <f>custodian!D21</f>
        <v/>
      </c>
      <c r="H21">
        <f>BDP($B21,"ID_ISIN")</f>
        <v/>
      </c>
      <c r="I21" s="1" t="inlineStr">
        <is>
          <t>DCO</t>
        </is>
      </c>
      <c r="J21">
        <f>BDP($B21,"CNTRY_OF_DOMICILE")</f>
        <v/>
      </c>
      <c r="K21" t="inlineStr">
        <is>
          <t>EC</t>
        </is>
      </c>
      <c r="L21" t="inlineStr">
        <is>
          <t>CORP</t>
        </is>
      </c>
      <c r="M21" t="inlineStr"/>
      <c r="N21" t="inlineStr"/>
      <c r="O21" s="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s="1" t="inlineStr"/>
      <c r="AR21" s="1" t="inlineStr"/>
      <c r="AS21" s="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AV</t>
        </is>
      </c>
      <c r="B22" t="inlineStr">
        <is>
          <t>EMBJ US Equity</t>
        </is>
      </c>
      <c r="C22" s="1" t="inlineStr">
        <is>
          <t>EMBJ</t>
        </is>
      </c>
      <c r="D22" t="inlineStr">
        <is>
          <t>Embraer SA</t>
        </is>
      </c>
      <c r="E22">
        <f>BDP($B22,"LEGAL_ENTITY_IDENTIFIER")</f>
        <v/>
      </c>
      <c r="F22" t="inlineStr">
        <is>
          <t>Embraer SA</t>
        </is>
      </c>
      <c r="G22">
        <f>custodian!D22</f>
        <v/>
      </c>
      <c r="H22">
        <f>BDP($B22,"ID_ISIN")</f>
        <v/>
      </c>
      <c r="I22" s="1" t="inlineStr">
        <is>
          <t>EMBJ</t>
        </is>
      </c>
      <c r="J22">
        <f>BDP($B22,"CNTRY_OF_DOMICILE")</f>
        <v/>
      </c>
      <c r="K22" t="inlineStr">
        <is>
          <t>EC</t>
        </is>
      </c>
      <c r="L22" t="inlineStr">
        <is>
          <t>CORP</t>
        </is>
      </c>
      <c r="M22" t="inlineStr"/>
      <c r="N22" t="inlineStr"/>
      <c r="O22" s="1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s="1" t="inlineStr"/>
      <c r="AR22" s="1" t="inlineStr"/>
      <c r="AS22" s="1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AV</t>
        </is>
      </c>
      <c r="B23" t="inlineStr">
        <is>
          <t>FDX US Equity</t>
        </is>
      </c>
      <c r="C23" s="1" t="inlineStr">
        <is>
          <t>FDX</t>
        </is>
      </c>
      <c r="D23" t="inlineStr">
        <is>
          <t>FedEx Corp</t>
        </is>
      </c>
      <c r="E23">
        <f>BDP($B23,"LEGAL_ENTITY_IDENTIFIER")</f>
        <v/>
      </c>
      <c r="F23" t="inlineStr">
        <is>
          <t>FedEx Corp</t>
        </is>
      </c>
      <c r="G23">
        <f>custodian!D23</f>
        <v/>
      </c>
      <c r="H23">
        <f>BDP($B23,"ID_ISIN")</f>
        <v/>
      </c>
      <c r="I23" s="1" t="inlineStr">
        <is>
          <t>FDX</t>
        </is>
      </c>
      <c r="J23">
        <f>BDP($B23,"CNTRY_OF_DOMICILE")</f>
        <v/>
      </c>
      <c r="K23" t="inlineStr">
        <is>
          <t>EC</t>
        </is>
      </c>
      <c r="L23" t="inlineStr">
        <is>
          <t>CORP</t>
        </is>
      </c>
      <c r="M23" t="inlineStr"/>
      <c r="N23" t="inlineStr"/>
      <c r="O23" s="1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s="1" t="inlineStr"/>
      <c r="AR23" s="1" t="inlineStr"/>
      <c r="AS23" s="1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AV</t>
        </is>
      </c>
      <c r="B24" t="inlineStr">
        <is>
          <t>FDXF US Equity</t>
        </is>
      </c>
      <c r="C24" s="1" t="inlineStr">
        <is>
          <t>FDXF</t>
        </is>
      </c>
      <c r="D24" t="inlineStr">
        <is>
          <t>Fedex Freight Holding Co Inc</t>
        </is>
      </c>
      <c r="E24">
        <f>BDP($B24,"LEGAL_ENTITY_IDENTIFIER")</f>
        <v/>
      </c>
      <c r="F24" t="inlineStr">
        <is>
          <t>Fedex Freight Holding Co Inc</t>
        </is>
      </c>
      <c r="G24">
        <f>custodian!D24</f>
        <v/>
      </c>
      <c r="H24">
        <f>BDP($B24,"ID_ISIN")</f>
        <v/>
      </c>
      <c r="I24" s="1" t="inlineStr">
        <is>
          <t>FDXF</t>
        </is>
      </c>
      <c r="J24">
        <f>BDP($B24,"CNTRY_OF_DOMICILE")</f>
        <v/>
      </c>
      <c r="K24" t="inlineStr">
        <is>
          <t>EC</t>
        </is>
      </c>
      <c r="L24" t="inlineStr">
        <is>
          <t>CORP</t>
        </is>
      </c>
      <c r="M24" t="inlineStr"/>
      <c r="N24" t="inlineStr"/>
      <c r="O24" s="1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s="1" t="inlineStr"/>
      <c r="AR24" s="1" t="inlineStr"/>
      <c r="AS24" s="1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AV</t>
        </is>
      </c>
      <c r="B25" t="inlineStr">
        <is>
          <t>FGXXX US Equity</t>
        </is>
      </c>
      <c r="C25" s="1" t="inlineStr">
        <is>
          <t>FGXXX</t>
        </is>
      </c>
      <c r="D25" t="inlineStr">
        <is>
          <t>First American Government Obli</t>
        </is>
      </c>
      <c r="E25">
        <f>BDP($B25,"LEGAL_ENTITY_IDENTIFIER")</f>
        <v/>
      </c>
      <c r="F25" t="inlineStr">
        <is>
          <t>First American Government Obligations Fund</t>
        </is>
      </c>
      <c r="G25">
        <f>custodian!D25</f>
        <v/>
      </c>
      <c r="H25">
        <f>BDP($B25,"ID_ISIN")</f>
        <v/>
      </c>
      <c r="I25" s="1" t="inlineStr">
        <is>
          <t>FGXXX</t>
        </is>
      </c>
      <c r="J25">
        <f>BDP($B25,"CNTRY_OF_DOMICILE")</f>
        <v/>
      </c>
      <c r="K25" t="inlineStr">
        <is>
          <t>STIV</t>
        </is>
      </c>
      <c r="L25" t="inlineStr">
        <is>
          <t>RF</t>
        </is>
      </c>
      <c r="M25" t="inlineStr"/>
      <c r="N25" t="inlineStr"/>
      <c r="O25" s="1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s="1" t="inlineStr"/>
      <c r="AR25" s="1" t="inlineStr"/>
      <c r="AS25" s="1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AV</t>
        </is>
      </c>
      <c r="B26" t="inlineStr">
        <is>
          <t>FTAI US Equity</t>
        </is>
      </c>
      <c r="C26" s="1" t="inlineStr">
        <is>
          <t>FTAI</t>
        </is>
      </c>
      <c r="D26" t="inlineStr">
        <is>
          <t>FTAI Aviation Ltd</t>
        </is>
      </c>
      <c r="E26">
        <f>BDP($B26,"LEGAL_ENTITY_IDENTIFIER")</f>
        <v/>
      </c>
      <c r="F26" t="inlineStr">
        <is>
          <t>FTAI Aviation Ltd</t>
        </is>
      </c>
      <c r="G26">
        <f>custodian!D26</f>
        <v/>
      </c>
      <c r="H26">
        <f>BDP($B26,"ID_ISIN")</f>
        <v/>
      </c>
      <c r="I26" s="1" t="inlineStr">
        <is>
          <t>FTAI</t>
        </is>
      </c>
      <c r="J26">
        <f>BDP($B26,"CNTRY_OF_DOMICILE")</f>
        <v/>
      </c>
      <c r="K26" t="inlineStr">
        <is>
          <t>EC</t>
        </is>
      </c>
      <c r="L26" t="inlineStr">
        <is>
          <t>CORP</t>
        </is>
      </c>
      <c r="M26" t="inlineStr"/>
      <c r="N26" t="inlineStr"/>
      <c r="O26" s="1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s="1" t="inlineStr"/>
      <c r="AR26" s="1" t="inlineStr"/>
      <c r="AS26" s="1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AV</t>
        </is>
      </c>
      <c r="B27" t="inlineStr">
        <is>
          <t>GD US Equity</t>
        </is>
      </c>
      <c r="C27" s="1" t="inlineStr">
        <is>
          <t>GD</t>
        </is>
      </c>
      <c r="D27" t="inlineStr">
        <is>
          <t>General Dynamics Corp</t>
        </is>
      </c>
      <c r="E27">
        <f>BDP($B27,"LEGAL_ENTITY_IDENTIFIER")</f>
        <v/>
      </c>
      <c r="F27" t="inlineStr">
        <is>
          <t>General Dynamics Corp</t>
        </is>
      </c>
      <c r="G27">
        <f>custodian!D27</f>
        <v/>
      </c>
      <c r="H27">
        <f>BDP($B27,"ID_ISIN")</f>
        <v/>
      </c>
      <c r="I27" s="1" t="inlineStr">
        <is>
          <t>GD</t>
        </is>
      </c>
      <c r="J27">
        <f>BDP($B27,"CNTRY_OF_DOMICILE")</f>
        <v/>
      </c>
      <c r="K27" t="inlineStr">
        <is>
          <t>EC</t>
        </is>
      </c>
      <c r="L27" t="inlineStr">
        <is>
          <t>CORP</t>
        </is>
      </c>
      <c r="M27" t="inlineStr"/>
      <c r="N27" t="inlineStr"/>
      <c r="O27" s="1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s="1" t="inlineStr"/>
      <c r="AR27" s="1" t="inlineStr"/>
      <c r="AS27" s="1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AV</t>
        </is>
      </c>
      <c r="B28" t="inlineStr">
        <is>
          <t>GE US Equity</t>
        </is>
      </c>
      <c r="C28" s="1" t="inlineStr">
        <is>
          <t>GE</t>
        </is>
      </c>
      <c r="D28" t="inlineStr">
        <is>
          <t>GE AEROSPACE</t>
        </is>
      </c>
      <c r="E28">
        <f>BDP($B28,"LEGAL_ENTITY_IDENTIFIER")</f>
        <v/>
      </c>
      <c r="F28" t="inlineStr">
        <is>
          <t>GE AEROSPACE</t>
        </is>
      </c>
      <c r="G28">
        <f>custodian!D28</f>
        <v/>
      </c>
      <c r="H28">
        <f>BDP($B28,"ID_ISIN")</f>
        <v/>
      </c>
      <c r="I28" s="1" t="inlineStr">
        <is>
          <t>GE</t>
        </is>
      </c>
      <c r="J28">
        <f>BDP($B28,"CNTRY_OF_DOMICILE")</f>
        <v/>
      </c>
      <c r="K28" t="inlineStr">
        <is>
          <t>EC</t>
        </is>
      </c>
      <c r="L28" t="inlineStr">
        <is>
          <t>CORP</t>
        </is>
      </c>
      <c r="M28" t="inlineStr"/>
      <c r="N28" t="inlineStr"/>
      <c r="O28" s="1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s="1" t="inlineStr"/>
      <c r="AR28" s="1" t="inlineStr"/>
      <c r="AS28" s="1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AV</t>
        </is>
      </c>
      <c r="B29" t="inlineStr">
        <is>
          <t>HEI US Equity</t>
        </is>
      </c>
      <c r="C29" s="1" t="inlineStr">
        <is>
          <t>HEI</t>
        </is>
      </c>
      <c r="D29" t="inlineStr">
        <is>
          <t>HEICO Corp</t>
        </is>
      </c>
      <c r="E29">
        <f>BDP($B29,"LEGAL_ENTITY_IDENTIFIER")</f>
        <v/>
      </c>
      <c r="F29" t="inlineStr">
        <is>
          <t>HEICO Corp</t>
        </is>
      </c>
      <c r="G29">
        <f>custodian!D29</f>
        <v/>
      </c>
      <c r="H29">
        <f>BDP($B29,"ID_ISIN")</f>
        <v/>
      </c>
      <c r="I29" s="1" t="inlineStr">
        <is>
          <t>HEI</t>
        </is>
      </c>
      <c r="J29">
        <f>BDP($B29,"CNTRY_OF_DOMICILE")</f>
        <v/>
      </c>
      <c r="K29" t="inlineStr">
        <is>
          <t>EC</t>
        </is>
      </c>
      <c r="L29" t="inlineStr">
        <is>
          <t>CORP</t>
        </is>
      </c>
      <c r="M29" t="inlineStr"/>
      <c r="N29" t="inlineStr"/>
      <c r="O29" s="1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s="1" t="inlineStr"/>
      <c r="AR29" s="1" t="inlineStr"/>
      <c r="AS29" s="1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AV</t>
        </is>
      </c>
      <c r="B30" t="inlineStr">
        <is>
          <t>HWM US Equity</t>
        </is>
      </c>
      <c r="C30" s="1" t="inlineStr">
        <is>
          <t>HWM</t>
        </is>
      </c>
      <c r="D30" t="inlineStr">
        <is>
          <t>Howmet Aerospace Inc</t>
        </is>
      </c>
      <c r="E30">
        <f>BDP($B30,"LEGAL_ENTITY_IDENTIFIER")</f>
        <v/>
      </c>
      <c r="F30" t="inlineStr">
        <is>
          <t>Howmet Aerospace Inc</t>
        </is>
      </c>
      <c r="G30">
        <f>custodian!D30</f>
        <v/>
      </c>
      <c r="H30">
        <f>BDP($B30,"ID_ISIN")</f>
        <v/>
      </c>
      <c r="I30" s="1" t="inlineStr">
        <is>
          <t>HWM</t>
        </is>
      </c>
      <c r="J30">
        <f>BDP($B30,"CNTRY_OF_DOMICILE")</f>
        <v/>
      </c>
      <c r="K30" t="inlineStr">
        <is>
          <t>EC</t>
        </is>
      </c>
      <c r="L30" t="inlineStr">
        <is>
          <t>CORP</t>
        </is>
      </c>
      <c r="M30" t="inlineStr"/>
      <c r="N30" t="inlineStr"/>
      <c r="O30" s="1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s="1" t="inlineStr"/>
      <c r="AR30" s="1" t="inlineStr"/>
      <c r="AS30" s="1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AV</t>
        </is>
      </c>
      <c r="B31" t="inlineStr">
        <is>
          <t>HXL US Equity</t>
        </is>
      </c>
      <c r="C31" s="1" t="inlineStr">
        <is>
          <t>HXL</t>
        </is>
      </c>
      <c r="D31" t="inlineStr">
        <is>
          <t>Hexcel Corp</t>
        </is>
      </c>
      <c r="E31">
        <f>BDP($B31,"LEGAL_ENTITY_IDENTIFIER")</f>
        <v/>
      </c>
      <c r="F31" t="inlineStr">
        <is>
          <t>Hexcel Corp</t>
        </is>
      </c>
      <c r="G31">
        <f>custodian!D31</f>
        <v/>
      </c>
      <c r="H31">
        <f>BDP($B31,"ID_ISIN")</f>
        <v/>
      </c>
      <c r="I31" s="1" t="inlineStr">
        <is>
          <t>HXL</t>
        </is>
      </c>
      <c r="J31">
        <f>BDP($B31,"CNTRY_OF_DOMICILE")</f>
        <v/>
      </c>
      <c r="K31" t="inlineStr">
        <is>
          <t>EC</t>
        </is>
      </c>
      <c r="L31" t="inlineStr">
        <is>
          <t>CORP</t>
        </is>
      </c>
      <c r="M31" t="inlineStr"/>
      <c r="N31" t="inlineStr"/>
      <c r="O31" s="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s="1" t="inlineStr"/>
      <c r="AR31" s="1" t="inlineStr"/>
      <c r="AS31" s="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AV</t>
        </is>
      </c>
      <c r="B32" t="inlineStr">
        <is>
          <t>JBLU US Equity</t>
        </is>
      </c>
      <c r="C32" s="1" t="inlineStr">
        <is>
          <t>JBLU</t>
        </is>
      </c>
      <c r="D32" t="inlineStr">
        <is>
          <t>JetBlue Airways Corp</t>
        </is>
      </c>
      <c r="E32">
        <f>BDP($B32,"LEGAL_ENTITY_IDENTIFIER")</f>
        <v/>
      </c>
      <c r="F32" t="inlineStr">
        <is>
          <t>JetBlue Airways Corp</t>
        </is>
      </c>
      <c r="G32">
        <f>custodian!D32</f>
        <v/>
      </c>
      <c r="H32">
        <f>BDP($B32,"ID_ISIN")</f>
        <v/>
      </c>
      <c r="I32" s="1" t="inlineStr">
        <is>
          <t>JBLU</t>
        </is>
      </c>
      <c r="J32">
        <f>BDP($B32,"CNTRY_OF_DOMICILE")</f>
        <v/>
      </c>
      <c r="K32" t="inlineStr">
        <is>
          <t>EC</t>
        </is>
      </c>
      <c r="L32" t="inlineStr">
        <is>
          <t>CORP</t>
        </is>
      </c>
      <c r="M32" t="inlineStr"/>
      <c r="N32" t="inlineStr"/>
      <c r="O32" s="1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s="1" t="inlineStr"/>
      <c r="AR32" s="1" t="inlineStr"/>
      <c r="AS32" s="1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AV</t>
        </is>
      </c>
      <c r="B33" t="inlineStr">
        <is>
          <t>JOBY US Equity</t>
        </is>
      </c>
      <c r="C33" s="1" t="inlineStr">
        <is>
          <t>JOBY</t>
        </is>
      </c>
      <c r="D33" t="inlineStr">
        <is>
          <t>Joby Aviation Inc</t>
        </is>
      </c>
      <c r="E33">
        <f>BDP($B33,"LEGAL_ENTITY_IDENTIFIER")</f>
        <v/>
      </c>
      <c r="F33" t="inlineStr">
        <is>
          <t>Joby Aviation Inc</t>
        </is>
      </c>
      <c r="G33">
        <f>custodian!D33</f>
        <v/>
      </c>
      <c r="H33">
        <f>BDP($B33,"ID_ISIN")</f>
        <v/>
      </c>
      <c r="I33" s="1" t="inlineStr">
        <is>
          <t>JOBY</t>
        </is>
      </c>
      <c r="J33">
        <f>BDP($B33,"CNTRY_OF_DOMICILE")</f>
        <v/>
      </c>
      <c r="K33" t="inlineStr">
        <is>
          <t>EC</t>
        </is>
      </c>
      <c r="L33" t="inlineStr">
        <is>
          <t>CORP</t>
        </is>
      </c>
      <c r="M33" t="inlineStr"/>
      <c r="N33" t="inlineStr"/>
      <c r="O33" s="1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s="1" t="inlineStr"/>
      <c r="AR33" s="1" t="inlineStr"/>
      <c r="AS33" s="1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AV</t>
        </is>
      </c>
      <c r="B34" t="inlineStr">
        <is>
          <t>LMT US Equity</t>
        </is>
      </c>
      <c r="C34" s="1" t="inlineStr">
        <is>
          <t>LMT</t>
        </is>
      </c>
      <c r="D34" t="inlineStr">
        <is>
          <t>Lockheed Martin Corp</t>
        </is>
      </c>
      <c r="E34">
        <f>BDP($B34,"LEGAL_ENTITY_IDENTIFIER")</f>
        <v/>
      </c>
      <c r="F34" t="inlineStr">
        <is>
          <t>Lockheed Martin Corp</t>
        </is>
      </c>
      <c r="G34">
        <f>custodian!D34</f>
        <v/>
      </c>
      <c r="H34">
        <f>BDP($B34,"ID_ISIN")</f>
        <v/>
      </c>
      <c r="I34" s="1" t="inlineStr">
        <is>
          <t>LMT</t>
        </is>
      </c>
      <c r="J34">
        <f>BDP($B34,"CNTRY_OF_DOMICILE")</f>
        <v/>
      </c>
      <c r="K34" t="inlineStr">
        <is>
          <t>EC</t>
        </is>
      </c>
      <c r="L34" t="inlineStr">
        <is>
          <t>CORP</t>
        </is>
      </c>
      <c r="M34" t="inlineStr"/>
      <c r="N34" t="inlineStr"/>
      <c r="O34" s="1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s="1" t="inlineStr"/>
      <c r="AR34" s="1" t="inlineStr"/>
      <c r="AS34" s="1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AV</t>
        </is>
      </c>
      <c r="B35" t="inlineStr">
        <is>
          <t>LOAR US Equity</t>
        </is>
      </c>
      <c r="C35" s="1" t="inlineStr">
        <is>
          <t>LOAR</t>
        </is>
      </c>
      <c r="D35" t="inlineStr">
        <is>
          <t>Loar Holdings Inc</t>
        </is>
      </c>
      <c r="E35">
        <f>BDP($B35,"LEGAL_ENTITY_IDENTIFIER")</f>
        <v/>
      </c>
      <c r="F35" t="inlineStr">
        <is>
          <t>Loar Holdings Inc</t>
        </is>
      </c>
      <c r="G35">
        <f>custodian!D35</f>
        <v/>
      </c>
      <c r="H35">
        <f>BDP($B35,"ID_ISIN")</f>
        <v/>
      </c>
      <c r="I35" s="1" t="inlineStr">
        <is>
          <t>LOAR</t>
        </is>
      </c>
      <c r="J35">
        <f>BDP($B35,"CNTRY_OF_DOMICILE")</f>
        <v/>
      </c>
      <c r="K35" t="inlineStr">
        <is>
          <t>EC</t>
        </is>
      </c>
      <c r="L35" t="inlineStr">
        <is>
          <t>CORP</t>
        </is>
      </c>
      <c r="M35" t="inlineStr"/>
      <c r="N35" t="inlineStr"/>
      <c r="O35" s="1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s="1" t="inlineStr"/>
      <c r="AR35" s="1" t="inlineStr"/>
      <c r="AS35" s="1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AV</t>
        </is>
      </c>
      <c r="B36" t="inlineStr">
        <is>
          <t>LUV US Equity</t>
        </is>
      </c>
      <c r="C36" s="1" t="inlineStr">
        <is>
          <t>LUV</t>
        </is>
      </c>
      <c r="D36" t="inlineStr">
        <is>
          <t>Southwest Airlines Co</t>
        </is>
      </c>
      <c r="E36">
        <f>BDP($B36,"LEGAL_ENTITY_IDENTIFIER")</f>
        <v/>
      </c>
      <c r="F36" t="inlineStr">
        <is>
          <t>Southwest Airlines Co</t>
        </is>
      </c>
      <c r="G36">
        <f>custodian!D36</f>
        <v/>
      </c>
      <c r="H36">
        <f>BDP($B36,"ID_ISIN")</f>
        <v/>
      </c>
      <c r="I36" s="1" t="inlineStr">
        <is>
          <t>LUV</t>
        </is>
      </c>
      <c r="J36">
        <f>BDP($B36,"CNTRY_OF_DOMICILE")</f>
        <v/>
      </c>
      <c r="K36" t="inlineStr">
        <is>
          <t>EC</t>
        </is>
      </c>
      <c r="L36" t="inlineStr">
        <is>
          <t>CORP</t>
        </is>
      </c>
      <c r="M36" t="inlineStr"/>
      <c r="N36" t="inlineStr"/>
      <c r="O36" s="1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s="1" t="inlineStr"/>
      <c r="AR36" s="1" t="inlineStr"/>
      <c r="AS36" s="1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AV</t>
        </is>
      </c>
      <c r="B37" t="inlineStr">
        <is>
          <t>MOG/A US Equity</t>
        </is>
      </c>
      <c r="C37" s="1" t="inlineStr">
        <is>
          <t>MOG/A</t>
        </is>
      </c>
      <c r="D37" t="inlineStr">
        <is>
          <t>Moog Inc</t>
        </is>
      </c>
      <c r="E37">
        <f>BDP($B37,"LEGAL_ENTITY_IDENTIFIER")</f>
        <v/>
      </c>
      <c r="F37" t="inlineStr">
        <is>
          <t>Moog Inc</t>
        </is>
      </c>
      <c r="G37">
        <f>custodian!D37</f>
        <v/>
      </c>
      <c r="H37">
        <f>BDP($B37,"ID_ISIN")</f>
        <v/>
      </c>
      <c r="I37" s="1" t="inlineStr">
        <is>
          <t>MOG/A</t>
        </is>
      </c>
      <c r="J37">
        <f>BDP($B37,"CNTRY_OF_DOMICILE")</f>
        <v/>
      </c>
      <c r="K37" t="inlineStr">
        <is>
          <t>EC</t>
        </is>
      </c>
      <c r="L37" t="inlineStr">
        <is>
          <t>CORP</t>
        </is>
      </c>
      <c r="M37" t="inlineStr"/>
      <c r="N37" t="inlineStr"/>
      <c r="O37" s="1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s="1" t="inlineStr"/>
      <c r="AR37" s="1" t="inlineStr"/>
      <c r="AS37" s="1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AV</t>
        </is>
      </c>
      <c r="B38" t="inlineStr">
        <is>
          <t>NOC US Equity</t>
        </is>
      </c>
      <c r="C38" s="1" t="inlineStr">
        <is>
          <t>NOC</t>
        </is>
      </c>
      <c r="D38" t="inlineStr">
        <is>
          <t>Northrop Grumman Corp</t>
        </is>
      </c>
      <c r="E38">
        <f>BDP($B38,"LEGAL_ENTITY_IDENTIFIER")</f>
        <v/>
      </c>
      <c r="F38" t="inlineStr">
        <is>
          <t>Northrop Grumman Corp</t>
        </is>
      </c>
      <c r="G38">
        <f>custodian!D38</f>
        <v/>
      </c>
      <c r="H38">
        <f>BDP($B38,"ID_ISIN")</f>
        <v/>
      </c>
      <c r="I38" s="1" t="inlineStr">
        <is>
          <t>NOC</t>
        </is>
      </c>
      <c r="J38">
        <f>BDP($B38,"CNTRY_OF_DOMICILE")</f>
        <v/>
      </c>
      <c r="K38" t="inlineStr">
        <is>
          <t>EC</t>
        </is>
      </c>
      <c r="L38" t="inlineStr">
        <is>
          <t>CORP</t>
        </is>
      </c>
      <c r="M38" t="inlineStr"/>
      <c r="N38" t="inlineStr"/>
      <c r="O38" s="1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s="1" t="inlineStr"/>
      <c r="AR38" s="1" t="inlineStr"/>
      <c r="AS38" s="1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AV</t>
        </is>
      </c>
      <c r="B39" t="inlineStr">
        <is>
          <t>PAC US Equity</t>
        </is>
      </c>
      <c r="C39" s="1" t="inlineStr">
        <is>
          <t>PAC</t>
        </is>
      </c>
      <c r="D39" t="inlineStr">
        <is>
          <t>Grupo Aeroportuario del Pacifi</t>
        </is>
      </c>
      <c r="E39">
        <f>BDP($B39,"LEGAL_ENTITY_IDENTIFIER")</f>
        <v/>
      </c>
      <c r="F39" t="inlineStr">
        <is>
          <t>Grupo Aeroportuario del Pacifico SAB de CV</t>
        </is>
      </c>
      <c r="G39">
        <f>custodian!D39</f>
        <v/>
      </c>
      <c r="H39">
        <f>BDP($B39,"ID_ISIN")</f>
        <v/>
      </c>
      <c r="I39" s="1" t="inlineStr">
        <is>
          <t>PAC</t>
        </is>
      </c>
      <c r="J39">
        <f>BDP($B39,"CNTRY_OF_DOMICILE")</f>
        <v/>
      </c>
      <c r="K39" t="inlineStr">
        <is>
          <t>EC</t>
        </is>
      </c>
      <c r="L39" t="inlineStr">
        <is>
          <t>CORP</t>
        </is>
      </c>
      <c r="M39" t="inlineStr"/>
      <c r="N39" t="inlineStr"/>
      <c r="O39" s="1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s="1" t="inlineStr"/>
      <c r="AR39" s="1" t="inlineStr"/>
      <c r="AS39" s="1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AV</t>
        </is>
      </c>
      <c r="B40" t="inlineStr">
        <is>
          <t>RTX US Equity</t>
        </is>
      </c>
      <c r="C40" s="1" t="inlineStr">
        <is>
          <t>RTX</t>
        </is>
      </c>
      <c r="D40" t="inlineStr">
        <is>
          <t>RTX Corp</t>
        </is>
      </c>
      <c r="E40">
        <f>BDP($B40,"LEGAL_ENTITY_IDENTIFIER")</f>
        <v/>
      </c>
      <c r="F40" t="inlineStr">
        <is>
          <t>RTX Corp</t>
        </is>
      </c>
      <c r="G40">
        <f>custodian!D40</f>
        <v/>
      </c>
      <c r="H40">
        <f>BDP($B40,"ID_ISIN")</f>
        <v/>
      </c>
      <c r="I40" s="1" t="inlineStr">
        <is>
          <t>RTX</t>
        </is>
      </c>
      <c r="J40">
        <f>BDP($B40,"CNTRY_OF_DOMICILE")</f>
        <v/>
      </c>
      <c r="K40" t="inlineStr">
        <is>
          <t>EC</t>
        </is>
      </c>
      <c r="L40" t="inlineStr">
        <is>
          <t>CORP</t>
        </is>
      </c>
      <c r="M40" t="inlineStr"/>
      <c r="N40" t="inlineStr"/>
      <c r="O40" s="1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s="1" t="inlineStr"/>
      <c r="AR40" s="1" t="inlineStr"/>
      <c r="AS40" s="1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AV</t>
        </is>
      </c>
      <c r="B41" t="inlineStr">
        <is>
          <t>RYAAY US Equity</t>
        </is>
      </c>
      <c r="C41" s="1" t="inlineStr">
        <is>
          <t>RYAAY</t>
        </is>
      </c>
      <c r="D41" t="inlineStr">
        <is>
          <t>Ryanair Holdings PLC</t>
        </is>
      </c>
      <c r="E41">
        <f>BDP($B41,"LEGAL_ENTITY_IDENTIFIER")</f>
        <v/>
      </c>
      <c r="F41" t="inlineStr">
        <is>
          <t>Ryanair Holdings PLC</t>
        </is>
      </c>
      <c r="G41">
        <f>custodian!D41</f>
        <v/>
      </c>
      <c r="H41">
        <f>BDP($B41,"ID_ISIN")</f>
        <v/>
      </c>
      <c r="I41" s="1" t="inlineStr">
        <is>
          <t>RYAAY</t>
        </is>
      </c>
      <c r="J41">
        <f>BDP($B41,"CNTRY_OF_DOMICILE")</f>
        <v/>
      </c>
      <c r="K41" t="inlineStr">
        <is>
          <t>EC</t>
        </is>
      </c>
      <c r="L41" t="inlineStr">
        <is>
          <t>CORP</t>
        </is>
      </c>
      <c r="M41" t="inlineStr"/>
      <c r="N41" t="inlineStr"/>
      <c r="O41" s="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s="1" t="inlineStr"/>
      <c r="AR41" s="1" t="inlineStr"/>
      <c r="AS41" s="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AV</t>
        </is>
      </c>
      <c r="B42" t="inlineStr">
        <is>
          <t>SKYW US Equity</t>
        </is>
      </c>
      <c r="C42" s="1" t="inlineStr">
        <is>
          <t>SKYW</t>
        </is>
      </c>
      <c r="D42" t="inlineStr">
        <is>
          <t>SkyWest Inc</t>
        </is>
      </c>
      <c r="E42">
        <f>BDP($B42,"LEGAL_ENTITY_IDENTIFIER")</f>
        <v/>
      </c>
      <c r="F42" t="inlineStr">
        <is>
          <t>SkyWest Inc</t>
        </is>
      </c>
      <c r="G42">
        <f>custodian!D42</f>
        <v/>
      </c>
      <c r="H42">
        <f>BDP($B42,"ID_ISIN")</f>
        <v/>
      </c>
      <c r="I42" s="1" t="inlineStr">
        <is>
          <t>SKYW</t>
        </is>
      </c>
      <c r="J42">
        <f>BDP($B42,"CNTRY_OF_DOMICILE")</f>
        <v/>
      </c>
      <c r="K42" t="inlineStr">
        <is>
          <t>EC</t>
        </is>
      </c>
      <c r="L42" t="inlineStr">
        <is>
          <t>CORP</t>
        </is>
      </c>
      <c r="M42" t="inlineStr"/>
      <c r="N42" t="inlineStr"/>
      <c r="O42" s="1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s="1" t="inlineStr"/>
      <c r="AR42" s="1" t="inlineStr"/>
      <c r="AS42" s="1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AV</t>
        </is>
      </c>
      <c r="B43" t="inlineStr">
        <is>
          <t>TDG US Equity</t>
        </is>
      </c>
      <c r="C43" s="1" t="inlineStr">
        <is>
          <t>TDG</t>
        </is>
      </c>
      <c r="D43" t="inlineStr">
        <is>
          <t>TransDigm Group Inc</t>
        </is>
      </c>
      <c r="E43">
        <f>BDP($B43,"LEGAL_ENTITY_IDENTIFIER")</f>
        <v/>
      </c>
      <c r="F43" t="inlineStr">
        <is>
          <t>TransDigm Group Inc</t>
        </is>
      </c>
      <c r="G43">
        <f>custodian!D43</f>
        <v/>
      </c>
      <c r="H43">
        <f>BDP($B43,"ID_ISIN")</f>
        <v/>
      </c>
      <c r="I43" s="1" t="inlineStr">
        <is>
          <t>TDG</t>
        </is>
      </c>
      <c r="J43">
        <f>BDP($B43,"CNTRY_OF_DOMICILE")</f>
        <v/>
      </c>
      <c r="K43" t="inlineStr">
        <is>
          <t>EC</t>
        </is>
      </c>
      <c r="L43" t="inlineStr">
        <is>
          <t>CORP</t>
        </is>
      </c>
      <c r="M43" t="inlineStr"/>
      <c r="N43" t="inlineStr"/>
      <c r="O43" s="1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s="1" t="inlineStr"/>
      <c r="AR43" s="1" t="inlineStr"/>
      <c r="AS43" s="1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AV</t>
        </is>
      </c>
      <c r="B44" t="inlineStr">
        <is>
          <t>TXT US Equity</t>
        </is>
      </c>
      <c r="C44" s="1" t="inlineStr">
        <is>
          <t>TXT</t>
        </is>
      </c>
      <c r="D44" t="inlineStr">
        <is>
          <t>Textron Inc</t>
        </is>
      </c>
      <c r="E44">
        <f>BDP($B44,"LEGAL_ENTITY_IDENTIFIER")</f>
        <v/>
      </c>
      <c r="F44" t="inlineStr">
        <is>
          <t>Textron Inc</t>
        </is>
      </c>
      <c r="G44">
        <f>custodian!D44</f>
        <v/>
      </c>
      <c r="H44">
        <f>BDP($B44,"ID_ISIN")</f>
        <v/>
      </c>
      <c r="I44" s="1" t="inlineStr">
        <is>
          <t>TXT</t>
        </is>
      </c>
      <c r="J44">
        <f>BDP($B44,"CNTRY_OF_DOMICILE")</f>
        <v/>
      </c>
      <c r="K44" t="inlineStr">
        <is>
          <t>EC</t>
        </is>
      </c>
      <c r="L44" t="inlineStr">
        <is>
          <t>CORP</t>
        </is>
      </c>
      <c r="M44" t="inlineStr"/>
      <c r="N44" t="inlineStr"/>
      <c r="O44" s="1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s="1" t="inlineStr"/>
      <c r="AR44" s="1" t="inlineStr"/>
      <c r="AS44" s="1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AV</t>
        </is>
      </c>
      <c r="B45" t="inlineStr">
        <is>
          <t>UAL US Equity</t>
        </is>
      </c>
      <c r="C45" s="1" t="inlineStr">
        <is>
          <t>UAL</t>
        </is>
      </c>
      <c r="D45" t="inlineStr">
        <is>
          <t>United Airlines Holdings Inc</t>
        </is>
      </c>
      <c r="E45">
        <f>BDP($B45,"LEGAL_ENTITY_IDENTIFIER")</f>
        <v/>
      </c>
      <c r="F45" t="inlineStr">
        <is>
          <t>United Airlines Holdings Inc</t>
        </is>
      </c>
      <c r="G45">
        <f>custodian!D45</f>
        <v/>
      </c>
      <c r="H45">
        <f>BDP($B45,"ID_ISIN")</f>
        <v/>
      </c>
      <c r="I45" s="1" t="inlineStr">
        <is>
          <t>UAL</t>
        </is>
      </c>
      <c r="J45">
        <f>BDP($B45,"CNTRY_OF_DOMICILE")</f>
        <v/>
      </c>
      <c r="K45" t="inlineStr">
        <is>
          <t>EC</t>
        </is>
      </c>
      <c r="L45" t="inlineStr">
        <is>
          <t>CORP</t>
        </is>
      </c>
      <c r="M45" t="inlineStr"/>
      <c r="N45" t="inlineStr"/>
      <c r="O45" s="1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s="1" t="inlineStr"/>
      <c r="AR45" s="1" t="inlineStr"/>
      <c r="AS45" s="1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AV</t>
        </is>
      </c>
      <c r="B46" t="inlineStr">
        <is>
          <t>ULCC US Equity</t>
        </is>
      </c>
      <c r="C46" s="1" t="inlineStr">
        <is>
          <t>ULCC</t>
        </is>
      </c>
      <c r="D46" t="inlineStr">
        <is>
          <t>Frontier Group Holdings Inc</t>
        </is>
      </c>
      <c r="E46">
        <f>BDP($B46,"LEGAL_ENTITY_IDENTIFIER")</f>
        <v/>
      </c>
      <c r="F46" t="inlineStr">
        <is>
          <t>Frontier Group Holdings Inc</t>
        </is>
      </c>
      <c r="G46">
        <f>custodian!D46</f>
        <v/>
      </c>
      <c r="H46">
        <f>BDP($B46,"ID_ISIN")</f>
        <v/>
      </c>
      <c r="I46" s="1" t="inlineStr">
        <is>
          <t>ULCC</t>
        </is>
      </c>
      <c r="J46">
        <f>BDP($B46,"CNTRY_OF_DOMICILE")</f>
        <v/>
      </c>
      <c r="K46" t="inlineStr">
        <is>
          <t>EC</t>
        </is>
      </c>
      <c r="L46" t="inlineStr">
        <is>
          <t>CORP</t>
        </is>
      </c>
      <c r="M46" t="inlineStr"/>
      <c r="N46" t="inlineStr"/>
      <c r="O46" s="1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s="1" t="inlineStr"/>
      <c r="AR46" s="1" t="inlineStr"/>
      <c r="AS46" s="1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AV</t>
        </is>
      </c>
      <c r="B47" t="inlineStr">
        <is>
          <t>UPS US Equity</t>
        </is>
      </c>
      <c r="C47" s="1" t="inlineStr">
        <is>
          <t>UPS</t>
        </is>
      </c>
      <c r="D47" t="inlineStr">
        <is>
          <t>United Parcel Service Inc</t>
        </is>
      </c>
      <c r="E47">
        <f>BDP($B47,"LEGAL_ENTITY_IDENTIFIER")</f>
        <v/>
      </c>
      <c r="F47" t="inlineStr">
        <is>
          <t>United Parcel Service Inc</t>
        </is>
      </c>
      <c r="G47">
        <f>custodian!D47</f>
        <v/>
      </c>
      <c r="H47">
        <f>BDP($B47,"ID_ISIN")</f>
        <v/>
      </c>
      <c r="I47" s="1" t="inlineStr">
        <is>
          <t>UPS</t>
        </is>
      </c>
      <c r="J47">
        <f>BDP($B47,"CNTRY_OF_DOMICILE")</f>
        <v/>
      </c>
      <c r="K47" t="inlineStr">
        <is>
          <t>EC</t>
        </is>
      </c>
      <c r="L47" t="inlineStr">
        <is>
          <t>CORP</t>
        </is>
      </c>
      <c r="M47" t="inlineStr"/>
      <c r="N47" t="inlineStr"/>
      <c r="O47" s="1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s="1" t="inlineStr"/>
      <c r="AR47" s="1" t="inlineStr"/>
      <c r="AS47" s="1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AV</t>
        </is>
      </c>
      <c r="B48" t="inlineStr">
        <is>
          <t>WWD US Equity</t>
        </is>
      </c>
      <c r="C48" s="1" t="inlineStr">
        <is>
          <t>WWD</t>
        </is>
      </c>
      <c r="D48" t="inlineStr">
        <is>
          <t>Woodward Inc</t>
        </is>
      </c>
      <c r="E48">
        <f>BDP($B48,"LEGAL_ENTITY_IDENTIFIER")</f>
        <v/>
      </c>
      <c r="F48" t="inlineStr">
        <is>
          <t>Woodward Inc</t>
        </is>
      </c>
      <c r="G48">
        <f>custodian!D48</f>
        <v/>
      </c>
      <c r="H48">
        <f>BDP($B48,"ID_ISIN")</f>
        <v/>
      </c>
      <c r="I48" s="1" t="inlineStr">
        <is>
          <t>WWD</t>
        </is>
      </c>
      <c r="J48">
        <f>BDP($B48,"CNTRY_OF_DOMICILE")</f>
        <v/>
      </c>
      <c r="K48" t="inlineStr">
        <is>
          <t>EC</t>
        </is>
      </c>
      <c r="L48" t="inlineStr">
        <is>
          <t>CORP</t>
        </is>
      </c>
      <c r="M48" t="inlineStr"/>
      <c r="N48" t="inlineStr"/>
      <c r="O48" s="1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s="1" t="inlineStr"/>
      <c r="AR48" s="1" t="inlineStr"/>
      <c r="AS48" s="1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AV</t>
        </is>
      </c>
      <c r="B49" t="inlineStr"/>
      <c r="C49" s="1" t="inlineStr">
        <is>
          <t>Cash&amp;Other</t>
        </is>
      </c>
      <c r="D49" t="inlineStr"/>
      <c r="E49" s="1" t="inlineStr"/>
      <c r="F49" t="inlineStr"/>
      <c r="G49">
        <f>custodian!D49</f>
        <v/>
      </c>
      <c r="H49" s="1" t="inlineStr"/>
      <c r="I49" s="1" t="inlineStr"/>
      <c r="J49" t="inlineStr"/>
      <c r="K49" t="inlineStr"/>
      <c r="L49" t="inlineStr"/>
      <c r="M49" t="inlineStr"/>
      <c r="N49" t="inlineStr"/>
      <c r="O49" s="1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s="1" t="inlineStr"/>
      <c r="AR49" s="1" t="inlineStr"/>
      <c r="AS49" s="1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BAY</t>
        </is>
      </c>
      <c r="B50" t="inlineStr">
        <is>
          <t>AAPL US Equity</t>
        </is>
      </c>
      <c r="C50" s="1" t="inlineStr">
        <is>
          <t>AAPL</t>
        </is>
      </c>
      <c r="D50" t="inlineStr">
        <is>
          <t>Apple Inc</t>
        </is>
      </c>
      <c r="E50">
        <f>BDP($B50,"LEGAL_ENTITY_IDENTIFIER")</f>
        <v/>
      </c>
      <c r="F50" t="inlineStr">
        <is>
          <t>Apple Inc</t>
        </is>
      </c>
      <c r="G50">
        <f>custodian!D50</f>
        <v/>
      </c>
      <c r="H50">
        <f>BDP($B50,"ID_ISIN")</f>
        <v/>
      </c>
      <c r="I50" s="1" t="inlineStr">
        <is>
          <t>AAPL</t>
        </is>
      </c>
      <c r="J50">
        <f>BDP($B50,"CNTRY_OF_DOMICILE")</f>
        <v/>
      </c>
      <c r="K50" t="inlineStr">
        <is>
          <t>EC</t>
        </is>
      </c>
      <c r="L50" t="inlineStr">
        <is>
          <t>CORP</t>
        </is>
      </c>
      <c r="M50" t="inlineStr"/>
      <c r="N50" t="inlineStr"/>
      <c r="O50" s="1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s="1" t="inlineStr"/>
      <c r="AR50" s="1" t="inlineStr"/>
      <c r="AS50" s="1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BAY</t>
        </is>
      </c>
      <c r="B51" t="inlineStr">
        <is>
          <t>ABNB US Equity</t>
        </is>
      </c>
      <c r="C51" s="1" t="inlineStr">
        <is>
          <t>ABNB</t>
        </is>
      </c>
      <c r="D51" t="inlineStr">
        <is>
          <t>Airbnb Inc</t>
        </is>
      </c>
      <c r="E51">
        <f>BDP($B51,"LEGAL_ENTITY_IDENTIFIER")</f>
        <v/>
      </c>
      <c r="F51" t="inlineStr">
        <is>
          <t>Airbnb Inc</t>
        </is>
      </c>
      <c r="G51">
        <f>custodian!D51</f>
        <v/>
      </c>
      <c r="H51">
        <f>BDP($B51,"ID_ISIN")</f>
        <v/>
      </c>
      <c r="I51" s="1" t="inlineStr">
        <is>
          <t>ABNB</t>
        </is>
      </c>
      <c r="J51">
        <f>BDP($B51,"CNTRY_OF_DOMICILE")</f>
        <v/>
      </c>
      <c r="K51" t="inlineStr">
        <is>
          <t>EC</t>
        </is>
      </c>
      <c r="L51" t="inlineStr">
        <is>
          <t>CORP</t>
        </is>
      </c>
      <c r="M51" t="inlineStr"/>
      <c r="N51" t="inlineStr"/>
      <c r="O51" s="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s="1" t="inlineStr"/>
      <c r="AR51" s="1" t="inlineStr"/>
      <c r="AS51" s="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BAY</t>
        </is>
      </c>
      <c r="B52" t="inlineStr">
        <is>
          <t>ADBE US Equity</t>
        </is>
      </c>
      <c r="C52" s="1" t="inlineStr">
        <is>
          <t>ADBE</t>
        </is>
      </c>
      <c r="D52" t="inlineStr">
        <is>
          <t>Adobe Inc</t>
        </is>
      </c>
      <c r="E52">
        <f>BDP($B52,"LEGAL_ENTITY_IDENTIFIER")</f>
        <v/>
      </c>
      <c r="F52" t="inlineStr">
        <is>
          <t>Adobe Inc</t>
        </is>
      </c>
      <c r="G52">
        <f>custodian!D52</f>
        <v/>
      </c>
      <c r="H52">
        <f>BDP($B52,"ID_ISIN")</f>
        <v/>
      </c>
      <c r="I52" s="1" t="inlineStr">
        <is>
          <t>ADBE</t>
        </is>
      </c>
      <c r="J52">
        <f>BDP($B52,"CNTRY_OF_DOMICILE")</f>
        <v/>
      </c>
      <c r="K52" t="inlineStr">
        <is>
          <t>EC</t>
        </is>
      </c>
      <c r="L52" t="inlineStr">
        <is>
          <t>CORP</t>
        </is>
      </c>
      <c r="M52" t="inlineStr"/>
      <c r="N52" t="inlineStr"/>
      <c r="O52" s="1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s="1" t="inlineStr"/>
      <c r="AR52" s="1" t="inlineStr"/>
      <c r="AS52" s="1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BAY</t>
        </is>
      </c>
      <c r="B53" t="inlineStr">
        <is>
          <t>ADSK US Equity</t>
        </is>
      </c>
      <c r="C53" s="1" t="inlineStr">
        <is>
          <t>ADSK</t>
        </is>
      </c>
      <c r="D53" t="inlineStr">
        <is>
          <t>Autodesk Inc</t>
        </is>
      </c>
      <c r="E53">
        <f>BDP($B53,"LEGAL_ENTITY_IDENTIFIER")</f>
        <v/>
      </c>
      <c r="F53" t="inlineStr">
        <is>
          <t>Autodesk Inc</t>
        </is>
      </c>
      <c r="G53">
        <f>custodian!D53</f>
        <v/>
      </c>
      <c r="H53">
        <f>BDP($B53,"ID_ISIN")</f>
        <v/>
      </c>
      <c r="I53" s="1" t="inlineStr">
        <is>
          <t>ADSK</t>
        </is>
      </c>
      <c r="J53">
        <f>BDP($B53,"CNTRY_OF_DOMICILE")</f>
        <v/>
      </c>
      <c r="K53" t="inlineStr">
        <is>
          <t>EC</t>
        </is>
      </c>
      <c r="L53" t="inlineStr">
        <is>
          <t>CORP</t>
        </is>
      </c>
      <c r="M53" t="inlineStr"/>
      <c r="N53" t="inlineStr"/>
      <c r="O53" s="1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s="1" t="inlineStr"/>
      <c r="AR53" s="1" t="inlineStr"/>
      <c r="AS53" s="1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BAY</t>
        </is>
      </c>
      <c r="B54" t="inlineStr">
        <is>
          <t>AFRM US Equity</t>
        </is>
      </c>
      <c r="C54" s="1" t="inlineStr">
        <is>
          <t>AFRM</t>
        </is>
      </c>
      <c r="D54" t="inlineStr">
        <is>
          <t>Affirm Holdings Inc</t>
        </is>
      </c>
      <c r="E54">
        <f>BDP($B54,"LEGAL_ENTITY_IDENTIFIER")</f>
        <v/>
      </c>
      <c r="F54" t="inlineStr">
        <is>
          <t>Affirm Holdings Inc</t>
        </is>
      </c>
      <c r="G54">
        <f>custodian!D54</f>
        <v/>
      </c>
      <c r="H54">
        <f>BDP($B54,"ID_ISIN")</f>
        <v/>
      </c>
      <c r="I54" s="1" t="inlineStr">
        <is>
          <t>AFRM</t>
        </is>
      </c>
      <c r="J54">
        <f>BDP($B54,"CNTRY_OF_DOMICILE")</f>
        <v/>
      </c>
      <c r="K54" t="inlineStr">
        <is>
          <t>EC</t>
        </is>
      </c>
      <c r="L54" t="inlineStr">
        <is>
          <t>CORP</t>
        </is>
      </c>
      <c r="M54" t="inlineStr"/>
      <c r="N54" t="inlineStr"/>
      <c r="O54" s="1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s="1" t="inlineStr"/>
      <c r="AR54" s="1" t="inlineStr"/>
      <c r="AS54" s="1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BAY</t>
        </is>
      </c>
      <c r="B55" t="inlineStr">
        <is>
          <t>ALAB US Equity</t>
        </is>
      </c>
      <c r="C55" s="1" t="inlineStr">
        <is>
          <t>ALAB</t>
        </is>
      </c>
      <c r="D55" t="inlineStr">
        <is>
          <t>Astera Labs Inc</t>
        </is>
      </c>
      <c r="E55">
        <f>BDP($B55,"LEGAL_ENTITY_IDENTIFIER")</f>
        <v/>
      </c>
      <c r="F55" t="inlineStr">
        <is>
          <t>Astera Labs Inc</t>
        </is>
      </c>
      <c r="G55">
        <f>custodian!D55</f>
        <v/>
      </c>
      <c r="H55">
        <f>BDP($B55,"ID_ISIN")</f>
        <v/>
      </c>
      <c r="I55" s="1" t="inlineStr">
        <is>
          <t>ALAB</t>
        </is>
      </c>
      <c r="J55">
        <f>BDP($B55,"CNTRY_OF_DOMICILE")</f>
        <v/>
      </c>
      <c r="K55" t="inlineStr">
        <is>
          <t>EC</t>
        </is>
      </c>
      <c r="L55" t="inlineStr">
        <is>
          <t>CORP</t>
        </is>
      </c>
      <c r="M55" t="inlineStr"/>
      <c r="N55" t="inlineStr"/>
      <c r="O55" s="1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s="1" t="inlineStr"/>
      <c r="AR55" s="1" t="inlineStr"/>
      <c r="AS55" s="1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BAY</t>
        </is>
      </c>
      <c r="B56" t="inlineStr">
        <is>
          <t>AMAT US Equity</t>
        </is>
      </c>
      <c r="C56" s="1" t="inlineStr">
        <is>
          <t>AMAT</t>
        </is>
      </c>
      <c r="D56" t="inlineStr">
        <is>
          <t>Applied Materials Inc</t>
        </is>
      </c>
      <c r="E56">
        <f>BDP($B56,"LEGAL_ENTITY_IDENTIFIER")</f>
        <v/>
      </c>
      <c r="F56" t="inlineStr">
        <is>
          <t>Applied Materials Inc</t>
        </is>
      </c>
      <c r="G56">
        <f>custodian!D56</f>
        <v/>
      </c>
      <c r="H56">
        <f>BDP($B56,"ID_ISIN")</f>
        <v/>
      </c>
      <c r="I56" s="1" t="inlineStr">
        <is>
          <t>AMAT</t>
        </is>
      </c>
      <c r="J56">
        <f>BDP($B56,"CNTRY_OF_DOMICILE")</f>
        <v/>
      </c>
      <c r="K56" t="inlineStr">
        <is>
          <t>EC</t>
        </is>
      </c>
      <c r="L56" t="inlineStr">
        <is>
          <t>CORP</t>
        </is>
      </c>
      <c r="M56" t="inlineStr"/>
      <c r="N56" t="inlineStr"/>
      <c r="O56" s="1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s="1" t="inlineStr"/>
      <c r="AR56" s="1" t="inlineStr"/>
      <c r="AS56" s="1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BAY</t>
        </is>
      </c>
      <c r="B57" t="inlineStr">
        <is>
          <t>AMD US Equity</t>
        </is>
      </c>
      <c r="C57" s="1" t="inlineStr">
        <is>
          <t>AMD</t>
        </is>
      </c>
      <c r="D57" t="inlineStr">
        <is>
          <t>Advanced Micro Devices Inc</t>
        </is>
      </c>
      <c r="E57">
        <f>BDP($B57,"LEGAL_ENTITY_IDENTIFIER")</f>
        <v/>
      </c>
      <c r="F57" t="inlineStr">
        <is>
          <t>Advanced Micro Devices Inc</t>
        </is>
      </c>
      <c r="G57">
        <f>custodian!D57</f>
        <v/>
      </c>
      <c r="H57">
        <f>BDP($B57,"ID_ISIN")</f>
        <v/>
      </c>
      <c r="I57" s="1" t="inlineStr">
        <is>
          <t>AMD</t>
        </is>
      </c>
      <c r="J57">
        <f>BDP($B57,"CNTRY_OF_DOMICILE")</f>
        <v/>
      </c>
      <c r="K57" t="inlineStr">
        <is>
          <t>EC</t>
        </is>
      </c>
      <c r="L57" t="inlineStr">
        <is>
          <t>CORP</t>
        </is>
      </c>
      <c r="M57" t="inlineStr"/>
      <c r="N57" t="inlineStr"/>
      <c r="O57" s="1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s="1" t="inlineStr"/>
      <c r="AR57" s="1" t="inlineStr"/>
      <c r="AS57" s="1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BAY</t>
        </is>
      </c>
      <c r="B58" t="inlineStr">
        <is>
          <t>APP US Equity</t>
        </is>
      </c>
      <c r="C58" s="1" t="inlineStr">
        <is>
          <t>APP</t>
        </is>
      </c>
      <c r="D58" t="inlineStr">
        <is>
          <t>AppLovin Corp</t>
        </is>
      </c>
      <c r="E58">
        <f>BDP($B58,"LEGAL_ENTITY_IDENTIFIER")</f>
        <v/>
      </c>
      <c r="F58" t="inlineStr">
        <is>
          <t>AppLovin Corp</t>
        </is>
      </c>
      <c r="G58">
        <f>custodian!D58</f>
        <v/>
      </c>
      <c r="H58">
        <f>BDP($B58,"ID_ISIN")</f>
        <v/>
      </c>
      <c r="I58" s="1" t="inlineStr">
        <is>
          <t>APP</t>
        </is>
      </c>
      <c r="J58">
        <f>BDP($B58,"CNTRY_OF_DOMICILE")</f>
        <v/>
      </c>
      <c r="K58" t="inlineStr">
        <is>
          <t>EC</t>
        </is>
      </c>
      <c r="L58" t="inlineStr">
        <is>
          <t>CORP</t>
        </is>
      </c>
      <c r="M58" t="inlineStr"/>
      <c r="N58" t="inlineStr"/>
      <c r="O58" s="1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s="1" t="inlineStr"/>
      <c r="AR58" s="1" t="inlineStr"/>
      <c r="AS58" s="1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BAY</t>
        </is>
      </c>
      <c r="B59" t="inlineStr">
        <is>
          <t>AVGO US Equity</t>
        </is>
      </c>
      <c r="C59" s="1" t="inlineStr">
        <is>
          <t>AVGO</t>
        </is>
      </c>
      <c r="D59" t="inlineStr">
        <is>
          <t>Broadcom Inc</t>
        </is>
      </c>
      <c r="E59">
        <f>BDP($B59,"LEGAL_ENTITY_IDENTIFIER")</f>
        <v/>
      </c>
      <c r="F59" t="inlineStr">
        <is>
          <t>Broadcom Inc</t>
        </is>
      </c>
      <c r="G59">
        <f>custodian!D59</f>
        <v/>
      </c>
      <c r="H59">
        <f>BDP($B59,"ID_ISIN")</f>
        <v/>
      </c>
      <c r="I59" s="1" t="inlineStr">
        <is>
          <t>AVGO</t>
        </is>
      </c>
      <c r="J59">
        <f>BDP($B59,"CNTRY_OF_DOMICILE")</f>
        <v/>
      </c>
      <c r="K59" t="inlineStr">
        <is>
          <t>EC</t>
        </is>
      </c>
      <c r="L59" t="inlineStr">
        <is>
          <t>CORP</t>
        </is>
      </c>
      <c r="M59" t="inlineStr"/>
      <c r="N59" t="inlineStr"/>
      <c r="O59" s="1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s="1" t="inlineStr"/>
      <c r="AR59" s="1" t="inlineStr"/>
      <c r="AS59" s="1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BAY</t>
        </is>
      </c>
      <c r="B60" t="inlineStr">
        <is>
          <t>BBIO US Equity</t>
        </is>
      </c>
      <c r="C60" s="1" t="inlineStr">
        <is>
          <t>BBIO</t>
        </is>
      </c>
      <c r="D60" t="inlineStr">
        <is>
          <t>Bridgebio Pharma Inc</t>
        </is>
      </c>
      <c r="E60">
        <f>BDP($B60,"LEGAL_ENTITY_IDENTIFIER")</f>
        <v/>
      </c>
      <c r="F60" t="inlineStr">
        <is>
          <t>Bridgebio Pharma Inc</t>
        </is>
      </c>
      <c r="G60">
        <f>custodian!D60</f>
        <v/>
      </c>
      <c r="H60">
        <f>BDP($B60,"ID_ISIN")</f>
        <v/>
      </c>
      <c r="I60" s="1" t="inlineStr">
        <is>
          <t>BBIO</t>
        </is>
      </c>
      <c r="J60">
        <f>BDP($B60,"CNTRY_OF_DOMICILE")</f>
        <v/>
      </c>
      <c r="K60" t="inlineStr">
        <is>
          <t>EC</t>
        </is>
      </c>
      <c r="L60" t="inlineStr">
        <is>
          <t>CORP</t>
        </is>
      </c>
      <c r="M60" t="inlineStr"/>
      <c r="N60" t="inlineStr"/>
      <c r="O60" s="1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s="1" t="inlineStr"/>
      <c r="AR60" s="1" t="inlineStr"/>
      <c r="AS60" s="1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BAY</t>
        </is>
      </c>
      <c r="B61" t="inlineStr">
        <is>
          <t>BE US Equity</t>
        </is>
      </c>
      <c r="C61" s="1" t="inlineStr">
        <is>
          <t>BE</t>
        </is>
      </c>
      <c r="D61" t="inlineStr">
        <is>
          <t>Bloom Energy Corp</t>
        </is>
      </c>
      <c r="E61">
        <f>BDP($B61,"LEGAL_ENTITY_IDENTIFIER")</f>
        <v/>
      </c>
      <c r="F61" t="inlineStr">
        <is>
          <t>Bloom Energy Corp</t>
        </is>
      </c>
      <c r="G61">
        <f>custodian!D61</f>
        <v/>
      </c>
      <c r="H61">
        <f>BDP($B61,"ID_ISIN")</f>
        <v/>
      </c>
      <c r="I61" s="1" t="inlineStr">
        <is>
          <t>BE</t>
        </is>
      </c>
      <c r="J61">
        <f>BDP($B61,"CNTRY_OF_DOMICILE")</f>
        <v/>
      </c>
      <c r="K61" t="inlineStr">
        <is>
          <t>EC</t>
        </is>
      </c>
      <c r="L61" t="inlineStr">
        <is>
          <t>CORP</t>
        </is>
      </c>
      <c r="M61" t="inlineStr"/>
      <c r="N61" t="inlineStr"/>
      <c r="O61" s="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s="1" t="inlineStr"/>
      <c r="AR61" s="1" t="inlineStr"/>
      <c r="AS61" s="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BAY</t>
        </is>
      </c>
      <c r="B62" t="inlineStr">
        <is>
          <t>CLX US Equity</t>
        </is>
      </c>
      <c r="C62" s="1" t="inlineStr">
        <is>
          <t>CLX</t>
        </is>
      </c>
      <c r="D62" t="inlineStr">
        <is>
          <t>Clorox Co/The</t>
        </is>
      </c>
      <c r="E62">
        <f>BDP($B62,"LEGAL_ENTITY_IDENTIFIER")</f>
        <v/>
      </c>
      <c r="F62" t="inlineStr">
        <is>
          <t>Clorox Co/The</t>
        </is>
      </c>
      <c r="G62">
        <f>custodian!D62</f>
        <v/>
      </c>
      <c r="H62">
        <f>BDP($B62,"ID_ISIN")</f>
        <v/>
      </c>
      <c r="I62" s="1" t="inlineStr">
        <is>
          <t>CLX</t>
        </is>
      </c>
      <c r="J62">
        <f>BDP($B62,"CNTRY_OF_DOMICILE")</f>
        <v/>
      </c>
      <c r="K62" t="inlineStr">
        <is>
          <t>EC</t>
        </is>
      </c>
      <c r="L62" t="inlineStr">
        <is>
          <t>CORP</t>
        </is>
      </c>
      <c r="M62" t="inlineStr"/>
      <c r="N62" t="inlineStr"/>
      <c r="O62" s="1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s="1" t="inlineStr"/>
      <c r="AR62" s="1" t="inlineStr"/>
      <c r="AS62" s="1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BAY</t>
        </is>
      </c>
      <c r="B63" t="inlineStr">
        <is>
          <t>COIN US Equity</t>
        </is>
      </c>
      <c r="C63" s="1" t="inlineStr">
        <is>
          <t>COIN</t>
        </is>
      </c>
      <c r="D63" t="inlineStr">
        <is>
          <t>Coinbase Global Inc</t>
        </is>
      </c>
      <c r="E63">
        <f>BDP($B63,"LEGAL_ENTITY_IDENTIFIER")</f>
        <v/>
      </c>
      <c r="F63" t="inlineStr">
        <is>
          <t>Coinbase Global Inc</t>
        </is>
      </c>
      <c r="G63">
        <f>custodian!D63</f>
        <v/>
      </c>
      <c r="H63">
        <f>BDP($B63,"ID_ISIN")</f>
        <v/>
      </c>
      <c r="I63" s="1" t="inlineStr">
        <is>
          <t>COIN</t>
        </is>
      </c>
      <c r="J63">
        <f>BDP($B63,"CNTRY_OF_DOMICILE")</f>
        <v/>
      </c>
      <c r="K63" t="inlineStr">
        <is>
          <t>EC</t>
        </is>
      </c>
      <c r="L63" t="inlineStr">
        <is>
          <t>CORP</t>
        </is>
      </c>
      <c r="M63" t="inlineStr"/>
      <c r="N63" t="inlineStr"/>
      <c r="O63" s="1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s="1" t="inlineStr"/>
      <c r="AR63" s="1" t="inlineStr"/>
      <c r="AS63" s="1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BAY</t>
        </is>
      </c>
      <c r="B64" t="inlineStr">
        <is>
          <t>COO US Equity</t>
        </is>
      </c>
      <c r="C64" s="1" t="inlineStr">
        <is>
          <t>COO</t>
        </is>
      </c>
      <c r="D64" t="inlineStr">
        <is>
          <t>Cooper Cos Inc/The</t>
        </is>
      </c>
      <c r="E64">
        <f>BDP($B64,"LEGAL_ENTITY_IDENTIFIER")</f>
        <v/>
      </c>
      <c r="F64" t="inlineStr">
        <is>
          <t>Cooper Cos Inc/The</t>
        </is>
      </c>
      <c r="G64">
        <f>custodian!D64</f>
        <v/>
      </c>
      <c r="H64">
        <f>BDP($B64,"ID_ISIN")</f>
        <v/>
      </c>
      <c r="I64" s="1" t="inlineStr">
        <is>
          <t>COO</t>
        </is>
      </c>
      <c r="J64">
        <f>BDP($B64,"CNTRY_OF_DOMICILE")</f>
        <v/>
      </c>
      <c r="K64" t="inlineStr">
        <is>
          <t>EC</t>
        </is>
      </c>
      <c r="L64" t="inlineStr">
        <is>
          <t>CORP</t>
        </is>
      </c>
      <c r="M64" t="inlineStr"/>
      <c r="N64" t="inlineStr"/>
      <c r="O64" s="1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s="1" t="inlineStr"/>
      <c r="AR64" s="1" t="inlineStr"/>
      <c r="AS64" s="1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BAY</t>
        </is>
      </c>
      <c r="B65" t="inlineStr">
        <is>
          <t>CRM US Equity</t>
        </is>
      </c>
      <c r="C65" s="1" t="inlineStr">
        <is>
          <t>CRM</t>
        </is>
      </c>
      <c r="D65" t="inlineStr">
        <is>
          <t>Salesforce Inc</t>
        </is>
      </c>
      <c r="E65">
        <f>BDP($B65,"LEGAL_ENTITY_IDENTIFIER")</f>
        <v/>
      </c>
      <c r="F65" t="inlineStr">
        <is>
          <t>Salesforce Inc</t>
        </is>
      </c>
      <c r="G65">
        <f>custodian!D65</f>
        <v/>
      </c>
      <c r="H65">
        <f>BDP($B65,"ID_ISIN")</f>
        <v/>
      </c>
      <c r="I65" s="1" t="inlineStr">
        <is>
          <t>CRM</t>
        </is>
      </c>
      <c r="J65">
        <f>BDP($B65,"CNTRY_OF_DOMICILE")</f>
        <v/>
      </c>
      <c r="K65" t="inlineStr">
        <is>
          <t>EC</t>
        </is>
      </c>
      <c r="L65" t="inlineStr">
        <is>
          <t>CORP</t>
        </is>
      </c>
      <c r="M65" t="inlineStr"/>
      <c r="N65" t="inlineStr"/>
      <c r="O65" s="1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s="1" t="inlineStr"/>
      <c r="AR65" s="1" t="inlineStr"/>
      <c r="AS65" s="1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BAY</t>
        </is>
      </c>
      <c r="B66" t="inlineStr">
        <is>
          <t>CSCO US Equity</t>
        </is>
      </c>
      <c r="C66" s="1" t="inlineStr">
        <is>
          <t>CSCO</t>
        </is>
      </c>
      <c r="D66" t="inlineStr">
        <is>
          <t>Cisco Systems Inc</t>
        </is>
      </c>
      <c r="E66">
        <f>BDP($B66,"LEGAL_ENTITY_IDENTIFIER")</f>
        <v/>
      </c>
      <c r="F66" t="inlineStr">
        <is>
          <t>Cisco Systems Inc</t>
        </is>
      </c>
      <c r="G66">
        <f>custodian!D66</f>
        <v/>
      </c>
      <c r="H66">
        <f>BDP($B66,"ID_ISIN")</f>
        <v/>
      </c>
      <c r="I66" s="1" t="inlineStr">
        <is>
          <t>CSCO</t>
        </is>
      </c>
      <c r="J66">
        <f>BDP($B66,"CNTRY_OF_DOMICILE")</f>
        <v/>
      </c>
      <c r="K66" t="inlineStr">
        <is>
          <t>EC</t>
        </is>
      </c>
      <c r="L66" t="inlineStr">
        <is>
          <t>CORP</t>
        </is>
      </c>
      <c r="M66" t="inlineStr"/>
      <c r="N66" t="inlineStr"/>
      <c r="O66" s="1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s="1" t="inlineStr"/>
      <c r="AR66" s="1" t="inlineStr"/>
      <c r="AS66" s="1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BAY</t>
        </is>
      </c>
      <c r="B67" t="inlineStr">
        <is>
          <t>DASH US Equity</t>
        </is>
      </c>
      <c r="C67" s="1" t="inlineStr">
        <is>
          <t>DASH</t>
        </is>
      </c>
      <c r="D67" t="inlineStr">
        <is>
          <t>DoorDash Inc</t>
        </is>
      </c>
      <c r="E67">
        <f>BDP($B67,"LEGAL_ENTITY_IDENTIFIER")</f>
        <v/>
      </c>
      <c r="F67" t="inlineStr">
        <is>
          <t>DoorDash Inc</t>
        </is>
      </c>
      <c r="G67">
        <f>custodian!D67</f>
        <v/>
      </c>
      <c r="H67">
        <f>BDP($B67,"ID_ISIN")</f>
        <v/>
      </c>
      <c r="I67" s="1" t="inlineStr">
        <is>
          <t>DASH</t>
        </is>
      </c>
      <c r="J67">
        <f>BDP($B67,"CNTRY_OF_DOMICILE")</f>
        <v/>
      </c>
      <c r="K67" t="inlineStr">
        <is>
          <t>EC</t>
        </is>
      </c>
      <c r="L67" t="inlineStr">
        <is>
          <t>CORP</t>
        </is>
      </c>
      <c r="M67" t="inlineStr"/>
      <c r="N67" t="inlineStr"/>
      <c r="O67" s="1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s="1" t="inlineStr"/>
      <c r="AR67" s="1" t="inlineStr"/>
      <c r="AS67" s="1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BAY</t>
        </is>
      </c>
      <c r="B68" t="inlineStr">
        <is>
          <t>EBAY US Equity</t>
        </is>
      </c>
      <c r="C68" s="1" t="inlineStr">
        <is>
          <t>EBAY</t>
        </is>
      </c>
      <c r="D68" t="inlineStr">
        <is>
          <t>eBay Inc</t>
        </is>
      </c>
      <c r="E68">
        <f>BDP($B68,"LEGAL_ENTITY_IDENTIFIER")</f>
        <v/>
      </c>
      <c r="F68" t="inlineStr">
        <is>
          <t>eBay Inc</t>
        </is>
      </c>
      <c r="G68">
        <f>custodian!D68</f>
        <v/>
      </c>
      <c r="H68">
        <f>BDP($B68,"ID_ISIN")</f>
        <v/>
      </c>
      <c r="I68" s="1" t="inlineStr">
        <is>
          <t>EBAY</t>
        </is>
      </c>
      <c r="J68">
        <f>BDP($B68,"CNTRY_OF_DOMICILE")</f>
        <v/>
      </c>
      <c r="K68" t="inlineStr">
        <is>
          <t>EC</t>
        </is>
      </c>
      <c r="L68" t="inlineStr">
        <is>
          <t>CORP</t>
        </is>
      </c>
      <c r="M68" t="inlineStr"/>
      <c r="N68" t="inlineStr"/>
      <c r="O68" s="1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s="1" t="inlineStr"/>
      <c r="AR68" s="1" t="inlineStr"/>
      <c r="AS68" s="1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BAY</t>
        </is>
      </c>
      <c r="B69" t="inlineStr">
        <is>
          <t>ESS US Equity</t>
        </is>
      </c>
      <c r="C69" s="1" t="inlineStr">
        <is>
          <t>ESS</t>
        </is>
      </c>
      <c r="D69" t="inlineStr">
        <is>
          <t>Essex Property Trust Inc</t>
        </is>
      </c>
      <c r="E69">
        <f>BDP($B69,"LEGAL_ENTITY_IDENTIFIER")</f>
        <v/>
      </c>
      <c r="F69" t="inlineStr">
        <is>
          <t>Essex Property Trust Inc</t>
        </is>
      </c>
      <c r="G69">
        <f>custodian!D69</f>
        <v/>
      </c>
      <c r="H69">
        <f>BDP($B69,"ID_ISIN")</f>
        <v/>
      </c>
      <c r="I69" s="1" t="inlineStr">
        <is>
          <t>ESS</t>
        </is>
      </c>
      <c r="J69">
        <f>BDP($B69,"CNTRY_OF_DOMICILE")</f>
        <v/>
      </c>
      <c r="K69" t="inlineStr">
        <is>
          <t>EC</t>
        </is>
      </c>
      <c r="L69" t="inlineStr">
        <is>
          <t>CORP</t>
        </is>
      </c>
      <c r="M69" t="inlineStr"/>
      <c r="N69" t="inlineStr"/>
      <c r="O69" s="1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s="1" t="inlineStr"/>
      <c r="AR69" s="1" t="inlineStr"/>
      <c r="AS69" s="1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BAY</t>
        </is>
      </c>
      <c r="B70" t="inlineStr">
        <is>
          <t>FGXXX US Equity</t>
        </is>
      </c>
      <c r="C70" s="1" t="inlineStr">
        <is>
          <t>FGXXX</t>
        </is>
      </c>
      <c r="D70" t="inlineStr">
        <is>
          <t>First American Government Obli</t>
        </is>
      </c>
      <c r="E70">
        <f>BDP($B70,"LEGAL_ENTITY_IDENTIFIER")</f>
        <v/>
      </c>
      <c r="F70" t="inlineStr">
        <is>
          <t>First American Government Obligations Fund</t>
        </is>
      </c>
      <c r="G70">
        <f>custodian!D70</f>
        <v/>
      </c>
      <c r="H70">
        <f>BDP($B70,"ID_ISIN")</f>
        <v/>
      </c>
      <c r="I70" s="1" t="inlineStr">
        <is>
          <t>FGXXX</t>
        </is>
      </c>
      <c r="J70">
        <f>BDP($B70,"CNTRY_OF_DOMICILE")</f>
        <v/>
      </c>
      <c r="K70" t="inlineStr">
        <is>
          <t>STIV</t>
        </is>
      </c>
      <c r="L70" t="inlineStr">
        <is>
          <t>RF</t>
        </is>
      </c>
      <c r="M70" t="inlineStr"/>
      <c r="N70" t="inlineStr"/>
      <c r="O70" s="1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s="1" t="inlineStr"/>
      <c r="AR70" s="1" t="inlineStr"/>
      <c r="AS70" s="1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BAY</t>
        </is>
      </c>
      <c r="B71" t="inlineStr">
        <is>
          <t>FTNT US Equity</t>
        </is>
      </c>
      <c r="C71" s="1" t="inlineStr">
        <is>
          <t>FTNT</t>
        </is>
      </c>
      <c r="D71" t="inlineStr">
        <is>
          <t>Fortinet Inc</t>
        </is>
      </c>
      <c r="E71">
        <f>BDP($B71,"LEGAL_ENTITY_IDENTIFIER")</f>
        <v/>
      </c>
      <c r="F71" t="inlineStr">
        <is>
          <t>Fortinet Inc</t>
        </is>
      </c>
      <c r="G71">
        <f>custodian!D71</f>
        <v/>
      </c>
      <c r="H71">
        <f>BDP($B71,"ID_ISIN")</f>
        <v/>
      </c>
      <c r="I71" s="1" t="inlineStr">
        <is>
          <t>FTNT</t>
        </is>
      </c>
      <c r="J71">
        <f>BDP($B71,"CNTRY_OF_DOMICILE")</f>
        <v/>
      </c>
      <c r="K71" t="inlineStr">
        <is>
          <t>EC</t>
        </is>
      </c>
      <c r="L71" t="inlineStr">
        <is>
          <t>CORP</t>
        </is>
      </c>
      <c r="M71" t="inlineStr"/>
      <c r="N71" t="inlineStr"/>
      <c r="O71" s="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s="1" t="inlineStr"/>
      <c r="AR71" s="1" t="inlineStr"/>
      <c r="AS71" s="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BAY</t>
        </is>
      </c>
      <c r="B72" t="inlineStr">
        <is>
          <t>GILD US Equity</t>
        </is>
      </c>
      <c r="C72" s="1" t="inlineStr">
        <is>
          <t>GILD</t>
        </is>
      </c>
      <c r="D72" t="inlineStr">
        <is>
          <t>Gilead Sciences Inc</t>
        </is>
      </c>
      <c r="E72">
        <f>BDP($B72,"LEGAL_ENTITY_IDENTIFIER")</f>
        <v/>
      </c>
      <c r="F72" t="inlineStr">
        <is>
          <t>Gilead Sciences Inc</t>
        </is>
      </c>
      <c r="G72">
        <f>custodian!D72</f>
        <v/>
      </c>
      <c r="H72">
        <f>BDP($B72,"ID_ISIN")</f>
        <v/>
      </c>
      <c r="I72" s="1" t="inlineStr">
        <is>
          <t>GILD</t>
        </is>
      </c>
      <c r="J72">
        <f>BDP($B72,"CNTRY_OF_DOMICILE")</f>
        <v/>
      </c>
      <c r="K72" t="inlineStr">
        <is>
          <t>EC</t>
        </is>
      </c>
      <c r="L72" t="inlineStr">
        <is>
          <t>CORP</t>
        </is>
      </c>
      <c r="M72" t="inlineStr"/>
      <c r="N72" t="inlineStr"/>
      <c r="O72" s="1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s="1" t="inlineStr"/>
      <c r="AR72" s="1" t="inlineStr"/>
      <c r="AS72" s="1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BAY</t>
        </is>
      </c>
      <c r="B73" t="inlineStr">
        <is>
          <t>GOOGL US Equity</t>
        </is>
      </c>
      <c r="C73" s="1" t="inlineStr">
        <is>
          <t>GOOGL</t>
        </is>
      </c>
      <c r="D73" t="inlineStr">
        <is>
          <t>Alphabet Inc</t>
        </is>
      </c>
      <c r="E73">
        <f>BDP($B73,"LEGAL_ENTITY_IDENTIFIER")</f>
        <v/>
      </c>
      <c r="F73" t="inlineStr">
        <is>
          <t>Alphabet Inc</t>
        </is>
      </c>
      <c r="G73">
        <f>custodian!D73</f>
        <v/>
      </c>
      <c r="H73">
        <f>BDP($B73,"ID_ISIN")</f>
        <v/>
      </c>
      <c r="I73" s="1" t="inlineStr">
        <is>
          <t>GOOGL</t>
        </is>
      </c>
      <c r="J73">
        <f>BDP($B73,"CNTRY_OF_DOMICILE")</f>
        <v/>
      </c>
      <c r="K73" t="inlineStr">
        <is>
          <t>EC</t>
        </is>
      </c>
      <c r="L73" t="inlineStr">
        <is>
          <t>CORP</t>
        </is>
      </c>
      <c r="M73" t="inlineStr"/>
      <c r="N73" t="inlineStr"/>
      <c r="O73" s="1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s="1" t="inlineStr"/>
      <c r="AR73" s="1" t="inlineStr"/>
      <c r="AS73" s="1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BAY</t>
        </is>
      </c>
      <c r="B74" t="inlineStr">
        <is>
          <t>HOOD US Equity</t>
        </is>
      </c>
      <c r="C74" s="1" t="inlineStr">
        <is>
          <t>HOOD</t>
        </is>
      </c>
      <c r="D74" t="inlineStr">
        <is>
          <t>Robinhood Markets Inc</t>
        </is>
      </c>
      <c r="E74">
        <f>BDP($B74,"LEGAL_ENTITY_IDENTIFIER")</f>
        <v/>
      </c>
      <c r="F74" t="inlineStr">
        <is>
          <t>Robinhood Markets Inc</t>
        </is>
      </c>
      <c r="G74">
        <f>custodian!D74</f>
        <v/>
      </c>
      <c r="H74">
        <f>BDP($B74,"ID_ISIN")</f>
        <v/>
      </c>
      <c r="I74" s="1" t="inlineStr">
        <is>
          <t>HOOD</t>
        </is>
      </c>
      <c r="J74">
        <f>BDP($B74,"CNTRY_OF_DOMICILE")</f>
        <v/>
      </c>
      <c r="K74" t="inlineStr">
        <is>
          <t>EC</t>
        </is>
      </c>
      <c r="L74" t="inlineStr">
        <is>
          <t>CORP</t>
        </is>
      </c>
      <c r="M74" t="inlineStr"/>
      <c r="N74" t="inlineStr"/>
      <c r="O74" s="1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s="1" t="inlineStr"/>
      <c r="AR74" s="1" t="inlineStr"/>
      <c r="AS74" s="1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BAY</t>
        </is>
      </c>
      <c r="B75" t="inlineStr">
        <is>
          <t>HPQ US Equity</t>
        </is>
      </c>
      <c r="C75" s="1" t="inlineStr">
        <is>
          <t>HPQ</t>
        </is>
      </c>
      <c r="D75" t="inlineStr">
        <is>
          <t>HP Inc</t>
        </is>
      </c>
      <c r="E75">
        <f>BDP($B75,"LEGAL_ENTITY_IDENTIFIER")</f>
        <v/>
      </c>
      <c r="F75" t="inlineStr">
        <is>
          <t>HP Inc</t>
        </is>
      </c>
      <c r="G75">
        <f>custodian!D75</f>
        <v/>
      </c>
      <c r="H75">
        <f>BDP($B75,"ID_ISIN")</f>
        <v/>
      </c>
      <c r="I75" s="1" t="inlineStr">
        <is>
          <t>HPQ</t>
        </is>
      </c>
      <c r="J75">
        <f>BDP($B75,"CNTRY_OF_DOMICILE")</f>
        <v/>
      </c>
      <c r="K75" t="inlineStr">
        <is>
          <t>EC</t>
        </is>
      </c>
      <c r="L75" t="inlineStr">
        <is>
          <t>CORP</t>
        </is>
      </c>
      <c r="M75" t="inlineStr"/>
      <c r="N75" t="inlineStr"/>
      <c r="O75" s="1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s="1" t="inlineStr"/>
      <c r="AR75" s="1" t="inlineStr"/>
      <c r="AS75" s="1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BAY</t>
        </is>
      </c>
      <c r="B76" t="inlineStr">
        <is>
          <t>INTC US Equity</t>
        </is>
      </c>
      <c r="C76" s="1" t="inlineStr">
        <is>
          <t>INTC</t>
        </is>
      </c>
      <c r="D76" t="inlineStr">
        <is>
          <t>Intel Corp</t>
        </is>
      </c>
      <c r="E76">
        <f>BDP($B76,"LEGAL_ENTITY_IDENTIFIER")</f>
        <v/>
      </c>
      <c r="F76" t="inlineStr">
        <is>
          <t>Intel Corp</t>
        </is>
      </c>
      <c r="G76">
        <f>custodian!D76</f>
        <v/>
      </c>
      <c r="H76">
        <f>BDP($B76,"ID_ISIN")</f>
        <v/>
      </c>
      <c r="I76" s="1" t="inlineStr">
        <is>
          <t>INTC</t>
        </is>
      </c>
      <c r="J76">
        <f>BDP($B76,"CNTRY_OF_DOMICILE")</f>
        <v/>
      </c>
      <c r="K76" t="inlineStr">
        <is>
          <t>EC</t>
        </is>
      </c>
      <c r="L76" t="inlineStr">
        <is>
          <t>CORP</t>
        </is>
      </c>
      <c r="M76" t="inlineStr"/>
      <c r="N76" t="inlineStr"/>
      <c r="O76" s="1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s="1" t="inlineStr"/>
      <c r="AR76" s="1" t="inlineStr"/>
      <c r="AS76" s="1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BAY</t>
        </is>
      </c>
      <c r="B77" t="inlineStr">
        <is>
          <t>IOT US Equity</t>
        </is>
      </c>
      <c r="C77" s="1" t="inlineStr">
        <is>
          <t>IOT</t>
        </is>
      </c>
      <c r="D77" t="inlineStr">
        <is>
          <t>Samsara Inc</t>
        </is>
      </c>
      <c r="E77">
        <f>BDP($B77,"LEGAL_ENTITY_IDENTIFIER")</f>
        <v/>
      </c>
      <c r="F77" t="inlineStr">
        <is>
          <t>Samsara Inc</t>
        </is>
      </c>
      <c r="G77">
        <f>custodian!D77</f>
        <v/>
      </c>
      <c r="H77">
        <f>BDP($B77,"ID_ISIN")</f>
        <v/>
      </c>
      <c r="I77" s="1" t="inlineStr">
        <is>
          <t>IOT</t>
        </is>
      </c>
      <c r="J77">
        <f>BDP($B77,"CNTRY_OF_DOMICILE")</f>
        <v/>
      </c>
      <c r="K77" t="inlineStr">
        <is>
          <t>EC</t>
        </is>
      </c>
      <c r="L77" t="inlineStr">
        <is>
          <t>CORP</t>
        </is>
      </c>
      <c r="M77" t="inlineStr"/>
      <c r="N77" t="inlineStr"/>
      <c r="O77" s="1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s="1" t="inlineStr"/>
      <c r="AR77" s="1" t="inlineStr"/>
      <c r="AS77" s="1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BAY</t>
        </is>
      </c>
      <c r="B78" t="inlineStr">
        <is>
          <t>ISRG US Equity</t>
        </is>
      </c>
      <c r="C78" s="1" t="inlineStr">
        <is>
          <t>ISRG</t>
        </is>
      </c>
      <c r="D78" t="inlineStr">
        <is>
          <t>Intuitive Surgical Inc</t>
        </is>
      </c>
      <c r="E78">
        <f>BDP($B78,"LEGAL_ENTITY_IDENTIFIER")</f>
        <v/>
      </c>
      <c r="F78" t="inlineStr">
        <is>
          <t>Intuitive Surgical Inc</t>
        </is>
      </c>
      <c r="G78">
        <f>custodian!D78</f>
        <v/>
      </c>
      <c r="H78">
        <f>BDP($B78,"ID_ISIN")</f>
        <v/>
      </c>
      <c r="I78" s="1" t="inlineStr">
        <is>
          <t>ISRG</t>
        </is>
      </c>
      <c r="J78">
        <f>BDP($B78,"CNTRY_OF_DOMICILE")</f>
        <v/>
      </c>
      <c r="K78" t="inlineStr">
        <is>
          <t>EC</t>
        </is>
      </c>
      <c r="L78" t="inlineStr">
        <is>
          <t>CORP</t>
        </is>
      </c>
      <c r="M78" t="inlineStr"/>
      <c r="N78" t="inlineStr"/>
      <c r="O78" s="1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s="1" t="inlineStr"/>
      <c r="AR78" s="1" t="inlineStr"/>
      <c r="AS78" s="1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BAY</t>
        </is>
      </c>
      <c r="B79" t="inlineStr">
        <is>
          <t>LITE US Equity</t>
        </is>
      </c>
      <c r="C79" s="1" t="inlineStr">
        <is>
          <t>LITE</t>
        </is>
      </c>
      <c r="D79" t="inlineStr">
        <is>
          <t>Lumentum Holdings Inc</t>
        </is>
      </c>
      <c r="E79">
        <f>BDP($B79,"LEGAL_ENTITY_IDENTIFIER")</f>
        <v/>
      </c>
      <c r="F79" t="inlineStr">
        <is>
          <t>Lumentum Holdings Inc</t>
        </is>
      </c>
      <c r="G79">
        <f>custodian!D79</f>
        <v/>
      </c>
      <c r="H79">
        <f>BDP($B79,"ID_ISIN")</f>
        <v/>
      </c>
      <c r="I79" s="1" t="inlineStr">
        <is>
          <t>LITE</t>
        </is>
      </c>
      <c r="J79">
        <f>BDP($B79,"CNTRY_OF_DOMICILE")</f>
        <v/>
      </c>
      <c r="K79" t="inlineStr">
        <is>
          <t>EC</t>
        </is>
      </c>
      <c r="L79" t="inlineStr">
        <is>
          <t>CORP</t>
        </is>
      </c>
      <c r="M79" t="inlineStr"/>
      <c r="N79" t="inlineStr"/>
      <c r="O79" s="1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s="1" t="inlineStr"/>
      <c r="AR79" s="1" t="inlineStr"/>
      <c r="AS79" s="1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BAY</t>
        </is>
      </c>
      <c r="B80" t="inlineStr">
        <is>
          <t>LRCX US Equity</t>
        </is>
      </c>
      <c r="C80" s="1" t="inlineStr">
        <is>
          <t>LRCX</t>
        </is>
      </c>
      <c r="D80" t="inlineStr">
        <is>
          <t>Lam Research Corp</t>
        </is>
      </c>
      <c r="E80">
        <f>BDP($B80,"LEGAL_ENTITY_IDENTIFIER")</f>
        <v/>
      </c>
      <c r="F80" t="inlineStr">
        <is>
          <t>Lam Research Corp</t>
        </is>
      </c>
      <c r="G80">
        <f>custodian!D80</f>
        <v/>
      </c>
      <c r="H80">
        <f>BDP($B80,"ID_ISIN")</f>
        <v/>
      </c>
      <c r="I80" s="1" t="inlineStr">
        <is>
          <t>LRCX</t>
        </is>
      </c>
      <c r="J80">
        <f>BDP($B80,"CNTRY_OF_DOMICILE")</f>
        <v/>
      </c>
      <c r="K80" t="inlineStr">
        <is>
          <t>EC</t>
        </is>
      </c>
      <c r="L80" t="inlineStr">
        <is>
          <t>CORP</t>
        </is>
      </c>
      <c r="M80" t="inlineStr"/>
      <c r="N80" t="inlineStr"/>
      <c r="O80" s="1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s="1" t="inlineStr"/>
      <c r="AR80" s="1" t="inlineStr"/>
      <c r="AS80" s="1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BAY</t>
        </is>
      </c>
      <c r="B81" t="inlineStr">
        <is>
          <t>META US Equity</t>
        </is>
      </c>
      <c r="C81" s="1" t="inlineStr">
        <is>
          <t>META</t>
        </is>
      </c>
      <c r="D81" t="inlineStr">
        <is>
          <t>Meta Platforms Inc</t>
        </is>
      </c>
      <c r="E81">
        <f>BDP($B81,"LEGAL_ENTITY_IDENTIFIER")</f>
        <v/>
      </c>
      <c r="F81" t="inlineStr">
        <is>
          <t>Meta Platforms Inc</t>
        </is>
      </c>
      <c r="G81">
        <f>custodian!D81</f>
        <v/>
      </c>
      <c r="H81">
        <f>BDP($B81,"ID_ISIN")</f>
        <v/>
      </c>
      <c r="I81" s="1" t="inlineStr">
        <is>
          <t>META</t>
        </is>
      </c>
      <c r="J81">
        <f>BDP($B81,"CNTRY_OF_DOMICILE")</f>
        <v/>
      </c>
      <c r="K81" t="inlineStr">
        <is>
          <t>EC</t>
        </is>
      </c>
      <c r="L81" t="inlineStr">
        <is>
          <t>CORP</t>
        </is>
      </c>
      <c r="M81" t="inlineStr"/>
      <c r="N81" t="inlineStr"/>
      <c r="O81" s="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s="1" t="inlineStr"/>
      <c r="AR81" s="1" t="inlineStr"/>
      <c r="AS81" s="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BAY</t>
        </is>
      </c>
      <c r="B82" t="inlineStr">
        <is>
          <t>MRVL US Equity</t>
        </is>
      </c>
      <c r="C82" s="1" t="inlineStr">
        <is>
          <t>MRVL</t>
        </is>
      </c>
      <c r="D82" t="inlineStr">
        <is>
          <t>MARVELL TECHNOLOGY INC</t>
        </is>
      </c>
      <c r="E82">
        <f>BDP($B82,"LEGAL_ENTITY_IDENTIFIER")</f>
        <v/>
      </c>
      <c r="F82" t="inlineStr">
        <is>
          <t>MARVELL TECHNOLOGY INC</t>
        </is>
      </c>
      <c r="G82">
        <f>custodian!D82</f>
        <v/>
      </c>
      <c r="H82">
        <f>BDP($B82,"ID_ISIN")</f>
        <v/>
      </c>
      <c r="I82" s="1" t="inlineStr">
        <is>
          <t>MRVL</t>
        </is>
      </c>
      <c r="J82">
        <f>BDP($B82,"CNTRY_OF_DOMICILE")</f>
        <v/>
      </c>
      <c r="K82" t="inlineStr">
        <is>
          <t>EC</t>
        </is>
      </c>
      <c r="L82" t="inlineStr">
        <is>
          <t>CORP</t>
        </is>
      </c>
      <c r="M82" t="inlineStr"/>
      <c r="N82" t="inlineStr"/>
      <c r="O82" s="1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s="1" t="inlineStr"/>
      <c r="AR82" s="1" t="inlineStr"/>
      <c r="AS82" s="1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BAY</t>
        </is>
      </c>
      <c r="B83" t="inlineStr">
        <is>
          <t>NET US Equity</t>
        </is>
      </c>
      <c r="C83" s="1" t="inlineStr">
        <is>
          <t>NET</t>
        </is>
      </c>
      <c r="D83" t="inlineStr">
        <is>
          <t>Cloudflare Inc</t>
        </is>
      </c>
      <c r="E83">
        <f>BDP($B83,"LEGAL_ENTITY_IDENTIFIER")</f>
        <v/>
      </c>
      <c r="F83" t="inlineStr">
        <is>
          <t>Cloudflare Inc</t>
        </is>
      </c>
      <c r="G83">
        <f>custodian!D83</f>
        <v/>
      </c>
      <c r="H83">
        <f>BDP($B83,"ID_ISIN")</f>
        <v/>
      </c>
      <c r="I83" s="1" t="inlineStr">
        <is>
          <t>NET</t>
        </is>
      </c>
      <c r="J83">
        <f>BDP($B83,"CNTRY_OF_DOMICILE")</f>
        <v/>
      </c>
      <c r="K83" t="inlineStr">
        <is>
          <t>EC</t>
        </is>
      </c>
      <c r="L83" t="inlineStr">
        <is>
          <t>CORP</t>
        </is>
      </c>
      <c r="M83" t="inlineStr"/>
      <c r="N83" t="inlineStr"/>
      <c r="O83" s="1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s="1" t="inlineStr"/>
      <c r="AR83" s="1" t="inlineStr"/>
      <c r="AS83" s="1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BAY</t>
        </is>
      </c>
      <c r="B84" t="inlineStr">
        <is>
          <t>NFLX US Equity</t>
        </is>
      </c>
      <c r="C84" s="1" t="inlineStr">
        <is>
          <t>NFLX</t>
        </is>
      </c>
      <c r="D84" t="inlineStr">
        <is>
          <t>Netflix Inc</t>
        </is>
      </c>
      <c r="E84">
        <f>BDP($B84,"LEGAL_ENTITY_IDENTIFIER")</f>
        <v/>
      </c>
      <c r="F84" t="inlineStr">
        <is>
          <t>Netflix Inc</t>
        </is>
      </c>
      <c r="G84">
        <f>custodian!D84</f>
        <v/>
      </c>
      <c r="H84">
        <f>BDP($B84,"ID_ISIN")</f>
        <v/>
      </c>
      <c r="I84" s="1" t="inlineStr">
        <is>
          <t>NFLX</t>
        </is>
      </c>
      <c r="J84">
        <f>BDP($B84,"CNTRY_OF_DOMICILE")</f>
        <v/>
      </c>
      <c r="K84" t="inlineStr">
        <is>
          <t>EC</t>
        </is>
      </c>
      <c r="L84" t="inlineStr">
        <is>
          <t>CORP</t>
        </is>
      </c>
      <c r="M84" t="inlineStr"/>
      <c r="N84" t="inlineStr"/>
      <c r="O84" s="1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s="1" t="inlineStr"/>
      <c r="AR84" s="1" t="inlineStr"/>
      <c r="AS84" s="1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BAY</t>
        </is>
      </c>
      <c r="B85" t="inlineStr">
        <is>
          <t>NOW US Equity</t>
        </is>
      </c>
      <c r="C85" s="1" t="inlineStr">
        <is>
          <t>NOW</t>
        </is>
      </c>
      <c r="D85" t="inlineStr">
        <is>
          <t>ServiceNow Inc</t>
        </is>
      </c>
      <c r="E85">
        <f>BDP($B85,"LEGAL_ENTITY_IDENTIFIER")</f>
        <v/>
      </c>
      <c r="F85" t="inlineStr">
        <is>
          <t>ServiceNow Inc</t>
        </is>
      </c>
      <c r="G85">
        <f>custodian!D85</f>
        <v/>
      </c>
      <c r="H85">
        <f>BDP($B85,"ID_ISIN")</f>
        <v/>
      </c>
      <c r="I85" s="1" t="inlineStr">
        <is>
          <t>NOW</t>
        </is>
      </c>
      <c r="J85">
        <f>BDP($B85,"CNTRY_OF_DOMICILE")</f>
        <v/>
      </c>
      <c r="K85" t="inlineStr">
        <is>
          <t>EC</t>
        </is>
      </c>
      <c r="L85" t="inlineStr">
        <is>
          <t>CORP</t>
        </is>
      </c>
      <c r="M85" t="inlineStr"/>
      <c r="N85" t="inlineStr"/>
      <c r="O85" s="1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s="1" t="inlineStr"/>
      <c r="AR85" s="1" t="inlineStr"/>
      <c r="AS85" s="1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BAY</t>
        </is>
      </c>
      <c r="B86" t="inlineStr">
        <is>
          <t>NVDA US Equity</t>
        </is>
      </c>
      <c r="C86" s="1" t="inlineStr">
        <is>
          <t>NVDA</t>
        </is>
      </c>
      <c r="D86" t="inlineStr">
        <is>
          <t>NVIDIA Corp</t>
        </is>
      </c>
      <c r="E86">
        <f>BDP($B86,"LEGAL_ENTITY_IDENTIFIER")</f>
        <v/>
      </c>
      <c r="F86" t="inlineStr">
        <is>
          <t>NVIDIA Corp</t>
        </is>
      </c>
      <c r="G86">
        <f>custodian!D86</f>
        <v/>
      </c>
      <c r="H86">
        <f>BDP($B86,"ID_ISIN")</f>
        <v/>
      </c>
      <c r="I86" s="1" t="inlineStr">
        <is>
          <t>NVDA</t>
        </is>
      </c>
      <c r="J86">
        <f>BDP($B86,"CNTRY_OF_DOMICILE")</f>
        <v/>
      </c>
      <c r="K86" t="inlineStr">
        <is>
          <t>EC</t>
        </is>
      </c>
      <c r="L86" t="inlineStr">
        <is>
          <t>CORP</t>
        </is>
      </c>
      <c r="M86" t="inlineStr"/>
      <c r="N86" t="inlineStr"/>
      <c r="O86" s="1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s="1" t="inlineStr"/>
      <c r="AR86" s="1" t="inlineStr"/>
      <c r="AS86" s="1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BAY</t>
        </is>
      </c>
      <c r="B87" t="inlineStr">
        <is>
          <t>OKTA US Equity</t>
        </is>
      </c>
      <c r="C87" s="1" t="inlineStr">
        <is>
          <t>OKTA</t>
        </is>
      </c>
      <c r="D87" t="inlineStr">
        <is>
          <t>Okta Inc</t>
        </is>
      </c>
      <c r="E87">
        <f>BDP($B87,"LEGAL_ENTITY_IDENTIFIER")</f>
        <v/>
      </c>
      <c r="F87" t="inlineStr">
        <is>
          <t>Okta Inc</t>
        </is>
      </c>
      <c r="G87">
        <f>custodian!D87</f>
        <v/>
      </c>
      <c r="H87">
        <f>BDP($B87,"ID_ISIN")</f>
        <v/>
      </c>
      <c r="I87" s="1" t="inlineStr">
        <is>
          <t>OKTA</t>
        </is>
      </c>
      <c r="J87">
        <f>BDP($B87,"CNTRY_OF_DOMICILE")</f>
        <v/>
      </c>
      <c r="K87" t="inlineStr">
        <is>
          <t>EC</t>
        </is>
      </c>
      <c r="L87" t="inlineStr">
        <is>
          <t>CORP</t>
        </is>
      </c>
      <c r="M87" t="inlineStr"/>
      <c r="N87" t="inlineStr"/>
      <c r="O87" s="1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s="1" t="inlineStr"/>
      <c r="AR87" s="1" t="inlineStr"/>
      <c r="AS87" s="1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BAY</t>
        </is>
      </c>
      <c r="B88" t="inlineStr">
        <is>
          <t>PANW US Equity</t>
        </is>
      </c>
      <c r="C88" s="1" t="inlineStr">
        <is>
          <t>PANW</t>
        </is>
      </c>
      <c r="D88" t="inlineStr">
        <is>
          <t>Palo Alto Networks Inc</t>
        </is>
      </c>
      <c r="E88">
        <f>BDP($B88,"LEGAL_ENTITY_IDENTIFIER")</f>
        <v/>
      </c>
      <c r="F88" t="inlineStr">
        <is>
          <t>Palo Alto Networks Inc</t>
        </is>
      </c>
      <c r="G88">
        <f>custodian!D88</f>
        <v/>
      </c>
      <c r="H88">
        <f>BDP($B88,"ID_ISIN")</f>
        <v/>
      </c>
      <c r="I88" s="1" t="inlineStr">
        <is>
          <t>PANW</t>
        </is>
      </c>
      <c r="J88">
        <f>BDP($B88,"CNTRY_OF_DOMICILE")</f>
        <v/>
      </c>
      <c r="K88" t="inlineStr">
        <is>
          <t>EC</t>
        </is>
      </c>
      <c r="L88" t="inlineStr">
        <is>
          <t>CORP</t>
        </is>
      </c>
      <c r="M88" t="inlineStr"/>
      <c r="N88" t="inlineStr"/>
      <c r="O88" s="1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s="1" t="inlineStr"/>
      <c r="AR88" s="1" t="inlineStr"/>
      <c r="AS88" s="1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BAY</t>
        </is>
      </c>
      <c r="B89" t="inlineStr">
        <is>
          <t>PCG US Equity</t>
        </is>
      </c>
      <c r="C89" s="1" t="inlineStr">
        <is>
          <t>PCG</t>
        </is>
      </c>
      <c r="D89" t="inlineStr">
        <is>
          <t>PG&amp;E Corp</t>
        </is>
      </c>
      <c r="E89">
        <f>BDP($B89,"LEGAL_ENTITY_IDENTIFIER")</f>
        <v/>
      </c>
      <c r="F89" t="inlineStr">
        <is>
          <t>PG&amp;E Corp</t>
        </is>
      </c>
      <c r="G89">
        <f>custodian!D89</f>
        <v/>
      </c>
      <c r="H89">
        <f>BDP($B89,"ID_ISIN")</f>
        <v/>
      </c>
      <c r="I89" s="1" t="inlineStr">
        <is>
          <t>PCG</t>
        </is>
      </c>
      <c r="J89">
        <f>BDP($B89,"CNTRY_OF_DOMICILE")</f>
        <v/>
      </c>
      <c r="K89" t="inlineStr">
        <is>
          <t>EC</t>
        </is>
      </c>
      <c r="L89" t="inlineStr">
        <is>
          <t>CORP</t>
        </is>
      </c>
      <c r="M89" t="inlineStr"/>
      <c r="N89" t="inlineStr"/>
      <c r="O89" s="1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s="1" t="inlineStr"/>
      <c r="AR89" s="1" t="inlineStr"/>
      <c r="AS89" s="1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BAY</t>
        </is>
      </c>
      <c r="B90" t="inlineStr">
        <is>
          <t>RBLX US Equity</t>
        </is>
      </c>
      <c r="C90" s="1" t="inlineStr">
        <is>
          <t>RBLX</t>
        </is>
      </c>
      <c r="D90" t="inlineStr">
        <is>
          <t>ROBLOX Corp</t>
        </is>
      </c>
      <c r="E90">
        <f>BDP($B90,"LEGAL_ENTITY_IDENTIFIER")</f>
        <v/>
      </c>
      <c r="F90" t="inlineStr">
        <is>
          <t>ROBLOX Corp</t>
        </is>
      </c>
      <c r="G90">
        <f>custodian!D90</f>
        <v/>
      </c>
      <c r="H90">
        <f>BDP($B90,"ID_ISIN")</f>
        <v/>
      </c>
      <c r="I90" s="1" t="inlineStr">
        <is>
          <t>RBLX</t>
        </is>
      </c>
      <c r="J90">
        <f>BDP($B90,"CNTRY_OF_DOMICILE")</f>
        <v/>
      </c>
      <c r="K90" t="inlineStr">
        <is>
          <t>EC</t>
        </is>
      </c>
      <c r="L90" t="inlineStr">
        <is>
          <t>CORP</t>
        </is>
      </c>
      <c r="M90" t="inlineStr"/>
      <c r="N90" t="inlineStr"/>
      <c r="O90" s="1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s="1" t="inlineStr"/>
      <c r="AR90" s="1" t="inlineStr"/>
      <c r="AS90" s="1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BAY</t>
        </is>
      </c>
      <c r="B91" t="inlineStr">
        <is>
          <t>RDDT US Equity</t>
        </is>
      </c>
      <c r="C91" s="1" t="inlineStr">
        <is>
          <t>RDDT</t>
        </is>
      </c>
      <c r="D91" t="inlineStr">
        <is>
          <t>Reddit Inc</t>
        </is>
      </c>
      <c r="E91">
        <f>BDP($B91,"LEGAL_ENTITY_IDENTIFIER")</f>
        <v/>
      </c>
      <c r="F91" t="inlineStr">
        <is>
          <t>Reddit Inc</t>
        </is>
      </c>
      <c r="G91">
        <f>custodian!D91</f>
        <v/>
      </c>
      <c r="H91">
        <f>BDP($B91,"ID_ISIN")</f>
        <v/>
      </c>
      <c r="I91" s="1" t="inlineStr">
        <is>
          <t>RDDT</t>
        </is>
      </c>
      <c r="J91">
        <f>BDP($B91,"CNTRY_OF_DOMICILE")</f>
        <v/>
      </c>
      <c r="K91" t="inlineStr">
        <is>
          <t>EC</t>
        </is>
      </c>
      <c r="L91" t="inlineStr">
        <is>
          <t>CORP</t>
        </is>
      </c>
      <c r="M91" t="inlineStr"/>
      <c r="N91" t="inlineStr"/>
      <c r="O91" s="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s="1" t="inlineStr"/>
      <c r="AR91" s="1" t="inlineStr"/>
      <c r="AS91" s="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BAY</t>
        </is>
      </c>
      <c r="B92" t="inlineStr">
        <is>
          <t>RIVN US Equity</t>
        </is>
      </c>
      <c r="C92" s="1" t="inlineStr">
        <is>
          <t>RIVN</t>
        </is>
      </c>
      <c r="D92" t="inlineStr">
        <is>
          <t>Rivian Automotive Inc</t>
        </is>
      </c>
      <c r="E92">
        <f>BDP($B92,"LEGAL_ENTITY_IDENTIFIER")</f>
        <v/>
      </c>
      <c r="F92" t="inlineStr">
        <is>
          <t>Rivian Automotive Inc</t>
        </is>
      </c>
      <c r="G92">
        <f>custodian!D92</f>
        <v/>
      </c>
      <c r="H92">
        <f>BDP($B92,"ID_ISIN")</f>
        <v/>
      </c>
      <c r="I92" s="1" t="inlineStr">
        <is>
          <t>RIVN</t>
        </is>
      </c>
      <c r="J92">
        <f>BDP($B92,"CNTRY_OF_DOMICILE")</f>
        <v/>
      </c>
      <c r="K92" t="inlineStr">
        <is>
          <t>EC</t>
        </is>
      </c>
      <c r="L92" t="inlineStr">
        <is>
          <t>CORP</t>
        </is>
      </c>
      <c r="M92" t="inlineStr"/>
      <c r="N92" t="inlineStr"/>
      <c r="O92" s="1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s="1" t="inlineStr"/>
      <c r="AR92" s="1" t="inlineStr"/>
      <c r="AS92" s="1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BAY</t>
        </is>
      </c>
      <c r="B93" t="inlineStr">
        <is>
          <t>ROST US Equity</t>
        </is>
      </c>
      <c r="C93" s="1" t="inlineStr">
        <is>
          <t>ROST</t>
        </is>
      </c>
      <c r="D93" t="inlineStr">
        <is>
          <t>Ross Stores Inc</t>
        </is>
      </c>
      <c r="E93">
        <f>BDP($B93,"LEGAL_ENTITY_IDENTIFIER")</f>
        <v/>
      </c>
      <c r="F93" t="inlineStr">
        <is>
          <t>Ross Stores Inc</t>
        </is>
      </c>
      <c r="G93">
        <f>custodian!D93</f>
        <v/>
      </c>
      <c r="H93">
        <f>BDP($B93,"ID_ISIN")</f>
        <v/>
      </c>
      <c r="I93" s="1" t="inlineStr">
        <is>
          <t>ROST</t>
        </is>
      </c>
      <c r="J93">
        <f>BDP($B93,"CNTRY_OF_DOMICILE")</f>
        <v/>
      </c>
      <c r="K93" t="inlineStr">
        <is>
          <t>EC</t>
        </is>
      </c>
      <c r="L93" t="inlineStr">
        <is>
          <t>CORP</t>
        </is>
      </c>
      <c r="M93" t="inlineStr"/>
      <c r="N93" t="inlineStr"/>
      <c r="O93" s="1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s="1" t="inlineStr"/>
      <c r="AR93" s="1" t="inlineStr"/>
      <c r="AS93" s="1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BAY</t>
        </is>
      </c>
      <c r="B94" t="inlineStr">
        <is>
          <t>SMCI US Equity</t>
        </is>
      </c>
      <c r="C94" s="1" t="inlineStr">
        <is>
          <t>SMCI</t>
        </is>
      </c>
      <c r="D94" t="inlineStr">
        <is>
          <t>Super Micro Computer Inc</t>
        </is>
      </c>
      <c r="E94">
        <f>BDP($B94,"LEGAL_ENTITY_IDENTIFIER")</f>
        <v/>
      </c>
      <c r="F94" t="inlineStr">
        <is>
          <t>Super Micro Computer Inc</t>
        </is>
      </c>
      <c r="G94">
        <f>custodian!D94</f>
        <v/>
      </c>
      <c r="H94">
        <f>BDP($B94,"ID_ISIN")</f>
        <v/>
      </c>
      <c r="I94" s="1" t="inlineStr">
        <is>
          <t>SMCI</t>
        </is>
      </c>
      <c r="J94">
        <f>BDP($B94,"CNTRY_OF_DOMICILE")</f>
        <v/>
      </c>
      <c r="K94" t="inlineStr">
        <is>
          <t>EC</t>
        </is>
      </c>
      <c r="L94" t="inlineStr">
        <is>
          <t>CORP</t>
        </is>
      </c>
      <c r="M94" t="inlineStr"/>
      <c r="N94" t="inlineStr"/>
      <c r="O94" s="1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s="1" t="inlineStr"/>
      <c r="AR94" s="1" t="inlineStr"/>
      <c r="AS94" s="1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BAY</t>
        </is>
      </c>
      <c r="B95" t="inlineStr">
        <is>
          <t>SNOW US Equity</t>
        </is>
      </c>
      <c r="C95" s="1" t="inlineStr">
        <is>
          <t>SNOW</t>
        </is>
      </c>
      <c r="D95" t="inlineStr">
        <is>
          <t>Snowflake Inc</t>
        </is>
      </c>
      <c r="E95">
        <f>BDP($B95,"LEGAL_ENTITY_IDENTIFIER")</f>
        <v/>
      </c>
      <c r="F95" t="inlineStr">
        <is>
          <t>Snowflake Inc</t>
        </is>
      </c>
      <c r="G95">
        <f>custodian!D95</f>
        <v/>
      </c>
      <c r="H95">
        <f>BDP($B95,"ID_ISIN")</f>
        <v/>
      </c>
      <c r="I95" s="1" t="inlineStr">
        <is>
          <t>SNOW</t>
        </is>
      </c>
      <c r="J95">
        <f>BDP($B95,"CNTRY_OF_DOMICILE")</f>
        <v/>
      </c>
      <c r="K95" t="inlineStr">
        <is>
          <t>EC</t>
        </is>
      </c>
      <c r="L95" t="inlineStr">
        <is>
          <t>CORP</t>
        </is>
      </c>
      <c r="M95" t="inlineStr"/>
      <c r="N95" t="inlineStr"/>
      <c r="O95" s="1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s="1" t="inlineStr"/>
      <c r="AR95" s="1" t="inlineStr"/>
      <c r="AS95" s="1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BAY</t>
        </is>
      </c>
      <c r="B96" t="inlineStr">
        <is>
          <t>SNX US Equity</t>
        </is>
      </c>
      <c r="C96" s="1" t="inlineStr">
        <is>
          <t>SNX</t>
        </is>
      </c>
      <c r="D96" t="inlineStr">
        <is>
          <t>TD SYNNEX Corp</t>
        </is>
      </c>
      <c r="E96">
        <f>BDP($B96,"LEGAL_ENTITY_IDENTIFIER")</f>
        <v/>
      </c>
      <c r="F96" t="inlineStr">
        <is>
          <t>TD SYNNEX Corp</t>
        </is>
      </c>
      <c r="G96">
        <f>custodian!D96</f>
        <v/>
      </c>
      <c r="H96">
        <f>BDP($B96,"ID_ISIN")</f>
        <v/>
      </c>
      <c r="I96" s="1" t="inlineStr">
        <is>
          <t>SNX</t>
        </is>
      </c>
      <c r="J96">
        <f>BDP($B96,"CNTRY_OF_DOMICILE")</f>
        <v/>
      </c>
      <c r="K96" t="inlineStr">
        <is>
          <t>EC</t>
        </is>
      </c>
      <c r="L96" t="inlineStr">
        <is>
          <t>CORP</t>
        </is>
      </c>
      <c r="M96" t="inlineStr"/>
      <c r="N96" t="inlineStr"/>
      <c r="O96" s="1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s="1" t="inlineStr"/>
      <c r="AR96" s="1" t="inlineStr"/>
      <c r="AS96" s="1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BAY</t>
        </is>
      </c>
      <c r="B97" t="inlineStr">
        <is>
          <t>SOFI US Equity</t>
        </is>
      </c>
      <c r="C97" s="1" t="inlineStr">
        <is>
          <t>SOFI</t>
        </is>
      </c>
      <c r="D97" t="inlineStr">
        <is>
          <t>SoFi Technologies Inc</t>
        </is>
      </c>
      <c r="E97">
        <f>BDP($B97,"LEGAL_ENTITY_IDENTIFIER")</f>
        <v/>
      </c>
      <c r="F97" t="inlineStr">
        <is>
          <t>SoFi Technologies Inc</t>
        </is>
      </c>
      <c r="G97">
        <f>custodian!D97</f>
        <v/>
      </c>
      <c r="H97">
        <f>BDP($B97,"ID_ISIN")</f>
        <v/>
      </c>
      <c r="I97" s="1" t="inlineStr">
        <is>
          <t>SOFI</t>
        </is>
      </c>
      <c r="J97">
        <f>BDP($B97,"CNTRY_OF_DOMICILE")</f>
        <v/>
      </c>
      <c r="K97" t="inlineStr">
        <is>
          <t>EC</t>
        </is>
      </c>
      <c r="L97" t="inlineStr">
        <is>
          <t>CORP</t>
        </is>
      </c>
      <c r="M97" t="inlineStr"/>
      <c r="N97" t="inlineStr"/>
      <c r="O97" s="1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s="1" t="inlineStr"/>
      <c r="AR97" s="1" t="inlineStr"/>
      <c r="AS97" s="1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BAY</t>
        </is>
      </c>
      <c r="B98" t="inlineStr">
        <is>
          <t>STX US Equity</t>
        </is>
      </c>
      <c r="C98" s="1" t="inlineStr">
        <is>
          <t>STX</t>
        </is>
      </c>
      <c r="D98" t="inlineStr">
        <is>
          <t>Seagate Technology Holdings PL</t>
        </is>
      </c>
      <c r="E98">
        <f>BDP($B98,"LEGAL_ENTITY_IDENTIFIER")</f>
        <v/>
      </c>
      <c r="F98" t="inlineStr">
        <is>
          <t>Seagate Technology Holdings PLC</t>
        </is>
      </c>
      <c r="G98">
        <f>custodian!D98</f>
        <v/>
      </c>
      <c r="H98">
        <f>BDP($B98,"ID_ISIN")</f>
        <v/>
      </c>
      <c r="I98" s="1" t="inlineStr">
        <is>
          <t>STX</t>
        </is>
      </c>
      <c r="J98">
        <f>BDP($B98,"CNTRY_OF_DOMICILE")</f>
        <v/>
      </c>
      <c r="K98" t="inlineStr">
        <is>
          <t>EC</t>
        </is>
      </c>
      <c r="L98" t="inlineStr">
        <is>
          <t>CORP</t>
        </is>
      </c>
      <c r="M98" t="inlineStr"/>
      <c r="N98" t="inlineStr"/>
      <c r="O98" s="1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s="1" t="inlineStr"/>
      <c r="AR98" s="1" t="inlineStr"/>
      <c r="AS98" s="1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BAY</t>
        </is>
      </c>
      <c r="B99" t="inlineStr">
        <is>
          <t>TWLO US Equity</t>
        </is>
      </c>
      <c r="C99" s="1" t="inlineStr">
        <is>
          <t>TWLO</t>
        </is>
      </c>
      <c r="D99" t="inlineStr">
        <is>
          <t>Twilio Inc</t>
        </is>
      </c>
      <c r="E99">
        <f>BDP($B99,"LEGAL_ENTITY_IDENTIFIER")</f>
        <v/>
      </c>
      <c r="F99" t="inlineStr">
        <is>
          <t>Twilio Inc</t>
        </is>
      </c>
      <c r="G99">
        <f>custodian!D99</f>
        <v/>
      </c>
      <c r="H99">
        <f>BDP($B99,"ID_ISIN")</f>
        <v/>
      </c>
      <c r="I99" s="1" t="inlineStr">
        <is>
          <t>TWLO</t>
        </is>
      </c>
      <c r="J99">
        <f>BDP($B99,"CNTRY_OF_DOMICILE")</f>
        <v/>
      </c>
      <c r="K99" t="inlineStr">
        <is>
          <t>EC</t>
        </is>
      </c>
      <c r="L99" t="inlineStr">
        <is>
          <t>CORP</t>
        </is>
      </c>
      <c r="M99" t="inlineStr"/>
      <c r="N99" t="inlineStr"/>
      <c r="O99" s="1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s="1" t="inlineStr"/>
      <c r="AR99" s="1" t="inlineStr"/>
      <c r="AS99" s="1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BAY</t>
        </is>
      </c>
      <c r="B100" t="inlineStr">
        <is>
          <t>UBER US Equity</t>
        </is>
      </c>
      <c r="C100" s="1" t="inlineStr">
        <is>
          <t>UBER</t>
        </is>
      </c>
      <c r="D100" t="inlineStr">
        <is>
          <t>Uber Technologies Inc</t>
        </is>
      </c>
      <c r="E100">
        <f>BDP($B100,"LEGAL_ENTITY_IDENTIFIER")</f>
        <v/>
      </c>
      <c r="F100" t="inlineStr">
        <is>
          <t>Uber Technologies Inc</t>
        </is>
      </c>
      <c r="G100">
        <f>custodian!D100</f>
        <v/>
      </c>
      <c r="H100">
        <f>BDP($B100,"ID_ISIN")</f>
        <v/>
      </c>
      <c r="I100" s="1" t="inlineStr">
        <is>
          <t>UBER</t>
        </is>
      </c>
      <c r="J100">
        <f>BDP($B100,"CNTRY_OF_DOMICILE")</f>
        <v/>
      </c>
      <c r="K100" t="inlineStr">
        <is>
          <t>EC</t>
        </is>
      </c>
      <c r="L100" t="inlineStr">
        <is>
          <t>CORP</t>
        </is>
      </c>
      <c r="M100" t="inlineStr"/>
      <c r="N100" t="inlineStr"/>
      <c r="O100" s="1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s="1" t="inlineStr"/>
      <c r="AR100" s="1" t="inlineStr"/>
      <c r="AS100" s="1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BAY</t>
        </is>
      </c>
      <c r="B101" t="inlineStr">
        <is>
          <t>V US Equity</t>
        </is>
      </c>
      <c r="C101" s="1" t="inlineStr">
        <is>
          <t>V</t>
        </is>
      </c>
      <c r="D101" t="inlineStr">
        <is>
          <t>Visa Inc</t>
        </is>
      </c>
      <c r="E101">
        <f>BDP($B101,"LEGAL_ENTITY_IDENTIFIER")</f>
        <v/>
      </c>
      <c r="F101" t="inlineStr">
        <is>
          <t>Visa Inc</t>
        </is>
      </c>
      <c r="G101">
        <f>custodian!D101</f>
        <v/>
      </c>
      <c r="H101">
        <f>BDP($B101,"ID_ISIN")</f>
        <v/>
      </c>
      <c r="I101" s="1" t="inlineStr">
        <is>
          <t>V</t>
        </is>
      </c>
      <c r="J101">
        <f>BDP($B101,"CNTRY_OF_DOMICILE")</f>
        <v/>
      </c>
      <c r="K101" t="inlineStr">
        <is>
          <t>EC</t>
        </is>
      </c>
      <c r="L101" t="inlineStr">
        <is>
          <t>CORP</t>
        </is>
      </c>
      <c r="M101" t="inlineStr"/>
      <c r="N101" t="inlineStr"/>
      <c r="O101" s="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s="1" t="inlineStr"/>
      <c r="AR101" s="1" t="inlineStr"/>
      <c r="AS101" s="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BAY</t>
        </is>
      </c>
      <c r="B102" t="inlineStr">
        <is>
          <t>VEEV US Equity</t>
        </is>
      </c>
      <c r="C102" s="1" t="inlineStr">
        <is>
          <t>VEEV</t>
        </is>
      </c>
      <c r="D102" t="inlineStr">
        <is>
          <t>Veeva Systems Inc</t>
        </is>
      </c>
      <c r="E102">
        <f>BDP($B102,"LEGAL_ENTITY_IDENTIFIER")</f>
        <v/>
      </c>
      <c r="F102" t="inlineStr">
        <is>
          <t>Veeva Systems Inc</t>
        </is>
      </c>
      <c r="G102">
        <f>custodian!D102</f>
        <v/>
      </c>
      <c r="H102">
        <f>BDP($B102,"ID_ISIN")</f>
        <v/>
      </c>
      <c r="I102" s="1" t="inlineStr">
        <is>
          <t>VEEV</t>
        </is>
      </c>
      <c r="J102">
        <f>BDP($B102,"CNTRY_OF_DOMICILE")</f>
        <v/>
      </c>
      <c r="K102" t="inlineStr">
        <is>
          <t>EC</t>
        </is>
      </c>
      <c r="L102" t="inlineStr">
        <is>
          <t>CORP</t>
        </is>
      </c>
      <c r="M102" t="inlineStr"/>
      <c r="N102" t="inlineStr"/>
      <c r="O102" s="1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s="1" t="inlineStr"/>
      <c r="AR102" s="1" t="inlineStr"/>
      <c r="AS102" s="1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BAY</t>
        </is>
      </c>
      <c r="B103" t="inlineStr">
        <is>
          <t>WDAY US Equity</t>
        </is>
      </c>
      <c r="C103" s="1" t="inlineStr">
        <is>
          <t>WDAY</t>
        </is>
      </c>
      <c r="D103" t="inlineStr">
        <is>
          <t>Workday Inc</t>
        </is>
      </c>
      <c r="E103">
        <f>BDP($B103,"LEGAL_ENTITY_IDENTIFIER")</f>
        <v/>
      </c>
      <c r="F103" t="inlineStr">
        <is>
          <t>Workday Inc</t>
        </is>
      </c>
      <c r="G103">
        <f>custodian!D103</f>
        <v/>
      </c>
      <c r="H103">
        <f>BDP($B103,"ID_ISIN")</f>
        <v/>
      </c>
      <c r="I103" s="1" t="inlineStr">
        <is>
          <t>WDAY</t>
        </is>
      </c>
      <c r="J103">
        <f>BDP($B103,"CNTRY_OF_DOMICILE")</f>
        <v/>
      </c>
      <c r="K103" t="inlineStr">
        <is>
          <t>EC</t>
        </is>
      </c>
      <c r="L103" t="inlineStr">
        <is>
          <t>CORP</t>
        </is>
      </c>
      <c r="M103" t="inlineStr"/>
      <c r="N103" t="inlineStr"/>
      <c r="O103" s="1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s="1" t="inlineStr"/>
      <c r="AR103" s="1" t="inlineStr"/>
      <c r="AS103" s="1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BAY</t>
        </is>
      </c>
      <c r="B104" t="inlineStr">
        <is>
          <t>WDC US Equity</t>
        </is>
      </c>
      <c r="C104" s="1" t="inlineStr">
        <is>
          <t>WDC</t>
        </is>
      </c>
      <c r="D104" t="inlineStr">
        <is>
          <t>Western Digital Corp</t>
        </is>
      </c>
      <c r="E104">
        <f>BDP($B104,"LEGAL_ENTITY_IDENTIFIER")</f>
        <v/>
      </c>
      <c r="F104" t="inlineStr">
        <is>
          <t>Western Digital Corp</t>
        </is>
      </c>
      <c r="G104">
        <f>custodian!D104</f>
        <v/>
      </c>
      <c r="H104">
        <f>BDP($B104,"ID_ISIN")</f>
        <v/>
      </c>
      <c r="I104" s="1" t="inlineStr">
        <is>
          <t>WDC</t>
        </is>
      </c>
      <c r="J104">
        <f>BDP($B104,"CNTRY_OF_DOMICILE")</f>
        <v/>
      </c>
      <c r="K104" t="inlineStr">
        <is>
          <t>EC</t>
        </is>
      </c>
      <c r="L104" t="inlineStr">
        <is>
          <t>CORP</t>
        </is>
      </c>
      <c r="M104" t="inlineStr"/>
      <c r="N104" t="inlineStr"/>
      <c r="O104" s="1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s="1" t="inlineStr"/>
      <c r="AR104" s="1" t="inlineStr"/>
      <c r="AS104" s="1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BAY</t>
        </is>
      </c>
      <c r="B105" t="inlineStr">
        <is>
          <t>WFC US Equity</t>
        </is>
      </c>
      <c r="C105" s="1" t="inlineStr">
        <is>
          <t>WFC</t>
        </is>
      </c>
      <c r="D105" t="inlineStr">
        <is>
          <t>Wells Fargo &amp; Co</t>
        </is>
      </c>
      <c r="E105">
        <f>BDP($B105,"LEGAL_ENTITY_IDENTIFIER")</f>
        <v/>
      </c>
      <c r="F105" t="inlineStr">
        <is>
          <t>Wells Fargo &amp; Co</t>
        </is>
      </c>
      <c r="G105">
        <f>custodian!D105</f>
        <v/>
      </c>
      <c r="H105">
        <f>BDP($B105,"ID_ISIN")</f>
        <v/>
      </c>
      <c r="I105" s="1" t="inlineStr">
        <is>
          <t>WFC</t>
        </is>
      </c>
      <c r="J105">
        <f>BDP($B105,"CNTRY_OF_DOMICILE")</f>
        <v/>
      </c>
      <c r="K105" t="inlineStr">
        <is>
          <t>EC</t>
        </is>
      </c>
      <c r="L105" t="inlineStr">
        <is>
          <t>CORP</t>
        </is>
      </c>
      <c r="M105" t="inlineStr"/>
      <c r="N105" t="inlineStr"/>
      <c r="O105" s="1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s="1" t="inlineStr"/>
      <c r="AR105" s="1" t="inlineStr"/>
      <c r="AS105" s="1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BAY</t>
        </is>
      </c>
      <c r="B106" t="inlineStr">
        <is>
          <t>WSM US Equity</t>
        </is>
      </c>
      <c r="C106" s="1" t="inlineStr">
        <is>
          <t>WSM</t>
        </is>
      </c>
      <c r="D106" t="inlineStr">
        <is>
          <t>Williams-Sonoma Inc</t>
        </is>
      </c>
      <c r="E106">
        <f>BDP($B106,"LEGAL_ENTITY_IDENTIFIER")</f>
        <v/>
      </c>
      <c r="F106" t="inlineStr">
        <is>
          <t>Williams-Sonoma Inc</t>
        </is>
      </c>
      <c r="G106">
        <f>custodian!D106</f>
        <v/>
      </c>
      <c r="H106">
        <f>BDP($B106,"ID_ISIN")</f>
        <v/>
      </c>
      <c r="I106" s="1" t="inlineStr">
        <is>
          <t>WSM</t>
        </is>
      </c>
      <c r="J106">
        <f>BDP($B106,"CNTRY_OF_DOMICILE")</f>
        <v/>
      </c>
      <c r="K106" t="inlineStr">
        <is>
          <t>EC</t>
        </is>
      </c>
      <c r="L106" t="inlineStr">
        <is>
          <t>CORP</t>
        </is>
      </c>
      <c r="M106" t="inlineStr"/>
      <c r="N106" t="inlineStr"/>
      <c r="O106" s="1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s="1" t="inlineStr"/>
      <c r="AR106" s="1" t="inlineStr"/>
      <c r="AS106" s="1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BAY</t>
        </is>
      </c>
      <c r="B107" t="inlineStr">
        <is>
          <t>XYZ US Equity</t>
        </is>
      </c>
      <c r="C107" s="1" t="inlineStr">
        <is>
          <t>XYZ</t>
        </is>
      </c>
      <c r="D107" t="inlineStr">
        <is>
          <t>Block Inc</t>
        </is>
      </c>
      <c r="E107">
        <f>BDP($B107,"LEGAL_ENTITY_IDENTIFIER")</f>
        <v/>
      </c>
      <c r="F107" t="inlineStr">
        <is>
          <t>Block Inc</t>
        </is>
      </c>
      <c r="G107">
        <f>custodian!D107</f>
        <v/>
      </c>
      <c r="H107">
        <f>BDP($B107,"ID_ISIN")</f>
        <v/>
      </c>
      <c r="I107" s="1" t="inlineStr">
        <is>
          <t>XYZ</t>
        </is>
      </c>
      <c r="J107">
        <f>BDP($B107,"CNTRY_OF_DOMICILE")</f>
        <v/>
      </c>
      <c r="K107" t="inlineStr">
        <is>
          <t>EC</t>
        </is>
      </c>
      <c r="L107" t="inlineStr">
        <is>
          <t>CORP</t>
        </is>
      </c>
      <c r="M107" t="inlineStr"/>
      <c r="N107" t="inlineStr"/>
      <c r="O107" s="1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s="1" t="inlineStr"/>
      <c r="AR107" s="1" t="inlineStr"/>
      <c r="AS107" s="1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BAY</t>
        </is>
      </c>
      <c r="B108" t="inlineStr">
        <is>
          <t>ZM US Equity</t>
        </is>
      </c>
      <c r="C108" s="1" t="inlineStr">
        <is>
          <t>ZM</t>
        </is>
      </c>
      <c r="D108" t="inlineStr">
        <is>
          <t>Zoom Communications Inc</t>
        </is>
      </c>
      <c r="E108">
        <f>BDP($B108,"LEGAL_ENTITY_IDENTIFIER")</f>
        <v/>
      </c>
      <c r="F108" t="inlineStr">
        <is>
          <t>Zoom Communications Inc</t>
        </is>
      </c>
      <c r="G108">
        <f>custodian!D108</f>
        <v/>
      </c>
      <c r="H108">
        <f>BDP($B108,"ID_ISIN")</f>
        <v/>
      </c>
      <c r="I108" s="1" t="inlineStr">
        <is>
          <t>ZM</t>
        </is>
      </c>
      <c r="J108">
        <f>BDP($B108,"CNTRY_OF_DOMICILE")</f>
        <v/>
      </c>
      <c r="K108" t="inlineStr">
        <is>
          <t>EC</t>
        </is>
      </c>
      <c r="L108" t="inlineStr">
        <is>
          <t>CORP</t>
        </is>
      </c>
      <c r="M108" t="inlineStr"/>
      <c r="N108" t="inlineStr"/>
      <c r="O108" s="1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s="1" t="inlineStr"/>
      <c r="AR108" s="1" t="inlineStr"/>
      <c r="AS108" s="1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BAY</t>
        </is>
      </c>
      <c r="B109" t="inlineStr">
        <is>
          <t>ZS US Equity</t>
        </is>
      </c>
      <c r="C109" s="1" t="inlineStr">
        <is>
          <t>ZS</t>
        </is>
      </c>
      <c r="D109" t="inlineStr">
        <is>
          <t>Zscaler Inc</t>
        </is>
      </c>
      <c r="E109">
        <f>BDP($B109,"LEGAL_ENTITY_IDENTIFIER")</f>
        <v/>
      </c>
      <c r="F109" t="inlineStr">
        <is>
          <t>Zscaler Inc</t>
        </is>
      </c>
      <c r="G109">
        <f>custodian!D109</f>
        <v/>
      </c>
      <c r="H109">
        <f>BDP($B109,"ID_ISIN")</f>
        <v/>
      </c>
      <c r="I109" s="1" t="inlineStr">
        <is>
          <t>ZS</t>
        </is>
      </c>
      <c r="J109">
        <f>BDP($B109,"CNTRY_OF_DOMICILE")</f>
        <v/>
      </c>
      <c r="K109" t="inlineStr">
        <is>
          <t>EC</t>
        </is>
      </c>
      <c r="L109" t="inlineStr">
        <is>
          <t>CORP</t>
        </is>
      </c>
      <c r="M109" t="inlineStr"/>
      <c r="N109" t="inlineStr"/>
      <c r="O109" s="1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s="1" t="inlineStr"/>
      <c r="AR109" s="1" t="inlineStr"/>
      <c r="AS109" s="1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BAY</t>
        </is>
      </c>
      <c r="B110" t="inlineStr"/>
      <c r="C110" s="1" t="inlineStr">
        <is>
          <t>Cash&amp;Other</t>
        </is>
      </c>
      <c r="D110" t="inlineStr"/>
      <c r="E110" s="1" t="inlineStr"/>
      <c r="F110" t="inlineStr"/>
      <c r="G110">
        <f>custodian!D110</f>
        <v/>
      </c>
      <c r="H110" s="1" t="inlineStr"/>
      <c r="I110" s="1" t="inlineStr"/>
      <c r="J110" t="inlineStr"/>
      <c r="K110" t="inlineStr"/>
      <c r="L110" t="inlineStr"/>
      <c r="M110" t="inlineStr"/>
      <c r="N110" t="inlineStr"/>
      <c r="O110" s="1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s="1" t="inlineStr"/>
      <c r="AR110" s="1" t="inlineStr"/>
      <c r="AS110" s="1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BLCK</t>
        </is>
      </c>
      <c r="B111" t="inlineStr">
        <is>
          <t>APLD US Equity</t>
        </is>
      </c>
      <c r="C111" s="1" t="inlineStr">
        <is>
          <t>APLD</t>
        </is>
      </c>
      <c r="D111" t="inlineStr">
        <is>
          <t>Applied Digital Corp</t>
        </is>
      </c>
      <c r="E111">
        <f>BDP($B111,"LEGAL_ENTITY_IDENTIFIER")</f>
        <v/>
      </c>
      <c r="F111" t="inlineStr">
        <is>
          <t>Applied Digital Corp</t>
        </is>
      </c>
      <c r="G111">
        <f>custodian!D111</f>
        <v/>
      </c>
      <c r="H111">
        <f>BDP($B111,"ID_ISIN")</f>
        <v/>
      </c>
      <c r="I111" s="1" t="inlineStr">
        <is>
          <t>APLD</t>
        </is>
      </c>
      <c r="J111">
        <f>BDP($B111,"CNTRY_OF_DOMICILE")</f>
        <v/>
      </c>
      <c r="K111" t="inlineStr">
        <is>
          <t>EC</t>
        </is>
      </c>
      <c r="L111" t="inlineStr">
        <is>
          <t>CORP</t>
        </is>
      </c>
      <c r="M111" t="inlineStr"/>
      <c r="N111" t="inlineStr"/>
      <c r="O111" s="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s="1" t="inlineStr"/>
      <c r="AR111" s="1" t="inlineStr"/>
      <c r="AS111" s="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BLCK</t>
        </is>
      </c>
      <c r="B112" t="inlineStr">
        <is>
          <t>BKKT US Equity</t>
        </is>
      </c>
      <c r="C112" s="1" t="inlineStr">
        <is>
          <t>BKKT</t>
        </is>
      </c>
      <c r="D112" t="inlineStr">
        <is>
          <t>Bakkt Inc</t>
        </is>
      </c>
      <c r="E112">
        <f>BDP($B112,"LEGAL_ENTITY_IDENTIFIER")</f>
        <v/>
      </c>
      <c r="F112" t="inlineStr">
        <is>
          <t>Bakkt Inc</t>
        </is>
      </c>
      <c r="G112">
        <f>custodian!D112</f>
        <v/>
      </c>
      <c r="H112">
        <f>BDP($B112,"ID_ISIN")</f>
        <v/>
      </c>
      <c r="I112" s="1" t="inlineStr">
        <is>
          <t>BKKT</t>
        </is>
      </c>
      <c r="J112">
        <f>BDP($B112,"CNTRY_OF_DOMICILE")</f>
        <v/>
      </c>
      <c r="K112" t="inlineStr">
        <is>
          <t>EC</t>
        </is>
      </c>
      <c r="L112" t="inlineStr">
        <is>
          <t>CORP</t>
        </is>
      </c>
      <c r="M112" t="inlineStr"/>
      <c r="N112" t="inlineStr"/>
      <c r="O112" s="1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s="1" t="inlineStr"/>
      <c r="AR112" s="1" t="inlineStr"/>
      <c r="AS112" s="1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BLCK</t>
        </is>
      </c>
      <c r="B113" t="inlineStr">
        <is>
          <t>BLSH US Equity</t>
        </is>
      </c>
      <c r="C113" s="1" t="inlineStr">
        <is>
          <t>BLSH</t>
        </is>
      </c>
      <c r="D113" t="inlineStr">
        <is>
          <t>Bullish</t>
        </is>
      </c>
      <c r="E113">
        <f>BDP($B113,"LEGAL_ENTITY_IDENTIFIER")</f>
        <v/>
      </c>
      <c r="F113" t="inlineStr">
        <is>
          <t>Bullish</t>
        </is>
      </c>
      <c r="G113">
        <f>custodian!D113</f>
        <v/>
      </c>
      <c r="H113">
        <f>BDP($B113,"ID_ISIN")</f>
        <v/>
      </c>
      <c r="I113" s="1" t="inlineStr">
        <is>
          <t>BLSH</t>
        </is>
      </c>
      <c r="J113">
        <f>BDP($B113,"CNTRY_OF_DOMICILE")</f>
        <v/>
      </c>
      <c r="K113" t="inlineStr">
        <is>
          <t>EC</t>
        </is>
      </c>
      <c r="L113" t="inlineStr">
        <is>
          <t>CORP</t>
        </is>
      </c>
      <c r="M113" t="inlineStr"/>
      <c r="N113" t="inlineStr"/>
      <c r="O113" s="1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s="1" t="inlineStr"/>
      <c r="AR113" s="1" t="inlineStr"/>
      <c r="AS113" s="1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BLCK</t>
        </is>
      </c>
      <c r="B114" t="inlineStr">
        <is>
          <t>BMNR US Equity</t>
        </is>
      </c>
      <c r="C114" s="1" t="inlineStr">
        <is>
          <t>BMNR</t>
        </is>
      </c>
      <c r="D114" t="inlineStr">
        <is>
          <t>BitMine Immersion Technologies</t>
        </is>
      </c>
      <c r="E114">
        <f>BDP($B114,"LEGAL_ENTITY_IDENTIFIER")</f>
        <v/>
      </c>
      <c r="F114" t="inlineStr">
        <is>
          <t>BitMine Immersion Technologies Inc</t>
        </is>
      </c>
      <c r="G114">
        <f>custodian!D114</f>
        <v/>
      </c>
      <c r="H114">
        <f>BDP($B114,"ID_ISIN")</f>
        <v/>
      </c>
      <c r="I114" s="1" t="inlineStr">
        <is>
          <t>BMNR</t>
        </is>
      </c>
      <c r="J114">
        <f>BDP($B114,"CNTRY_OF_DOMICILE")</f>
        <v/>
      </c>
      <c r="K114" t="inlineStr">
        <is>
          <t>EC</t>
        </is>
      </c>
      <c r="L114" t="inlineStr">
        <is>
          <t>CORP</t>
        </is>
      </c>
      <c r="M114" t="inlineStr"/>
      <c r="N114" t="inlineStr"/>
      <c r="O114" s="1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s="1" t="inlineStr"/>
      <c r="AR114" s="1" t="inlineStr"/>
      <c r="AS114" s="1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BLCK</t>
        </is>
      </c>
      <c r="B115" t="inlineStr">
        <is>
          <t>BTBT US Equity</t>
        </is>
      </c>
      <c r="C115" s="1" t="inlineStr">
        <is>
          <t>BTBT</t>
        </is>
      </c>
      <c r="D115" t="inlineStr">
        <is>
          <t>Bit Digital Inc</t>
        </is>
      </c>
      <c r="E115">
        <f>BDP($B115,"LEGAL_ENTITY_IDENTIFIER")</f>
        <v/>
      </c>
      <c r="F115" t="inlineStr">
        <is>
          <t>Bit Digital Inc</t>
        </is>
      </c>
      <c r="G115">
        <f>custodian!D115</f>
        <v/>
      </c>
      <c r="H115">
        <f>BDP($B115,"ID_ISIN")</f>
        <v/>
      </c>
      <c r="I115" s="1" t="inlineStr">
        <is>
          <t>BTBT</t>
        </is>
      </c>
      <c r="J115">
        <f>BDP($B115,"CNTRY_OF_DOMICILE")</f>
        <v/>
      </c>
      <c r="K115" t="inlineStr">
        <is>
          <t>EC</t>
        </is>
      </c>
      <c r="L115" t="inlineStr">
        <is>
          <t>CORP</t>
        </is>
      </c>
      <c r="M115" t="inlineStr"/>
      <c r="N115" t="inlineStr"/>
      <c r="O115" s="1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s="1" t="inlineStr"/>
      <c r="AR115" s="1" t="inlineStr"/>
      <c r="AS115" s="1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BLCK</t>
        </is>
      </c>
      <c r="B116" t="inlineStr">
        <is>
          <t>BTDR US Equity</t>
        </is>
      </c>
      <c r="C116" s="1" t="inlineStr">
        <is>
          <t>BTDR</t>
        </is>
      </c>
      <c r="D116" t="inlineStr">
        <is>
          <t>Bitdeer Technologies Group</t>
        </is>
      </c>
      <c r="E116">
        <f>BDP($B116,"LEGAL_ENTITY_IDENTIFIER")</f>
        <v/>
      </c>
      <c r="F116" t="inlineStr">
        <is>
          <t>Bitdeer Technologies Group</t>
        </is>
      </c>
      <c r="G116">
        <f>custodian!D116</f>
        <v/>
      </c>
      <c r="H116">
        <f>BDP($B116,"ID_ISIN")</f>
        <v/>
      </c>
      <c r="I116" s="1" t="inlineStr">
        <is>
          <t>BTDR</t>
        </is>
      </c>
      <c r="J116">
        <f>BDP($B116,"CNTRY_OF_DOMICILE")</f>
        <v/>
      </c>
      <c r="K116" t="inlineStr">
        <is>
          <t>EC</t>
        </is>
      </c>
      <c r="L116" t="inlineStr">
        <is>
          <t>CORP</t>
        </is>
      </c>
      <c r="M116" t="inlineStr"/>
      <c r="N116" t="inlineStr"/>
      <c r="O116" s="1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s="1" t="inlineStr"/>
      <c r="AR116" s="1" t="inlineStr"/>
      <c r="AS116" s="1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BLCK</t>
        </is>
      </c>
      <c r="B117" t="inlineStr">
        <is>
          <t>BTGO US Equity</t>
        </is>
      </c>
      <c r="C117" s="1" t="inlineStr">
        <is>
          <t>BTGO</t>
        </is>
      </c>
      <c r="D117" t="inlineStr">
        <is>
          <t>Bitgo Holdings Inc</t>
        </is>
      </c>
      <c r="E117">
        <f>BDP($B117,"LEGAL_ENTITY_IDENTIFIER")</f>
        <v/>
      </c>
      <c r="F117" t="inlineStr">
        <is>
          <t>Bitgo Holdings Inc</t>
        </is>
      </c>
      <c r="G117">
        <f>custodian!D117</f>
        <v/>
      </c>
      <c r="H117">
        <f>BDP($B117,"ID_ISIN")</f>
        <v/>
      </c>
      <c r="I117" s="1" t="inlineStr">
        <is>
          <t>BTGO</t>
        </is>
      </c>
      <c r="J117">
        <f>BDP($B117,"CNTRY_OF_DOMICILE")</f>
        <v/>
      </c>
      <c r="K117" t="inlineStr">
        <is>
          <t>EC</t>
        </is>
      </c>
      <c r="L117" t="inlineStr">
        <is>
          <t>CORP</t>
        </is>
      </c>
      <c r="M117" t="inlineStr"/>
      <c r="N117" t="inlineStr"/>
      <c r="O117" s="1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s="1" t="inlineStr"/>
      <c r="AR117" s="1" t="inlineStr"/>
      <c r="AS117" s="1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BLCK</t>
        </is>
      </c>
      <c r="B118" t="inlineStr">
        <is>
          <t>CANG US Equity</t>
        </is>
      </c>
      <c r="C118" s="1" t="inlineStr">
        <is>
          <t>CANG</t>
        </is>
      </c>
      <c r="D118" t="inlineStr">
        <is>
          <t>Cango Inc/KY</t>
        </is>
      </c>
      <c r="E118">
        <f>BDP($B118,"LEGAL_ENTITY_IDENTIFIER")</f>
        <v/>
      </c>
      <c r="F118" t="inlineStr">
        <is>
          <t>Cango Inc/KY</t>
        </is>
      </c>
      <c r="G118">
        <f>custodian!D118</f>
        <v/>
      </c>
      <c r="H118">
        <f>BDP($B118,"ID_ISIN")</f>
        <v/>
      </c>
      <c r="I118" s="1" t="inlineStr">
        <is>
          <t>CANG</t>
        </is>
      </c>
      <c r="J118">
        <f>BDP($B118,"CNTRY_OF_DOMICILE")</f>
        <v/>
      </c>
      <c r="K118" t="inlineStr">
        <is>
          <t>EC</t>
        </is>
      </c>
      <c r="L118" t="inlineStr">
        <is>
          <t>CORP</t>
        </is>
      </c>
      <c r="M118" t="inlineStr"/>
      <c r="N118" t="inlineStr"/>
      <c r="O118" s="1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s="1" t="inlineStr"/>
      <c r="AR118" s="1" t="inlineStr"/>
      <c r="AS118" s="1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BLCK</t>
        </is>
      </c>
      <c r="B119" t="inlineStr">
        <is>
          <t>CBOE US Equity</t>
        </is>
      </c>
      <c r="C119" s="1" t="inlineStr">
        <is>
          <t>CBOE</t>
        </is>
      </c>
      <c r="D119" t="inlineStr">
        <is>
          <t>Cboe Global Markets Inc</t>
        </is>
      </c>
      <c r="E119">
        <f>BDP($B119,"LEGAL_ENTITY_IDENTIFIER")</f>
        <v/>
      </c>
      <c r="F119" t="inlineStr">
        <is>
          <t>Cboe Global Markets Inc</t>
        </is>
      </c>
      <c r="G119">
        <f>custodian!D119</f>
        <v/>
      </c>
      <c r="H119">
        <f>BDP($B119,"ID_ISIN")</f>
        <v/>
      </c>
      <c r="I119" s="1" t="inlineStr">
        <is>
          <t>CBOE</t>
        </is>
      </c>
      <c r="J119">
        <f>BDP($B119,"CNTRY_OF_DOMICILE")</f>
        <v/>
      </c>
      <c r="K119" t="inlineStr">
        <is>
          <t>EC</t>
        </is>
      </c>
      <c r="L119" t="inlineStr">
        <is>
          <t>CORP</t>
        </is>
      </c>
      <c r="M119" t="inlineStr"/>
      <c r="N119" t="inlineStr"/>
      <c r="O119" s="1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s="1" t="inlineStr"/>
      <c r="AR119" s="1" t="inlineStr"/>
      <c r="AS119" s="1" t="inlineStr"/>
      <c r="AT119" t="inlineStr"/>
      <c r="AU119" t="inlineStr"/>
      <c r="AV119" t="inlineStr"/>
      <c r="AW119" t="inlineStr"/>
      <c r="AX119" t="inlineStr"/>
      <c r="AY119" t="inlineStr"/>
    </row>
    <row r="120">
      <c r="A120" t="inlineStr">
        <is>
          <t>BLCK</t>
        </is>
      </c>
      <c r="B120" t="inlineStr">
        <is>
          <t>CIFR US Equity</t>
        </is>
      </c>
      <c r="C120" s="1" t="inlineStr">
        <is>
          <t>CIFR</t>
        </is>
      </c>
      <c r="D120" t="inlineStr">
        <is>
          <t>Cipher Digital Inc</t>
        </is>
      </c>
      <c r="E120">
        <f>BDP($B120,"LEGAL_ENTITY_IDENTIFIER")</f>
        <v/>
      </c>
      <c r="F120" t="inlineStr">
        <is>
          <t>Cipher Digital Inc</t>
        </is>
      </c>
      <c r="G120">
        <f>custodian!D120</f>
        <v/>
      </c>
      <c r="H120">
        <f>BDP($B120,"ID_ISIN")</f>
        <v/>
      </c>
      <c r="I120" s="1" t="inlineStr">
        <is>
          <t>CIFR</t>
        </is>
      </c>
      <c r="J120">
        <f>BDP($B120,"CNTRY_OF_DOMICILE")</f>
        <v/>
      </c>
      <c r="K120" t="inlineStr">
        <is>
          <t>EC</t>
        </is>
      </c>
      <c r="L120" t="inlineStr">
        <is>
          <t>CORP</t>
        </is>
      </c>
      <c r="M120" t="inlineStr"/>
      <c r="N120" t="inlineStr"/>
      <c r="O120" s="1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s="1" t="inlineStr"/>
      <c r="AR120" s="1" t="inlineStr"/>
      <c r="AS120" s="1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BLCK</t>
        </is>
      </c>
      <c r="B121" t="inlineStr">
        <is>
          <t>CLSK US Equity</t>
        </is>
      </c>
      <c r="C121" s="1" t="inlineStr">
        <is>
          <t>CLSK</t>
        </is>
      </c>
      <c r="D121" t="inlineStr">
        <is>
          <t>Cleanspark Inc</t>
        </is>
      </c>
      <c r="E121">
        <f>BDP($B121,"LEGAL_ENTITY_IDENTIFIER")</f>
        <v/>
      </c>
      <c r="F121" t="inlineStr">
        <is>
          <t>Cleanspark Inc</t>
        </is>
      </c>
      <c r="G121">
        <f>custodian!D121</f>
        <v/>
      </c>
      <c r="H121">
        <f>BDP($B121,"ID_ISIN")</f>
        <v/>
      </c>
      <c r="I121" s="1" t="inlineStr">
        <is>
          <t>CLSK</t>
        </is>
      </c>
      <c r="J121">
        <f>BDP($B121,"CNTRY_OF_DOMICILE")</f>
        <v/>
      </c>
      <c r="K121" t="inlineStr">
        <is>
          <t>EC</t>
        </is>
      </c>
      <c r="L121" t="inlineStr">
        <is>
          <t>CORP</t>
        </is>
      </c>
      <c r="M121" t="inlineStr"/>
      <c r="N121" t="inlineStr"/>
      <c r="O121" s="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s="1" t="inlineStr"/>
      <c r="AR121" s="1" t="inlineStr"/>
      <c r="AS121" s="1" t="inlineStr"/>
      <c r="AT121" t="inlineStr"/>
      <c r="AU121" t="inlineStr"/>
      <c r="AV121" t="inlineStr"/>
      <c r="AW121" t="inlineStr"/>
      <c r="AX121" t="inlineStr"/>
      <c r="AY121" t="inlineStr"/>
    </row>
    <row r="122">
      <c r="A122" t="inlineStr">
        <is>
          <t>BLCK</t>
        </is>
      </c>
      <c r="B122" t="inlineStr">
        <is>
          <t>CME US Equity</t>
        </is>
      </c>
      <c r="C122" s="1" t="inlineStr">
        <is>
          <t>CME</t>
        </is>
      </c>
      <c r="D122" t="inlineStr">
        <is>
          <t>CME Group Inc</t>
        </is>
      </c>
      <c r="E122">
        <f>BDP($B122,"LEGAL_ENTITY_IDENTIFIER")</f>
        <v/>
      </c>
      <c r="F122" t="inlineStr">
        <is>
          <t>CME Group Inc</t>
        </is>
      </c>
      <c r="G122">
        <f>custodian!D122</f>
        <v/>
      </c>
      <c r="H122">
        <f>BDP($B122,"ID_ISIN")</f>
        <v/>
      </c>
      <c r="I122" s="1" t="inlineStr">
        <is>
          <t>CME</t>
        </is>
      </c>
      <c r="J122">
        <f>BDP($B122,"CNTRY_OF_DOMICILE")</f>
        <v/>
      </c>
      <c r="K122" t="inlineStr">
        <is>
          <t>EC</t>
        </is>
      </c>
      <c r="L122" t="inlineStr">
        <is>
          <t>CORP</t>
        </is>
      </c>
      <c r="M122" t="inlineStr"/>
      <c r="N122" t="inlineStr"/>
      <c r="O122" s="1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s="1" t="inlineStr"/>
      <c r="AR122" s="1" t="inlineStr"/>
      <c r="AS122" s="1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BLCK</t>
        </is>
      </c>
      <c r="B123" t="inlineStr">
        <is>
          <t>CNCK US Equity</t>
        </is>
      </c>
      <c r="C123" s="1" t="inlineStr">
        <is>
          <t>CNCK</t>
        </is>
      </c>
      <c r="D123" t="inlineStr">
        <is>
          <t>Coincheck Group NV</t>
        </is>
      </c>
      <c r="E123">
        <f>BDP($B123,"LEGAL_ENTITY_IDENTIFIER")</f>
        <v/>
      </c>
      <c r="F123" t="inlineStr">
        <is>
          <t>Coincheck Group NV</t>
        </is>
      </c>
      <c r="G123">
        <f>custodian!D123</f>
        <v/>
      </c>
      <c r="H123">
        <f>BDP($B123,"ID_ISIN")</f>
        <v/>
      </c>
      <c r="I123" s="1" t="inlineStr">
        <is>
          <t>CNCK</t>
        </is>
      </c>
      <c r="J123">
        <f>BDP($B123,"CNTRY_OF_DOMICILE")</f>
        <v/>
      </c>
      <c r="K123" t="inlineStr">
        <is>
          <t>EC</t>
        </is>
      </c>
      <c r="L123" t="inlineStr">
        <is>
          <t>CORP</t>
        </is>
      </c>
      <c r="M123" t="inlineStr"/>
      <c r="N123" t="inlineStr"/>
      <c r="O123" s="1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s="1" t="inlineStr"/>
      <c r="AR123" s="1" t="inlineStr"/>
      <c r="AS123" s="1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BLCK</t>
        </is>
      </c>
      <c r="B124" t="inlineStr">
        <is>
          <t>COIN US Equity</t>
        </is>
      </c>
      <c r="C124" s="1" t="inlineStr">
        <is>
          <t>COIN</t>
        </is>
      </c>
      <c r="D124" t="inlineStr">
        <is>
          <t>Coinbase Global Inc</t>
        </is>
      </c>
      <c r="E124">
        <f>BDP($B124,"LEGAL_ENTITY_IDENTIFIER")</f>
        <v/>
      </c>
      <c r="F124" t="inlineStr">
        <is>
          <t>Coinbase Global Inc</t>
        </is>
      </c>
      <c r="G124">
        <f>custodian!D124</f>
        <v/>
      </c>
      <c r="H124">
        <f>BDP($B124,"ID_ISIN")</f>
        <v/>
      </c>
      <c r="I124" s="1" t="inlineStr">
        <is>
          <t>COIN</t>
        </is>
      </c>
      <c r="J124">
        <f>BDP($B124,"CNTRY_OF_DOMICILE")</f>
        <v/>
      </c>
      <c r="K124" t="inlineStr">
        <is>
          <t>EC</t>
        </is>
      </c>
      <c r="L124" t="inlineStr">
        <is>
          <t>CORP</t>
        </is>
      </c>
      <c r="M124" t="inlineStr"/>
      <c r="N124" t="inlineStr"/>
      <c r="O124" s="1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s="1" t="inlineStr"/>
      <c r="AR124" s="1" t="inlineStr"/>
      <c r="AS124" s="1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BLCK</t>
        </is>
      </c>
      <c r="B125" t="inlineStr">
        <is>
          <t>CORZ US Equity</t>
        </is>
      </c>
      <c r="C125" s="1" t="inlineStr">
        <is>
          <t>CORZ</t>
        </is>
      </c>
      <c r="D125" t="inlineStr">
        <is>
          <t>Core Scientific Inc</t>
        </is>
      </c>
      <c r="E125">
        <f>BDP($B125,"LEGAL_ENTITY_IDENTIFIER")</f>
        <v/>
      </c>
      <c r="F125" t="inlineStr">
        <is>
          <t>Core Scientific Inc</t>
        </is>
      </c>
      <c r="G125">
        <f>custodian!D125</f>
        <v/>
      </c>
      <c r="H125">
        <f>BDP($B125,"ID_ISIN")</f>
        <v/>
      </c>
      <c r="I125" s="1" t="inlineStr">
        <is>
          <t>CORZ</t>
        </is>
      </c>
      <c r="J125">
        <f>BDP($B125,"CNTRY_OF_DOMICILE")</f>
        <v/>
      </c>
      <c r="K125" t="inlineStr">
        <is>
          <t>EC</t>
        </is>
      </c>
      <c r="L125" t="inlineStr">
        <is>
          <t>CORP</t>
        </is>
      </c>
      <c r="M125" t="inlineStr"/>
      <c r="N125" t="inlineStr"/>
      <c r="O125" s="1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s="1" t="inlineStr"/>
      <c r="AR125" s="1" t="inlineStr"/>
      <c r="AS125" s="1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BLCK</t>
        </is>
      </c>
      <c r="B126" t="inlineStr">
        <is>
          <t>CRCL US Equity</t>
        </is>
      </c>
      <c r="C126" s="1" t="inlineStr">
        <is>
          <t>CRCL</t>
        </is>
      </c>
      <c r="D126" t="inlineStr">
        <is>
          <t>Circle Internet Group Inc</t>
        </is>
      </c>
      <c r="E126">
        <f>BDP($B126,"LEGAL_ENTITY_IDENTIFIER")</f>
        <v/>
      </c>
      <c r="F126" t="inlineStr">
        <is>
          <t>Circle Internet Group Inc</t>
        </is>
      </c>
      <c r="G126">
        <f>custodian!D126</f>
        <v/>
      </c>
      <c r="H126">
        <f>BDP($B126,"ID_ISIN")</f>
        <v/>
      </c>
      <c r="I126" s="1" t="inlineStr">
        <is>
          <t>CRCL</t>
        </is>
      </c>
      <c r="J126">
        <f>BDP($B126,"CNTRY_OF_DOMICILE")</f>
        <v/>
      </c>
      <c r="K126" t="inlineStr">
        <is>
          <t>EC</t>
        </is>
      </c>
      <c r="L126" t="inlineStr">
        <is>
          <t>CORP</t>
        </is>
      </c>
      <c r="M126" t="inlineStr"/>
      <c r="N126" t="inlineStr"/>
      <c r="O126" s="1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s="1" t="inlineStr"/>
      <c r="AR126" s="1" t="inlineStr"/>
      <c r="AS126" s="1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BLCK</t>
        </is>
      </c>
      <c r="B127" t="inlineStr">
        <is>
          <t>CSHR US Equity</t>
        </is>
      </c>
      <c r="C127" s="1" t="inlineStr">
        <is>
          <t>CSHR</t>
        </is>
      </c>
      <c r="D127" t="inlineStr">
        <is>
          <t>CoinShares PLC</t>
        </is>
      </c>
      <c r="E127">
        <f>BDP($B127,"LEGAL_ENTITY_IDENTIFIER")</f>
        <v/>
      </c>
      <c r="F127" t="inlineStr">
        <is>
          <t>CoinShares PLC</t>
        </is>
      </c>
      <c r="G127">
        <f>custodian!D127</f>
        <v/>
      </c>
      <c r="H127">
        <f>BDP($B127,"ID_ISIN")</f>
        <v/>
      </c>
      <c r="I127" s="1" t="inlineStr">
        <is>
          <t>CSHR</t>
        </is>
      </c>
      <c r="J127">
        <f>BDP($B127,"CNTRY_OF_DOMICILE")</f>
        <v/>
      </c>
      <c r="K127" t="inlineStr">
        <is>
          <t>EC</t>
        </is>
      </c>
      <c r="L127" t="inlineStr">
        <is>
          <t>CORP</t>
        </is>
      </c>
      <c r="M127" t="inlineStr"/>
      <c r="N127" t="inlineStr"/>
      <c r="O127" s="1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s="1" t="inlineStr"/>
      <c r="AR127" s="1" t="inlineStr"/>
      <c r="AS127" s="1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BLCK</t>
        </is>
      </c>
      <c r="B128" t="inlineStr">
        <is>
          <t>ETOR US Equity</t>
        </is>
      </c>
      <c r="C128" s="1" t="inlineStr">
        <is>
          <t>ETOR</t>
        </is>
      </c>
      <c r="D128" t="inlineStr">
        <is>
          <t>Etoro Group Ltd</t>
        </is>
      </c>
      <c r="E128">
        <f>BDP($B128,"LEGAL_ENTITY_IDENTIFIER")</f>
        <v/>
      </c>
      <c r="F128" t="inlineStr">
        <is>
          <t>Etoro Group Ltd</t>
        </is>
      </c>
      <c r="G128">
        <f>custodian!D128</f>
        <v/>
      </c>
      <c r="H128">
        <f>BDP($B128,"ID_ISIN")</f>
        <v/>
      </c>
      <c r="I128" s="1" t="inlineStr">
        <is>
          <t>ETOR</t>
        </is>
      </c>
      <c r="J128">
        <f>BDP($B128,"CNTRY_OF_DOMICILE")</f>
        <v/>
      </c>
      <c r="K128" t="inlineStr">
        <is>
          <t>EC</t>
        </is>
      </c>
      <c r="L128" t="inlineStr">
        <is>
          <t>CORP</t>
        </is>
      </c>
      <c r="M128" t="inlineStr"/>
      <c r="N128" t="inlineStr"/>
      <c r="O128" s="1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s="1" t="inlineStr"/>
      <c r="AR128" s="1" t="inlineStr"/>
      <c r="AS128" s="1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BLCK</t>
        </is>
      </c>
      <c r="B129" t="inlineStr">
        <is>
          <t>FGXXX US Equity</t>
        </is>
      </c>
      <c r="C129" s="1" t="inlineStr">
        <is>
          <t>FGXXX</t>
        </is>
      </c>
      <c r="D129" t="inlineStr">
        <is>
          <t>First American Government Obli</t>
        </is>
      </c>
      <c r="E129">
        <f>BDP($B129,"LEGAL_ENTITY_IDENTIFIER")</f>
        <v/>
      </c>
      <c r="F129" t="inlineStr">
        <is>
          <t>First American Government Obligations Fund</t>
        </is>
      </c>
      <c r="G129">
        <f>custodian!D129</f>
        <v/>
      </c>
      <c r="H129">
        <f>BDP($B129,"ID_ISIN")</f>
        <v/>
      </c>
      <c r="I129" s="1" t="inlineStr">
        <is>
          <t>FGXXX</t>
        </is>
      </c>
      <c r="J129">
        <f>BDP($B129,"CNTRY_OF_DOMICILE")</f>
        <v/>
      </c>
      <c r="K129" t="inlineStr">
        <is>
          <t>STIV</t>
        </is>
      </c>
      <c r="L129" t="inlineStr">
        <is>
          <t>RF</t>
        </is>
      </c>
      <c r="M129" t="inlineStr"/>
      <c r="N129" t="inlineStr"/>
      <c r="O129" s="1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s="1" t="inlineStr"/>
      <c r="AR129" s="1" t="inlineStr"/>
      <c r="AS129" s="1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BLCK</t>
        </is>
      </c>
      <c r="B130" t="inlineStr">
        <is>
          <t>FIGR US Equity</t>
        </is>
      </c>
      <c r="C130" s="1" t="inlineStr">
        <is>
          <t>FIGR</t>
        </is>
      </c>
      <c r="D130" t="inlineStr">
        <is>
          <t>Figure Technology Solutions In</t>
        </is>
      </c>
      <c r="E130">
        <f>BDP($B130,"LEGAL_ENTITY_IDENTIFIER")</f>
        <v/>
      </c>
      <c r="F130" t="inlineStr">
        <is>
          <t>Figure Technology Solutions Inc</t>
        </is>
      </c>
      <c r="G130">
        <f>custodian!D130</f>
        <v/>
      </c>
      <c r="H130">
        <f>BDP($B130,"ID_ISIN")</f>
        <v/>
      </c>
      <c r="I130" s="1" t="inlineStr">
        <is>
          <t>FIGR</t>
        </is>
      </c>
      <c r="J130">
        <f>BDP($B130,"CNTRY_OF_DOMICILE")</f>
        <v/>
      </c>
      <c r="K130" t="inlineStr">
        <is>
          <t>EC</t>
        </is>
      </c>
      <c r="L130" t="inlineStr">
        <is>
          <t>CORP</t>
        </is>
      </c>
      <c r="M130" t="inlineStr"/>
      <c r="N130" t="inlineStr"/>
      <c r="O130" s="1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s="1" t="inlineStr"/>
      <c r="AR130" s="1" t="inlineStr"/>
      <c r="AS130" s="1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BLCK</t>
        </is>
      </c>
      <c r="B131" t="inlineStr">
        <is>
          <t>FUFU US Equity</t>
        </is>
      </c>
      <c r="C131" s="1" t="inlineStr">
        <is>
          <t>FUFU</t>
        </is>
      </c>
      <c r="D131" t="inlineStr">
        <is>
          <t>BitFuFu Inc</t>
        </is>
      </c>
      <c r="E131">
        <f>BDP($B131,"LEGAL_ENTITY_IDENTIFIER")</f>
        <v/>
      </c>
      <c r="F131" t="inlineStr">
        <is>
          <t>BitFuFu Inc</t>
        </is>
      </c>
      <c r="G131">
        <f>custodian!D131</f>
        <v/>
      </c>
      <c r="H131">
        <f>BDP($B131,"ID_ISIN")</f>
        <v/>
      </c>
      <c r="I131" s="1" t="inlineStr">
        <is>
          <t>FUFU</t>
        </is>
      </c>
      <c r="J131">
        <f>BDP($B131,"CNTRY_OF_DOMICILE")</f>
        <v/>
      </c>
      <c r="K131" t="inlineStr">
        <is>
          <t>EC</t>
        </is>
      </c>
      <c r="L131" t="inlineStr">
        <is>
          <t>CORP</t>
        </is>
      </c>
      <c r="M131" t="inlineStr"/>
      <c r="N131" t="inlineStr"/>
      <c r="O131" s="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s="1" t="inlineStr"/>
      <c r="AR131" s="1" t="inlineStr"/>
      <c r="AS131" s="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BLCK</t>
        </is>
      </c>
      <c r="B132" t="inlineStr">
        <is>
          <t>GEMI US Equity</t>
        </is>
      </c>
      <c r="C132" s="1" t="inlineStr">
        <is>
          <t>GEMI</t>
        </is>
      </c>
      <c r="D132" t="inlineStr">
        <is>
          <t>Gemini Space Station Inc</t>
        </is>
      </c>
      <c r="E132">
        <f>BDP($B132,"LEGAL_ENTITY_IDENTIFIER")</f>
        <v/>
      </c>
      <c r="F132" t="inlineStr">
        <is>
          <t>Gemini Space Station Inc</t>
        </is>
      </c>
      <c r="G132">
        <f>custodian!D132</f>
        <v/>
      </c>
      <c r="H132">
        <f>BDP($B132,"ID_ISIN")</f>
        <v/>
      </c>
      <c r="I132" s="1" t="inlineStr">
        <is>
          <t>GEMI</t>
        </is>
      </c>
      <c r="J132">
        <f>BDP($B132,"CNTRY_OF_DOMICILE")</f>
        <v/>
      </c>
      <c r="K132" t="inlineStr">
        <is>
          <t>EC</t>
        </is>
      </c>
      <c r="L132" t="inlineStr">
        <is>
          <t>CORP</t>
        </is>
      </c>
      <c r="M132" t="inlineStr"/>
      <c r="N132" t="inlineStr"/>
      <c r="O132" s="1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s="1" t="inlineStr"/>
      <c r="AR132" s="1" t="inlineStr"/>
      <c r="AS132" s="1" t="inlineStr"/>
      <c r="AT132" t="inlineStr"/>
      <c r="AU132" t="inlineStr"/>
      <c r="AV132" t="inlineStr"/>
      <c r="AW132" t="inlineStr"/>
      <c r="AX132" t="inlineStr"/>
      <c r="AY132" t="inlineStr"/>
    </row>
    <row r="133">
      <c r="A133" t="inlineStr">
        <is>
          <t>BLCK</t>
        </is>
      </c>
      <c r="B133" t="inlineStr">
        <is>
          <t>GLXY US Equity</t>
        </is>
      </c>
      <c r="C133" s="1" t="inlineStr">
        <is>
          <t>GLXY</t>
        </is>
      </c>
      <c r="D133" t="inlineStr">
        <is>
          <t>Galaxy Digital Inc</t>
        </is>
      </c>
      <c r="E133">
        <f>BDP($B133,"LEGAL_ENTITY_IDENTIFIER")</f>
        <v/>
      </c>
      <c r="F133" t="inlineStr">
        <is>
          <t>Galaxy Digital Inc</t>
        </is>
      </c>
      <c r="G133">
        <f>custodian!D133</f>
        <v/>
      </c>
      <c r="H133">
        <f>BDP($B133,"ID_ISIN")</f>
        <v/>
      </c>
      <c r="I133" s="1" t="inlineStr">
        <is>
          <t>GLXY</t>
        </is>
      </c>
      <c r="J133">
        <f>BDP($B133,"CNTRY_OF_DOMICILE")</f>
        <v/>
      </c>
      <c r="K133" t="inlineStr">
        <is>
          <t>EC</t>
        </is>
      </c>
      <c r="L133" t="inlineStr">
        <is>
          <t>CORP</t>
        </is>
      </c>
      <c r="M133" t="inlineStr"/>
      <c r="N133" t="inlineStr"/>
      <c r="O133" s="1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s="1" t="inlineStr"/>
      <c r="AR133" s="1" t="inlineStr"/>
      <c r="AS133" s="1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BLCK</t>
        </is>
      </c>
      <c r="B134" t="inlineStr">
        <is>
          <t>GPGI US Equity</t>
        </is>
      </c>
      <c r="C134" s="1" t="inlineStr">
        <is>
          <t>GPGI</t>
        </is>
      </c>
      <c r="D134" t="inlineStr">
        <is>
          <t>GPGI Inc</t>
        </is>
      </c>
      <c r="E134">
        <f>BDP($B134,"LEGAL_ENTITY_IDENTIFIER")</f>
        <v/>
      </c>
      <c r="F134" t="inlineStr">
        <is>
          <t>GPGI Inc</t>
        </is>
      </c>
      <c r="G134">
        <f>custodian!D134</f>
        <v/>
      </c>
      <c r="H134">
        <f>BDP($B134,"ID_ISIN")</f>
        <v/>
      </c>
      <c r="I134" s="1" t="inlineStr">
        <is>
          <t>GPGI</t>
        </is>
      </c>
      <c r="J134">
        <f>BDP($B134,"CNTRY_OF_DOMICILE")</f>
        <v/>
      </c>
      <c r="K134" t="inlineStr">
        <is>
          <t>EC</t>
        </is>
      </c>
      <c r="L134" t="inlineStr">
        <is>
          <t>CORP</t>
        </is>
      </c>
      <c r="M134" t="inlineStr"/>
      <c r="N134" t="inlineStr"/>
      <c r="O134" s="1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s="1" t="inlineStr"/>
      <c r="AR134" s="1" t="inlineStr"/>
      <c r="AS134" s="1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BLCK</t>
        </is>
      </c>
      <c r="B135" t="inlineStr">
        <is>
          <t>HIVE US Equity</t>
        </is>
      </c>
      <c r="C135" s="1" t="inlineStr">
        <is>
          <t>HIVE</t>
        </is>
      </c>
      <c r="D135" t="inlineStr">
        <is>
          <t>Hive Digital Technologies Ltd</t>
        </is>
      </c>
      <c r="E135">
        <f>BDP($B135,"LEGAL_ENTITY_IDENTIFIER")</f>
        <v/>
      </c>
      <c r="F135" t="inlineStr">
        <is>
          <t>Hive Digital Technologies Ltd</t>
        </is>
      </c>
      <c r="G135">
        <f>custodian!D135</f>
        <v/>
      </c>
      <c r="H135">
        <f>BDP($B135,"ID_ISIN")</f>
        <v/>
      </c>
      <c r="I135" s="1" t="inlineStr">
        <is>
          <t>HIVE</t>
        </is>
      </c>
      <c r="J135">
        <f>BDP($B135,"CNTRY_OF_DOMICILE")</f>
        <v/>
      </c>
      <c r="K135" t="inlineStr">
        <is>
          <t>EC</t>
        </is>
      </c>
      <c r="L135" t="inlineStr">
        <is>
          <t>CORP</t>
        </is>
      </c>
      <c r="M135" t="inlineStr"/>
      <c r="N135" t="inlineStr"/>
      <c r="O135" s="1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s="1" t="inlineStr"/>
      <c r="AR135" s="1" t="inlineStr"/>
      <c r="AS135" s="1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BLCK</t>
        </is>
      </c>
      <c r="B136" t="inlineStr">
        <is>
          <t>HOOD US Equity</t>
        </is>
      </c>
      <c r="C136" s="1" t="inlineStr">
        <is>
          <t>HOOD</t>
        </is>
      </c>
      <c r="D136" t="inlineStr">
        <is>
          <t>Robinhood Markets Inc</t>
        </is>
      </c>
      <c r="E136">
        <f>BDP($B136,"LEGAL_ENTITY_IDENTIFIER")</f>
        <v/>
      </c>
      <c r="F136" t="inlineStr">
        <is>
          <t>Robinhood Markets Inc</t>
        </is>
      </c>
      <c r="G136">
        <f>custodian!D136</f>
        <v/>
      </c>
      <c r="H136">
        <f>BDP($B136,"ID_ISIN")</f>
        <v/>
      </c>
      <c r="I136" s="1" t="inlineStr">
        <is>
          <t>HOOD</t>
        </is>
      </c>
      <c r="J136">
        <f>BDP($B136,"CNTRY_OF_DOMICILE")</f>
        <v/>
      </c>
      <c r="K136" t="inlineStr">
        <is>
          <t>EC</t>
        </is>
      </c>
      <c r="L136" t="inlineStr">
        <is>
          <t>CORP</t>
        </is>
      </c>
      <c r="M136" t="inlineStr"/>
      <c r="N136" t="inlineStr"/>
      <c r="O136" s="1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s="1" t="inlineStr"/>
      <c r="AR136" s="1" t="inlineStr"/>
      <c r="AS136" s="1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BLCK</t>
        </is>
      </c>
      <c r="B137" t="inlineStr">
        <is>
          <t>HUT US Equity</t>
        </is>
      </c>
      <c r="C137" s="1" t="inlineStr">
        <is>
          <t>HUT</t>
        </is>
      </c>
      <c r="D137" t="inlineStr">
        <is>
          <t>HUT 8 CORP</t>
        </is>
      </c>
      <c r="E137">
        <f>BDP($B137,"LEGAL_ENTITY_IDENTIFIER")</f>
        <v/>
      </c>
      <c r="F137" t="inlineStr">
        <is>
          <t>HUT 8 CORP</t>
        </is>
      </c>
      <c r="G137">
        <f>custodian!D137</f>
        <v/>
      </c>
      <c r="H137">
        <f>BDP($B137,"ID_ISIN")</f>
        <v/>
      </c>
      <c r="I137" s="1" t="inlineStr">
        <is>
          <t>HUT</t>
        </is>
      </c>
      <c r="J137">
        <f>BDP($B137,"CNTRY_OF_DOMICILE")</f>
        <v/>
      </c>
      <c r="K137" t="inlineStr">
        <is>
          <t>EC</t>
        </is>
      </c>
      <c r="L137" t="inlineStr">
        <is>
          <t>CORP</t>
        </is>
      </c>
      <c r="M137" t="inlineStr"/>
      <c r="N137" t="inlineStr"/>
      <c r="O137" s="1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s="1" t="inlineStr"/>
      <c r="AR137" s="1" t="inlineStr"/>
      <c r="AS137" s="1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BLCK</t>
        </is>
      </c>
      <c r="B138" t="inlineStr">
        <is>
          <t>IREN US Equity</t>
        </is>
      </c>
      <c r="C138" s="1" t="inlineStr">
        <is>
          <t>IREN</t>
        </is>
      </c>
      <c r="D138" t="inlineStr">
        <is>
          <t>IREN Ltd</t>
        </is>
      </c>
      <c r="E138">
        <f>BDP($B138,"LEGAL_ENTITY_IDENTIFIER")</f>
        <v/>
      </c>
      <c r="F138" t="inlineStr">
        <is>
          <t>IREN Ltd</t>
        </is>
      </c>
      <c r="G138">
        <f>custodian!D138</f>
        <v/>
      </c>
      <c r="H138">
        <f>BDP($B138,"ID_ISIN")</f>
        <v/>
      </c>
      <c r="I138" s="1" t="inlineStr">
        <is>
          <t>IREN</t>
        </is>
      </c>
      <c r="J138">
        <f>BDP($B138,"CNTRY_OF_DOMICILE")</f>
        <v/>
      </c>
      <c r="K138" t="inlineStr">
        <is>
          <t>EC</t>
        </is>
      </c>
      <c r="L138" t="inlineStr">
        <is>
          <t>CORP</t>
        </is>
      </c>
      <c r="M138" t="inlineStr"/>
      <c r="N138" t="inlineStr"/>
      <c r="O138" s="1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s="1" t="inlineStr"/>
      <c r="AR138" s="1" t="inlineStr"/>
      <c r="AS138" s="1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BLCK</t>
        </is>
      </c>
      <c r="B139" t="inlineStr">
        <is>
          <t>MARA US Equity</t>
        </is>
      </c>
      <c r="C139" s="1" t="inlineStr">
        <is>
          <t>MARA</t>
        </is>
      </c>
      <c r="D139" t="inlineStr">
        <is>
          <t>MARA Holdings Inc</t>
        </is>
      </c>
      <c r="E139">
        <f>BDP($B139,"LEGAL_ENTITY_IDENTIFIER")</f>
        <v/>
      </c>
      <c r="F139" t="inlineStr">
        <is>
          <t>MARA Holdings Inc</t>
        </is>
      </c>
      <c r="G139">
        <f>custodian!D139</f>
        <v/>
      </c>
      <c r="H139">
        <f>BDP($B139,"ID_ISIN")</f>
        <v/>
      </c>
      <c r="I139" s="1" t="inlineStr">
        <is>
          <t>MARA</t>
        </is>
      </c>
      <c r="J139">
        <f>BDP($B139,"CNTRY_OF_DOMICILE")</f>
        <v/>
      </c>
      <c r="K139" t="inlineStr">
        <is>
          <t>EC</t>
        </is>
      </c>
      <c r="L139" t="inlineStr">
        <is>
          <t>CORP</t>
        </is>
      </c>
      <c r="M139" t="inlineStr"/>
      <c r="N139" t="inlineStr"/>
      <c r="O139" s="1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s="1" t="inlineStr"/>
      <c r="AR139" s="1" t="inlineStr"/>
      <c r="AS139" s="1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BLCK</t>
        </is>
      </c>
      <c r="B140" t="inlineStr">
        <is>
          <t>PYPL US Equity</t>
        </is>
      </c>
      <c r="C140" s="1" t="inlineStr">
        <is>
          <t>PYPL</t>
        </is>
      </c>
      <c r="D140" t="inlineStr">
        <is>
          <t>PayPal Holdings Inc</t>
        </is>
      </c>
      <c r="E140">
        <f>BDP($B140,"LEGAL_ENTITY_IDENTIFIER")</f>
        <v/>
      </c>
      <c r="F140" t="inlineStr">
        <is>
          <t>PayPal Holdings Inc</t>
        </is>
      </c>
      <c r="G140">
        <f>custodian!D140</f>
        <v/>
      </c>
      <c r="H140">
        <f>BDP($B140,"ID_ISIN")</f>
        <v/>
      </c>
      <c r="I140" s="1" t="inlineStr">
        <is>
          <t>PYPL</t>
        </is>
      </c>
      <c r="J140">
        <f>BDP($B140,"CNTRY_OF_DOMICILE")</f>
        <v/>
      </c>
      <c r="K140" t="inlineStr">
        <is>
          <t>EC</t>
        </is>
      </c>
      <c r="L140" t="inlineStr">
        <is>
          <t>CORP</t>
        </is>
      </c>
      <c r="M140" t="inlineStr"/>
      <c r="N140" t="inlineStr"/>
      <c r="O140" s="1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s="1" t="inlineStr"/>
      <c r="AR140" s="1" t="inlineStr"/>
      <c r="AS140" s="1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BLCK</t>
        </is>
      </c>
      <c r="B141" t="inlineStr">
        <is>
          <t>RIOT US Equity</t>
        </is>
      </c>
      <c r="C141" s="1" t="inlineStr">
        <is>
          <t>RIOT</t>
        </is>
      </c>
      <c r="D141" t="inlineStr">
        <is>
          <t>Riot Platforms Inc</t>
        </is>
      </c>
      <c r="E141">
        <f>BDP($B141,"LEGAL_ENTITY_IDENTIFIER")</f>
        <v/>
      </c>
      <c r="F141" t="inlineStr">
        <is>
          <t>Riot Platforms Inc</t>
        </is>
      </c>
      <c r="G141">
        <f>custodian!D141</f>
        <v/>
      </c>
      <c r="H141">
        <f>BDP($B141,"ID_ISIN")</f>
        <v/>
      </c>
      <c r="I141" s="1" t="inlineStr">
        <is>
          <t>RIOT</t>
        </is>
      </c>
      <c r="J141">
        <f>BDP($B141,"CNTRY_OF_DOMICILE")</f>
        <v/>
      </c>
      <c r="K141" t="inlineStr">
        <is>
          <t>EC</t>
        </is>
      </c>
      <c r="L141" t="inlineStr">
        <is>
          <t>CORP</t>
        </is>
      </c>
      <c r="M141" t="inlineStr"/>
      <c r="N141" t="inlineStr"/>
      <c r="O141" s="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s="1" t="inlineStr"/>
      <c r="AR141" s="1" t="inlineStr"/>
      <c r="AS141" s="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BLCK</t>
        </is>
      </c>
      <c r="B142" t="inlineStr">
        <is>
          <t>SLNH US Equity</t>
        </is>
      </c>
      <c r="C142" s="1" t="inlineStr">
        <is>
          <t>SLNH</t>
        </is>
      </c>
      <c r="D142" t="inlineStr">
        <is>
          <t>Soluna Holdings Inc</t>
        </is>
      </c>
      <c r="E142">
        <f>BDP($B142,"LEGAL_ENTITY_IDENTIFIER")</f>
        <v/>
      </c>
      <c r="F142" t="inlineStr">
        <is>
          <t>Soluna Holdings Inc</t>
        </is>
      </c>
      <c r="G142">
        <f>custodian!D142</f>
        <v/>
      </c>
      <c r="H142">
        <f>BDP($B142,"ID_ISIN")</f>
        <v/>
      </c>
      <c r="I142" s="1" t="inlineStr">
        <is>
          <t>SLNH</t>
        </is>
      </c>
      <c r="J142">
        <f>BDP($B142,"CNTRY_OF_DOMICILE")</f>
        <v/>
      </c>
      <c r="K142" t="inlineStr">
        <is>
          <t>EC</t>
        </is>
      </c>
      <c r="L142" t="inlineStr">
        <is>
          <t>CORP</t>
        </is>
      </c>
      <c r="M142" t="inlineStr"/>
      <c r="N142" t="inlineStr"/>
      <c r="O142" s="1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s="1" t="inlineStr"/>
      <c r="AR142" s="1" t="inlineStr"/>
      <c r="AS142" s="1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BLCK</t>
        </is>
      </c>
      <c r="B143" t="inlineStr">
        <is>
          <t>WULF US Equity</t>
        </is>
      </c>
      <c r="C143" s="1" t="inlineStr">
        <is>
          <t>WULF</t>
        </is>
      </c>
      <c r="D143" t="inlineStr">
        <is>
          <t>Terawulf Inc</t>
        </is>
      </c>
      <c r="E143">
        <f>BDP($B143,"LEGAL_ENTITY_IDENTIFIER")</f>
        <v/>
      </c>
      <c r="F143" t="inlineStr">
        <is>
          <t>Terawulf Inc</t>
        </is>
      </c>
      <c r="G143">
        <f>custodian!D143</f>
        <v/>
      </c>
      <c r="H143">
        <f>BDP($B143,"ID_ISIN")</f>
        <v/>
      </c>
      <c r="I143" s="1" t="inlineStr">
        <is>
          <t>WULF</t>
        </is>
      </c>
      <c r="J143">
        <f>BDP($B143,"CNTRY_OF_DOMICILE")</f>
        <v/>
      </c>
      <c r="K143" t="inlineStr">
        <is>
          <t>EC</t>
        </is>
      </c>
      <c r="L143" t="inlineStr">
        <is>
          <t>CORP</t>
        </is>
      </c>
      <c r="M143" t="inlineStr"/>
      <c r="N143" t="inlineStr"/>
      <c r="O143" s="1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s="1" t="inlineStr"/>
      <c r="AR143" s="1" t="inlineStr"/>
      <c r="AS143" s="1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BLCK</t>
        </is>
      </c>
      <c r="B144" t="inlineStr">
        <is>
          <t>XYZ US Equity</t>
        </is>
      </c>
      <c r="C144" s="1" t="inlineStr">
        <is>
          <t>XYZ</t>
        </is>
      </c>
      <c r="D144" t="inlineStr">
        <is>
          <t>Block Inc</t>
        </is>
      </c>
      <c r="E144">
        <f>BDP($B144,"LEGAL_ENTITY_IDENTIFIER")</f>
        <v/>
      </c>
      <c r="F144" t="inlineStr">
        <is>
          <t>Block Inc</t>
        </is>
      </c>
      <c r="G144">
        <f>custodian!D144</f>
        <v/>
      </c>
      <c r="H144">
        <f>BDP($B144,"ID_ISIN")</f>
        <v/>
      </c>
      <c r="I144" s="1" t="inlineStr">
        <is>
          <t>XYZ</t>
        </is>
      </c>
      <c r="J144">
        <f>BDP($B144,"CNTRY_OF_DOMICILE")</f>
        <v/>
      </c>
      <c r="K144" t="inlineStr">
        <is>
          <t>EC</t>
        </is>
      </c>
      <c r="L144" t="inlineStr">
        <is>
          <t>CORP</t>
        </is>
      </c>
      <c r="M144" t="inlineStr"/>
      <c r="N144" t="inlineStr"/>
      <c r="O144" s="1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s="1" t="inlineStr"/>
      <c r="AR144" s="1" t="inlineStr"/>
      <c r="AS144" s="1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BLCK</t>
        </is>
      </c>
      <c r="B145" t="inlineStr"/>
      <c r="C145" s="1" t="inlineStr">
        <is>
          <t>Cash&amp;Other</t>
        </is>
      </c>
      <c r="D145" t="inlineStr"/>
      <c r="E145" s="1" t="inlineStr"/>
      <c r="F145" t="inlineStr"/>
      <c r="G145">
        <f>custodian!D145</f>
        <v/>
      </c>
      <c r="H145" s="1" t="inlineStr"/>
      <c r="I145" s="1" t="inlineStr"/>
      <c r="J145" t="inlineStr"/>
      <c r="K145" t="inlineStr"/>
      <c r="L145" t="inlineStr"/>
      <c r="M145" t="inlineStr"/>
      <c r="N145" t="inlineStr"/>
      <c r="O145" s="1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s="1" t="inlineStr"/>
      <c r="AR145" s="1" t="inlineStr"/>
      <c r="AS145" s="1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BREW</t>
        </is>
      </c>
      <c r="B146" t="inlineStr">
        <is>
          <t>BRCC US Equity</t>
        </is>
      </c>
      <c r="C146" s="1" t="inlineStr">
        <is>
          <t>BRCC</t>
        </is>
      </c>
      <c r="D146" t="inlineStr">
        <is>
          <t>BRC Inc</t>
        </is>
      </c>
      <c r="E146">
        <f>BDP($B146,"LEGAL_ENTITY_IDENTIFIER")</f>
        <v/>
      </c>
      <c r="F146" t="inlineStr">
        <is>
          <t>BRC Inc</t>
        </is>
      </c>
      <c r="G146">
        <f>custodian!D146</f>
        <v/>
      </c>
      <c r="H146">
        <f>BDP($B146,"ID_ISIN")</f>
        <v/>
      </c>
      <c r="I146" s="1" t="inlineStr">
        <is>
          <t>BRCC</t>
        </is>
      </c>
      <c r="J146">
        <f>BDP($B146,"CNTRY_OF_DOMICILE")</f>
        <v/>
      </c>
      <c r="K146" t="inlineStr">
        <is>
          <t>EC</t>
        </is>
      </c>
      <c r="L146" t="inlineStr">
        <is>
          <t>CORP</t>
        </is>
      </c>
      <c r="M146" t="inlineStr"/>
      <c r="N146" t="inlineStr"/>
      <c r="O146" s="1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s="1" t="inlineStr"/>
      <c r="AR146" s="1" t="inlineStr"/>
      <c r="AS146" s="1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BREW</t>
        </is>
      </c>
      <c r="B147" t="inlineStr">
        <is>
          <t>BROS US Equity</t>
        </is>
      </c>
      <c r="C147" s="1" t="inlineStr">
        <is>
          <t>BROS</t>
        </is>
      </c>
      <c r="D147" t="inlineStr">
        <is>
          <t>Dutch Bros Inc</t>
        </is>
      </c>
      <c r="E147">
        <f>BDP($B147,"LEGAL_ENTITY_IDENTIFIER")</f>
        <v/>
      </c>
      <c r="F147" t="inlineStr">
        <is>
          <t>Dutch Bros Inc</t>
        </is>
      </c>
      <c r="G147">
        <f>custodian!D147</f>
        <v/>
      </c>
      <c r="H147">
        <f>BDP($B147,"ID_ISIN")</f>
        <v/>
      </c>
      <c r="I147" s="1" t="inlineStr">
        <is>
          <t>BROS</t>
        </is>
      </c>
      <c r="J147">
        <f>BDP($B147,"CNTRY_OF_DOMICILE")</f>
        <v/>
      </c>
      <c r="K147" t="inlineStr">
        <is>
          <t>EC</t>
        </is>
      </c>
      <c r="L147" t="inlineStr">
        <is>
          <t>CORP</t>
        </is>
      </c>
      <c r="M147" t="inlineStr"/>
      <c r="N147" t="inlineStr"/>
      <c r="O147" s="1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s="1" t="inlineStr"/>
      <c r="AR147" s="1" t="inlineStr"/>
      <c r="AS147" s="1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BREW</t>
        </is>
      </c>
      <c r="B148" t="inlineStr">
        <is>
          <t>CELH US Equity</t>
        </is>
      </c>
      <c r="C148" s="1" t="inlineStr">
        <is>
          <t>CELH</t>
        </is>
      </c>
      <c r="D148" t="inlineStr">
        <is>
          <t>Celsius Holdings Inc</t>
        </is>
      </c>
      <c r="E148">
        <f>BDP($B148,"LEGAL_ENTITY_IDENTIFIER")</f>
        <v/>
      </c>
      <c r="F148" t="inlineStr">
        <is>
          <t>Celsius Holdings Inc</t>
        </is>
      </c>
      <c r="G148">
        <f>custodian!D148</f>
        <v/>
      </c>
      <c r="H148">
        <f>BDP($B148,"ID_ISIN")</f>
        <v/>
      </c>
      <c r="I148" s="1" t="inlineStr">
        <is>
          <t>CELH</t>
        </is>
      </c>
      <c r="J148">
        <f>BDP($B148,"CNTRY_OF_DOMICILE")</f>
        <v/>
      </c>
      <c r="K148" t="inlineStr">
        <is>
          <t>EC</t>
        </is>
      </c>
      <c r="L148" t="inlineStr">
        <is>
          <t>CORP</t>
        </is>
      </c>
      <c r="M148" t="inlineStr"/>
      <c r="N148" t="inlineStr"/>
      <c r="O148" s="1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s="1" t="inlineStr"/>
      <c r="AR148" s="1" t="inlineStr"/>
      <c r="AS148" s="1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BREW</t>
        </is>
      </c>
      <c r="B149" t="inlineStr">
        <is>
          <t>DNUT US Equity</t>
        </is>
      </c>
      <c r="C149" s="1" t="inlineStr">
        <is>
          <t>DNUT</t>
        </is>
      </c>
      <c r="D149" t="inlineStr">
        <is>
          <t>Krispy Kreme Inc</t>
        </is>
      </c>
      <c r="E149">
        <f>BDP($B149,"LEGAL_ENTITY_IDENTIFIER")</f>
        <v/>
      </c>
      <c r="F149" t="inlineStr">
        <is>
          <t>Krispy Kreme Inc</t>
        </is>
      </c>
      <c r="G149">
        <f>custodian!D149</f>
        <v/>
      </c>
      <c r="H149">
        <f>BDP($B149,"ID_ISIN")</f>
        <v/>
      </c>
      <c r="I149" s="1" t="inlineStr">
        <is>
          <t>DNUT</t>
        </is>
      </c>
      <c r="J149">
        <f>BDP($B149,"CNTRY_OF_DOMICILE")</f>
        <v/>
      </c>
      <c r="K149" t="inlineStr">
        <is>
          <t>EC</t>
        </is>
      </c>
      <c r="L149" t="inlineStr">
        <is>
          <t>CORP</t>
        </is>
      </c>
      <c r="M149" t="inlineStr"/>
      <c r="N149" t="inlineStr"/>
      <c r="O149" s="1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s="1" t="inlineStr"/>
      <c r="AR149" s="1" t="inlineStr"/>
      <c r="AS149" s="1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BREW</t>
        </is>
      </c>
      <c r="B150" t="inlineStr">
        <is>
          <t>FGXXX US Equity</t>
        </is>
      </c>
      <c r="C150" s="1" t="inlineStr">
        <is>
          <t>FGXXX</t>
        </is>
      </c>
      <c r="D150" t="inlineStr">
        <is>
          <t>First American Government Obli</t>
        </is>
      </c>
      <c r="E150">
        <f>BDP($B150,"LEGAL_ENTITY_IDENTIFIER")</f>
        <v/>
      </c>
      <c r="F150" t="inlineStr">
        <is>
          <t>First American Government Obligations Fund</t>
        </is>
      </c>
      <c r="G150">
        <f>custodian!D150</f>
        <v/>
      </c>
      <c r="H150">
        <f>BDP($B150,"ID_ISIN")</f>
        <v/>
      </c>
      <c r="I150" s="1" t="inlineStr">
        <is>
          <t>FGXXX</t>
        </is>
      </c>
      <c r="J150">
        <f>BDP($B150,"CNTRY_OF_DOMICILE")</f>
        <v/>
      </c>
      <c r="K150" t="inlineStr">
        <is>
          <t>STIV</t>
        </is>
      </c>
      <c r="L150" t="inlineStr">
        <is>
          <t>RF</t>
        </is>
      </c>
      <c r="M150" t="inlineStr"/>
      <c r="N150" t="inlineStr"/>
      <c r="O150" s="1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s="1" t="inlineStr"/>
      <c r="AR150" s="1" t="inlineStr"/>
      <c r="AS150" s="1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BREW</t>
        </is>
      </c>
      <c r="B151" t="inlineStr">
        <is>
          <t>IFF US Equity</t>
        </is>
      </c>
      <c r="C151" s="1" t="inlineStr">
        <is>
          <t>IFF</t>
        </is>
      </c>
      <c r="D151" t="inlineStr">
        <is>
          <t>International Flavors &amp; Fragra</t>
        </is>
      </c>
      <c r="E151">
        <f>BDP($B151,"LEGAL_ENTITY_IDENTIFIER")</f>
        <v/>
      </c>
      <c r="F151" t="inlineStr">
        <is>
          <t>International Flavors &amp; Fragrances Inc</t>
        </is>
      </c>
      <c r="G151">
        <f>custodian!D151</f>
        <v/>
      </c>
      <c r="H151">
        <f>BDP($B151,"ID_ISIN")</f>
        <v/>
      </c>
      <c r="I151" s="1" t="inlineStr">
        <is>
          <t>IFF</t>
        </is>
      </c>
      <c r="J151">
        <f>BDP($B151,"CNTRY_OF_DOMICILE")</f>
        <v/>
      </c>
      <c r="K151" t="inlineStr">
        <is>
          <t>EC</t>
        </is>
      </c>
      <c r="L151" t="inlineStr">
        <is>
          <t>CORP</t>
        </is>
      </c>
      <c r="M151" t="inlineStr"/>
      <c r="N151" t="inlineStr"/>
      <c r="O151" s="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s="1" t="inlineStr"/>
      <c r="AR151" s="1" t="inlineStr"/>
      <c r="AS151" s="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BREW</t>
        </is>
      </c>
      <c r="B152" t="inlineStr">
        <is>
          <t>INGR US Equity</t>
        </is>
      </c>
      <c r="C152" s="1" t="inlineStr">
        <is>
          <t>INGR</t>
        </is>
      </c>
      <c r="D152" t="inlineStr">
        <is>
          <t>Ingredion Inc</t>
        </is>
      </c>
      <c r="E152">
        <f>BDP($B152,"LEGAL_ENTITY_IDENTIFIER")</f>
        <v/>
      </c>
      <c r="F152" t="inlineStr">
        <is>
          <t>Ingredion Inc</t>
        </is>
      </c>
      <c r="G152">
        <f>custodian!D152</f>
        <v/>
      </c>
      <c r="H152">
        <f>BDP($B152,"ID_ISIN")</f>
        <v/>
      </c>
      <c r="I152" s="1" t="inlineStr">
        <is>
          <t>INGR</t>
        </is>
      </c>
      <c r="J152">
        <f>BDP($B152,"CNTRY_OF_DOMICILE")</f>
        <v/>
      </c>
      <c r="K152" t="inlineStr">
        <is>
          <t>EC</t>
        </is>
      </c>
      <c r="L152" t="inlineStr">
        <is>
          <t>CORP</t>
        </is>
      </c>
      <c r="M152" t="inlineStr"/>
      <c r="N152" t="inlineStr"/>
      <c r="O152" s="1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s="1" t="inlineStr"/>
      <c r="AR152" s="1" t="inlineStr"/>
      <c r="AS152" s="1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BREW</t>
        </is>
      </c>
      <c r="B153" t="inlineStr">
        <is>
          <t>KDP US Equity</t>
        </is>
      </c>
      <c r="C153" s="1" t="inlineStr">
        <is>
          <t>KDP</t>
        </is>
      </c>
      <c r="D153" t="inlineStr">
        <is>
          <t>Keurig Dr Pepper Inc</t>
        </is>
      </c>
      <c r="E153">
        <f>BDP($B153,"LEGAL_ENTITY_IDENTIFIER")</f>
        <v/>
      </c>
      <c r="F153" t="inlineStr">
        <is>
          <t>Keurig Dr Pepper Inc</t>
        </is>
      </c>
      <c r="G153">
        <f>custodian!D153</f>
        <v/>
      </c>
      <c r="H153">
        <f>BDP($B153,"ID_ISIN")</f>
        <v/>
      </c>
      <c r="I153" s="1" t="inlineStr">
        <is>
          <t>KDP</t>
        </is>
      </c>
      <c r="J153">
        <f>BDP($B153,"CNTRY_OF_DOMICILE")</f>
        <v/>
      </c>
      <c r="K153" t="inlineStr">
        <is>
          <t>EC</t>
        </is>
      </c>
      <c r="L153" t="inlineStr">
        <is>
          <t>CORP</t>
        </is>
      </c>
      <c r="M153" t="inlineStr"/>
      <c r="N153" t="inlineStr"/>
      <c r="O153" s="1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s="1" t="inlineStr"/>
      <c r="AR153" s="1" t="inlineStr"/>
      <c r="AS153" s="1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BREW</t>
        </is>
      </c>
      <c r="B154" t="inlineStr">
        <is>
          <t>KO US Equity</t>
        </is>
      </c>
      <c r="C154" s="1" t="inlineStr">
        <is>
          <t>KO</t>
        </is>
      </c>
      <c r="D154" t="inlineStr">
        <is>
          <t>Coca-Cola Co/The</t>
        </is>
      </c>
      <c r="E154">
        <f>BDP($B154,"LEGAL_ENTITY_IDENTIFIER")</f>
        <v/>
      </c>
      <c r="F154" t="inlineStr">
        <is>
          <t>Coca-Cola Co/The</t>
        </is>
      </c>
      <c r="G154">
        <f>custodian!D154</f>
        <v/>
      </c>
      <c r="H154">
        <f>BDP($B154,"ID_ISIN")</f>
        <v/>
      </c>
      <c r="I154" s="1" t="inlineStr">
        <is>
          <t>KO</t>
        </is>
      </c>
      <c r="J154">
        <f>BDP($B154,"CNTRY_OF_DOMICILE")</f>
        <v/>
      </c>
      <c r="K154" t="inlineStr">
        <is>
          <t>EC</t>
        </is>
      </c>
      <c r="L154" t="inlineStr">
        <is>
          <t>CORP</t>
        </is>
      </c>
      <c r="M154" t="inlineStr"/>
      <c r="N154" t="inlineStr"/>
      <c r="O154" s="1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s="1" t="inlineStr"/>
      <c r="AR154" s="1" t="inlineStr"/>
      <c r="AS154" s="1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BREW</t>
        </is>
      </c>
      <c r="B155" t="inlineStr">
        <is>
          <t>MNST US Equity</t>
        </is>
      </c>
      <c r="C155" s="1" t="inlineStr">
        <is>
          <t>MNST</t>
        </is>
      </c>
      <c r="D155" t="inlineStr">
        <is>
          <t>Monster Beverage Corp</t>
        </is>
      </c>
      <c r="E155">
        <f>BDP($B155,"LEGAL_ENTITY_IDENTIFIER")</f>
        <v/>
      </c>
      <c r="F155" t="inlineStr">
        <is>
          <t>Monster Beverage Corp</t>
        </is>
      </c>
      <c r="G155">
        <f>custodian!D155</f>
        <v/>
      </c>
      <c r="H155">
        <f>BDP($B155,"ID_ISIN")</f>
        <v/>
      </c>
      <c r="I155" s="1" t="inlineStr">
        <is>
          <t>MNST</t>
        </is>
      </c>
      <c r="J155">
        <f>BDP($B155,"CNTRY_OF_DOMICILE")</f>
        <v/>
      </c>
      <c r="K155" t="inlineStr">
        <is>
          <t>EC</t>
        </is>
      </c>
      <c r="L155" t="inlineStr">
        <is>
          <t>CORP</t>
        </is>
      </c>
      <c r="M155" t="inlineStr"/>
      <c r="N155" t="inlineStr"/>
      <c r="O155" s="1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s="1" t="inlineStr"/>
      <c r="AR155" s="1" t="inlineStr"/>
      <c r="AS155" s="1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BREW</t>
        </is>
      </c>
      <c r="B156" t="inlineStr">
        <is>
          <t>PEP US Equity</t>
        </is>
      </c>
      <c r="C156" s="1" t="inlineStr">
        <is>
          <t>PEP</t>
        </is>
      </c>
      <c r="D156" t="inlineStr">
        <is>
          <t>PepsiCo Inc</t>
        </is>
      </c>
      <c r="E156">
        <f>BDP($B156,"LEGAL_ENTITY_IDENTIFIER")</f>
        <v/>
      </c>
      <c r="F156" t="inlineStr">
        <is>
          <t>PepsiCo Inc</t>
        </is>
      </c>
      <c r="G156">
        <f>custodian!D156</f>
        <v/>
      </c>
      <c r="H156">
        <f>BDP($B156,"ID_ISIN")</f>
        <v/>
      </c>
      <c r="I156" s="1" t="inlineStr">
        <is>
          <t>PEP</t>
        </is>
      </c>
      <c r="J156">
        <f>BDP($B156,"CNTRY_OF_DOMICILE")</f>
        <v/>
      </c>
      <c r="K156" t="inlineStr">
        <is>
          <t>EC</t>
        </is>
      </c>
      <c r="L156" t="inlineStr">
        <is>
          <t>CORP</t>
        </is>
      </c>
      <c r="M156" t="inlineStr"/>
      <c r="N156" t="inlineStr"/>
      <c r="O156" s="1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s="1" t="inlineStr"/>
      <c r="AR156" s="1" t="inlineStr"/>
      <c r="AS156" s="1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BREW</t>
        </is>
      </c>
      <c r="B157" t="inlineStr">
        <is>
          <t>QSR US Equity</t>
        </is>
      </c>
      <c r="C157" s="1" t="inlineStr">
        <is>
          <t>QSR</t>
        </is>
      </c>
      <c r="D157" t="inlineStr">
        <is>
          <t>Restaurant Brands Internationa</t>
        </is>
      </c>
      <c r="E157">
        <f>BDP($B157,"LEGAL_ENTITY_IDENTIFIER")</f>
        <v/>
      </c>
      <c r="F157" t="inlineStr">
        <is>
          <t>Restaurant Brands International Inc</t>
        </is>
      </c>
      <c r="G157">
        <f>custodian!D157</f>
        <v/>
      </c>
      <c r="H157">
        <f>BDP($B157,"ID_ISIN")</f>
        <v/>
      </c>
      <c r="I157" s="1" t="inlineStr">
        <is>
          <t>QSR</t>
        </is>
      </c>
      <c r="J157">
        <f>BDP($B157,"CNTRY_OF_DOMICILE")</f>
        <v/>
      </c>
      <c r="K157" t="inlineStr">
        <is>
          <t>EC</t>
        </is>
      </c>
      <c r="L157" t="inlineStr">
        <is>
          <t>CORP</t>
        </is>
      </c>
      <c r="M157" t="inlineStr"/>
      <c r="N157" t="inlineStr"/>
      <c r="O157" s="1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s="1" t="inlineStr"/>
      <c r="AR157" s="1" t="inlineStr"/>
      <c r="AS157" s="1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BREW</t>
        </is>
      </c>
      <c r="B158" t="inlineStr">
        <is>
          <t>SBUX US Equity</t>
        </is>
      </c>
      <c r="C158" s="1" t="inlineStr">
        <is>
          <t>SBUX</t>
        </is>
      </c>
      <c r="D158" t="inlineStr">
        <is>
          <t>Starbucks Corp</t>
        </is>
      </c>
      <c r="E158">
        <f>BDP($B158,"LEGAL_ENTITY_IDENTIFIER")</f>
        <v/>
      </c>
      <c r="F158" t="inlineStr">
        <is>
          <t>Starbucks Corp</t>
        </is>
      </c>
      <c r="G158">
        <f>custodian!D158</f>
        <v/>
      </c>
      <c r="H158">
        <f>BDP($B158,"ID_ISIN")</f>
        <v/>
      </c>
      <c r="I158" s="1" t="inlineStr">
        <is>
          <t>SBUX</t>
        </is>
      </c>
      <c r="J158">
        <f>BDP($B158,"CNTRY_OF_DOMICILE")</f>
        <v/>
      </c>
      <c r="K158" t="inlineStr">
        <is>
          <t>EC</t>
        </is>
      </c>
      <c r="L158" t="inlineStr">
        <is>
          <t>CORP</t>
        </is>
      </c>
      <c r="M158" t="inlineStr"/>
      <c r="N158" t="inlineStr"/>
      <c r="O158" s="1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s="1" t="inlineStr"/>
      <c r="AR158" s="1" t="inlineStr"/>
      <c r="AS158" s="1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BREW</t>
        </is>
      </c>
      <c r="B159" t="inlineStr">
        <is>
          <t>SJM US Equity</t>
        </is>
      </c>
      <c r="C159" s="1" t="inlineStr">
        <is>
          <t>SJM</t>
        </is>
      </c>
      <c r="D159" t="inlineStr">
        <is>
          <t>J M Smucker Co/The</t>
        </is>
      </c>
      <c r="E159">
        <f>BDP($B159,"LEGAL_ENTITY_IDENTIFIER")</f>
        <v/>
      </c>
      <c r="F159" t="inlineStr">
        <is>
          <t>J M Smucker Co/The</t>
        </is>
      </c>
      <c r="G159">
        <f>custodian!D159</f>
        <v/>
      </c>
      <c r="H159">
        <f>BDP($B159,"ID_ISIN")</f>
        <v/>
      </c>
      <c r="I159" s="1" t="inlineStr">
        <is>
          <t>SJM</t>
        </is>
      </c>
      <c r="J159">
        <f>BDP($B159,"CNTRY_OF_DOMICILE")</f>
        <v/>
      </c>
      <c r="K159" t="inlineStr">
        <is>
          <t>EC</t>
        </is>
      </c>
      <c r="L159" t="inlineStr">
        <is>
          <t>CORP</t>
        </is>
      </c>
      <c r="M159" t="inlineStr"/>
      <c r="N159" t="inlineStr"/>
      <c r="O159" s="1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s="1" t="inlineStr"/>
      <c r="AR159" s="1" t="inlineStr"/>
      <c r="AS159" s="1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BREW</t>
        </is>
      </c>
      <c r="B160" t="inlineStr">
        <is>
          <t>SXT US Equity</t>
        </is>
      </c>
      <c r="C160" s="1" t="inlineStr">
        <is>
          <t>SXT</t>
        </is>
      </c>
      <c r="D160" t="inlineStr">
        <is>
          <t>Sensient Technologies Corp</t>
        </is>
      </c>
      <c r="E160">
        <f>BDP($B160,"LEGAL_ENTITY_IDENTIFIER")</f>
        <v/>
      </c>
      <c r="F160" t="inlineStr">
        <is>
          <t>Sensient Technologies Corp</t>
        </is>
      </c>
      <c r="G160">
        <f>custodian!D160</f>
        <v/>
      </c>
      <c r="H160">
        <f>BDP($B160,"ID_ISIN")</f>
        <v/>
      </c>
      <c r="I160" s="1" t="inlineStr">
        <is>
          <t>SXT</t>
        </is>
      </c>
      <c r="J160">
        <f>BDP($B160,"CNTRY_OF_DOMICILE")</f>
        <v/>
      </c>
      <c r="K160" t="inlineStr">
        <is>
          <t>EC</t>
        </is>
      </c>
      <c r="L160" t="inlineStr">
        <is>
          <t>CORP</t>
        </is>
      </c>
      <c r="M160" t="inlineStr"/>
      <c r="N160" t="inlineStr"/>
      <c r="O160" s="1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s="1" t="inlineStr"/>
      <c r="AR160" s="1" t="inlineStr"/>
      <c r="AS160" s="1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BREW</t>
        </is>
      </c>
      <c r="B161" t="inlineStr">
        <is>
          <t>WEST US Equity</t>
        </is>
      </c>
      <c r="C161" s="1" t="inlineStr">
        <is>
          <t>WEST</t>
        </is>
      </c>
      <c r="D161" t="inlineStr">
        <is>
          <t>Westrock Coffee Co</t>
        </is>
      </c>
      <c r="E161">
        <f>BDP($B161,"LEGAL_ENTITY_IDENTIFIER")</f>
        <v/>
      </c>
      <c r="F161" t="inlineStr">
        <is>
          <t>Westrock Coffee Co</t>
        </is>
      </c>
      <c r="G161">
        <f>custodian!D161</f>
        <v/>
      </c>
      <c r="H161">
        <f>BDP($B161,"ID_ISIN")</f>
        <v/>
      </c>
      <c r="I161" s="1" t="inlineStr">
        <is>
          <t>WEST</t>
        </is>
      </c>
      <c r="J161">
        <f>BDP($B161,"CNTRY_OF_DOMICILE")</f>
        <v/>
      </c>
      <c r="K161" t="inlineStr">
        <is>
          <t>EC</t>
        </is>
      </c>
      <c r="L161" t="inlineStr">
        <is>
          <t>CORP</t>
        </is>
      </c>
      <c r="M161" t="inlineStr"/>
      <c r="N161" t="inlineStr"/>
      <c r="O161" s="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s="1" t="inlineStr"/>
      <c r="AR161" s="1" t="inlineStr"/>
      <c r="AS161" s="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BREW</t>
        </is>
      </c>
      <c r="B162" t="inlineStr">
        <is>
          <t>ZVIA US Equity</t>
        </is>
      </c>
      <c r="C162" s="1" t="inlineStr">
        <is>
          <t>ZVIA</t>
        </is>
      </c>
      <c r="D162" t="inlineStr">
        <is>
          <t>Zevia PBC</t>
        </is>
      </c>
      <c r="E162">
        <f>BDP($B162,"LEGAL_ENTITY_IDENTIFIER")</f>
        <v/>
      </c>
      <c r="F162" t="inlineStr">
        <is>
          <t>Zevia PBC</t>
        </is>
      </c>
      <c r="G162">
        <f>custodian!D162</f>
        <v/>
      </c>
      <c r="H162">
        <f>BDP($B162,"ID_ISIN")</f>
        <v/>
      </c>
      <c r="I162" s="1" t="inlineStr">
        <is>
          <t>ZVIA</t>
        </is>
      </c>
      <c r="J162">
        <f>BDP($B162,"CNTRY_OF_DOMICILE")</f>
        <v/>
      </c>
      <c r="K162" t="inlineStr">
        <is>
          <t>EC</t>
        </is>
      </c>
      <c r="L162" t="inlineStr">
        <is>
          <t>CORP</t>
        </is>
      </c>
      <c r="M162" t="inlineStr"/>
      <c r="N162" t="inlineStr"/>
      <c r="O162" s="1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s="1" t="inlineStr"/>
      <c r="AR162" s="1" t="inlineStr"/>
      <c r="AS162" s="1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BREW</t>
        </is>
      </c>
      <c r="B163" t="inlineStr"/>
      <c r="C163" s="1" t="inlineStr">
        <is>
          <t>Cash&amp;Other</t>
        </is>
      </c>
      <c r="D163" t="inlineStr"/>
      <c r="E163" s="1" t="inlineStr"/>
      <c r="F163" t="inlineStr"/>
      <c r="G163">
        <f>custodian!D163</f>
        <v/>
      </c>
      <c r="H163" s="1" t="inlineStr"/>
      <c r="I163" s="1" t="inlineStr"/>
      <c r="J163" t="inlineStr"/>
      <c r="K163" t="inlineStr"/>
      <c r="L163" t="inlineStr"/>
      <c r="M163" t="inlineStr"/>
      <c r="N163" t="inlineStr"/>
      <c r="O163" s="1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s="1" t="inlineStr"/>
      <c r="AR163" s="1" t="inlineStr"/>
      <c r="AS163" s="1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BRZX</t>
        </is>
      </c>
      <c r="B164" t="inlineStr">
        <is>
          <t>464286400 Equity</t>
        </is>
      </c>
      <c r="C164" s="1" t="inlineStr">
        <is>
          <t>464286400-TRS-12/01/27-L-CANT</t>
        </is>
      </c>
      <c r="D164" t="inlineStr">
        <is>
          <t>N/A</t>
        </is>
      </c>
      <c r="E164" s="1" t="inlineStr">
        <is>
          <t>N/A</t>
        </is>
      </c>
      <c r="F164" t="inlineStr">
        <is>
          <t>ISHARES MSCI BRAZIL ETF-SWAP-CANT-L</t>
        </is>
      </c>
      <c r="G164">
        <f>custodian!D164</f>
        <v/>
      </c>
      <c r="H164" s="1" t="inlineStr"/>
      <c r="I164" s="1" t="inlineStr">
        <is>
          <t>464286400-TRS-12/01/27-L-CANT</t>
        </is>
      </c>
      <c r="J164" t="inlineStr">
        <is>
          <t>US</t>
        </is>
      </c>
      <c r="K164" t="inlineStr">
        <is>
          <t>DE</t>
        </is>
      </c>
      <c r="L164" t="inlineStr">
        <is>
          <t>OTHER</t>
        </is>
      </c>
      <c r="M164" t="inlineStr">
        <is>
          <t>SWP</t>
        </is>
      </c>
      <c r="N164" t="inlineStr"/>
      <c r="O164" s="1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otherRefInst</t>
        </is>
      </c>
      <c r="W164" t="inlineStr"/>
      <c r="X164" t="inlineStr"/>
      <c r="Y164" t="inlineStr">
        <is>
          <t>Y</t>
        </is>
      </c>
      <c r="Z164" t="inlineStr">
        <is>
          <t>2027-12-01</t>
        </is>
      </c>
      <c r="AA164" t="inlineStr">
        <is>
          <t>677270.80</t>
        </is>
      </c>
      <c r="AB164" t="inlineStr">
        <is>
          <t>USD</t>
        </is>
      </c>
      <c r="AC164" t="inlineStr">
        <is>
          <t>-21333.21</t>
        </is>
      </c>
      <c r="AD164" t="inlineStr">
        <is>
          <t>-21333.21</t>
        </is>
      </c>
      <c r="AE164" t="inlineStr">
        <is>
          <t>-6.30</t>
        </is>
      </c>
      <c r="AF164" t="inlineStr"/>
      <c r="AG164" t="inlineStr"/>
      <c r="AH164" t="inlineStr">
        <is>
          <t>Floating</t>
        </is>
      </c>
      <c r="AI164" t="inlineStr"/>
      <c r="AJ164" t="inlineStr"/>
      <c r="AK164" t="inlineStr">
        <is>
          <t>677270.80</t>
        </is>
      </c>
      <c r="AL164" t="inlineStr">
        <is>
          <t>USD</t>
        </is>
      </c>
      <c r="AM164" t="inlineStr"/>
      <c r="AN164" t="inlineStr"/>
      <c r="AO164">
        <f>BDP($B164,"ISSUER")</f>
        <v/>
      </c>
      <c r="AP164">
        <f>BDP($B164,"NAME")</f>
        <v/>
      </c>
      <c r="AQ164" s="1" t="inlineStr">
        <is>
          <t>464286400</t>
        </is>
      </c>
      <c r="AR164">
        <f>BDP($B164,"ID_ISIN")</f>
        <v/>
      </c>
      <c r="AS164">
        <f>BDP($B164,"TICKER")</f>
        <v/>
      </c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BRZX</t>
        </is>
      </c>
      <c r="B165" t="inlineStr">
        <is>
          <t>FGXXX US Equity</t>
        </is>
      </c>
      <c r="C165" s="1" t="inlineStr">
        <is>
          <t>FGXXX</t>
        </is>
      </c>
      <c r="D165" t="inlineStr">
        <is>
          <t>First American Government Obli</t>
        </is>
      </c>
      <c r="E165">
        <f>BDP($B165,"LEGAL_ENTITY_IDENTIFIER")</f>
        <v/>
      </c>
      <c r="F165" t="inlineStr">
        <is>
          <t>First American Government Obligations Fund</t>
        </is>
      </c>
      <c r="G165">
        <f>custodian!D165</f>
        <v/>
      </c>
      <c r="H165">
        <f>BDP($B165,"ID_ISIN")</f>
        <v/>
      </c>
      <c r="I165" s="1" t="inlineStr">
        <is>
          <t>FGXXX</t>
        </is>
      </c>
      <c r="J165">
        <f>BDP($B165,"CNTRY_OF_DOMICILE")</f>
        <v/>
      </c>
      <c r="K165" t="inlineStr">
        <is>
          <t>STIV</t>
        </is>
      </c>
      <c r="L165" t="inlineStr">
        <is>
          <t>RF</t>
        </is>
      </c>
      <c r="M165" t="inlineStr"/>
      <c r="N165" t="inlineStr"/>
      <c r="O165" s="1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s="1" t="inlineStr"/>
      <c r="AR165" s="1" t="inlineStr"/>
      <c r="AS165" s="1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BRZX</t>
        </is>
      </c>
      <c r="B166" t="inlineStr"/>
      <c r="C166" s="1" t="inlineStr">
        <is>
          <t>Cash&amp;Other</t>
        </is>
      </c>
      <c r="D166" t="inlineStr"/>
      <c r="E166" s="1" t="inlineStr"/>
      <c r="F166" t="inlineStr"/>
      <c r="G166">
        <f>custodian!D166</f>
        <v/>
      </c>
      <c r="H166" s="1" t="inlineStr"/>
      <c r="I166" s="1" t="inlineStr"/>
      <c r="J166" t="inlineStr"/>
      <c r="K166" t="inlineStr"/>
      <c r="L166" t="inlineStr"/>
      <c r="M166" t="inlineStr"/>
      <c r="N166" t="inlineStr"/>
      <c r="O166" s="1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s="1" t="inlineStr"/>
      <c r="AR166" s="1" t="inlineStr"/>
      <c r="AS166" s="1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BZZ</t>
        </is>
      </c>
      <c r="B167" t="inlineStr">
        <is>
          <t>ACHR US Equity</t>
        </is>
      </c>
      <c r="C167" s="1" t="inlineStr">
        <is>
          <t>ACHR</t>
        </is>
      </c>
      <c r="D167" t="inlineStr">
        <is>
          <t>Archer Aviation Inc</t>
        </is>
      </c>
      <c r="E167">
        <f>BDP($B167,"LEGAL_ENTITY_IDENTIFIER")</f>
        <v/>
      </c>
      <c r="F167" t="inlineStr">
        <is>
          <t>Archer Aviation Inc</t>
        </is>
      </c>
      <c r="G167">
        <f>custodian!D167</f>
        <v/>
      </c>
      <c r="H167">
        <f>BDP($B167,"ID_ISIN")</f>
        <v/>
      </c>
      <c r="I167" s="1" t="inlineStr">
        <is>
          <t>ACHR</t>
        </is>
      </c>
      <c r="J167">
        <f>BDP($B167,"CNTRY_OF_DOMICILE")</f>
        <v/>
      </c>
      <c r="K167" t="inlineStr">
        <is>
          <t>EC</t>
        </is>
      </c>
      <c r="L167" t="inlineStr">
        <is>
          <t>CORP</t>
        </is>
      </c>
      <c r="M167" t="inlineStr"/>
      <c r="N167" t="inlineStr"/>
      <c r="O167" s="1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s="1" t="inlineStr"/>
      <c r="AR167" s="1" t="inlineStr"/>
      <c r="AS167" s="1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BZZ</t>
        </is>
      </c>
      <c r="B168" t="inlineStr">
        <is>
          <t>AIRO US Equity</t>
        </is>
      </c>
      <c r="C168" s="1" t="inlineStr">
        <is>
          <t>AIRO</t>
        </is>
      </c>
      <c r="D168" t="inlineStr">
        <is>
          <t>AIRO Group Holdings Inc</t>
        </is>
      </c>
      <c r="E168">
        <f>BDP($B168,"LEGAL_ENTITY_IDENTIFIER")</f>
        <v/>
      </c>
      <c r="F168" t="inlineStr">
        <is>
          <t>AIRO Group Holdings Inc</t>
        </is>
      </c>
      <c r="G168">
        <f>custodian!D168</f>
        <v/>
      </c>
      <c r="H168">
        <f>BDP($B168,"ID_ISIN")</f>
        <v/>
      </c>
      <c r="I168" s="1" t="inlineStr">
        <is>
          <t>AIRO</t>
        </is>
      </c>
      <c r="J168">
        <f>BDP($B168,"CNTRY_OF_DOMICILE")</f>
        <v/>
      </c>
      <c r="K168" t="inlineStr">
        <is>
          <t>EC</t>
        </is>
      </c>
      <c r="L168" t="inlineStr">
        <is>
          <t>CORP</t>
        </is>
      </c>
      <c r="M168" t="inlineStr"/>
      <c r="N168" t="inlineStr"/>
      <c r="O168" s="1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s="1" t="inlineStr"/>
      <c r="AR168" s="1" t="inlineStr"/>
      <c r="AS168" s="1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BZZ</t>
        </is>
      </c>
      <c r="B169" t="inlineStr">
        <is>
          <t>AMPX US Equity</t>
        </is>
      </c>
      <c r="C169" s="1" t="inlineStr">
        <is>
          <t>AMPX</t>
        </is>
      </c>
      <c r="D169" t="inlineStr">
        <is>
          <t>Amprius Technologies Inc</t>
        </is>
      </c>
      <c r="E169">
        <f>BDP($B169,"LEGAL_ENTITY_IDENTIFIER")</f>
        <v/>
      </c>
      <c r="F169" t="inlineStr">
        <is>
          <t>Amprius Technologies Inc</t>
        </is>
      </c>
      <c r="G169">
        <f>custodian!D169</f>
        <v/>
      </c>
      <c r="H169">
        <f>BDP($B169,"ID_ISIN")</f>
        <v/>
      </c>
      <c r="I169" s="1" t="inlineStr">
        <is>
          <t>AMPX</t>
        </is>
      </c>
      <c r="J169">
        <f>BDP($B169,"CNTRY_OF_DOMICILE")</f>
        <v/>
      </c>
      <c r="K169" t="inlineStr">
        <is>
          <t>EC</t>
        </is>
      </c>
      <c r="L169" t="inlineStr">
        <is>
          <t>CORP</t>
        </is>
      </c>
      <c r="M169" t="inlineStr"/>
      <c r="N169" t="inlineStr"/>
      <c r="O169" s="1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s="1" t="inlineStr"/>
      <c r="AR169" s="1" t="inlineStr"/>
      <c r="AS169" s="1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BZZ</t>
        </is>
      </c>
      <c r="B170" t="inlineStr">
        <is>
          <t>AVAV US Equity</t>
        </is>
      </c>
      <c r="C170" s="1" t="inlineStr">
        <is>
          <t>AVAV</t>
        </is>
      </c>
      <c r="D170" t="inlineStr">
        <is>
          <t>AeroVironment Inc</t>
        </is>
      </c>
      <c r="E170">
        <f>BDP($B170,"LEGAL_ENTITY_IDENTIFIER")</f>
        <v/>
      </c>
      <c r="F170" t="inlineStr">
        <is>
          <t>AeroVironment Inc</t>
        </is>
      </c>
      <c r="G170">
        <f>custodian!D170</f>
        <v/>
      </c>
      <c r="H170">
        <f>BDP($B170,"ID_ISIN")</f>
        <v/>
      </c>
      <c r="I170" s="1" t="inlineStr">
        <is>
          <t>AVAV</t>
        </is>
      </c>
      <c r="J170">
        <f>BDP($B170,"CNTRY_OF_DOMICILE")</f>
        <v/>
      </c>
      <c r="K170" t="inlineStr">
        <is>
          <t>EC</t>
        </is>
      </c>
      <c r="L170" t="inlineStr">
        <is>
          <t>CORP</t>
        </is>
      </c>
      <c r="M170" t="inlineStr"/>
      <c r="N170" t="inlineStr"/>
      <c r="O170" s="1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s="1" t="inlineStr"/>
      <c r="AR170" s="1" t="inlineStr"/>
      <c r="AS170" s="1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BZZ</t>
        </is>
      </c>
      <c r="B171" t="inlineStr">
        <is>
          <t>AXON US Equity</t>
        </is>
      </c>
      <c r="C171" s="1" t="inlineStr">
        <is>
          <t>AXON</t>
        </is>
      </c>
      <c r="D171" t="inlineStr">
        <is>
          <t>Axon Enterprise Inc</t>
        </is>
      </c>
      <c r="E171">
        <f>BDP($B171,"LEGAL_ENTITY_IDENTIFIER")</f>
        <v/>
      </c>
      <c r="F171" t="inlineStr">
        <is>
          <t>Axon Enterprise Inc</t>
        </is>
      </c>
      <c r="G171">
        <f>custodian!D171</f>
        <v/>
      </c>
      <c r="H171">
        <f>BDP($B171,"ID_ISIN")</f>
        <v/>
      </c>
      <c r="I171" s="1" t="inlineStr">
        <is>
          <t>AXON</t>
        </is>
      </c>
      <c r="J171">
        <f>BDP($B171,"CNTRY_OF_DOMICILE")</f>
        <v/>
      </c>
      <c r="K171" t="inlineStr">
        <is>
          <t>EC</t>
        </is>
      </c>
      <c r="L171" t="inlineStr">
        <is>
          <t>CORP</t>
        </is>
      </c>
      <c r="M171" t="inlineStr"/>
      <c r="N171" t="inlineStr"/>
      <c r="O171" s="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s="1" t="inlineStr"/>
      <c r="AR171" s="1" t="inlineStr"/>
      <c r="AS171" s="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BZZ</t>
        </is>
      </c>
      <c r="B172" t="inlineStr">
        <is>
          <t>BA US Equity</t>
        </is>
      </c>
      <c r="C172" s="1" t="inlineStr">
        <is>
          <t>BA</t>
        </is>
      </c>
      <c r="D172" t="inlineStr">
        <is>
          <t>Boeing Co/The</t>
        </is>
      </c>
      <c r="E172">
        <f>BDP($B172,"LEGAL_ENTITY_IDENTIFIER")</f>
        <v/>
      </c>
      <c r="F172" t="inlineStr">
        <is>
          <t>Boeing Co/The</t>
        </is>
      </c>
      <c r="G172">
        <f>custodian!D172</f>
        <v/>
      </c>
      <c r="H172">
        <f>BDP($B172,"ID_ISIN")</f>
        <v/>
      </c>
      <c r="I172" s="1" t="inlineStr">
        <is>
          <t>BA</t>
        </is>
      </c>
      <c r="J172">
        <f>BDP($B172,"CNTRY_OF_DOMICILE")</f>
        <v/>
      </c>
      <c r="K172" t="inlineStr">
        <is>
          <t>EC</t>
        </is>
      </c>
      <c r="L172" t="inlineStr">
        <is>
          <t>CORP</t>
        </is>
      </c>
      <c r="M172" t="inlineStr"/>
      <c r="N172" t="inlineStr"/>
      <c r="O172" s="1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s="1" t="inlineStr"/>
      <c r="AR172" s="1" t="inlineStr"/>
      <c r="AS172" s="1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BZZ</t>
        </is>
      </c>
      <c r="B173" t="inlineStr">
        <is>
          <t>BETA US Equity</t>
        </is>
      </c>
      <c r="C173" s="1" t="inlineStr">
        <is>
          <t>BETA</t>
        </is>
      </c>
      <c r="D173" t="inlineStr">
        <is>
          <t>Beta Technologies Inc</t>
        </is>
      </c>
      <c r="E173">
        <f>BDP($B173,"LEGAL_ENTITY_IDENTIFIER")</f>
        <v/>
      </c>
      <c r="F173" t="inlineStr">
        <is>
          <t>Beta Technologies Inc</t>
        </is>
      </c>
      <c r="G173">
        <f>custodian!D173</f>
        <v/>
      </c>
      <c r="H173">
        <f>BDP($B173,"ID_ISIN")</f>
        <v/>
      </c>
      <c r="I173" s="1" t="inlineStr">
        <is>
          <t>BETA</t>
        </is>
      </c>
      <c r="J173">
        <f>BDP($B173,"CNTRY_OF_DOMICILE")</f>
        <v/>
      </c>
      <c r="K173" t="inlineStr">
        <is>
          <t>EC</t>
        </is>
      </c>
      <c r="L173" t="inlineStr">
        <is>
          <t>CORP</t>
        </is>
      </c>
      <c r="M173" t="inlineStr"/>
      <c r="N173" t="inlineStr"/>
      <c r="O173" s="1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s="1" t="inlineStr"/>
      <c r="AR173" s="1" t="inlineStr"/>
      <c r="AS173" s="1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BZZ</t>
        </is>
      </c>
      <c r="B174" t="inlineStr">
        <is>
          <t>DPRO US Equity</t>
        </is>
      </c>
      <c r="C174" s="1" t="inlineStr">
        <is>
          <t>DPRO</t>
        </is>
      </c>
      <c r="D174" t="inlineStr">
        <is>
          <t>Draganfly Inc</t>
        </is>
      </c>
      <c r="E174">
        <f>BDP($B174,"LEGAL_ENTITY_IDENTIFIER")</f>
        <v/>
      </c>
      <c r="F174" t="inlineStr">
        <is>
          <t>Draganfly Inc</t>
        </is>
      </c>
      <c r="G174">
        <f>custodian!D174</f>
        <v/>
      </c>
      <c r="H174">
        <f>BDP($B174,"ID_ISIN")</f>
        <v/>
      </c>
      <c r="I174" s="1" t="inlineStr">
        <is>
          <t>DPRO</t>
        </is>
      </c>
      <c r="J174">
        <f>BDP($B174,"CNTRY_OF_DOMICILE")</f>
        <v/>
      </c>
      <c r="K174" t="inlineStr">
        <is>
          <t>EC</t>
        </is>
      </c>
      <c r="L174" t="inlineStr">
        <is>
          <t>CORP</t>
        </is>
      </c>
      <c r="M174" t="inlineStr"/>
      <c r="N174" t="inlineStr"/>
      <c r="O174" s="1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s="1" t="inlineStr"/>
      <c r="AR174" s="1" t="inlineStr"/>
      <c r="AS174" s="1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BZZ</t>
        </is>
      </c>
      <c r="B175" t="inlineStr">
        <is>
          <t>EH US Equity</t>
        </is>
      </c>
      <c r="C175" s="1" t="inlineStr">
        <is>
          <t>EH</t>
        </is>
      </c>
      <c r="D175" t="inlineStr">
        <is>
          <t>EHang Holdings Ltd</t>
        </is>
      </c>
      <c r="E175">
        <f>BDP($B175,"LEGAL_ENTITY_IDENTIFIER")</f>
        <v/>
      </c>
      <c r="F175" t="inlineStr">
        <is>
          <t>EHang Holdings Ltd</t>
        </is>
      </c>
      <c r="G175">
        <f>custodian!D175</f>
        <v/>
      </c>
      <c r="H175">
        <f>BDP($B175,"ID_ISIN")</f>
        <v/>
      </c>
      <c r="I175" s="1" t="inlineStr">
        <is>
          <t>EH</t>
        </is>
      </c>
      <c r="J175">
        <f>BDP($B175,"CNTRY_OF_DOMICILE")</f>
        <v/>
      </c>
      <c r="K175" t="inlineStr">
        <is>
          <t>EC</t>
        </is>
      </c>
      <c r="L175" t="inlineStr">
        <is>
          <t>CORP</t>
        </is>
      </c>
      <c r="M175" t="inlineStr"/>
      <c r="N175" t="inlineStr"/>
      <c r="O175" s="1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s="1" t="inlineStr"/>
      <c r="AR175" s="1" t="inlineStr"/>
      <c r="AS175" s="1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BZZ</t>
        </is>
      </c>
      <c r="B176" t="inlineStr">
        <is>
          <t>EVEX US Equity</t>
        </is>
      </c>
      <c r="C176" s="1" t="inlineStr">
        <is>
          <t>EVEX</t>
        </is>
      </c>
      <c r="D176" t="inlineStr">
        <is>
          <t>Eve Holding Inc</t>
        </is>
      </c>
      <c r="E176">
        <f>BDP($B176,"LEGAL_ENTITY_IDENTIFIER")</f>
        <v/>
      </c>
      <c r="F176" t="inlineStr">
        <is>
          <t>Eve Holding Inc</t>
        </is>
      </c>
      <c r="G176">
        <f>custodian!D176</f>
        <v/>
      </c>
      <c r="H176">
        <f>BDP($B176,"ID_ISIN")</f>
        <v/>
      </c>
      <c r="I176" s="1" t="inlineStr">
        <is>
          <t>EVEX</t>
        </is>
      </c>
      <c r="J176">
        <f>BDP($B176,"CNTRY_OF_DOMICILE")</f>
        <v/>
      </c>
      <c r="K176" t="inlineStr">
        <is>
          <t>EC</t>
        </is>
      </c>
      <c r="L176" t="inlineStr">
        <is>
          <t>CORP</t>
        </is>
      </c>
      <c r="M176" t="inlineStr"/>
      <c r="N176" t="inlineStr"/>
      <c r="O176" s="1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s="1" t="inlineStr"/>
      <c r="AR176" s="1" t="inlineStr"/>
      <c r="AS176" s="1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BZZ</t>
        </is>
      </c>
      <c r="B177" t="inlineStr">
        <is>
          <t>FGXXX US Equity</t>
        </is>
      </c>
      <c r="C177" s="1" t="inlineStr">
        <is>
          <t>FGXXX</t>
        </is>
      </c>
      <c r="D177" t="inlineStr">
        <is>
          <t>First American Government Obli</t>
        </is>
      </c>
      <c r="E177">
        <f>BDP($B177,"LEGAL_ENTITY_IDENTIFIER")</f>
        <v/>
      </c>
      <c r="F177" t="inlineStr">
        <is>
          <t>First American Government Obligations Fund</t>
        </is>
      </c>
      <c r="G177">
        <f>custodian!D177</f>
        <v/>
      </c>
      <c r="H177">
        <f>BDP($B177,"ID_ISIN")</f>
        <v/>
      </c>
      <c r="I177" s="1" t="inlineStr">
        <is>
          <t>FGXXX</t>
        </is>
      </c>
      <c r="J177">
        <f>BDP($B177,"CNTRY_OF_DOMICILE")</f>
        <v/>
      </c>
      <c r="K177" t="inlineStr">
        <is>
          <t>STIV</t>
        </is>
      </c>
      <c r="L177" t="inlineStr">
        <is>
          <t>RF</t>
        </is>
      </c>
      <c r="M177" t="inlineStr"/>
      <c r="N177" t="inlineStr"/>
      <c r="O177" s="1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s="1" t="inlineStr"/>
      <c r="AR177" s="1" t="inlineStr"/>
      <c r="AS177" s="1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BZZ</t>
        </is>
      </c>
      <c r="B178" t="inlineStr">
        <is>
          <t>HXL US Equity</t>
        </is>
      </c>
      <c r="C178" s="1" t="inlineStr">
        <is>
          <t>HXL</t>
        </is>
      </c>
      <c r="D178" t="inlineStr">
        <is>
          <t>Hexcel Corp</t>
        </is>
      </c>
      <c r="E178">
        <f>BDP($B178,"LEGAL_ENTITY_IDENTIFIER")</f>
        <v/>
      </c>
      <c r="F178" t="inlineStr">
        <is>
          <t>Hexcel Corp</t>
        </is>
      </c>
      <c r="G178">
        <f>custodian!D178</f>
        <v/>
      </c>
      <c r="H178">
        <f>BDP($B178,"ID_ISIN")</f>
        <v/>
      </c>
      <c r="I178" s="1" t="inlineStr">
        <is>
          <t>HXL</t>
        </is>
      </c>
      <c r="J178">
        <f>BDP($B178,"CNTRY_OF_DOMICILE")</f>
        <v/>
      </c>
      <c r="K178" t="inlineStr">
        <is>
          <t>EC</t>
        </is>
      </c>
      <c r="L178" t="inlineStr">
        <is>
          <t>CORP</t>
        </is>
      </c>
      <c r="M178" t="inlineStr"/>
      <c r="N178" t="inlineStr"/>
      <c r="O178" s="1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s="1" t="inlineStr"/>
      <c r="AR178" s="1" t="inlineStr"/>
      <c r="AS178" s="1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BZZ</t>
        </is>
      </c>
      <c r="B179" t="inlineStr">
        <is>
          <t>JOBY US Equity</t>
        </is>
      </c>
      <c r="C179" s="1" t="inlineStr">
        <is>
          <t>JOBY</t>
        </is>
      </c>
      <c r="D179" t="inlineStr">
        <is>
          <t>Joby Aviation Inc</t>
        </is>
      </c>
      <c r="E179">
        <f>BDP($B179,"LEGAL_ENTITY_IDENTIFIER")</f>
        <v/>
      </c>
      <c r="F179" t="inlineStr">
        <is>
          <t>Joby Aviation Inc</t>
        </is>
      </c>
      <c r="G179">
        <f>custodian!D179</f>
        <v/>
      </c>
      <c r="H179">
        <f>BDP($B179,"ID_ISIN")</f>
        <v/>
      </c>
      <c r="I179" s="1" t="inlineStr">
        <is>
          <t>JOBY</t>
        </is>
      </c>
      <c r="J179">
        <f>BDP($B179,"CNTRY_OF_DOMICILE")</f>
        <v/>
      </c>
      <c r="K179" t="inlineStr">
        <is>
          <t>EC</t>
        </is>
      </c>
      <c r="L179" t="inlineStr">
        <is>
          <t>CORP</t>
        </is>
      </c>
      <c r="M179" t="inlineStr"/>
      <c r="N179" t="inlineStr"/>
      <c r="O179" s="1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s="1" t="inlineStr"/>
      <c r="AR179" s="1" t="inlineStr"/>
      <c r="AS179" s="1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BZZ</t>
        </is>
      </c>
      <c r="B180" t="inlineStr">
        <is>
          <t>KTOS US Equity</t>
        </is>
      </c>
      <c r="C180" s="1" t="inlineStr">
        <is>
          <t>KTOS</t>
        </is>
      </c>
      <c r="D180" t="inlineStr">
        <is>
          <t>Kratos Defense &amp; Security Solu</t>
        </is>
      </c>
      <c r="E180">
        <f>BDP($B180,"LEGAL_ENTITY_IDENTIFIER")</f>
        <v/>
      </c>
      <c r="F180" t="inlineStr">
        <is>
          <t>Kratos Defense &amp; Security Solutions Inc</t>
        </is>
      </c>
      <c r="G180">
        <f>custodian!D180</f>
        <v/>
      </c>
      <c r="H180">
        <f>BDP($B180,"ID_ISIN")</f>
        <v/>
      </c>
      <c r="I180" s="1" t="inlineStr">
        <is>
          <t>KTOS</t>
        </is>
      </c>
      <c r="J180">
        <f>BDP($B180,"CNTRY_OF_DOMICILE")</f>
        <v/>
      </c>
      <c r="K180" t="inlineStr">
        <is>
          <t>EC</t>
        </is>
      </c>
      <c r="L180" t="inlineStr">
        <is>
          <t>CORP</t>
        </is>
      </c>
      <c r="M180" t="inlineStr"/>
      <c r="N180" t="inlineStr"/>
      <c r="O180" s="1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s="1" t="inlineStr"/>
      <c r="AR180" s="1" t="inlineStr"/>
      <c r="AS180" s="1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BZZ</t>
        </is>
      </c>
      <c r="B181" t="inlineStr">
        <is>
          <t>LHX US Equity</t>
        </is>
      </c>
      <c r="C181" s="1" t="inlineStr">
        <is>
          <t>LHX</t>
        </is>
      </c>
      <c r="D181" t="inlineStr">
        <is>
          <t>L3Harris Technologies Inc</t>
        </is>
      </c>
      <c r="E181">
        <f>BDP($B181,"LEGAL_ENTITY_IDENTIFIER")</f>
        <v/>
      </c>
      <c r="F181" t="inlineStr">
        <is>
          <t>L3Harris Technologies Inc</t>
        </is>
      </c>
      <c r="G181">
        <f>custodian!D181</f>
        <v/>
      </c>
      <c r="H181">
        <f>BDP($B181,"ID_ISIN")</f>
        <v/>
      </c>
      <c r="I181" s="1" t="inlineStr">
        <is>
          <t>LHX</t>
        </is>
      </c>
      <c r="J181">
        <f>BDP($B181,"CNTRY_OF_DOMICILE")</f>
        <v/>
      </c>
      <c r="K181" t="inlineStr">
        <is>
          <t>EC</t>
        </is>
      </c>
      <c r="L181" t="inlineStr">
        <is>
          <t>CORP</t>
        </is>
      </c>
      <c r="M181" t="inlineStr"/>
      <c r="N181" t="inlineStr"/>
      <c r="O181" s="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s="1" t="inlineStr"/>
      <c r="AR181" s="1" t="inlineStr"/>
      <c r="AS181" s="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BZZ</t>
        </is>
      </c>
      <c r="B182" t="inlineStr">
        <is>
          <t>LMT US Equity</t>
        </is>
      </c>
      <c r="C182" s="1" t="inlineStr">
        <is>
          <t>LMT</t>
        </is>
      </c>
      <c r="D182" t="inlineStr">
        <is>
          <t>Lockheed Martin Corp</t>
        </is>
      </c>
      <c r="E182">
        <f>BDP($B182,"LEGAL_ENTITY_IDENTIFIER")</f>
        <v/>
      </c>
      <c r="F182" t="inlineStr">
        <is>
          <t>Lockheed Martin Corp</t>
        </is>
      </c>
      <c r="G182">
        <f>custodian!D182</f>
        <v/>
      </c>
      <c r="H182">
        <f>BDP($B182,"ID_ISIN")</f>
        <v/>
      </c>
      <c r="I182" s="1" t="inlineStr">
        <is>
          <t>LMT</t>
        </is>
      </c>
      <c r="J182">
        <f>BDP($B182,"CNTRY_OF_DOMICILE")</f>
        <v/>
      </c>
      <c r="K182" t="inlineStr">
        <is>
          <t>EC</t>
        </is>
      </c>
      <c r="L182" t="inlineStr">
        <is>
          <t>CORP</t>
        </is>
      </c>
      <c r="M182" t="inlineStr"/>
      <c r="N182" t="inlineStr"/>
      <c r="O182" s="1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s="1" t="inlineStr"/>
      <c r="AR182" s="1" t="inlineStr"/>
      <c r="AS182" s="1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BZZ</t>
        </is>
      </c>
      <c r="B183" t="inlineStr">
        <is>
          <t>NOC US Equity</t>
        </is>
      </c>
      <c r="C183" s="1" t="inlineStr">
        <is>
          <t>NOC</t>
        </is>
      </c>
      <c r="D183" t="inlineStr">
        <is>
          <t>Northrop Grumman Corp</t>
        </is>
      </c>
      <c r="E183">
        <f>BDP($B183,"LEGAL_ENTITY_IDENTIFIER")</f>
        <v/>
      </c>
      <c r="F183" t="inlineStr">
        <is>
          <t>Northrop Grumman Corp</t>
        </is>
      </c>
      <c r="G183">
        <f>custodian!D183</f>
        <v/>
      </c>
      <c r="H183">
        <f>BDP($B183,"ID_ISIN")</f>
        <v/>
      </c>
      <c r="I183" s="1" t="inlineStr">
        <is>
          <t>NOC</t>
        </is>
      </c>
      <c r="J183">
        <f>BDP($B183,"CNTRY_OF_DOMICILE")</f>
        <v/>
      </c>
      <c r="K183" t="inlineStr">
        <is>
          <t>EC</t>
        </is>
      </c>
      <c r="L183" t="inlineStr">
        <is>
          <t>CORP</t>
        </is>
      </c>
      <c r="M183" t="inlineStr"/>
      <c r="N183" t="inlineStr"/>
      <c r="O183" s="1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s="1" t="inlineStr"/>
      <c r="AR183" s="1" t="inlineStr"/>
      <c r="AS183" s="1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BZZ</t>
        </is>
      </c>
      <c r="B184" t="inlineStr">
        <is>
          <t>ONDS US Equity</t>
        </is>
      </c>
      <c r="C184" s="1" t="inlineStr">
        <is>
          <t>ONDS</t>
        </is>
      </c>
      <c r="D184" t="inlineStr">
        <is>
          <t>Ondas Inc</t>
        </is>
      </c>
      <c r="E184">
        <f>BDP($B184,"LEGAL_ENTITY_IDENTIFIER")</f>
        <v/>
      </c>
      <c r="F184" t="inlineStr">
        <is>
          <t>Ondas Inc</t>
        </is>
      </c>
      <c r="G184">
        <f>custodian!D184</f>
        <v/>
      </c>
      <c r="H184">
        <f>BDP($B184,"ID_ISIN")</f>
        <v/>
      </c>
      <c r="I184" s="1" t="inlineStr">
        <is>
          <t>ONDS</t>
        </is>
      </c>
      <c r="J184">
        <f>BDP($B184,"CNTRY_OF_DOMICILE")</f>
        <v/>
      </c>
      <c r="K184" t="inlineStr">
        <is>
          <t>EC</t>
        </is>
      </c>
      <c r="L184" t="inlineStr">
        <is>
          <t>CORP</t>
        </is>
      </c>
      <c r="M184" t="inlineStr"/>
      <c r="N184" t="inlineStr"/>
      <c r="O184" s="1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s="1" t="inlineStr"/>
      <c r="AR184" s="1" t="inlineStr"/>
      <c r="AS184" s="1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BZZ</t>
        </is>
      </c>
      <c r="B185" t="inlineStr">
        <is>
          <t>OUST US Equity</t>
        </is>
      </c>
      <c r="C185" s="1" t="inlineStr">
        <is>
          <t>OUST</t>
        </is>
      </c>
      <c r="D185" t="inlineStr">
        <is>
          <t>Ouster Inc</t>
        </is>
      </c>
      <c r="E185">
        <f>BDP($B185,"LEGAL_ENTITY_IDENTIFIER")</f>
        <v/>
      </c>
      <c r="F185" t="inlineStr">
        <is>
          <t>Ouster Inc</t>
        </is>
      </c>
      <c r="G185">
        <f>custodian!D185</f>
        <v/>
      </c>
      <c r="H185">
        <f>BDP($B185,"ID_ISIN")</f>
        <v/>
      </c>
      <c r="I185" s="1" t="inlineStr">
        <is>
          <t>OUST</t>
        </is>
      </c>
      <c r="J185">
        <f>BDP($B185,"CNTRY_OF_DOMICILE")</f>
        <v/>
      </c>
      <c r="K185" t="inlineStr">
        <is>
          <t>EC</t>
        </is>
      </c>
      <c r="L185" t="inlineStr">
        <is>
          <t>CORP</t>
        </is>
      </c>
      <c r="M185" t="inlineStr"/>
      <c r="N185" t="inlineStr"/>
      <c r="O185" s="1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s="1" t="inlineStr"/>
      <c r="AR185" s="1" t="inlineStr"/>
      <c r="AS185" s="1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BZZ</t>
        </is>
      </c>
      <c r="B186" t="inlineStr">
        <is>
          <t>RCAT US Equity</t>
        </is>
      </c>
      <c r="C186" s="1" t="inlineStr">
        <is>
          <t>RCAT</t>
        </is>
      </c>
      <c r="D186" t="inlineStr">
        <is>
          <t>Red Cat Holdings Inc</t>
        </is>
      </c>
      <c r="E186">
        <f>BDP($B186,"LEGAL_ENTITY_IDENTIFIER")</f>
        <v/>
      </c>
      <c r="F186" t="inlineStr">
        <is>
          <t>Red Cat Holdings Inc</t>
        </is>
      </c>
      <c r="G186">
        <f>custodian!D186</f>
        <v/>
      </c>
      <c r="H186">
        <f>BDP($B186,"ID_ISIN")</f>
        <v/>
      </c>
      <c r="I186" s="1" t="inlineStr">
        <is>
          <t>RCAT</t>
        </is>
      </c>
      <c r="J186">
        <f>BDP($B186,"CNTRY_OF_DOMICILE")</f>
        <v/>
      </c>
      <c r="K186" t="inlineStr">
        <is>
          <t>EC</t>
        </is>
      </c>
      <c r="L186" t="inlineStr">
        <is>
          <t>CORP</t>
        </is>
      </c>
      <c r="M186" t="inlineStr"/>
      <c r="N186" t="inlineStr"/>
      <c r="O186" s="1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s="1" t="inlineStr"/>
      <c r="AR186" s="1" t="inlineStr"/>
      <c r="AS186" s="1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BZZ</t>
        </is>
      </c>
      <c r="B187" t="inlineStr">
        <is>
          <t>RTX US Equity</t>
        </is>
      </c>
      <c r="C187" s="1" t="inlineStr">
        <is>
          <t>RTX</t>
        </is>
      </c>
      <c r="D187" t="inlineStr">
        <is>
          <t>RTX Corp</t>
        </is>
      </c>
      <c r="E187">
        <f>BDP($B187,"LEGAL_ENTITY_IDENTIFIER")</f>
        <v/>
      </c>
      <c r="F187" t="inlineStr">
        <is>
          <t>RTX Corp</t>
        </is>
      </c>
      <c r="G187">
        <f>custodian!D187</f>
        <v/>
      </c>
      <c r="H187">
        <f>BDP($B187,"ID_ISIN")</f>
        <v/>
      </c>
      <c r="I187" s="1" t="inlineStr">
        <is>
          <t>RTX</t>
        </is>
      </c>
      <c r="J187">
        <f>BDP($B187,"CNTRY_OF_DOMICILE")</f>
        <v/>
      </c>
      <c r="K187" t="inlineStr">
        <is>
          <t>EC</t>
        </is>
      </c>
      <c r="L187" t="inlineStr">
        <is>
          <t>CORP</t>
        </is>
      </c>
      <c r="M187" t="inlineStr"/>
      <c r="N187" t="inlineStr"/>
      <c r="O187" s="1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s="1" t="inlineStr"/>
      <c r="AR187" s="1" t="inlineStr"/>
      <c r="AS187" s="1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BZZ</t>
        </is>
      </c>
      <c r="B188" t="inlineStr">
        <is>
          <t>SWMR US Equity</t>
        </is>
      </c>
      <c r="C188" s="1" t="inlineStr">
        <is>
          <t>SWMR</t>
        </is>
      </c>
      <c r="D188" t="inlineStr">
        <is>
          <t>Swarmer Inc</t>
        </is>
      </c>
      <c r="E188">
        <f>BDP($B188,"LEGAL_ENTITY_IDENTIFIER")</f>
        <v/>
      </c>
      <c r="F188" t="inlineStr">
        <is>
          <t>Swarmer Inc</t>
        </is>
      </c>
      <c r="G188">
        <f>custodian!D188</f>
        <v/>
      </c>
      <c r="H188">
        <f>BDP($B188,"ID_ISIN")</f>
        <v/>
      </c>
      <c r="I188" s="1" t="inlineStr">
        <is>
          <t>SWMR</t>
        </is>
      </c>
      <c r="J188">
        <f>BDP($B188,"CNTRY_OF_DOMICILE")</f>
        <v/>
      </c>
      <c r="K188" t="inlineStr">
        <is>
          <t>EC</t>
        </is>
      </c>
      <c r="L188" t="inlineStr">
        <is>
          <t>CORP</t>
        </is>
      </c>
      <c r="M188" t="inlineStr"/>
      <c r="N188" t="inlineStr"/>
      <c r="O188" s="1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s="1" t="inlineStr"/>
      <c r="AR188" s="1" t="inlineStr"/>
      <c r="AS188" s="1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BZZ</t>
        </is>
      </c>
      <c r="B189" t="inlineStr">
        <is>
          <t>TDY US Equity</t>
        </is>
      </c>
      <c r="C189" s="1" t="inlineStr">
        <is>
          <t>TDY</t>
        </is>
      </c>
      <c r="D189" t="inlineStr">
        <is>
          <t>Teledyne Technologies Inc</t>
        </is>
      </c>
      <c r="E189">
        <f>BDP($B189,"LEGAL_ENTITY_IDENTIFIER")</f>
        <v/>
      </c>
      <c r="F189" t="inlineStr">
        <is>
          <t>Teledyne Technologies Inc</t>
        </is>
      </c>
      <c r="G189">
        <f>custodian!D189</f>
        <v/>
      </c>
      <c r="H189">
        <f>BDP($B189,"ID_ISIN")</f>
        <v/>
      </c>
      <c r="I189" s="1" t="inlineStr">
        <is>
          <t>TDY</t>
        </is>
      </c>
      <c r="J189">
        <f>BDP($B189,"CNTRY_OF_DOMICILE")</f>
        <v/>
      </c>
      <c r="K189" t="inlineStr">
        <is>
          <t>EC</t>
        </is>
      </c>
      <c r="L189" t="inlineStr">
        <is>
          <t>CORP</t>
        </is>
      </c>
      <c r="M189" t="inlineStr"/>
      <c r="N189" t="inlineStr"/>
      <c r="O189" s="1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s="1" t="inlineStr"/>
      <c r="AR189" s="1" t="inlineStr"/>
      <c r="AS189" s="1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BZZ</t>
        </is>
      </c>
      <c r="B190" t="inlineStr">
        <is>
          <t>TRMB US Equity</t>
        </is>
      </c>
      <c r="C190" s="1" t="inlineStr">
        <is>
          <t>TRMB</t>
        </is>
      </c>
      <c r="D190" t="inlineStr">
        <is>
          <t>Trimble Inc</t>
        </is>
      </c>
      <c r="E190">
        <f>BDP($B190,"LEGAL_ENTITY_IDENTIFIER")</f>
        <v/>
      </c>
      <c r="F190" t="inlineStr">
        <is>
          <t>Trimble Inc</t>
        </is>
      </c>
      <c r="G190">
        <f>custodian!D190</f>
        <v/>
      </c>
      <c r="H190">
        <f>BDP($B190,"ID_ISIN")</f>
        <v/>
      </c>
      <c r="I190" s="1" t="inlineStr">
        <is>
          <t>TRMB</t>
        </is>
      </c>
      <c r="J190">
        <f>BDP($B190,"CNTRY_OF_DOMICILE")</f>
        <v/>
      </c>
      <c r="K190" t="inlineStr">
        <is>
          <t>EC</t>
        </is>
      </c>
      <c r="L190" t="inlineStr">
        <is>
          <t>CORP</t>
        </is>
      </c>
      <c r="M190" t="inlineStr"/>
      <c r="N190" t="inlineStr"/>
      <c r="O190" s="1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s="1" t="inlineStr"/>
      <c r="AR190" s="1" t="inlineStr"/>
      <c r="AS190" s="1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BZZ</t>
        </is>
      </c>
      <c r="B191" t="inlineStr">
        <is>
          <t>TXT US Equity</t>
        </is>
      </c>
      <c r="C191" s="1" t="inlineStr">
        <is>
          <t>TXT</t>
        </is>
      </c>
      <c r="D191" t="inlineStr">
        <is>
          <t>Textron Inc</t>
        </is>
      </c>
      <c r="E191">
        <f>BDP($B191,"LEGAL_ENTITY_IDENTIFIER")</f>
        <v/>
      </c>
      <c r="F191" t="inlineStr">
        <is>
          <t>Textron Inc</t>
        </is>
      </c>
      <c r="G191">
        <f>custodian!D191</f>
        <v/>
      </c>
      <c r="H191">
        <f>BDP($B191,"ID_ISIN")</f>
        <v/>
      </c>
      <c r="I191" s="1" t="inlineStr">
        <is>
          <t>TXT</t>
        </is>
      </c>
      <c r="J191">
        <f>BDP($B191,"CNTRY_OF_DOMICILE")</f>
        <v/>
      </c>
      <c r="K191" t="inlineStr">
        <is>
          <t>EC</t>
        </is>
      </c>
      <c r="L191" t="inlineStr">
        <is>
          <t>CORP</t>
        </is>
      </c>
      <c r="M191" t="inlineStr"/>
      <c r="N191" t="inlineStr"/>
      <c r="O191" s="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s="1" t="inlineStr"/>
      <c r="AR191" s="1" t="inlineStr"/>
      <c r="AS191" s="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BZZ</t>
        </is>
      </c>
      <c r="B192" t="inlineStr">
        <is>
          <t>UMAC US Equity</t>
        </is>
      </c>
      <c r="C192" s="1" t="inlineStr">
        <is>
          <t>UMAC</t>
        </is>
      </c>
      <c r="D192" t="inlineStr">
        <is>
          <t>Unusual Machines Inc /US</t>
        </is>
      </c>
      <c r="E192">
        <f>BDP($B192,"LEGAL_ENTITY_IDENTIFIER")</f>
        <v/>
      </c>
      <c r="F192" t="inlineStr">
        <is>
          <t>Unusual Machines Inc /US</t>
        </is>
      </c>
      <c r="G192">
        <f>custodian!D192</f>
        <v/>
      </c>
      <c r="H192">
        <f>BDP($B192,"ID_ISIN")</f>
        <v/>
      </c>
      <c r="I192" s="1" t="inlineStr">
        <is>
          <t>UMAC</t>
        </is>
      </c>
      <c r="J192">
        <f>BDP($B192,"CNTRY_OF_DOMICILE")</f>
        <v/>
      </c>
      <c r="K192" t="inlineStr">
        <is>
          <t>EC</t>
        </is>
      </c>
      <c r="L192" t="inlineStr">
        <is>
          <t>CORP</t>
        </is>
      </c>
      <c r="M192" t="inlineStr"/>
      <c r="N192" t="inlineStr"/>
      <c r="O192" s="1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s="1" t="inlineStr"/>
      <c r="AR192" s="1" t="inlineStr"/>
      <c r="AS192" s="1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BZZ</t>
        </is>
      </c>
      <c r="B193" t="inlineStr">
        <is>
          <t>VTOL US Equity</t>
        </is>
      </c>
      <c r="C193" s="1" t="inlineStr">
        <is>
          <t>VTOL</t>
        </is>
      </c>
      <c r="D193" t="inlineStr">
        <is>
          <t>Bristow Group Inc</t>
        </is>
      </c>
      <c r="E193">
        <f>BDP($B193,"LEGAL_ENTITY_IDENTIFIER")</f>
        <v/>
      </c>
      <c r="F193" t="inlineStr">
        <is>
          <t>Bristow Group Inc</t>
        </is>
      </c>
      <c r="G193">
        <f>custodian!D193</f>
        <v/>
      </c>
      <c r="H193">
        <f>BDP($B193,"ID_ISIN")</f>
        <v/>
      </c>
      <c r="I193" s="1" t="inlineStr">
        <is>
          <t>VTOL</t>
        </is>
      </c>
      <c r="J193">
        <f>BDP($B193,"CNTRY_OF_DOMICILE")</f>
        <v/>
      </c>
      <c r="K193" t="inlineStr">
        <is>
          <t>EC</t>
        </is>
      </c>
      <c r="L193" t="inlineStr">
        <is>
          <t>CORP</t>
        </is>
      </c>
      <c r="M193" t="inlineStr"/>
      <c r="N193" t="inlineStr"/>
      <c r="O193" s="1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s="1" t="inlineStr"/>
      <c r="AR193" s="1" t="inlineStr"/>
      <c r="AS193" s="1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BZZ</t>
        </is>
      </c>
      <c r="B194" t="inlineStr"/>
      <c r="C194" s="1" t="inlineStr">
        <is>
          <t>Cash&amp;Other</t>
        </is>
      </c>
      <c r="D194" t="inlineStr"/>
      <c r="E194" s="1" t="inlineStr"/>
      <c r="F194" t="inlineStr"/>
      <c r="G194">
        <f>custodian!D194</f>
        <v/>
      </c>
      <c r="H194" s="1" t="inlineStr"/>
      <c r="I194" s="1" t="inlineStr"/>
      <c r="J194" t="inlineStr"/>
      <c r="K194" t="inlineStr"/>
      <c r="L194" t="inlineStr"/>
      <c r="M194" t="inlineStr"/>
      <c r="N194" t="inlineStr"/>
      <c r="O194" s="1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s="1" t="inlineStr"/>
      <c r="AR194" s="1" t="inlineStr"/>
      <c r="AS194" s="1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CAMC</t>
        </is>
      </c>
      <c r="B195" t="inlineStr">
        <is>
          <t>FGXXX US Equity</t>
        </is>
      </c>
      <c r="C195" s="1" t="inlineStr">
        <is>
          <t>FGXXX</t>
        </is>
      </c>
      <c r="D195" t="inlineStr">
        <is>
          <t>First American Government Obli</t>
        </is>
      </c>
      <c r="E195">
        <f>BDP($B195,"LEGAL_ENTITY_IDENTIFIER")</f>
        <v/>
      </c>
      <c r="F195" t="inlineStr">
        <is>
          <t>First American Government Obligations Fund</t>
        </is>
      </c>
      <c r="G195">
        <f>custodian!D195</f>
        <v/>
      </c>
      <c r="H195">
        <f>BDP($B195,"ID_ISIN")</f>
        <v/>
      </c>
      <c r="I195" s="1" t="inlineStr">
        <is>
          <t>FGXXX</t>
        </is>
      </c>
      <c r="J195">
        <f>BDP($B195,"CNTRY_OF_DOMICILE")</f>
        <v/>
      </c>
      <c r="K195" t="inlineStr">
        <is>
          <t>STIV</t>
        </is>
      </c>
      <c r="L195" t="inlineStr">
        <is>
          <t>RF</t>
        </is>
      </c>
      <c r="M195" t="inlineStr"/>
      <c r="N195" t="inlineStr"/>
      <c r="O195" s="1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s="1" t="inlineStr"/>
      <c r="AR195" s="1" t="inlineStr"/>
      <c r="AS195" s="1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CAMC</t>
        </is>
      </c>
      <c r="B196" t="inlineStr">
        <is>
          <t>M20791105 Equity</t>
        </is>
      </c>
      <c r="C196" s="1" t="inlineStr">
        <is>
          <t>M20791105-TRS-12/01/27-L-CANT</t>
        </is>
      </c>
      <c r="D196" t="inlineStr">
        <is>
          <t>N/A</t>
        </is>
      </c>
      <c r="E196" s="1" t="inlineStr">
        <is>
          <t>N/A</t>
        </is>
      </c>
      <c r="F196" t="inlineStr">
        <is>
          <t>CAMTEK LTD.-SWAP-CANT-L</t>
        </is>
      </c>
      <c r="G196">
        <f>custodian!D196</f>
        <v/>
      </c>
      <c r="H196" s="1" t="inlineStr"/>
      <c r="I196" s="1" t="inlineStr">
        <is>
          <t>M20791105-TRS-12/01/27-L-CANT</t>
        </is>
      </c>
      <c r="J196" t="inlineStr">
        <is>
          <t>US</t>
        </is>
      </c>
      <c r="K196" t="inlineStr">
        <is>
          <t>DE</t>
        </is>
      </c>
      <c r="L196" t="inlineStr">
        <is>
          <t>OTHER</t>
        </is>
      </c>
      <c r="M196" t="inlineStr">
        <is>
          <t>SWP</t>
        </is>
      </c>
      <c r="N196" t="inlineStr"/>
      <c r="O196" s="1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otherRefInst</t>
        </is>
      </c>
      <c r="W196" t="inlineStr"/>
      <c r="X196" t="inlineStr"/>
      <c r="Y196" t="inlineStr">
        <is>
          <t>Y</t>
        </is>
      </c>
      <c r="Z196" t="inlineStr">
        <is>
          <t>2027-12-01</t>
        </is>
      </c>
      <c r="AA196" t="inlineStr">
        <is>
          <t>485845.90</t>
        </is>
      </c>
      <c r="AB196" t="inlineStr">
        <is>
          <t>USD</t>
        </is>
      </c>
      <c r="AC196" t="inlineStr">
        <is>
          <t>-7392.44</t>
        </is>
      </c>
      <c r="AD196" t="inlineStr">
        <is>
          <t>-7392.44</t>
        </is>
      </c>
      <c r="AE196" t="inlineStr">
        <is>
          <t>-3.04</t>
        </is>
      </c>
      <c r="AF196" t="inlineStr"/>
      <c r="AG196" t="inlineStr"/>
      <c r="AH196" t="inlineStr">
        <is>
          <t>Floating</t>
        </is>
      </c>
      <c r="AI196" t="inlineStr"/>
      <c r="AJ196" t="inlineStr"/>
      <c r="AK196" t="inlineStr">
        <is>
          <t>485845.90</t>
        </is>
      </c>
      <c r="AL196" t="inlineStr">
        <is>
          <t>USD</t>
        </is>
      </c>
      <c r="AM196" t="inlineStr"/>
      <c r="AN196" t="inlineStr"/>
      <c r="AO196">
        <f>BDP($B196,"ISSUER")</f>
        <v/>
      </c>
      <c r="AP196">
        <f>BDP($B196,"NAME")</f>
        <v/>
      </c>
      <c r="AQ196" s="1" t="inlineStr">
        <is>
          <t>M20791105</t>
        </is>
      </c>
      <c r="AR196">
        <f>BDP($B196,"ID_ISIN")</f>
        <v/>
      </c>
      <c r="AS196">
        <f>BDP($B196,"TICKER")</f>
        <v/>
      </c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CAMC</t>
        </is>
      </c>
      <c r="B197" t="inlineStr"/>
      <c r="C197" s="1" t="inlineStr">
        <is>
          <t>Cash&amp;Other</t>
        </is>
      </c>
      <c r="D197" t="inlineStr"/>
      <c r="E197" s="1" t="inlineStr"/>
      <c r="F197" t="inlineStr"/>
      <c r="G197">
        <f>custodian!D197</f>
        <v/>
      </c>
      <c r="H197" s="1" t="inlineStr"/>
      <c r="I197" s="1" t="inlineStr"/>
      <c r="J197" t="inlineStr"/>
      <c r="K197" t="inlineStr"/>
      <c r="L197" t="inlineStr"/>
      <c r="M197" t="inlineStr"/>
      <c r="N197" t="inlineStr"/>
      <c r="O197" s="1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s="1" t="inlineStr"/>
      <c r="AR197" s="1" t="inlineStr"/>
      <c r="AS197" s="1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CARX</t>
        </is>
      </c>
      <c r="B198" t="inlineStr">
        <is>
          <t>565394103 Equity</t>
        </is>
      </c>
      <c r="C198" s="1" t="inlineStr">
        <is>
          <t>565394103-TRS-12/01/27-L-CANT</t>
        </is>
      </c>
      <c r="D198" t="inlineStr">
        <is>
          <t>N/A</t>
        </is>
      </c>
      <c r="E198" s="1" t="inlineStr">
        <is>
          <t>N/A</t>
        </is>
      </c>
      <c r="F198" t="inlineStr">
        <is>
          <t>MAPLEBEAR INC.-SWAP-CANT-L</t>
        </is>
      </c>
      <c r="G198">
        <f>custodian!D198</f>
        <v/>
      </c>
      <c r="H198" s="1" t="inlineStr"/>
      <c r="I198" s="1" t="inlineStr">
        <is>
          <t>565394103-TRS-12/01/27-L-CANT</t>
        </is>
      </c>
      <c r="J198" t="inlineStr">
        <is>
          <t>US</t>
        </is>
      </c>
      <c r="K198" t="inlineStr">
        <is>
          <t>DE</t>
        </is>
      </c>
      <c r="L198" t="inlineStr">
        <is>
          <t>OTHER</t>
        </is>
      </c>
      <c r="M198" t="inlineStr">
        <is>
          <t>SWP</t>
        </is>
      </c>
      <c r="N198" t="inlineStr"/>
      <c r="O198" s="1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otherRefInst</t>
        </is>
      </c>
      <c r="W198" t="inlineStr"/>
      <c r="X198" t="inlineStr"/>
      <c r="Y198" t="inlineStr">
        <is>
          <t>Y</t>
        </is>
      </c>
      <c r="Z198" t="inlineStr">
        <is>
          <t>2027-12-01</t>
        </is>
      </c>
      <c r="AA198" t="inlineStr">
        <is>
          <t>511528.20</t>
        </is>
      </c>
      <c r="AB198" t="inlineStr">
        <is>
          <t>USD</t>
        </is>
      </c>
      <c r="AC198" t="inlineStr">
        <is>
          <t>5432.48</t>
        </is>
      </c>
      <c r="AD198" t="inlineStr">
        <is>
          <t>5432.48</t>
        </is>
      </c>
      <c r="AE198" t="inlineStr">
        <is>
          <t>2.13</t>
        </is>
      </c>
      <c r="AF198" t="inlineStr"/>
      <c r="AG198" t="inlineStr"/>
      <c r="AH198" t="inlineStr">
        <is>
          <t>Floating</t>
        </is>
      </c>
      <c r="AI198" t="inlineStr"/>
      <c r="AJ198" t="inlineStr"/>
      <c r="AK198" t="inlineStr">
        <is>
          <t>511528.20</t>
        </is>
      </c>
      <c r="AL198" t="inlineStr">
        <is>
          <t>USD</t>
        </is>
      </c>
      <c r="AM198" t="inlineStr"/>
      <c r="AN198" t="inlineStr"/>
      <c r="AO198">
        <f>BDP($B198,"ISSUER")</f>
        <v/>
      </c>
      <c r="AP198">
        <f>BDP($B198,"NAME")</f>
        <v/>
      </c>
      <c r="AQ198" s="1" t="inlineStr">
        <is>
          <t>565394103</t>
        </is>
      </c>
      <c r="AR198">
        <f>BDP($B198,"ID_ISIN")</f>
        <v/>
      </c>
      <c r="AS198">
        <f>BDP($B198,"TICKER")</f>
        <v/>
      </c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CARX</t>
        </is>
      </c>
      <c r="B199" t="inlineStr">
        <is>
          <t>FGXXX US Equity</t>
        </is>
      </c>
      <c r="C199" s="1" t="inlineStr">
        <is>
          <t>FGXXX</t>
        </is>
      </c>
      <c r="D199" t="inlineStr">
        <is>
          <t>First American Government Obli</t>
        </is>
      </c>
      <c r="E199">
        <f>BDP($B199,"LEGAL_ENTITY_IDENTIFIER")</f>
        <v/>
      </c>
      <c r="F199" t="inlineStr">
        <is>
          <t>First American Government Obligations Fund</t>
        </is>
      </c>
      <c r="G199">
        <f>custodian!D199</f>
        <v/>
      </c>
      <c r="H199">
        <f>BDP($B199,"ID_ISIN")</f>
        <v/>
      </c>
      <c r="I199" s="1" t="inlineStr">
        <is>
          <t>FGXXX</t>
        </is>
      </c>
      <c r="J199">
        <f>BDP($B199,"CNTRY_OF_DOMICILE")</f>
        <v/>
      </c>
      <c r="K199" t="inlineStr">
        <is>
          <t>STIV</t>
        </is>
      </c>
      <c r="L199" t="inlineStr">
        <is>
          <t>RF</t>
        </is>
      </c>
      <c r="M199" t="inlineStr"/>
      <c r="N199" t="inlineStr"/>
      <c r="O199" s="1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s="1" t="inlineStr"/>
      <c r="AR199" s="1" t="inlineStr"/>
      <c r="AS199" s="1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CARX</t>
        </is>
      </c>
      <c r="B200" t="inlineStr"/>
      <c r="C200" s="1" t="inlineStr">
        <is>
          <t>Cash&amp;Other</t>
        </is>
      </c>
      <c r="D200" t="inlineStr"/>
      <c r="E200" s="1" t="inlineStr"/>
      <c r="F200" t="inlineStr"/>
      <c r="G200">
        <f>custodian!D200</f>
        <v/>
      </c>
      <c r="H200" s="1" t="inlineStr"/>
      <c r="I200" s="1" t="inlineStr"/>
      <c r="J200" t="inlineStr"/>
      <c r="K200" t="inlineStr"/>
      <c r="L200" t="inlineStr"/>
      <c r="M200" t="inlineStr"/>
      <c r="N200" t="inlineStr"/>
      <c r="O200" s="1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s="1" t="inlineStr"/>
      <c r="AR200" s="1" t="inlineStr"/>
      <c r="AS200" s="1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CBIL</t>
        </is>
      </c>
      <c r="B201" t="inlineStr">
        <is>
          <t>912797RS8 Govt</t>
        </is>
      </c>
      <c r="C201" s="1" t="inlineStr">
        <is>
          <t>912797RS8</t>
        </is>
      </c>
      <c r="D201" t="inlineStr">
        <is>
          <t>United States Treasury Bill 09</t>
        </is>
      </c>
      <c r="E201">
        <f>BDP($B201,"LEGAL_ENTITY_IDENTIFIER")</f>
        <v/>
      </c>
      <c r="F201" t="inlineStr">
        <is>
          <t>United States Treasury Bill 09/03/2026</t>
        </is>
      </c>
      <c r="G201">
        <f>custodian!D201</f>
        <v/>
      </c>
      <c r="H201">
        <f>BDP($B201,"ID_ISIN")</f>
        <v/>
      </c>
      <c r="I201" s="1" t="inlineStr"/>
      <c r="J201">
        <f>BDP($B201,"CNTRY_OF_DOMICILE")</f>
        <v/>
      </c>
      <c r="K201" t="inlineStr">
        <is>
          <t>DBT</t>
        </is>
      </c>
      <c r="L201" t="inlineStr">
        <is>
          <t>UST</t>
        </is>
      </c>
      <c r="M201" t="inlineStr"/>
      <c r="N201" t="inlineStr"/>
      <c r="O201" s="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s="1" t="inlineStr"/>
      <c r="AR201" s="1" t="inlineStr"/>
      <c r="AS201" s="1" t="inlineStr"/>
      <c r="AT201">
        <f>TEXT(BDP($B201,"MATURITY"),"yyyy-mm-dd")</f>
        <v/>
      </c>
      <c r="AU201">
        <f>BDP($B201,"CPN_TYP")</f>
        <v/>
      </c>
      <c r="AV201">
        <f>BDP($B201,"CPN")</f>
        <v/>
      </c>
      <c r="AW201" t="inlineStr"/>
      <c r="AX201" t="inlineStr"/>
      <c r="AY201" t="inlineStr"/>
    </row>
    <row r="202">
      <c r="A202" t="inlineStr">
        <is>
          <t>CBIL</t>
        </is>
      </c>
      <c r="B202" t="inlineStr">
        <is>
          <t>912797SA6 Govt</t>
        </is>
      </c>
      <c r="C202" s="1" t="inlineStr">
        <is>
          <t>912797SA6</t>
        </is>
      </c>
      <c r="D202" t="inlineStr">
        <is>
          <t>United States Treasury Bill 10</t>
        </is>
      </c>
      <c r="E202">
        <f>BDP($B202,"LEGAL_ENTITY_IDENTIFIER")</f>
        <v/>
      </c>
      <c r="F202" t="inlineStr">
        <is>
          <t>United States Treasury Bill 10/01/2026</t>
        </is>
      </c>
      <c r="G202">
        <f>custodian!D202</f>
        <v/>
      </c>
      <c r="H202">
        <f>BDP($B202,"ID_ISIN")</f>
        <v/>
      </c>
      <c r="I202" s="1" t="inlineStr"/>
      <c r="J202">
        <f>BDP($B202,"CNTRY_OF_DOMICILE")</f>
        <v/>
      </c>
      <c r="K202" t="inlineStr">
        <is>
          <t>DBT</t>
        </is>
      </c>
      <c r="L202" t="inlineStr">
        <is>
          <t>UST</t>
        </is>
      </c>
      <c r="M202" t="inlineStr"/>
      <c r="N202" t="inlineStr"/>
      <c r="O202" s="1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s="1" t="inlineStr"/>
      <c r="AR202" s="1" t="inlineStr"/>
      <c r="AS202" s="1" t="inlineStr"/>
      <c r="AT202">
        <f>TEXT(BDP($B202,"MATURITY"),"yyyy-mm-dd")</f>
        <v/>
      </c>
      <c r="AU202">
        <f>BDP($B202,"CPN_TYP")</f>
        <v/>
      </c>
      <c r="AV202">
        <f>BDP($B202,"CPN")</f>
        <v/>
      </c>
      <c r="AW202" t="inlineStr"/>
      <c r="AX202" t="inlineStr"/>
      <c r="AY202" t="inlineStr"/>
    </row>
    <row r="203">
      <c r="A203" t="inlineStr">
        <is>
          <t>CBIL</t>
        </is>
      </c>
      <c r="B203" t="inlineStr">
        <is>
          <t>912797SK4 Govt</t>
        </is>
      </c>
      <c r="C203" s="1" t="inlineStr">
        <is>
          <t>912797SK4</t>
        </is>
      </c>
      <c r="D203" t="inlineStr">
        <is>
          <t>United States Treasury Bill 10</t>
        </is>
      </c>
      <c r="E203">
        <f>BDP($B203,"LEGAL_ENTITY_IDENTIFIER")</f>
        <v/>
      </c>
      <c r="F203" t="inlineStr">
        <is>
          <t>United States Treasury Bill 10/29/2026</t>
        </is>
      </c>
      <c r="G203">
        <f>custodian!D203</f>
        <v/>
      </c>
      <c r="H203">
        <f>BDP($B203,"ID_ISIN")</f>
        <v/>
      </c>
      <c r="I203" s="1" t="inlineStr"/>
      <c r="J203">
        <f>BDP($B203,"CNTRY_OF_DOMICILE")</f>
        <v/>
      </c>
      <c r="K203" t="inlineStr">
        <is>
          <t>DBT</t>
        </is>
      </c>
      <c r="L203" t="inlineStr">
        <is>
          <t>UST</t>
        </is>
      </c>
      <c r="M203" t="inlineStr"/>
      <c r="N203" t="inlineStr"/>
      <c r="O203" s="1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s="1" t="inlineStr"/>
      <c r="AR203" s="1" t="inlineStr"/>
      <c r="AS203" s="1" t="inlineStr"/>
      <c r="AT203">
        <f>TEXT(BDP($B203,"MATURITY"),"yyyy-mm-dd")</f>
        <v/>
      </c>
      <c r="AU203">
        <f>BDP($B203,"CPN_TYP")</f>
        <v/>
      </c>
      <c r="AV203">
        <f>BDP($B203,"CPN")</f>
        <v/>
      </c>
      <c r="AW203" t="inlineStr"/>
      <c r="AX203" t="inlineStr"/>
      <c r="AY203" t="inlineStr"/>
    </row>
    <row r="204">
      <c r="A204" t="inlineStr">
        <is>
          <t>CBIL</t>
        </is>
      </c>
      <c r="B204" t="inlineStr">
        <is>
          <t>912797SU2 Govt</t>
        </is>
      </c>
      <c r="C204" s="1" t="inlineStr">
        <is>
          <t>912797SU2</t>
        </is>
      </c>
      <c r="D204" t="inlineStr">
        <is>
          <t>United States Treasury Bill 11</t>
        </is>
      </c>
      <c r="E204">
        <f>BDP($B204,"LEGAL_ENTITY_IDENTIFIER")</f>
        <v/>
      </c>
      <c r="F204" t="inlineStr">
        <is>
          <t>United States Treasury Bill 11/27/2026</t>
        </is>
      </c>
      <c r="G204">
        <f>custodian!D204</f>
        <v/>
      </c>
      <c r="H204">
        <f>BDP($B204,"ID_ISIN")</f>
        <v/>
      </c>
      <c r="I204" s="1" t="inlineStr"/>
      <c r="J204">
        <f>BDP($B204,"CNTRY_OF_DOMICILE")</f>
        <v/>
      </c>
      <c r="K204" t="inlineStr">
        <is>
          <t>DBT</t>
        </is>
      </c>
      <c r="L204" t="inlineStr">
        <is>
          <t>UST</t>
        </is>
      </c>
      <c r="M204" t="inlineStr"/>
      <c r="N204" t="inlineStr"/>
      <c r="O204" s="1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s="1" t="inlineStr"/>
      <c r="AR204" s="1" t="inlineStr"/>
      <c r="AS204" s="1" t="inlineStr"/>
      <c r="AT204">
        <f>TEXT(BDP($B204,"MATURITY"),"yyyy-mm-dd")</f>
        <v/>
      </c>
      <c r="AU204">
        <f>BDP($B204,"CPN_TYP")</f>
        <v/>
      </c>
      <c r="AV204">
        <f>BDP($B204,"CPN")</f>
        <v/>
      </c>
      <c r="AW204" t="inlineStr"/>
      <c r="AX204" t="inlineStr"/>
      <c r="AY204" t="inlineStr"/>
    </row>
    <row r="205">
      <c r="A205" t="inlineStr">
        <is>
          <t>CBIL</t>
        </is>
      </c>
      <c r="B205" t="inlineStr">
        <is>
          <t>912797TC1 Govt</t>
        </is>
      </c>
      <c r="C205" s="1" t="inlineStr">
        <is>
          <t>912797TC1</t>
        </is>
      </c>
      <c r="D205" t="inlineStr">
        <is>
          <t>United States Treasury Bill 12</t>
        </is>
      </c>
      <c r="E205">
        <f>BDP($B205,"LEGAL_ENTITY_IDENTIFIER")</f>
        <v/>
      </c>
      <c r="F205" t="inlineStr">
        <is>
          <t>United States Treasury Bill 12/24/2026</t>
        </is>
      </c>
      <c r="G205">
        <f>custodian!D205</f>
        <v/>
      </c>
      <c r="H205">
        <f>BDP($B205,"ID_ISIN")</f>
        <v/>
      </c>
      <c r="I205" s="1" t="inlineStr"/>
      <c r="J205">
        <f>BDP($B205,"CNTRY_OF_DOMICILE")</f>
        <v/>
      </c>
      <c r="K205" t="inlineStr">
        <is>
          <t>DBT</t>
        </is>
      </c>
      <c r="L205" t="inlineStr">
        <is>
          <t>UST</t>
        </is>
      </c>
      <c r="M205" t="inlineStr"/>
      <c r="N205" t="inlineStr"/>
      <c r="O205" s="1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s="1" t="inlineStr"/>
      <c r="AR205" s="1" t="inlineStr"/>
      <c r="AS205" s="1" t="inlineStr"/>
      <c r="AT205">
        <f>TEXT(BDP($B205,"MATURITY"),"yyyy-mm-dd")</f>
        <v/>
      </c>
      <c r="AU205">
        <f>BDP($B205,"CPN_TYP")</f>
        <v/>
      </c>
      <c r="AV205">
        <f>BDP($B205,"CPN")</f>
        <v/>
      </c>
      <c r="AW205" t="inlineStr"/>
      <c r="AX205" t="inlineStr"/>
      <c r="AY205" t="inlineStr"/>
    </row>
    <row r="206">
      <c r="A206" t="inlineStr">
        <is>
          <t>CBIL</t>
        </is>
      </c>
      <c r="B206" t="inlineStr">
        <is>
          <t>912797TM9 Govt</t>
        </is>
      </c>
      <c r="C206" s="1" t="inlineStr">
        <is>
          <t>912797TM9</t>
        </is>
      </c>
      <c r="D206" t="inlineStr">
        <is>
          <t>United States Treasury Bill 01</t>
        </is>
      </c>
      <c r="E206">
        <f>BDP($B206,"LEGAL_ENTITY_IDENTIFIER")</f>
        <v/>
      </c>
      <c r="F206" t="inlineStr">
        <is>
          <t>United States Treasury Bill 01/21/2027</t>
        </is>
      </c>
      <c r="G206">
        <f>custodian!D206</f>
        <v/>
      </c>
      <c r="H206">
        <f>BDP($B206,"ID_ISIN")</f>
        <v/>
      </c>
      <c r="I206" s="1" t="inlineStr"/>
      <c r="J206">
        <f>BDP($B206,"CNTRY_OF_DOMICILE")</f>
        <v/>
      </c>
      <c r="K206" t="inlineStr">
        <is>
          <t>DBT</t>
        </is>
      </c>
      <c r="L206" t="inlineStr">
        <is>
          <t>UST</t>
        </is>
      </c>
      <c r="M206" t="inlineStr"/>
      <c r="N206" t="inlineStr"/>
      <c r="O206" s="1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s="1" t="inlineStr"/>
      <c r="AR206" s="1" t="inlineStr"/>
      <c r="AS206" s="1" t="inlineStr"/>
      <c r="AT206">
        <f>TEXT(BDP($B206,"MATURITY"),"yyyy-mm-dd")</f>
        <v/>
      </c>
      <c r="AU206">
        <f>BDP($B206,"CPN_TYP")</f>
        <v/>
      </c>
      <c r="AV206">
        <f>BDP($B206,"CPN")</f>
        <v/>
      </c>
      <c r="AW206" t="inlineStr"/>
      <c r="AX206" t="inlineStr"/>
      <c r="AY206" t="inlineStr"/>
    </row>
    <row r="207">
      <c r="A207" t="inlineStr">
        <is>
          <t>CBIL</t>
        </is>
      </c>
      <c r="B207" t="inlineStr">
        <is>
          <t>912797TV9 Govt</t>
        </is>
      </c>
      <c r="C207" s="1" t="inlineStr">
        <is>
          <t>912797TV9</t>
        </is>
      </c>
      <c r="D207" t="inlineStr">
        <is>
          <t>United States Treasury Bill 02</t>
        </is>
      </c>
      <c r="E207">
        <f>BDP($B207,"LEGAL_ENTITY_IDENTIFIER")</f>
        <v/>
      </c>
      <c r="F207" t="inlineStr">
        <is>
          <t>United States Treasury Bill 02/18/2027</t>
        </is>
      </c>
      <c r="G207">
        <f>custodian!D207</f>
        <v/>
      </c>
      <c r="H207">
        <f>BDP($B207,"ID_ISIN")</f>
        <v/>
      </c>
      <c r="I207" s="1" t="inlineStr"/>
      <c r="J207">
        <f>BDP($B207,"CNTRY_OF_DOMICILE")</f>
        <v/>
      </c>
      <c r="K207" t="inlineStr">
        <is>
          <t>DBT</t>
        </is>
      </c>
      <c r="L207" t="inlineStr">
        <is>
          <t>UST</t>
        </is>
      </c>
      <c r="M207" t="inlineStr"/>
      <c r="N207" t="inlineStr"/>
      <c r="O207" s="1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s="1" t="inlineStr"/>
      <c r="AR207" s="1" t="inlineStr"/>
      <c r="AS207" s="1" t="inlineStr"/>
      <c r="AT207">
        <f>TEXT(BDP($B207,"MATURITY"),"yyyy-mm-dd")</f>
        <v/>
      </c>
      <c r="AU207">
        <f>BDP($B207,"CPN_TYP")</f>
        <v/>
      </c>
      <c r="AV207">
        <f>BDP($B207,"CPN")</f>
        <v/>
      </c>
      <c r="AW207" t="inlineStr"/>
      <c r="AX207" t="inlineStr"/>
      <c r="AY207" t="inlineStr"/>
    </row>
    <row r="208">
      <c r="A208" t="inlineStr">
        <is>
          <t>CBIL</t>
        </is>
      </c>
      <c r="B208" t="inlineStr">
        <is>
          <t>912797UD7 Govt</t>
        </is>
      </c>
      <c r="C208" s="1" t="inlineStr">
        <is>
          <t>912797UD7</t>
        </is>
      </c>
      <c r="D208" t="inlineStr">
        <is>
          <t>United States Treasury Bill 03</t>
        </is>
      </c>
      <c r="E208">
        <f>BDP($B208,"LEGAL_ENTITY_IDENTIFIER")</f>
        <v/>
      </c>
      <c r="F208" t="inlineStr">
        <is>
          <t>United States Treasury Bill 03/18/2027</t>
        </is>
      </c>
      <c r="G208">
        <f>custodian!D208</f>
        <v/>
      </c>
      <c r="H208">
        <f>BDP($B208,"ID_ISIN")</f>
        <v/>
      </c>
      <c r="I208" s="1" t="inlineStr"/>
      <c r="J208">
        <f>BDP($B208,"CNTRY_OF_DOMICILE")</f>
        <v/>
      </c>
      <c r="K208" t="inlineStr">
        <is>
          <t>DBT</t>
        </is>
      </c>
      <c r="L208" t="inlineStr">
        <is>
          <t>UST</t>
        </is>
      </c>
      <c r="M208" t="inlineStr"/>
      <c r="N208" t="inlineStr"/>
      <c r="O208" s="1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s="1" t="inlineStr"/>
      <c r="AR208" s="1" t="inlineStr"/>
      <c r="AS208" s="1" t="inlineStr"/>
      <c r="AT208">
        <f>TEXT(BDP($B208,"MATURITY"),"yyyy-mm-dd")</f>
        <v/>
      </c>
      <c r="AU208">
        <f>BDP($B208,"CPN_TYP")</f>
        <v/>
      </c>
      <c r="AV208">
        <f>BDP($B208,"CPN")</f>
        <v/>
      </c>
      <c r="AW208" t="inlineStr"/>
      <c r="AX208" t="inlineStr"/>
      <c r="AY208" t="inlineStr"/>
    </row>
    <row r="209">
      <c r="A209" t="inlineStr">
        <is>
          <t>CBIL</t>
        </is>
      </c>
      <c r="B209" t="inlineStr">
        <is>
          <t>912797UE5 Govt</t>
        </is>
      </c>
      <c r="C209" s="1" t="inlineStr">
        <is>
          <t>912797UE5</t>
        </is>
      </c>
      <c r="D209" t="inlineStr">
        <is>
          <t>United States Treasury Bill 04</t>
        </is>
      </c>
      <c r="E209">
        <f>BDP($B209,"LEGAL_ENTITY_IDENTIFIER")</f>
        <v/>
      </c>
      <c r="F209" t="inlineStr">
        <is>
          <t>United States Treasury Bill 04/15/2027</t>
        </is>
      </c>
      <c r="G209">
        <f>custodian!D209</f>
        <v/>
      </c>
      <c r="H209">
        <f>BDP($B209,"ID_ISIN")</f>
        <v/>
      </c>
      <c r="I209" s="1" t="inlineStr"/>
      <c r="J209">
        <f>BDP($B209,"CNTRY_OF_DOMICILE")</f>
        <v/>
      </c>
      <c r="K209" t="inlineStr">
        <is>
          <t>DBT</t>
        </is>
      </c>
      <c r="L209" t="inlineStr">
        <is>
          <t>UST</t>
        </is>
      </c>
      <c r="M209" t="inlineStr"/>
      <c r="N209" t="inlineStr"/>
      <c r="O209" s="1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s="1" t="inlineStr"/>
      <c r="AR209" s="1" t="inlineStr"/>
      <c r="AS209" s="1" t="inlineStr"/>
      <c r="AT209">
        <f>TEXT(BDP($B209,"MATURITY"),"yyyy-mm-dd")</f>
        <v/>
      </c>
      <c r="AU209">
        <f>BDP($B209,"CPN_TYP")</f>
        <v/>
      </c>
      <c r="AV209">
        <f>BDP($B209,"CPN")</f>
        <v/>
      </c>
      <c r="AW209" t="inlineStr"/>
      <c r="AX209" t="inlineStr"/>
      <c r="AY209" t="inlineStr"/>
    </row>
    <row r="210">
      <c r="A210" t="inlineStr">
        <is>
          <t>CBIL</t>
        </is>
      </c>
      <c r="B210" t="inlineStr">
        <is>
          <t>912797UF2 Govt</t>
        </is>
      </c>
      <c r="C210" s="1" t="inlineStr">
        <is>
          <t>912797UF2</t>
        </is>
      </c>
      <c r="D210" t="inlineStr">
        <is>
          <t>United States Treasury Bill 09</t>
        </is>
      </c>
      <c r="E210">
        <f>BDP($B210,"LEGAL_ENTITY_IDENTIFIER")</f>
        <v/>
      </c>
      <c r="F210" t="inlineStr">
        <is>
          <t>United States Treasury Bill 09/10/2026</t>
        </is>
      </c>
      <c r="G210">
        <f>custodian!D210</f>
        <v/>
      </c>
      <c r="H210">
        <f>BDP($B210,"ID_ISIN")</f>
        <v/>
      </c>
      <c r="I210" s="1" t="inlineStr"/>
      <c r="J210">
        <f>BDP($B210,"CNTRY_OF_DOMICILE")</f>
        <v/>
      </c>
      <c r="K210" t="inlineStr">
        <is>
          <t>DBT</t>
        </is>
      </c>
      <c r="L210" t="inlineStr">
        <is>
          <t>UST</t>
        </is>
      </c>
      <c r="M210" t="inlineStr"/>
      <c r="N210" t="inlineStr"/>
      <c r="O210" s="1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s="1" t="inlineStr"/>
      <c r="AR210" s="1" t="inlineStr"/>
      <c r="AS210" s="1" t="inlineStr"/>
      <c r="AT210">
        <f>TEXT(BDP($B210,"MATURITY"),"yyyy-mm-dd")</f>
        <v/>
      </c>
      <c r="AU210">
        <f>BDP($B210,"CPN_TYP")</f>
        <v/>
      </c>
      <c r="AV210">
        <f>BDP($B210,"CPN")</f>
        <v/>
      </c>
      <c r="AW210" t="inlineStr"/>
      <c r="AX210" t="inlineStr"/>
      <c r="AY210" t="inlineStr"/>
    </row>
    <row r="211">
      <c r="A211" t="inlineStr">
        <is>
          <t>CBIL</t>
        </is>
      </c>
      <c r="B211" t="inlineStr">
        <is>
          <t>912797UG0 Govt</t>
        </is>
      </c>
      <c r="C211" s="1" t="inlineStr">
        <is>
          <t>912797UG0</t>
        </is>
      </c>
      <c r="D211" t="inlineStr">
        <is>
          <t>United States Treasury Bill 09</t>
        </is>
      </c>
      <c r="E211">
        <f>BDP($B211,"LEGAL_ENTITY_IDENTIFIER")</f>
        <v/>
      </c>
      <c r="F211" t="inlineStr">
        <is>
          <t>United States Treasury Bill 09/17/2026</t>
        </is>
      </c>
      <c r="G211">
        <f>custodian!D211</f>
        <v/>
      </c>
      <c r="H211">
        <f>BDP($B211,"ID_ISIN")</f>
        <v/>
      </c>
      <c r="I211" s="1" t="inlineStr"/>
      <c r="J211">
        <f>BDP($B211,"CNTRY_OF_DOMICILE")</f>
        <v/>
      </c>
      <c r="K211" t="inlineStr">
        <is>
          <t>DBT</t>
        </is>
      </c>
      <c r="L211" t="inlineStr">
        <is>
          <t>UST</t>
        </is>
      </c>
      <c r="M211" t="inlineStr"/>
      <c r="N211" t="inlineStr"/>
      <c r="O211" s="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s="1" t="inlineStr"/>
      <c r="AR211" s="1" t="inlineStr"/>
      <c r="AS211" s="1" t="inlineStr"/>
      <c r="AT211">
        <f>TEXT(BDP($B211,"MATURITY"),"yyyy-mm-dd")</f>
        <v/>
      </c>
      <c r="AU211">
        <f>BDP($B211,"CPN_TYP")</f>
        <v/>
      </c>
      <c r="AV211">
        <f>BDP($B211,"CPN")</f>
        <v/>
      </c>
      <c r="AW211" t="inlineStr"/>
      <c r="AX211" t="inlineStr"/>
      <c r="AY211" t="inlineStr"/>
    </row>
    <row r="212">
      <c r="A212" t="inlineStr">
        <is>
          <t>CBIL</t>
        </is>
      </c>
      <c r="B212" t="inlineStr">
        <is>
          <t>912797UH8 Govt</t>
        </is>
      </c>
      <c r="C212" s="1" t="inlineStr">
        <is>
          <t>912797UH8</t>
        </is>
      </c>
      <c r="D212" t="inlineStr">
        <is>
          <t>United States Treasury Bill 09</t>
        </is>
      </c>
      <c r="E212">
        <f>BDP($B212,"LEGAL_ENTITY_IDENTIFIER")</f>
        <v/>
      </c>
      <c r="F212" t="inlineStr">
        <is>
          <t>United States Treasury Bill 09/24/2026</t>
        </is>
      </c>
      <c r="G212">
        <f>custodian!D212</f>
        <v/>
      </c>
      <c r="H212">
        <f>BDP($B212,"ID_ISIN")</f>
        <v/>
      </c>
      <c r="I212" s="1" t="inlineStr"/>
      <c r="J212">
        <f>BDP($B212,"CNTRY_OF_DOMICILE")</f>
        <v/>
      </c>
      <c r="K212" t="inlineStr">
        <is>
          <t>DBT</t>
        </is>
      </c>
      <c r="L212" t="inlineStr">
        <is>
          <t>UST</t>
        </is>
      </c>
      <c r="M212" t="inlineStr"/>
      <c r="N212" t="inlineStr"/>
      <c r="O212" s="1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s="1" t="inlineStr"/>
      <c r="AR212" s="1" t="inlineStr"/>
      <c r="AS212" s="1" t="inlineStr"/>
      <c r="AT212">
        <f>TEXT(BDP($B212,"MATURITY"),"yyyy-mm-dd")</f>
        <v/>
      </c>
      <c r="AU212">
        <f>BDP($B212,"CPN_TYP")</f>
        <v/>
      </c>
      <c r="AV212">
        <f>BDP($B212,"CPN")</f>
        <v/>
      </c>
      <c r="AW212" t="inlineStr"/>
      <c r="AX212" t="inlineStr"/>
      <c r="AY212" t="inlineStr"/>
    </row>
    <row r="213">
      <c r="A213" t="inlineStr">
        <is>
          <t>CBIL</t>
        </is>
      </c>
      <c r="B213" t="inlineStr">
        <is>
          <t>912797UJ4 Govt</t>
        </is>
      </c>
      <c r="C213" s="1" t="inlineStr">
        <is>
          <t>912797UJ4</t>
        </is>
      </c>
      <c r="D213" t="inlineStr">
        <is>
          <t>United States Treasury Bill 10</t>
        </is>
      </c>
      <c r="E213">
        <f>BDP($B213,"LEGAL_ENTITY_IDENTIFIER")</f>
        <v/>
      </c>
      <c r="F213" t="inlineStr">
        <is>
          <t>United States Treasury Bill 10/08/2026</t>
        </is>
      </c>
      <c r="G213">
        <f>custodian!D213</f>
        <v/>
      </c>
      <c r="H213">
        <f>BDP($B213,"ID_ISIN")</f>
        <v/>
      </c>
      <c r="I213" s="1" t="inlineStr"/>
      <c r="J213">
        <f>BDP($B213,"CNTRY_OF_DOMICILE")</f>
        <v/>
      </c>
      <c r="K213" t="inlineStr">
        <is>
          <t>DBT</t>
        </is>
      </c>
      <c r="L213" t="inlineStr">
        <is>
          <t>UST</t>
        </is>
      </c>
      <c r="M213" t="inlineStr"/>
      <c r="N213" t="inlineStr"/>
      <c r="O213" s="1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s="1" t="inlineStr"/>
      <c r="AR213" s="1" t="inlineStr"/>
      <c r="AS213" s="1" t="inlineStr"/>
      <c r="AT213">
        <f>TEXT(BDP($B213,"MATURITY"),"yyyy-mm-dd")</f>
        <v/>
      </c>
      <c r="AU213">
        <f>BDP($B213,"CPN_TYP")</f>
        <v/>
      </c>
      <c r="AV213">
        <f>BDP($B213,"CPN")</f>
        <v/>
      </c>
      <c r="AW213" t="inlineStr"/>
      <c r="AX213" t="inlineStr"/>
      <c r="AY213" t="inlineStr"/>
    </row>
    <row r="214">
      <c r="A214" t="inlineStr">
        <is>
          <t>CBIL</t>
        </is>
      </c>
      <c r="B214" t="inlineStr">
        <is>
          <t>912797UK1 Govt</t>
        </is>
      </c>
      <c r="C214" s="1" t="inlineStr">
        <is>
          <t>912797UK1</t>
        </is>
      </c>
      <c r="D214" t="inlineStr">
        <is>
          <t>United States Treasury Bill 10</t>
        </is>
      </c>
      <c r="E214">
        <f>BDP($B214,"LEGAL_ENTITY_IDENTIFIER")</f>
        <v/>
      </c>
      <c r="F214" t="inlineStr">
        <is>
          <t>United States Treasury Bill 10/15/2026</t>
        </is>
      </c>
      <c r="G214">
        <f>custodian!D214</f>
        <v/>
      </c>
      <c r="H214">
        <f>BDP($B214,"ID_ISIN")</f>
        <v/>
      </c>
      <c r="I214" s="1" t="inlineStr"/>
      <c r="J214">
        <f>BDP($B214,"CNTRY_OF_DOMICILE")</f>
        <v/>
      </c>
      <c r="K214" t="inlineStr">
        <is>
          <t>DBT</t>
        </is>
      </c>
      <c r="L214" t="inlineStr">
        <is>
          <t>UST</t>
        </is>
      </c>
      <c r="M214" t="inlineStr"/>
      <c r="N214" t="inlineStr"/>
      <c r="O214" s="1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s="1" t="inlineStr"/>
      <c r="AR214" s="1" t="inlineStr"/>
      <c r="AS214" s="1" t="inlineStr"/>
      <c r="AT214">
        <f>TEXT(BDP($B214,"MATURITY"),"yyyy-mm-dd")</f>
        <v/>
      </c>
      <c r="AU214">
        <f>BDP($B214,"CPN_TYP")</f>
        <v/>
      </c>
      <c r="AV214">
        <f>BDP($B214,"CPN")</f>
        <v/>
      </c>
      <c r="AW214" t="inlineStr"/>
      <c r="AX214" t="inlineStr"/>
      <c r="AY214" t="inlineStr"/>
    </row>
    <row r="215">
      <c r="A215" t="inlineStr">
        <is>
          <t>CBIL</t>
        </is>
      </c>
      <c r="B215" t="inlineStr">
        <is>
          <t>912797UL9 Govt</t>
        </is>
      </c>
      <c r="C215" s="1" t="inlineStr">
        <is>
          <t>912797UL9</t>
        </is>
      </c>
      <c r="D215" t="inlineStr">
        <is>
          <t>United States Treasury Bill 10</t>
        </is>
      </c>
      <c r="E215">
        <f>BDP($B215,"LEGAL_ENTITY_IDENTIFIER")</f>
        <v/>
      </c>
      <c r="F215" t="inlineStr">
        <is>
          <t>United States Treasury Bill 10/22/2026</t>
        </is>
      </c>
      <c r="G215">
        <f>custodian!D215</f>
        <v/>
      </c>
      <c r="H215">
        <f>BDP($B215,"ID_ISIN")</f>
        <v/>
      </c>
      <c r="I215" s="1" t="inlineStr"/>
      <c r="J215">
        <f>BDP($B215,"CNTRY_OF_DOMICILE")</f>
        <v/>
      </c>
      <c r="K215" t="inlineStr">
        <is>
          <t>DBT</t>
        </is>
      </c>
      <c r="L215" t="inlineStr">
        <is>
          <t>UST</t>
        </is>
      </c>
      <c r="M215" t="inlineStr"/>
      <c r="N215" t="inlineStr"/>
      <c r="O215" s="1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s="1" t="inlineStr"/>
      <c r="AR215" s="1" t="inlineStr"/>
      <c r="AS215" s="1" t="inlineStr"/>
      <c r="AT215">
        <f>TEXT(BDP($B215,"MATURITY"),"yyyy-mm-dd")</f>
        <v/>
      </c>
      <c r="AU215">
        <f>BDP($B215,"CPN_TYP")</f>
        <v/>
      </c>
      <c r="AV215">
        <f>BDP($B215,"CPN")</f>
        <v/>
      </c>
      <c r="AW215" t="inlineStr"/>
      <c r="AX215" t="inlineStr"/>
      <c r="AY215" t="inlineStr"/>
    </row>
    <row r="216">
      <c r="A216" t="inlineStr">
        <is>
          <t>CBIL</t>
        </is>
      </c>
      <c r="B216" t="inlineStr">
        <is>
          <t>912797UM7 Govt</t>
        </is>
      </c>
      <c r="C216" s="1" t="inlineStr">
        <is>
          <t>912797UM7</t>
        </is>
      </c>
      <c r="D216" t="inlineStr">
        <is>
          <t>United States Treasury Bill 11</t>
        </is>
      </c>
      <c r="E216">
        <f>BDP($B216,"LEGAL_ENTITY_IDENTIFIER")</f>
        <v/>
      </c>
      <c r="F216" t="inlineStr">
        <is>
          <t>United States Treasury Bill 11/05/2026</t>
        </is>
      </c>
      <c r="G216">
        <f>custodian!D216</f>
        <v/>
      </c>
      <c r="H216">
        <f>BDP($B216,"ID_ISIN")</f>
        <v/>
      </c>
      <c r="I216" s="1" t="inlineStr"/>
      <c r="J216">
        <f>BDP($B216,"CNTRY_OF_DOMICILE")</f>
        <v/>
      </c>
      <c r="K216" t="inlineStr">
        <is>
          <t>DBT</t>
        </is>
      </c>
      <c r="L216" t="inlineStr">
        <is>
          <t>UST</t>
        </is>
      </c>
      <c r="M216" t="inlineStr"/>
      <c r="N216" t="inlineStr"/>
      <c r="O216" s="1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s="1" t="inlineStr"/>
      <c r="AR216" s="1" t="inlineStr"/>
      <c r="AS216" s="1" t="inlineStr"/>
      <c r="AT216">
        <f>TEXT(BDP($B216,"MATURITY"),"yyyy-mm-dd")</f>
        <v/>
      </c>
      <c r="AU216">
        <f>BDP($B216,"CPN_TYP")</f>
        <v/>
      </c>
      <c r="AV216">
        <f>BDP($B216,"CPN")</f>
        <v/>
      </c>
      <c r="AW216" t="inlineStr"/>
      <c r="AX216" t="inlineStr"/>
      <c r="AY216" t="inlineStr"/>
    </row>
    <row r="217">
      <c r="A217" t="inlineStr">
        <is>
          <t>CBIL</t>
        </is>
      </c>
      <c r="B217" t="inlineStr">
        <is>
          <t>912797UW5 Govt</t>
        </is>
      </c>
      <c r="C217" s="1" t="inlineStr">
        <is>
          <t>912797UW5</t>
        </is>
      </c>
      <c r="D217" t="inlineStr">
        <is>
          <t>United States Treasury Bill 09</t>
        </is>
      </c>
      <c r="E217">
        <f>BDP($B217,"LEGAL_ENTITY_IDENTIFIER")</f>
        <v/>
      </c>
      <c r="F217" t="inlineStr">
        <is>
          <t>United States Treasury Bill 09/01/2026</t>
        </is>
      </c>
      <c r="G217">
        <f>custodian!D217</f>
        <v/>
      </c>
      <c r="H217">
        <f>BDP($B217,"ID_ISIN")</f>
        <v/>
      </c>
      <c r="I217" s="1" t="inlineStr"/>
      <c r="J217">
        <f>BDP($B217,"CNTRY_OF_DOMICILE")</f>
        <v/>
      </c>
      <c r="K217" t="inlineStr">
        <is>
          <t>DBT</t>
        </is>
      </c>
      <c r="L217" t="inlineStr">
        <is>
          <t>UST</t>
        </is>
      </c>
      <c r="M217" t="inlineStr"/>
      <c r="N217" t="inlineStr"/>
      <c r="O217" s="1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s="1" t="inlineStr"/>
      <c r="AR217" s="1" t="inlineStr"/>
      <c r="AS217" s="1" t="inlineStr"/>
      <c r="AT217">
        <f>TEXT(BDP($B217,"MATURITY"),"yyyy-mm-dd")</f>
        <v/>
      </c>
      <c r="AU217">
        <f>BDP($B217,"CPN_TYP")</f>
        <v/>
      </c>
      <c r="AV217">
        <f>BDP($B217,"CPN")</f>
        <v/>
      </c>
      <c r="AW217" t="inlineStr"/>
      <c r="AX217" t="inlineStr"/>
      <c r="AY217" t="inlineStr"/>
    </row>
    <row r="218">
      <c r="A218" t="inlineStr">
        <is>
          <t>CBIL</t>
        </is>
      </c>
      <c r="B218" t="inlineStr">
        <is>
          <t>912797UX3 Govt</t>
        </is>
      </c>
      <c r="C218" s="1" t="inlineStr">
        <is>
          <t>912797UX3</t>
        </is>
      </c>
      <c r="D218" t="inlineStr">
        <is>
          <t>United States Treasury Bill 05</t>
        </is>
      </c>
      <c r="E218">
        <f>BDP($B218,"LEGAL_ENTITY_IDENTIFIER")</f>
        <v/>
      </c>
      <c r="F218" t="inlineStr">
        <is>
          <t>United States Treasury Bill 05/13/2027</t>
        </is>
      </c>
      <c r="G218">
        <f>custodian!D218</f>
        <v/>
      </c>
      <c r="H218">
        <f>BDP($B218,"ID_ISIN")</f>
        <v/>
      </c>
      <c r="I218" s="1" t="inlineStr"/>
      <c r="J218">
        <f>BDP($B218,"CNTRY_OF_DOMICILE")</f>
        <v/>
      </c>
      <c r="K218" t="inlineStr">
        <is>
          <t>DBT</t>
        </is>
      </c>
      <c r="L218" t="inlineStr">
        <is>
          <t>UST</t>
        </is>
      </c>
      <c r="M218" t="inlineStr"/>
      <c r="N218" t="inlineStr"/>
      <c r="O218" s="1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s="1" t="inlineStr"/>
      <c r="AR218" s="1" t="inlineStr"/>
      <c r="AS218" s="1" t="inlineStr"/>
      <c r="AT218">
        <f>TEXT(BDP($B218,"MATURITY"),"yyyy-mm-dd")</f>
        <v/>
      </c>
      <c r="AU218">
        <f>BDP($B218,"CPN_TYP")</f>
        <v/>
      </c>
      <c r="AV218">
        <f>BDP($B218,"CPN")</f>
        <v/>
      </c>
      <c r="AW218" t="inlineStr"/>
      <c r="AX218" t="inlineStr"/>
      <c r="AY218" t="inlineStr"/>
    </row>
    <row r="219">
      <c r="A219" t="inlineStr">
        <is>
          <t>CBIL</t>
        </is>
      </c>
      <c r="B219" t="inlineStr">
        <is>
          <t>912797UY1 Govt</t>
        </is>
      </c>
      <c r="C219" s="1" t="inlineStr">
        <is>
          <t>912797UY1</t>
        </is>
      </c>
      <c r="D219" t="inlineStr">
        <is>
          <t>United States Treasury Bill 11</t>
        </is>
      </c>
      <c r="E219">
        <f>BDP($B219,"LEGAL_ENTITY_IDENTIFIER")</f>
        <v/>
      </c>
      <c r="F219" t="inlineStr">
        <is>
          <t>United States Treasury Bill 11/12/2026</t>
        </is>
      </c>
      <c r="G219">
        <f>custodian!D219</f>
        <v/>
      </c>
      <c r="H219">
        <f>BDP($B219,"ID_ISIN")</f>
        <v/>
      </c>
      <c r="I219" s="1" t="inlineStr"/>
      <c r="J219">
        <f>BDP($B219,"CNTRY_OF_DOMICILE")</f>
        <v/>
      </c>
      <c r="K219" t="inlineStr">
        <is>
          <t>DBT</t>
        </is>
      </c>
      <c r="L219" t="inlineStr">
        <is>
          <t>UST</t>
        </is>
      </c>
      <c r="M219" t="inlineStr"/>
      <c r="N219" t="inlineStr"/>
      <c r="O219" s="1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s="1" t="inlineStr"/>
      <c r="AR219" s="1" t="inlineStr"/>
      <c r="AS219" s="1" t="inlineStr"/>
      <c r="AT219">
        <f>TEXT(BDP($B219,"MATURITY"),"yyyy-mm-dd")</f>
        <v/>
      </c>
      <c r="AU219">
        <f>BDP($B219,"CPN_TYP")</f>
        <v/>
      </c>
      <c r="AV219">
        <f>BDP($B219,"CPN")</f>
        <v/>
      </c>
      <c r="AW219" t="inlineStr"/>
      <c r="AX219" t="inlineStr"/>
      <c r="AY219" t="inlineStr"/>
    </row>
    <row r="220">
      <c r="A220" t="inlineStr">
        <is>
          <t>CBIL</t>
        </is>
      </c>
      <c r="B220" t="inlineStr">
        <is>
          <t>912797UZ8 Govt</t>
        </is>
      </c>
      <c r="C220" s="1" t="inlineStr">
        <is>
          <t>912797UZ8</t>
        </is>
      </c>
      <c r="D220" t="inlineStr">
        <is>
          <t>United States Treasury Bill 11</t>
        </is>
      </c>
      <c r="E220">
        <f>BDP($B220,"LEGAL_ENTITY_IDENTIFIER")</f>
        <v/>
      </c>
      <c r="F220" t="inlineStr">
        <is>
          <t>United States Treasury Bill 11/19/2026</t>
        </is>
      </c>
      <c r="G220">
        <f>custodian!D220</f>
        <v/>
      </c>
      <c r="H220">
        <f>BDP($B220,"ID_ISIN")</f>
        <v/>
      </c>
      <c r="I220" s="1" t="inlineStr"/>
      <c r="J220">
        <f>BDP($B220,"CNTRY_OF_DOMICILE")</f>
        <v/>
      </c>
      <c r="K220" t="inlineStr">
        <is>
          <t>DBT</t>
        </is>
      </c>
      <c r="L220" t="inlineStr">
        <is>
          <t>UST</t>
        </is>
      </c>
      <c r="M220" t="inlineStr"/>
      <c r="N220" t="inlineStr"/>
      <c r="O220" s="1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s="1" t="inlineStr"/>
      <c r="AR220" s="1" t="inlineStr"/>
      <c r="AS220" s="1" t="inlineStr"/>
      <c r="AT220">
        <f>TEXT(BDP($B220,"MATURITY"),"yyyy-mm-dd")</f>
        <v/>
      </c>
      <c r="AU220">
        <f>BDP($B220,"CPN_TYP")</f>
        <v/>
      </c>
      <c r="AV220">
        <f>BDP($B220,"CPN")</f>
        <v/>
      </c>
      <c r="AW220" t="inlineStr"/>
      <c r="AX220" t="inlineStr"/>
      <c r="AY220" t="inlineStr"/>
    </row>
    <row r="221">
      <c r="A221" t="inlineStr">
        <is>
          <t>CBIL</t>
        </is>
      </c>
      <c r="B221" t="inlineStr">
        <is>
          <t>912797VB0 Govt</t>
        </is>
      </c>
      <c r="C221" s="1" t="inlineStr">
        <is>
          <t>912797VB0</t>
        </is>
      </c>
      <c r="D221" t="inlineStr">
        <is>
          <t>United States Treasury Bill 09</t>
        </is>
      </c>
      <c r="E221">
        <f>BDP($B221,"LEGAL_ENTITY_IDENTIFIER")</f>
        <v/>
      </c>
      <c r="F221" t="inlineStr">
        <is>
          <t>United States Treasury Bill 09/08/2026</t>
        </is>
      </c>
      <c r="G221">
        <f>custodian!D221</f>
        <v/>
      </c>
      <c r="H221">
        <f>BDP($B221,"ID_ISIN")</f>
        <v/>
      </c>
      <c r="I221" s="1" t="inlineStr"/>
      <c r="J221">
        <f>BDP($B221,"CNTRY_OF_DOMICILE")</f>
        <v/>
      </c>
      <c r="K221" t="inlineStr">
        <is>
          <t>DBT</t>
        </is>
      </c>
      <c r="L221" t="inlineStr">
        <is>
          <t>UST</t>
        </is>
      </c>
      <c r="M221" t="inlineStr"/>
      <c r="N221" t="inlineStr"/>
      <c r="O221" s="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s="1" t="inlineStr"/>
      <c r="AR221" s="1" t="inlineStr"/>
      <c r="AS221" s="1" t="inlineStr"/>
      <c r="AT221">
        <f>TEXT(BDP($B221,"MATURITY"),"yyyy-mm-dd")</f>
        <v/>
      </c>
      <c r="AU221">
        <f>BDP($B221,"CPN_TYP")</f>
        <v/>
      </c>
      <c r="AV221">
        <f>BDP($B221,"CPN")</f>
        <v/>
      </c>
      <c r="AW221" t="inlineStr"/>
      <c r="AX221" t="inlineStr"/>
      <c r="AY221" t="inlineStr"/>
    </row>
    <row r="222">
      <c r="A222" t="inlineStr">
        <is>
          <t>CBIL</t>
        </is>
      </c>
      <c r="B222" t="inlineStr">
        <is>
          <t>912797VC8 Govt</t>
        </is>
      </c>
      <c r="C222" s="1" t="inlineStr">
        <is>
          <t>912797VC8</t>
        </is>
      </c>
      <c r="D222" t="inlineStr">
        <is>
          <t>United States Treasury Bill 09</t>
        </is>
      </c>
      <c r="E222">
        <f>BDP($B222,"LEGAL_ENTITY_IDENTIFIER")</f>
        <v/>
      </c>
      <c r="F222" t="inlineStr">
        <is>
          <t>United States Treasury Bill 09/15/2026</t>
        </is>
      </c>
      <c r="G222">
        <f>custodian!D222</f>
        <v/>
      </c>
      <c r="H222">
        <f>BDP($B222,"ID_ISIN")</f>
        <v/>
      </c>
      <c r="I222" s="1" t="inlineStr"/>
      <c r="J222">
        <f>BDP($B222,"CNTRY_OF_DOMICILE")</f>
        <v/>
      </c>
      <c r="K222" t="inlineStr">
        <is>
          <t>DBT</t>
        </is>
      </c>
      <c r="L222" t="inlineStr">
        <is>
          <t>UST</t>
        </is>
      </c>
      <c r="M222" t="inlineStr"/>
      <c r="N222" t="inlineStr"/>
      <c r="O222" s="1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s="1" t="inlineStr"/>
      <c r="AR222" s="1" t="inlineStr"/>
      <c r="AS222" s="1" t="inlineStr"/>
      <c r="AT222">
        <f>TEXT(BDP($B222,"MATURITY"),"yyyy-mm-dd")</f>
        <v/>
      </c>
      <c r="AU222">
        <f>BDP($B222,"CPN_TYP")</f>
        <v/>
      </c>
      <c r="AV222">
        <f>BDP($B222,"CPN")</f>
        <v/>
      </c>
      <c r="AW222" t="inlineStr"/>
      <c r="AX222" t="inlineStr"/>
      <c r="AY222" t="inlineStr"/>
    </row>
    <row r="223">
      <c r="A223" t="inlineStr">
        <is>
          <t>CBIL</t>
        </is>
      </c>
      <c r="B223" t="inlineStr">
        <is>
          <t>912797VD6 Govt</t>
        </is>
      </c>
      <c r="C223" s="1" t="inlineStr">
        <is>
          <t>912797VD6</t>
        </is>
      </c>
      <c r="D223" t="inlineStr">
        <is>
          <t>United States Treasury Bill 09</t>
        </is>
      </c>
      <c r="E223">
        <f>BDP($B223,"LEGAL_ENTITY_IDENTIFIER")</f>
        <v/>
      </c>
      <c r="F223" t="inlineStr">
        <is>
          <t>United States Treasury Bill 09/22/2026</t>
        </is>
      </c>
      <c r="G223">
        <f>custodian!D223</f>
        <v/>
      </c>
      <c r="H223">
        <f>BDP($B223,"ID_ISIN")</f>
        <v/>
      </c>
      <c r="I223" s="1" t="inlineStr"/>
      <c r="J223">
        <f>BDP($B223,"CNTRY_OF_DOMICILE")</f>
        <v/>
      </c>
      <c r="K223" t="inlineStr">
        <is>
          <t>DBT</t>
        </is>
      </c>
      <c r="L223" t="inlineStr">
        <is>
          <t>UST</t>
        </is>
      </c>
      <c r="M223" t="inlineStr"/>
      <c r="N223" t="inlineStr"/>
      <c r="O223" s="1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s="1" t="inlineStr"/>
      <c r="AR223" s="1" t="inlineStr"/>
      <c r="AS223" s="1" t="inlineStr"/>
      <c r="AT223">
        <f>TEXT(BDP($B223,"MATURITY"),"yyyy-mm-dd")</f>
        <v/>
      </c>
      <c r="AU223">
        <f>BDP($B223,"CPN_TYP")</f>
        <v/>
      </c>
      <c r="AV223">
        <f>BDP($B223,"CPN")</f>
        <v/>
      </c>
      <c r="AW223" t="inlineStr"/>
      <c r="AX223" t="inlineStr"/>
      <c r="AY223" t="inlineStr"/>
    </row>
    <row r="224">
      <c r="A224" t="inlineStr">
        <is>
          <t>CBIL</t>
        </is>
      </c>
      <c r="B224" t="inlineStr">
        <is>
          <t>FGXXX US Equity</t>
        </is>
      </c>
      <c r="C224" s="1" t="inlineStr">
        <is>
          <t>FGXXX</t>
        </is>
      </c>
      <c r="D224" t="inlineStr">
        <is>
          <t>First American Government Obli</t>
        </is>
      </c>
      <c r="E224">
        <f>BDP($B224,"LEGAL_ENTITY_IDENTIFIER")</f>
        <v/>
      </c>
      <c r="F224" t="inlineStr">
        <is>
          <t>First American Government Obligations Fund</t>
        </is>
      </c>
      <c r="G224">
        <f>custodian!D224</f>
        <v/>
      </c>
      <c r="H224">
        <f>BDP($B224,"ID_ISIN")</f>
        <v/>
      </c>
      <c r="I224" s="1" t="inlineStr">
        <is>
          <t>FGXXX</t>
        </is>
      </c>
      <c r="J224">
        <f>BDP($B224,"CNTRY_OF_DOMICILE")</f>
        <v/>
      </c>
      <c r="K224" t="inlineStr">
        <is>
          <t>STIV</t>
        </is>
      </c>
      <c r="L224" t="inlineStr">
        <is>
          <t>RF</t>
        </is>
      </c>
      <c r="M224" t="inlineStr"/>
      <c r="N224" t="inlineStr"/>
      <c r="O224" s="1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s="1" t="inlineStr"/>
      <c r="AR224" s="1" t="inlineStr"/>
      <c r="AS224" s="1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CBIL</t>
        </is>
      </c>
      <c r="B225" t="inlineStr"/>
      <c r="C225" s="1" t="inlineStr">
        <is>
          <t>Cash&amp;Other</t>
        </is>
      </c>
      <c r="D225" t="inlineStr"/>
      <c r="E225" s="1" t="inlineStr"/>
      <c r="F225" t="inlineStr"/>
      <c r="G225">
        <f>custodian!D225</f>
        <v/>
      </c>
      <c r="H225" s="1" t="inlineStr"/>
      <c r="I225" s="1" t="inlineStr"/>
      <c r="J225" t="inlineStr"/>
      <c r="K225" t="inlineStr"/>
      <c r="L225" t="inlineStr"/>
      <c r="M225" t="inlineStr"/>
      <c r="N225" t="inlineStr"/>
      <c r="O225" s="1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s="1" t="inlineStr"/>
      <c r="AR225" s="1" t="inlineStr"/>
      <c r="AS225" s="1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CBOT</t>
        </is>
      </c>
      <c r="B226" t="inlineStr">
        <is>
          <t>ACHR US Equity</t>
        </is>
      </c>
      <c r="C226" s="1" t="inlineStr">
        <is>
          <t>ACHR</t>
        </is>
      </c>
      <c r="D226" t="inlineStr">
        <is>
          <t>Archer Aviation Inc</t>
        </is>
      </c>
      <c r="E226">
        <f>BDP($B226,"LEGAL_ENTITY_IDENTIFIER")</f>
        <v/>
      </c>
      <c r="F226" t="inlineStr">
        <is>
          <t>Archer Aviation Inc</t>
        </is>
      </c>
      <c r="G226">
        <f>custodian!D226</f>
        <v/>
      </c>
      <c r="H226">
        <f>BDP($B226,"ID_ISIN")</f>
        <v/>
      </c>
      <c r="I226" s="1" t="inlineStr">
        <is>
          <t>ACHR</t>
        </is>
      </c>
      <c r="J226">
        <f>BDP($B226,"CNTRY_OF_DOMICILE")</f>
        <v/>
      </c>
      <c r="K226" t="inlineStr">
        <is>
          <t>EC</t>
        </is>
      </c>
      <c r="L226" t="inlineStr">
        <is>
          <t>CORP</t>
        </is>
      </c>
      <c r="M226" t="inlineStr"/>
      <c r="N226" t="inlineStr"/>
      <c r="O226" s="1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s="1" t="inlineStr"/>
      <c r="AR226" s="1" t="inlineStr"/>
      <c r="AS226" s="1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CBOT</t>
        </is>
      </c>
      <c r="B227" t="inlineStr">
        <is>
          <t>AMBA US Equity</t>
        </is>
      </c>
      <c r="C227" s="1" t="inlineStr">
        <is>
          <t>AMBA</t>
        </is>
      </c>
      <c r="D227" t="inlineStr">
        <is>
          <t>Ambarella Inc</t>
        </is>
      </c>
      <c r="E227">
        <f>BDP($B227,"LEGAL_ENTITY_IDENTIFIER")</f>
        <v/>
      </c>
      <c r="F227" t="inlineStr">
        <is>
          <t>Ambarella Inc</t>
        </is>
      </c>
      <c r="G227">
        <f>custodian!D227</f>
        <v/>
      </c>
      <c r="H227">
        <f>BDP($B227,"ID_ISIN")</f>
        <v/>
      </c>
      <c r="I227" s="1" t="inlineStr">
        <is>
          <t>AMBA</t>
        </is>
      </c>
      <c r="J227">
        <f>BDP($B227,"CNTRY_OF_DOMICILE")</f>
        <v/>
      </c>
      <c r="K227" t="inlineStr">
        <is>
          <t>EC</t>
        </is>
      </c>
      <c r="L227" t="inlineStr">
        <is>
          <t>CORP</t>
        </is>
      </c>
      <c r="M227" t="inlineStr"/>
      <c r="N227" t="inlineStr"/>
      <c r="O227" s="1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s="1" t="inlineStr"/>
      <c r="AR227" s="1" t="inlineStr"/>
      <c r="AS227" s="1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CBOT</t>
        </is>
      </c>
      <c r="B228" t="inlineStr">
        <is>
          <t>AMZN US Equity</t>
        </is>
      </c>
      <c r="C228" s="1" t="inlineStr">
        <is>
          <t>AMZN</t>
        </is>
      </c>
      <c r="D228" t="inlineStr">
        <is>
          <t>Amazon.com Inc</t>
        </is>
      </c>
      <c r="E228">
        <f>BDP($B228,"LEGAL_ENTITY_IDENTIFIER")</f>
        <v/>
      </c>
      <c r="F228" t="inlineStr">
        <is>
          <t>Amazon.com Inc</t>
        </is>
      </c>
      <c r="G228">
        <f>custodian!D228</f>
        <v/>
      </c>
      <c r="H228">
        <f>BDP($B228,"ID_ISIN")</f>
        <v/>
      </c>
      <c r="I228" s="1" t="inlineStr">
        <is>
          <t>AMZN</t>
        </is>
      </c>
      <c r="J228">
        <f>BDP($B228,"CNTRY_OF_DOMICILE")</f>
        <v/>
      </c>
      <c r="K228" t="inlineStr">
        <is>
          <t>EC</t>
        </is>
      </c>
      <c r="L228" t="inlineStr">
        <is>
          <t>CORP</t>
        </is>
      </c>
      <c r="M228" t="inlineStr"/>
      <c r="N228" t="inlineStr"/>
      <c r="O228" s="1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s="1" t="inlineStr"/>
      <c r="AR228" s="1" t="inlineStr"/>
      <c r="AS228" s="1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CBOT</t>
        </is>
      </c>
      <c r="B229" t="inlineStr">
        <is>
          <t>AUR US Equity</t>
        </is>
      </c>
      <c r="C229" s="1" t="inlineStr">
        <is>
          <t>AUR</t>
        </is>
      </c>
      <c r="D229" t="inlineStr">
        <is>
          <t>Aurora Innovation Inc</t>
        </is>
      </c>
      <c r="E229">
        <f>BDP($B229,"LEGAL_ENTITY_IDENTIFIER")</f>
        <v/>
      </c>
      <c r="F229" t="inlineStr">
        <is>
          <t>Aurora Innovation Inc</t>
        </is>
      </c>
      <c r="G229">
        <f>custodian!D229</f>
        <v/>
      </c>
      <c r="H229">
        <f>BDP($B229,"ID_ISIN")</f>
        <v/>
      </c>
      <c r="I229" s="1" t="inlineStr">
        <is>
          <t>AUR</t>
        </is>
      </c>
      <c r="J229">
        <f>BDP($B229,"CNTRY_OF_DOMICILE")</f>
        <v/>
      </c>
      <c r="K229" t="inlineStr">
        <is>
          <t>EC</t>
        </is>
      </c>
      <c r="L229" t="inlineStr">
        <is>
          <t>CORP</t>
        </is>
      </c>
      <c r="M229" t="inlineStr"/>
      <c r="N229" t="inlineStr"/>
      <c r="O229" s="1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s="1" t="inlineStr"/>
      <c r="AR229" s="1" t="inlineStr"/>
      <c r="AS229" s="1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CBOT</t>
        </is>
      </c>
      <c r="B230" t="inlineStr">
        <is>
          <t>AVAV US Equity</t>
        </is>
      </c>
      <c r="C230" s="1" t="inlineStr">
        <is>
          <t>AVAV</t>
        </is>
      </c>
      <c r="D230" t="inlineStr">
        <is>
          <t>AeroVironment Inc</t>
        </is>
      </c>
      <c r="E230">
        <f>BDP($B230,"LEGAL_ENTITY_IDENTIFIER")</f>
        <v/>
      </c>
      <c r="F230" t="inlineStr">
        <is>
          <t>AeroVironment Inc</t>
        </is>
      </c>
      <c r="G230">
        <f>custodian!D230</f>
        <v/>
      </c>
      <c r="H230">
        <f>BDP($B230,"ID_ISIN")</f>
        <v/>
      </c>
      <c r="I230" s="1" t="inlineStr">
        <is>
          <t>AVAV</t>
        </is>
      </c>
      <c r="J230">
        <f>BDP($B230,"CNTRY_OF_DOMICILE")</f>
        <v/>
      </c>
      <c r="K230" t="inlineStr">
        <is>
          <t>EC</t>
        </is>
      </c>
      <c r="L230" t="inlineStr">
        <is>
          <t>CORP</t>
        </is>
      </c>
      <c r="M230" t="inlineStr"/>
      <c r="N230" t="inlineStr"/>
      <c r="O230" s="1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s="1" t="inlineStr"/>
      <c r="AR230" s="1" t="inlineStr"/>
      <c r="AS230" s="1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CBOT</t>
        </is>
      </c>
      <c r="B231" t="inlineStr">
        <is>
          <t>CAT US Equity</t>
        </is>
      </c>
      <c r="C231" s="1" t="inlineStr">
        <is>
          <t>CAT</t>
        </is>
      </c>
      <c r="D231" t="inlineStr">
        <is>
          <t>Caterpillar Inc</t>
        </is>
      </c>
      <c r="E231">
        <f>BDP($B231,"LEGAL_ENTITY_IDENTIFIER")</f>
        <v/>
      </c>
      <c r="F231" t="inlineStr">
        <is>
          <t>Caterpillar Inc</t>
        </is>
      </c>
      <c r="G231">
        <f>custodian!D231</f>
        <v/>
      </c>
      <c r="H231">
        <f>BDP($B231,"ID_ISIN")</f>
        <v/>
      </c>
      <c r="I231" s="1" t="inlineStr">
        <is>
          <t>CAT</t>
        </is>
      </c>
      <c r="J231">
        <f>BDP($B231,"CNTRY_OF_DOMICILE")</f>
        <v/>
      </c>
      <c r="K231" t="inlineStr">
        <is>
          <t>EC</t>
        </is>
      </c>
      <c r="L231" t="inlineStr">
        <is>
          <t>CORP</t>
        </is>
      </c>
      <c r="M231" t="inlineStr"/>
      <c r="N231" t="inlineStr"/>
      <c r="O231" s="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s="1" t="inlineStr"/>
      <c r="AR231" s="1" t="inlineStr"/>
      <c r="AS231" s="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CBOT</t>
        </is>
      </c>
      <c r="B232" t="inlineStr">
        <is>
          <t>CGNX US Equity</t>
        </is>
      </c>
      <c r="C232" s="1" t="inlineStr">
        <is>
          <t>CGNX</t>
        </is>
      </c>
      <c r="D232" t="inlineStr">
        <is>
          <t>Cognex Corp</t>
        </is>
      </c>
      <c r="E232">
        <f>BDP($B232,"LEGAL_ENTITY_IDENTIFIER")</f>
        <v/>
      </c>
      <c r="F232" t="inlineStr">
        <is>
          <t>Cognex Corp</t>
        </is>
      </c>
      <c r="G232">
        <f>custodian!D232</f>
        <v/>
      </c>
      <c r="H232">
        <f>BDP($B232,"ID_ISIN")</f>
        <v/>
      </c>
      <c r="I232" s="1" t="inlineStr">
        <is>
          <t>CGNX</t>
        </is>
      </c>
      <c r="J232">
        <f>BDP($B232,"CNTRY_OF_DOMICILE")</f>
        <v/>
      </c>
      <c r="K232" t="inlineStr">
        <is>
          <t>EC</t>
        </is>
      </c>
      <c r="L232" t="inlineStr">
        <is>
          <t>CORP</t>
        </is>
      </c>
      <c r="M232" t="inlineStr"/>
      <c r="N232" t="inlineStr"/>
      <c r="O232" s="1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s="1" t="inlineStr"/>
      <c r="AR232" s="1" t="inlineStr"/>
      <c r="AS232" s="1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CBOT</t>
        </is>
      </c>
      <c r="B233" t="inlineStr">
        <is>
          <t>DE US Equity</t>
        </is>
      </c>
      <c r="C233" s="1" t="inlineStr">
        <is>
          <t>DE</t>
        </is>
      </c>
      <c r="D233" t="inlineStr">
        <is>
          <t>Deere &amp; Co</t>
        </is>
      </c>
      <c r="E233">
        <f>BDP($B233,"LEGAL_ENTITY_IDENTIFIER")</f>
        <v/>
      </c>
      <c r="F233" t="inlineStr">
        <is>
          <t>Deere &amp; Co</t>
        </is>
      </c>
      <c r="G233">
        <f>custodian!D233</f>
        <v/>
      </c>
      <c r="H233">
        <f>BDP($B233,"ID_ISIN")</f>
        <v/>
      </c>
      <c r="I233" s="1" t="inlineStr">
        <is>
          <t>DE</t>
        </is>
      </c>
      <c r="J233">
        <f>BDP($B233,"CNTRY_OF_DOMICILE")</f>
        <v/>
      </c>
      <c r="K233" t="inlineStr">
        <is>
          <t>EC</t>
        </is>
      </c>
      <c r="L233" t="inlineStr">
        <is>
          <t>CORP</t>
        </is>
      </c>
      <c r="M233" t="inlineStr"/>
      <c r="N233" t="inlineStr"/>
      <c r="O233" s="1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s="1" t="inlineStr"/>
      <c r="AR233" s="1" t="inlineStr"/>
      <c r="AS233" s="1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CBOT</t>
        </is>
      </c>
      <c r="B234" t="inlineStr">
        <is>
          <t>FGXXX US Equity</t>
        </is>
      </c>
      <c r="C234" s="1" t="inlineStr">
        <is>
          <t>FGXXX</t>
        </is>
      </c>
      <c r="D234" t="inlineStr">
        <is>
          <t>First American Government Obli</t>
        </is>
      </c>
      <c r="E234">
        <f>BDP($B234,"LEGAL_ENTITY_IDENTIFIER")</f>
        <v/>
      </c>
      <c r="F234" t="inlineStr">
        <is>
          <t>First American Government Obligations Fund</t>
        </is>
      </c>
      <c r="G234">
        <f>custodian!D234</f>
        <v/>
      </c>
      <c r="H234">
        <f>BDP($B234,"ID_ISIN")</f>
        <v/>
      </c>
      <c r="I234" s="1" t="inlineStr">
        <is>
          <t>FGXXX</t>
        </is>
      </c>
      <c r="J234">
        <f>BDP($B234,"CNTRY_OF_DOMICILE")</f>
        <v/>
      </c>
      <c r="K234" t="inlineStr">
        <is>
          <t>STIV</t>
        </is>
      </c>
      <c r="L234" t="inlineStr">
        <is>
          <t>RF</t>
        </is>
      </c>
      <c r="M234" t="inlineStr"/>
      <c r="N234" t="inlineStr"/>
      <c r="O234" s="1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s="1" t="inlineStr"/>
      <c r="AR234" s="1" t="inlineStr"/>
      <c r="AS234" s="1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CBOT</t>
        </is>
      </c>
      <c r="B235" t="inlineStr">
        <is>
          <t>GMED US Equity</t>
        </is>
      </c>
      <c r="C235" s="1" t="inlineStr">
        <is>
          <t>GMED</t>
        </is>
      </c>
      <c r="D235" t="inlineStr">
        <is>
          <t>Globus Medical Inc</t>
        </is>
      </c>
      <c r="E235">
        <f>BDP($B235,"LEGAL_ENTITY_IDENTIFIER")</f>
        <v/>
      </c>
      <c r="F235" t="inlineStr">
        <is>
          <t>Globus Medical Inc</t>
        </is>
      </c>
      <c r="G235">
        <f>custodian!D235</f>
        <v/>
      </c>
      <c r="H235">
        <f>BDP($B235,"ID_ISIN")</f>
        <v/>
      </c>
      <c r="I235" s="1" t="inlineStr">
        <is>
          <t>GMED</t>
        </is>
      </c>
      <c r="J235">
        <f>BDP($B235,"CNTRY_OF_DOMICILE")</f>
        <v/>
      </c>
      <c r="K235" t="inlineStr">
        <is>
          <t>EC</t>
        </is>
      </c>
      <c r="L235" t="inlineStr">
        <is>
          <t>CORP</t>
        </is>
      </c>
      <c r="M235" t="inlineStr"/>
      <c r="N235" t="inlineStr"/>
      <c r="O235" s="1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s="1" t="inlineStr"/>
      <c r="AR235" s="1" t="inlineStr"/>
      <c r="AS235" s="1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CBOT</t>
        </is>
      </c>
      <c r="B236" t="inlineStr">
        <is>
          <t>GOOGL US Equity</t>
        </is>
      </c>
      <c r="C236" s="1" t="inlineStr">
        <is>
          <t>GOOGL</t>
        </is>
      </c>
      <c r="D236" t="inlineStr">
        <is>
          <t>Alphabet Inc</t>
        </is>
      </c>
      <c r="E236">
        <f>BDP($B236,"LEGAL_ENTITY_IDENTIFIER")</f>
        <v/>
      </c>
      <c r="F236" t="inlineStr">
        <is>
          <t>Alphabet Inc</t>
        </is>
      </c>
      <c r="G236">
        <f>custodian!D236</f>
        <v/>
      </c>
      <c r="H236">
        <f>BDP($B236,"ID_ISIN")</f>
        <v/>
      </c>
      <c r="I236" s="1" t="inlineStr">
        <is>
          <t>GOOGL</t>
        </is>
      </c>
      <c r="J236">
        <f>BDP($B236,"CNTRY_OF_DOMICILE")</f>
        <v/>
      </c>
      <c r="K236" t="inlineStr">
        <is>
          <t>EC</t>
        </is>
      </c>
      <c r="L236" t="inlineStr">
        <is>
          <t>CORP</t>
        </is>
      </c>
      <c r="M236" t="inlineStr"/>
      <c r="N236" t="inlineStr"/>
      <c r="O236" s="1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s="1" t="inlineStr"/>
      <c r="AR236" s="1" t="inlineStr"/>
      <c r="AS236" s="1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CBOT</t>
        </is>
      </c>
      <c r="B237" t="inlineStr">
        <is>
          <t>ISRG US Equity</t>
        </is>
      </c>
      <c r="C237" s="1" t="inlineStr">
        <is>
          <t>ISRG</t>
        </is>
      </c>
      <c r="D237" t="inlineStr">
        <is>
          <t>Intuitive Surgical Inc</t>
        </is>
      </c>
      <c r="E237">
        <f>BDP($B237,"LEGAL_ENTITY_IDENTIFIER")</f>
        <v/>
      </c>
      <c r="F237" t="inlineStr">
        <is>
          <t>Intuitive Surgical Inc</t>
        </is>
      </c>
      <c r="G237">
        <f>custodian!D237</f>
        <v/>
      </c>
      <c r="H237">
        <f>BDP($B237,"ID_ISIN")</f>
        <v/>
      </c>
      <c r="I237" s="1" t="inlineStr">
        <is>
          <t>ISRG</t>
        </is>
      </c>
      <c r="J237">
        <f>BDP($B237,"CNTRY_OF_DOMICILE")</f>
        <v/>
      </c>
      <c r="K237" t="inlineStr">
        <is>
          <t>EC</t>
        </is>
      </c>
      <c r="L237" t="inlineStr">
        <is>
          <t>CORP</t>
        </is>
      </c>
      <c r="M237" t="inlineStr"/>
      <c r="N237" t="inlineStr"/>
      <c r="O237" s="1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s="1" t="inlineStr"/>
      <c r="AR237" s="1" t="inlineStr"/>
      <c r="AS237" s="1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CBOT</t>
        </is>
      </c>
      <c r="B238" t="inlineStr">
        <is>
          <t>JBTM US Equity</t>
        </is>
      </c>
      <c r="C238" s="1" t="inlineStr">
        <is>
          <t>JBTM</t>
        </is>
      </c>
      <c r="D238" t="inlineStr">
        <is>
          <t>JBT Marel Corp</t>
        </is>
      </c>
      <c r="E238">
        <f>BDP($B238,"LEGAL_ENTITY_IDENTIFIER")</f>
        <v/>
      </c>
      <c r="F238" t="inlineStr">
        <is>
          <t>JBT Marel Corp</t>
        </is>
      </c>
      <c r="G238">
        <f>custodian!D238</f>
        <v/>
      </c>
      <c r="H238">
        <f>BDP($B238,"ID_ISIN")</f>
        <v/>
      </c>
      <c r="I238" s="1" t="inlineStr">
        <is>
          <t>JBTM</t>
        </is>
      </c>
      <c r="J238">
        <f>BDP($B238,"CNTRY_OF_DOMICILE")</f>
        <v/>
      </c>
      <c r="K238" t="inlineStr">
        <is>
          <t>EC</t>
        </is>
      </c>
      <c r="L238" t="inlineStr">
        <is>
          <t>CORP</t>
        </is>
      </c>
      <c r="M238" t="inlineStr"/>
      <c r="N238" t="inlineStr"/>
      <c r="O238" s="1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s="1" t="inlineStr"/>
      <c r="AR238" s="1" t="inlineStr"/>
      <c r="AS238" s="1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CBOT</t>
        </is>
      </c>
      <c r="B239" t="inlineStr">
        <is>
          <t>MBLY US Equity</t>
        </is>
      </c>
      <c r="C239" s="1" t="inlineStr">
        <is>
          <t>MBLY</t>
        </is>
      </c>
      <c r="D239" t="inlineStr">
        <is>
          <t>Mobileye Global Inc</t>
        </is>
      </c>
      <c r="E239">
        <f>BDP($B239,"LEGAL_ENTITY_IDENTIFIER")</f>
        <v/>
      </c>
      <c r="F239" t="inlineStr">
        <is>
          <t>Mobileye Global Inc</t>
        </is>
      </c>
      <c r="G239">
        <f>custodian!D239</f>
        <v/>
      </c>
      <c r="H239">
        <f>BDP($B239,"ID_ISIN")</f>
        <v/>
      </c>
      <c r="I239" s="1" t="inlineStr">
        <is>
          <t>MBLY</t>
        </is>
      </c>
      <c r="J239">
        <f>BDP($B239,"CNTRY_OF_DOMICILE")</f>
        <v/>
      </c>
      <c r="K239" t="inlineStr">
        <is>
          <t>EC</t>
        </is>
      </c>
      <c r="L239" t="inlineStr">
        <is>
          <t>CORP</t>
        </is>
      </c>
      <c r="M239" t="inlineStr"/>
      <c r="N239" t="inlineStr"/>
      <c r="O239" s="1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s="1" t="inlineStr"/>
      <c r="AR239" s="1" t="inlineStr"/>
      <c r="AS239" s="1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CBOT</t>
        </is>
      </c>
      <c r="B240" t="inlineStr">
        <is>
          <t>NOVT US Equity</t>
        </is>
      </c>
      <c r="C240" s="1" t="inlineStr">
        <is>
          <t>NOVT</t>
        </is>
      </c>
      <c r="D240" t="inlineStr">
        <is>
          <t>Novanta Inc</t>
        </is>
      </c>
      <c r="E240">
        <f>BDP($B240,"LEGAL_ENTITY_IDENTIFIER")</f>
        <v/>
      </c>
      <c r="F240" t="inlineStr">
        <is>
          <t>Novanta Inc</t>
        </is>
      </c>
      <c r="G240">
        <f>custodian!D240</f>
        <v/>
      </c>
      <c r="H240">
        <f>BDP($B240,"ID_ISIN")</f>
        <v/>
      </c>
      <c r="I240" s="1" t="inlineStr">
        <is>
          <t>NOVT</t>
        </is>
      </c>
      <c r="J240">
        <f>BDP($B240,"CNTRY_OF_DOMICILE")</f>
        <v/>
      </c>
      <c r="K240" t="inlineStr">
        <is>
          <t>EC</t>
        </is>
      </c>
      <c r="L240" t="inlineStr">
        <is>
          <t>CORP</t>
        </is>
      </c>
      <c r="M240" t="inlineStr"/>
      <c r="N240" t="inlineStr"/>
      <c r="O240" s="1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s="1" t="inlineStr"/>
      <c r="AR240" s="1" t="inlineStr"/>
      <c r="AS240" s="1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CBOT</t>
        </is>
      </c>
      <c r="B241" t="inlineStr">
        <is>
          <t>NVDA US Equity</t>
        </is>
      </c>
      <c r="C241" s="1" t="inlineStr">
        <is>
          <t>NVDA</t>
        </is>
      </c>
      <c r="D241" t="inlineStr">
        <is>
          <t>NVIDIA Corp</t>
        </is>
      </c>
      <c r="E241">
        <f>BDP($B241,"LEGAL_ENTITY_IDENTIFIER")</f>
        <v/>
      </c>
      <c r="F241" t="inlineStr">
        <is>
          <t>NVIDIA Corp</t>
        </is>
      </c>
      <c r="G241">
        <f>custodian!D241</f>
        <v/>
      </c>
      <c r="H241">
        <f>BDP($B241,"ID_ISIN")</f>
        <v/>
      </c>
      <c r="I241" s="1" t="inlineStr">
        <is>
          <t>NVDA</t>
        </is>
      </c>
      <c r="J241">
        <f>BDP($B241,"CNTRY_OF_DOMICILE")</f>
        <v/>
      </c>
      <c r="K241" t="inlineStr">
        <is>
          <t>EC</t>
        </is>
      </c>
      <c r="L241" t="inlineStr">
        <is>
          <t>CORP</t>
        </is>
      </c>
      <c r="M241" t="inlineStr"/>
      <c r="N241" t="inlineStr"/>
      <c r="O241" s="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s="1" t="inlineStr"/>
      <c r="AR241" s="1" t="inlineStr"/>
      <c r="AS241" s="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CBOT</t>
        </is>
      </c>
      <c r="B242" t="inlineStr">
        <is>
          <t>PATH US Equity</t>
        </is>
      </c>
      <c r="C242" s="1" t="inlineStr">
        <is>
          <t>PATH</t>
        </is>
      </c>
      <c r="D242" t="inlineStr">
        <is>
          <t>UiPath Inc</t>
        </is>
      </c>
      <c r="E242">
        <f>BDP($B242,"LEGAL_ENTITY_IDENTIFIER")</f>
        <v/>
      </c>
      <c r="F242" t="inlineStr">
        <is>
          <t>UiPath Inc</t>
        </is>
      </c>
      <c r="G242">
        <f>custodian!D242</f>
        <v/>
      </c>
      <c r="H242">
        <f>BDP($B242,"ID_ISIN")</f>
        <v/>
      </c>
      <c r="I242" s="1" t="inlineStr">
        <is>
          <t>PATH</t>
        </is>
      </c>
      <c r="J242">
        <f>BDP($B242,"CNTRY_OF_DOMICILE")</f>
        <v/>
      </c>
      <c r="K242" t="inlineStr">
        <is>
          <t>EC</t>
        </is>
      </c>
      <c r="L242" t="inlineStr">
        <is>
          <t>CORP</t>
        </is>
      </c>
      <c r="M242" t="inlineStr"/>
      <c r="N242" t="inlineStr"/>
      <c r="O242" s="1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s="1" t="inlineStr"/>
      <c r="AR242" s="1" t="inlineStr"/>
      <c r="AS242" s="1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CBOT</t>
        </is>
      </c>
      <c r="B243" t="inlineStr">
        <is>
          <t>PRCT US Equity</t>
        </is>
      </c>
      <c r="C243" s="1" t="inlineStr">
        <is>
          <t>PRCT</t>
        </is>
      </c>
      <c r="D243" t="inlineStr">
        <is>
          <t>Procept Biorobotics Corp</t>
        </is>
      </c>
      <c r="E243">
        <f>BDP($B243,"LEGAL_ENTITY_IDENTIFIER")</f>
        <v/>
      </c>
      <c r="F243" t="inlineStr">
        <is>
          <t>Procept Biorobotics Corp</t>
        </is>
      </c>
      <c r="G243">
        <f>custodian!D243</f>
        <v/>
      </c>
      <c r="H243">
        <f>BDP($B243,"ID_ISIN")</f>
        <v/>
      </c>
      <c r="I243" s="1" t="inlineStr">
        <is>
          <t>PRCT</t>
        </is>
      </c>
      <c r="J243">
        <f>BDP($B243,"CNTRY_OF_DOMICILE")</f>
        <v/>
      </c>
      <c r="K243" t="inlineStr">
        <is>
          <t>EC</t>
        </is>
      </c>
      <c r="L243" t="inlineStr">
        <is>
          <t>CORP</t>
        </is>
      </c>
      <c r="M243" t="inlineStr"/>
      <c r="N243" t="inlineStr"/>
      <c r="O243" s="1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s="1" t="inlineStr"/>
      <c r="AR243" s="1" t="inlineStr"/>
      <c r="AS243" s="1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CBOT</t>
        </is>
      </c>
      <c r="B244" t="inlineStr">
        <is>
          <t>PTC US Equity</t>
        </is>
      </c>
      <c r="C244" s="1" t="inlineStr">
        <is>
          <t>PTC</t>
        </is>
      </c>
      <c r="D244" t="inlineStr">
        <is>
          <t>PTC Inc</t>
        </is>
      </c>
      <c r="E244">
        <f>BDP($B244,"LEGAL_ENTITY_IDENTIFIER")</f>
        <v/>
      </c>
      <c r="F244" t="inlineStr">
        <is>
          <t>PTC Inc</t>
        </is>
      </c>
      <c r="G244">
        <f>custodian!D244</f>
        <v/>
      </c>
      <c r="H244">
        <f>BDP($B244,"ID_ISIN")</f>
        <v/>
      </c>
      <c r="I244" s="1" t="inlineStr">
        <is>
          <t>PTC</t>
        </is>
      </c>
      <c r="J244">
        <f>BDP($B244,"CNTRY_OF_DOMICILE")</f>
        <v/>
      </c>
      <c r="K244" t="inlineStr">
        <is>
          <t>EC</t>
        </is>
      </c>
      <c r="L244" t="inlineStr">
        <is>
          <t>CORP</t>
        </is>
      </c>
      <c r="M244" t="inlineStr"/>
      <c r="N244" t="inlineStr"/>
      <c r="O244" s="1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s="1" t="inlineStr"/>
      <c r="AR244" s="1" t="inlineStr"/>
      <c r="AS244" s="1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CBOT</t>
        </is>
      </c>
      <c r="B245" t="inlineStr">
        <is>
          <t>RR US Equity</t>
        </is>
      </c>
      <c r="C245" s="1" t="inlineStr">
        <is>
          <t>RR</t>
        </is>
      </c>
      <c r="D245" t="inlineStr">
        <is>
          <t>Richtech Robotics Inc</t>
        </is>
      </c>
      <c r="E245">
        <f>BDP($B245,"LEGAL_ENTITY_IDENTIFIER")</f>
        <v/>
      </c>
      <c r="F245" t="inlineStr">
        <is>
          <t>Richtech Robotics Inc</t>
        </is>
      </c>
      <c r="G245">
        <f>custodian!D245</f>
        <v/>
      </c>
      <c r="H245">
        <f>BDP($B245,"ID_ISIN")</f>
        <v/>
      </c>
      <c r="I245" s="1" t="inlineStr">
        <is>
          <t>RR</t>
        </is>
      </c>
      <c r="J245">
        <f>BDP($B245,"CNTRY_OF_DOMICILE")</f>
        <v/>
      </c>
      <c r="K245" t="inlineStr">
        <is>
          <t>EC</t>
        </is>
      </c>
      <c r="L245" t="inlineStr">
        <is>
          <t>CORP</t>
        </is>
      </c>
      <c r="M245" t="inlineStr"/>
      <c r="N245" t="inlineStr"/>
      <c r="O245" s="1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s="1" t="inlineStr"/>
      <c r="AR245" s="1" t="inlineStr"/>
      <c r="AS245" s="1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CBOT</t>
        </is>
      </c>
      <c r="B246" t="inlineStr">
        <is>
          <t>SERV US Equity</t>
        </is>
      </c>
      <c r="C246" s="1" t="inlineStr">
        <is>
          <t>SERV</t>
        </is>
      </c>
      <c r="D246" t="inlineStr">
        <is>
          <t>Serve Robotics Inc</t>
        </is>
      </c>
      <c r="E246">
        <f>BDP($B246,"LEGAL_ENTITY_IDENTIFIER")</f>
        <v/>
      </c>
      <c r="F246" t="inlineStr">
        <is>
          <t>Serve Robotics Inc</t>
        </is>
      </c>
      <c r="G246">
        <f>custodian!D246</f>
        <v/>
      </c>
      <c r="H246">
        <f>BDP($B246,"ID_ISIN")</f>
        <v/>
      </c>
      <c r="I246" s="1" t="inlineStr">
        <is>
          <t>SERV</t>
        </is>
      </c>
      <c r="J246">
        <f>BDP($B246,"CNTRY_OF_DOMICILE")</f>
        <v/>
      </c>
      <c r="K246" t="inlineStr">
        <is>
          <t>EC</t>
        </is>
      </c>
      <c r="L246" t="inlineStr">
        <is>
          <t>CORP</t>
        </is>
      </c>
      <c r="M246" t="inlineStr"/>
      <c r="N246" t="inlineStr"/>
      <c r="O246" s="1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s="1" t="inlineStr"/>
      <c r="AR246" s="1" t="inlineStr"/>
      <c r="AS246" s="1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CBOT</t>
        </is>
      </c>
      <c r="B247" t="inlineStr">
        <is>
          <t>SYK US Equity</t>
        </is>
      </c>
      <c r="C247" s="1" t="inlineStr">
        <is>
          <t>SYK</t>
        </is>
      </c>
      <c r="D247" t="inlineStr">
        <is>
          <t>Stryker Corp</t>
        </is>
      </c>
      <c r="E247">
        <f>BDP($B247,"LEGAL_ENTITY_IDENTIFIER")</f>
        <v/>
      </c>
      <c r="F247" t="inlineStr">
        <is>
          <t>Stryker Corp</t>
        </is>
      </c>
      <c r="G247">
        <f>custodian!D247</f>
        <v/>
      </c>
      <c r="H247">
        <f>BDP($B247,"ID_ISIN")</f>
        <v/>
      </c>
      <c r="I247" s="1" t="inlineStr">
        <is>
          <t>SYK</t>
        </is>
      </c>
      <c r="J247">
        <f>BDP($B247,"CNTRY_OF_DOMICILE")</f>
        <v/>
      </c>
      <c r="K247" t="inlineStr">
        <is>
          <t>EC</t>
        </is>
      </c>
      <c r="L247" t="inlineStr">
        <is>
          <t>CORP</t>
        </is>
      </c>
      <c r="M247" t="inlineStr"/>
      <c r="N247" t="inlineStr"/>
      <c r="O247" s="1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s="1" t="inlineStr"/>
      <c r="AR247" s="1" t="inlineStr"/>
      <c r="AS247" s="1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CBOT</t>
        </is>
      </c>
      <c r="B248" t="inlineStr">
        <is>
          <t>SYM US Equity</t>
        </is>
      </c>
      <c r="C248" s="1" t="inlineStr">
        <is>
          <t>SYM</t>
        </is>
      </c>
      <c r="D248" t="inlineStr">
        <is>
          <t>Symbotic Inc</t>
        </is>
      </c>
      <c r="E248">
        <f>BDP($B248,"LEGAL_ENTITY_IDENTIFIER")</f>
        <v/>
      </c>
      <c r="F248" t="inlineStr">
        <is>
          <t>Symbotic Inc</t>
        </is>
      </c>
      <c r="G248">
        <f>custodian!D248</f>
        <v/>
      </c>
      <c r="H248">
        <f>BDP($B248,"ID_ISIN")</f>
        <v/>
      </c>
      <c r="I248" s="1" t="inlineStr">
        <is>
          <t>SYM</t>
        </is>
      </c>
      <c r="J248">
        <f>BDP($B248,"CNTRY_OF_DOMICILE")</f>
        <v/>
      </c>
      <c r="K248" t="inlineStr">
        <is>
          <t>EC</t>
        </is>
      </c>
      <c r="L248" t="inlineStr">
        <is>
          <t>CORP</t>
        </is>
      </c>
      <c r="M248" t="inlineStr"/>
      <c r="N248" t="inlineStr"/>
      <c r="O248" s="1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s="1" t="inlineStr"/>
      <c r="AR248" s="1" t="inlineStr"/>
      <c r="AS248" s="1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CBOT</t>
        </is>
      </c>
      <c r="B249" t="inlineStr">
        <is>
          <t>TSLA US Equity</t>
        </is>
      </c>
      <c r="C249" s="1" t="inlineStr">
        <is>
          <t>TSLA</t>
        </is>
      </c>
      <c r="D249" t="inlineStr">
        <is>
          <t>Tesla Inc</t>
        </is>
      </c>
      <c r="E249">
        <f>BDP($B249,"LEGAL_ENTITY_IDENTIFIER")</f>
        <v/>
      </c>
      <c r="F249" t="inlineStr">
        <is>
          <t>Tesla Inc</t>
        </is>
      </c>
      <c r="G249">
        <f>custodian!D249</f>
        <v/>
      </c>
      <c r="H249">
        <f>BDP($B249,"ID_ISIN")</f>
        <v/>
      </c>
      <c r="I249" s="1" t="inlineStr">
        <is>
          <t>TSLA</t>
        </is>
      </c>
      <c r="J249">
        <f>BDP($B249,"CNTRY_OF_DOMICILE")</f>
        <v/>
      </c>
      <c r="K249" t="inlineStr">
        <is>
          <t>EC</t>
        </is>
      </c>
      <c r="L249" t="inlineStr">
        <is>
          <t>CORP</t>
        </is>
      </c>
      <c r="M249" t="inlineStr"/>
      <c r="N249" t="inlineStr"/>
      <c r="O249" s="1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s="1" t="inlineStr"/>
      <c r="AR249" s="1" t="inlineStr"/>
      <c r="AS249" s="1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CBOT</t>
        </is>
      </c>
      <c r="B250" t="inlineStr">
        <is>
          <t>ZBH US Equity</t>
        </is>
      </c>
      <c r="C250" s="1" t="inlineStr">
        <is>
          <t>ZBH</t>
        </is>
      </c>
      <c r="D250" t="inlineStr">
        <is>
          <t>ZIMMER BIOMET HOLDINGS INC</t>
        </is>
      </c>
      <c r="E250">
        <f>BDP($B250,"LEGAL_ENTITY_IDENTIFIER")</f>
        <v/>
      </c>
      <c r="F250" t="inlineStr">
        <is>
          <t>ZIMMER BIOMET HOLDINGS INC</t>
        </is>
      </c>
      <c r="G250">
        <f>custodian!D250</f>
        <v/>
      </c>
      <c r="H250">
        <f>BDP($B250,"ID_ISIN")</f>
        <v/>
      </c>
      <c r="I250" s="1" t="inlineStr">
        <is>
          <t>ZBH</t>
        </is>
      </c>
      <c r="J250">
        <f>BDP($B250,"CNTRY_OF_DOMICILE")</f>
        <v/>
      </c>
      <c r="K250" t="inlineStr">
        <is>
          <t>EC</t>
        </is>
      </c>
      <c r="L250" t="inlineStr">
        <is>
          <t>CORP</t>
        </is>
      </c>
      <c r="M250" t="inlineStr"/>
      <c r="N250" t="inlineStr"/>
      <c r="O250" s="1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s="1" t="inlineStr"/>
      <c r="AR250" s="1" t="inlineStr"/>
      <c r="AS250" s="1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CBOT</t>
        </is>
      </c>
      <c r="B251" t="inlineStr"/>
      <c r="C251" s="1" t="inlineStr">
        <is>
          <t>Cash&amp;Other</t>
        </is>
      </c>
      <c r="D251" t="inlineStr"/>
      <c r="E251" s="1" t="inlineStr"/>
      <c r="F251" t="inlineStr"/>
      <c r="G251">
        <f>custodian!D251</f>
        <v/>
      </c>
      <c r="H251" s="1" t="inlineStr"/>
      <c r="I251" s="1" t="inlineStr"/>
      <c r="J251" t="inlineStr"/>
      <c r="K251" t="inlineStr"/>
      <c r="L251" t="inlineStr"/>
      <c r="M251" t="inlineStr"/>
      <c r="N251" t="inlineStr"/>
      <c r="O251" s="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s="1" t="inlineStr"/>
      <c r="AR251" s="1" t="inlineStr"/>
      <c r="AS251" s="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CCPX</t>
        </is>
      </c>
      <c r="B252" t="inlineStr">
        <is>
          <t>464287184 Equity</t>
        </is>
      </c>
      <c r="C252" s="1" t="inlineStr">
        <is>
          <t>464287184-TRS-12/01/27-L-CANT</t>
        </is>
      </c>
      <c r="D252" t="inlineStr">
        <is>
          <t>N/A</t>
        </is>
      </c>
      <c r="E252" s="1" t="inlineStr">
        <is>
          <t>N/A</t>
        </is>
      </c>
      <c r="F252" t="inlineStr">
        <is>
          <t>ISHARES CHINA LARGE-CAP ETF-SWAP-CANT-L</t>
        </is>
      </c>
      <c r="G252">
        <f>custodian!D252</f>
        <v/>
      </c>
      <c r="H252" s="1" t="inlineStr"/>
      <c r="I252" s="1" t="inlineStr">
        <is>
          <t>464287184-TRS-12/01/27-L-CANT</t>
        </is>
      </c>
      <c r="J252" t="inlineStr">
        <is>
          <t>US</t>
        </is>
      </c>
      <c r="K252" t="inlineStr">
        <is>
          <t>DE</t>
        </is>
      </c>
      <c r="L252" t="inlineStr">
        <is>
          <t>OTHER</t>
        </is>
      </c>
      <c r="M252" t="inlineStr">
        <is>
          <t>SWP</t>
        </is>
      </c>
      <c r="N252" t="inlineStr"/>
      <c r="O252" s="1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otherRefInst</t>
        </is>
      </c>
      <c r="W252" t="inlineStr"/>
      <c r="X252" t="inlineStr"/>
      <c r="Y252" t="inlineStr">
        <is>
          <t>Y</t>
        </is>
      </c>
      <c r="Z252" t="inlineStr">
        <is>
          <t>2027-12-01</t>
        </is>
      </c>
      <c r="AA252" t="inlineStr">
        <is>
          <t>2590353.28</t>
        </is>
      </c>
      <c r="AB252" t="inlineStr">
        <is>
          <t>USD</t>
        </is>
      </c>
      <c r="AC252" t="inlineStr">
        <is>
          <t>-199252.10</t>
        </is>
      </c>
      <c r="AD252" t="inlineStr">
        <is>
          <t>-199252.10</t>
        </is>
      </c>
      <c r="AE252" t="inlineStr">
        <is>
          <t>-15.37</t>
        </is>
      </c>
      <c r="AF252" t="inlineStr"/>
      <c r="AG252" t="inlineStr"/>
      <c r="AH252" t="inlineStr">
        <is>
          <t>Floating</t>
        </is>
      </c>
      <c r="AI252" t="inlineStr"/>
      <c r="AJ252" t="inlineStr"/>
      <c r="AK252" t="inlineStr">
        <is>
          <t>2590353.28</t>
        </is>
      </c>
      <c r="AL252" t="inlineStr">
        <is>
          <t>USD</t>
        </is>
      </c>
      <c r="AM252" t="inlineStr"/>
      <c r="AN252" t="inlineStr"/>
      <c r="AO252">
        <f>BDP($B252,"ISSUER")</f>
        <v/>
      </c>
      <c r="AP252">
        <f>BDP($B252,"NAME")</f>
        <v/>
      </c>
      <c r="AQ252" s="1" t="inlineStr">
        <is>
          <t>464287184</t>
        </is>
      </c>
      <c r="AR252">
        <f>BDP($B252,"ID_ISIN")</f>
        <v/>
      </c>
      <c r="AS252">
        <f>BDP($B252,"TICKER")</f>
        <v/>
      </c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CCPX</t>
        </is>
      </c>
      <c r="B253" t="inlineStr">
        <is>
          <t>FGXXX US Equity</t>
        </is>
      </c>
      <c r="C253" s="1" t="inlineStr">
        <is>
          <t>FGXXX</t>
        </is>
      </c>
      <c r="D253" t="inlineStr">
        <is>
          <t>First American Government Obli</t>
        </is>
      </c>
      <c r="E253">
        <f>BDP($B253,"LEGAL_ENTITY_IDENTIFIER")</f>
        <v/>
      </c>
      <c r="F253" t="inlineStr">
        <is>
          <t>First American Government Obligations Fund</t>
        </is>
      </c>
      <c r="G253">
        <f>custodian!D253</f>
        <v/>
      </c>
      <c r="H253">
        <f>BDP($B253,"ID_ISIN")</f>
        <v/>
      </c>
      <c r="I253" s="1" t="inlineStr">
        <is>
          <t>FGXXX</t>
        </is>
      </c>
      <c r="J253">
        <f>BDP($B253,"CNTRY_OF_DOMICILE")</f>
        <v/>
      </c>
      <c r="K253" t="inlineStr">
        <is>
          <t>STIV</t>
        </is>
      </c>
      <c r="L253" t="inlineStr">
        <is>
          <t>RF</t>
        </is>
      </c>
      <c r="M253" t="inlineStr"/>
      <c r="N253" t="inlineStr"/>
      <c r="O253" s="1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s="1" t="inlineStr"/>
      <c r="AR253" s="1" t="inlineStr"/>
      <c r="AS253" s="1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CCPX</t>
        </is>
      </c>
      <c r="B254" t="inlineStr"/>
      <c r="C254" s="1" t="inlineStr">
        <is>
          <t>Cash&amp;Other</t>
        </is>
      </c>
      <c r="D254" t="inlineStr"/>
      <c r="E254" s="1" t="inlineStr"/>
      <c r="F254" t="inlineStr"/>
      <c r="G254">
        <f>custodian!D254</f>
        <v/>
      </c>
      <c r="H254" s="1" t="inlineStr"/>
      <c r="I254" s="1" t="inlineStr"/>
      <c r="J254" t="inlineStr"/>
      <c r="K254" t="inlineStr"/>
      <c r="L254" t="inlineStr"/>
      <c r="M254" t="inlineStr"/>
      <c r="N254" t="inlineStr"/>
      <c r="O254" s="1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s="1" t="inlineStr"/>
      <c r="AR254" s="1" t="inlineStr"/>
      <c r="AS254" s="1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CGOV</t>
        </is>
      </c>
      <c r="B255" t="inlineStr">
        <is>
          <t>912797RF6 Govt</t>
        </is>
      </c>
      <c r="C255" s="1" t="inlineStr">
        <is>
          <t>912797RF6</t>
        </is>
      </c>
      <c r="D255" t="inlineStr">
        <is>
          <t>United States Treasury Bill 07</t>
        </is>
      </c>
      <c r="E255">
        <f>BDP($B255,"LEGAL_ENTITY_IDENTIFIER")</f>
        <v/>
      </c>
      <c r="F255" t="inlineStr">
        <is>
          <t>United States Treasury Bill 07/09/2026</t>
        </is>
      </c>
      <c r="G255">
        <f>custodian!D255</f>
        <v/>
      </c>
      <c r="H255">
        <f>BDP($B255,"ID_ISIN")</f>
        <v/>
      </c>
      <c r="I255" s="1" t="inlineStr"/>
      <c r="J255">
        <f>BDP($B255,"CNTRY_OF_DOMICILE")</f>
        <v/>
      </c>
      <c r="K255" t="inlineStr">
        <is>
          <t>DBT</t>
        </is>
      </c>
      <c r="L255" t="inlineStr">
        <is>
          <t>UST</t>
        </is>
      </c>
      <c r="M255" t="inlineStr"/>
      <c r="N255" t="inlineStr"/>
      <c r="O255" s="1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s="1" t="inlineStr"/>
      <c r="AR255" s="1" t="inlineStr"/>
      <c r="AS255" s="1" t="inlineStr"/>
      <c r="AT255">
        <f>TEXT(BDP($B255,"MATURITY"),"yyyy-mm-dd")</f>
        <v/>
      </c>
      <c r="AU255">
        <f>BDP($B255,"CPN_TYP")</f>
        <v/>
      </c>
      <c r="AV255">
        <f>BDP($B255,"CPN")</f>
        <v/>
      </c>
      <c r="AW255" t="inlineStr"/>
      <c r="AX255" t="inlineStr"/>
      <c r="AY255" t="inlineStr"/>
    </row>
    <row r="256">
      <c r="A256" t="inlineStr">
        <is>
          <t>CGOV</t>
        </is>
      </c>
      <c r="B256" t="inlineStr">
        <is>
          <t>912797RG4 Govt</t>
        </is>
      </c>
      <c r="C256" s="1" t="inlineStr">
        <is>
          <t>912797RG4</t>
        </is>
      </c>
      <c r="D256" t="inlineStr">
        <is>
          <t>United States Treasury Bill 08</t>
        </is>
      </c>
      <c r="E256">
        <f>BDP($B256,"LEGAL_ENTITY_IDENTIFIER")</f>
        <v/>
      </c>
      <c r="F256" t="inlineStr">
        <is>
          <t>United States Treasury Bill 08/06/2026</t>
        </is>
      </c>
      <c r="G256">
        <f>custodian!D256</f>
        <v/>
      </c>
      <c r="H256">
        <f>BDP($B256,"ID_ISIN")</f>
        <v/>
      </c>
      <c r="I256" s="1" t="inlineStr"/>
      <c r="J256">
        <f>BDP($B256,"CNTRY_OF_DOMICILE")</f>
        <v/>
      </c>
      <c r="K256" t="inlineStr">
        <is>
          <t>DBT</t>
        </is>
      </c>
      <c r="L256" t="inlineStr">
        <is>
          <t>UST</t>
        </is>
      </c>
      <c r="M256" t="inlineStr"/>
      <c r="N256" t="inlineStr"/>
      <c r="O256" s="1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s="1" t="inlineStr"/>
      <c r="AR256" s="1" t="inlineStr"/>
      <c r="AS256" s="1" t="inlineStr"/>
      <c r="AT256">
        <f>TEXT(BDP($B256,"MATURITY"),"yyyy-mm-dd")</f>
        <v/>
      </c>
      <c r="AU256">
        <f>BDP($B256,"CPN_TYP")</f>
        <v/>
      </c>
      <c r="AV256">
        <f>BDP($B256,"CPN")</f>
        <v/>
      </c>
      <c r="AW256" t="inlineStr"/>
      <c r="AX256" t="inlineStr"/>
      <c r="AY256" t="inlineStr"/>
    </row>
    <row r="257">
      <c r="A257" t="inlineStr">
        <is>
          <t>CGOV</t>
        </is>
      </c>
      <c r="B257" t="inlineStr">
        <is>
          <t>912797RS8 Govt</t>
        </is>
      </c>
      <c r="C257" s="1" t="inlineStr">
        <is>
          <t>912797RS8</t>
        </is>
      </c>
      <c r="D257" t="inlineStr">
        <is>
          <t>United States Treasury Bill 09</t>
        </is>
      </c>
      <c r="E257">
        <f>BDP($B257,"LEGAL_ENTITY_IDENTIFIER")</f>
        <v/>
      </c>
      <c r="F257" t="inlineStr">
        <is>
          <t>United States Treasury Bill 09/03/2026</t>
        </is>
      </c>
      <c r="G257">
        <f>custodian!D257</f>
        <v/>
      </c>
      <c r="H257">
        <f>BDP($B257,"ID_ISIN")</f>
        <v/>
      </c>
      <c r="I257" s="1" t="inlineStr"/>
      <c r="J257">
        <f>BDP($B257,"CNTRY_OF_DOMICILE")</f>
        <v/>
      </c>
      <c r="K257" t="inlineStr">
        <is>
          <t>DBT</t>
        </is>
      </c>
      <c r="L257" t="inlineStr">
        <is>
          <t>UST</t>
        </is>
      </c>
      <c r="M257" t="inlineStr"/>
      <c r="N257" t="inlineStr"/>
      <c r="O257" s="1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s="1" t="inlineStr"/>
      <c r="AR257" s="1" t="inlineStr"/>
      <c r="AS257" s="1" t="inlineStr"/>
      <c r="AT257">
        <f>TEXT(BDP($B257,"MATURITY"),"yyyy-mm-dd")</f>
        <v/>
      </c>
      <c r="AU257">
        <f>BDP($B257,"CPN_TYP")</f>
        <v/>
      </c>
      <c r="AV257">
        <f>BDP($B257,"CPN")</f>
        <v/>
      </c>
      <c r="AW257" t="inlineStr"/>
      <c r="AX257" t="inlineStr"/>
      <c r="AY257" t="inlineStr"/>
    </row>
    <row r="258">
      <c r="A258" t="inlineStr">
        <is>
          <t>CGOV</t>
        </is>
      </c>
      <c r="B258" t="inlineStr">
        <is>
          <t>912797TE7 Govt</t>
        </is>
      </c>
      <c r="C258" s="1" t="inlineStr">
        <is>
          <t>912797TE7</t>
        </is>
      </c>
      <c r="D258" t="inlineStr">
        <is>
          <t>United States Treasury Bill 06</t>
        </is>
      </c>
      <c r="E258">
        <f>BDP($B258,"LEGAL_ENTITY_IDENTIFIER")</f>
        <v/>
      </c>
      <c r="F258" t="inlineStr">
        <is>
          <t>United States Treasury Bill 06/25/2026</t>
        </is>
      </c>
      <c r="G258">
        <f>custodian!D258</f>
        <v/>
      </c>
      <c r="H258">
        <f>BDP($B258,"ID_ISIN")</f>
        <v/>
      </c>
      <c r="I258" s="1" t="inlineStr"/>
      <c r="J258">
        <f>BDP($B258,"CNTRY_OF_DOMICILE")</f>
        <v/>
      </c>
      <c r="K258" t="inlineStr">
        <is>
          <t>DBT</t>
        </is>
      </c>
      <c r="L258" t="inlineStr">
        <is>
          <t>UST</t>
        </is>
      </c>
      <c r="M258" t="inlineStr"/>
      <c r="N258" t="inlineStr"/>
      <c r="O258" s="1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s="1" t="inlineStr"/>
      <c r="AR258" s="1" t="inlineStr"/>
      <c r="AS258" s="1" t="inlineStr"/>
      <c r="AT258">
        <f>TEXT(BDP($B258,"MATURITY"),"yyyy-mm-dd")</f>
        <v/>
      </c>
      <c r="AU258">
        <f>BDP($B258,"CPN_TYP")</f>
        <v/>
      </c>
      <c r="AV258">
        <f>BDP($B258,"CPN")</f>
        <v/>
      </c>
      <c r="AW258" t="inlineStr"/>
      <c r="AX258" t="inlineStr"/>
      <c r="AY258" t="inlineStr"/>
    </row>
    <row r="259">
      <c r="A259" t="inlineStr">
        <is>
          <t>CGOV</t>
        </is>
      </c>
      <c r="B259" t="inlineStr">
        <is>
          <t>912797TF4 Govt</t>
        </is>
      </c>
      <c r="C259" s="1" t="inlineStr">
        <is>
          <t>912797TF4</t>
        </is>
      </c>
      <c r="D259" t="inlineStr">
        <is>
          <t>United States Treasury Bill 07</t>
        </is>
      </c>
      <c r="E259">
        <f>BDP($B259,"LEGAL_ENTITY_IDENTIFIER")</f>
        <v/>
      </c>
      <c r="F259" t="inlineStr">
        <is>
          <t>United States Treasury Bill 07/02/2026</t>
        </is>
      </c>
      <c r="G259">
        <f>custodian!D259</f>
        <v/>
      </c>
      <c r="H259">
        <f>BDP($B259,"ID_ISIN")</f>
        <v/>
      </c>
      <c r="I259" s="1" t="inlineStr"/>
      <c r="J259">
        <f>BDP($B259,"CNTRY_OF_DOMICILE")</f>
        <v/>
      </c>
      <c r="K259" t="inlineStr">
        <is>
          <t>DBT</t>
        </is>
      </c>
      <c r="L259" t="inlineStr">
        <is>
          <t>UST</t>
        </is>
      </c>
      <c r="M259" t="inlineStr"/>
      <c r="N259" t="inlineStr"/>
      <c r="O259" s="1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s="1" t="inlineStr"/>
      <c r="AR259" s="1" t="inlineStr"/>
      <c r="AS259" s="1" t="inlineStr"/>
      <c r="AT259">
        <f>TEXT(BDP($B259,"MATURITY"),"yyyy-mm-dd")</f>
        <v/>
      </c>
      <c r="AU259">
        <f>BDP($B259,"CPN_TYP")</f>
        <v/>
      </c>
      <c r="AV259">
        <f>BDP($B259,"CPN")</f>
        <v/>
      </c>
      <c r="AW259" t="inlineStr"/>
      <c r="AX259" t="inlineStr"/>
      <c r="AY259" t="inlineStr"/>
    </row>
    <row r="260">
      <c r="A260" t="inlineStr">
        <is>
          <t>CGOV</t>
        </is>
      </c>
      <c r="B260" t="inlineStr">
        <is>
          <t>912797TN7 Govt</t>
        </is>
      </c>
      <c r="C260" s="1" t="inlineStr">
        <is>
          <t>912797TN7</t>
        </is>
      </c>
      <c r="D260" t="inlineStr">
        <is>
          <t>United States Treasury Bill 07</t>
        </is>
      </c>
      <c r="E260">
        <f>BDP($B260,"LEGAL_ENTITY_IDENTIFIER")</f>
        <v/>
      </c>
      <c r="F260" t="inlineStr">
        <is>
          <t>United States Treasury Bill 07/16/2026</t>
        </is>
      </c>
      <c r="G260">
        <f>custodian!D260</f>
        <v/>
      </c>
      <c r="H260">
        <f>BDP($B260,"ID_ISIN")</f>
        <v/>
      </c>
      <c r="I260" s="1" t="inlineStr"/>
      <c r="J260">
        <f>BDP($B260,"CNTRY_OF_DOMICILE")</f>
        <v/>
      </c>
      <c r="K260" t="inlineStr">
        <is>
          <t>DBT</t>
        </is>
      </c>
      <c r="L260" t="inlineStr">
        <is>
          <t>UST</t>
        </is>
      </c>
      <c r="M260" t="inlineStr"/>
      <c r="N260" t="inlineStr"/>
      <c r="O260" s="1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s="1" t="inlineStr"/>
      <c r="AR260" s="1" t="inlineStr"/>
      <c r="AS260" s="1" t="inlineStr"/>
      <c r="AT260">
        <f>TEXT(BDP($B260,"MATURITY"),"yyyy-mm-dd")</f>
        <v/>
      </c>
      <c r="AU260">
        <f>BDP($B260,"CPN_TYP")</f>
        <v/>
      </c>
      <c r="AV260">
        <f>BDP($B260,"CPN")</f>
        <v/>
      </c>
      <c r="AW260" t="inlineStr"/>
      <c r="AX260" t="inlineStr"/>
      <c r="AY260" t="inlineStr"/>
    </row>
    <row r="261">
      <c r="A261" t="inlineStr">
        <is>
          <t>CGOV</t>
        </is>
      </c>
      <c r="B261" t="inlineStr">
        <is>
          <t>912797TP2 Govt</t>
        </is>
      </c>
      <c r="C261" s="1" t="inlineStr">
        <is>
          <t>912797TP2</t>
        </is>
      </c>
      <c r="D261" t="inlineStr">
        <is>
          <t>United States Treasury Bill 07</t>
        </is>
      </c>
      <c r="E261">
        <f>BDP($B261,"LEGAL_ENTITY_IDENTIFIER")</f>
        <v/>
      </c>
      <c r="F261" t="inlineStr">
        <is>
          <t>United States Treasury Bill 07/23/2026</t>
        </is>
      </c>
      <c r="G261">
        <f>custodian!D261</f>
        <v/>
      </c>
      <c r="H261">
        <f>BDP($B261,"ID_ISIN")</f>
        <v/>
      </c>
      <c r="I261" s="1" t="inlineStr"/>
      <c r="J261">
        <f>BDP($B261,"CNTRY_OF_DOMICILE")</f>
        <v/>
      </c>
      <c r="K261" t="inlineStr">
        <is>
          <t>DBT</t>
        </is>
      </c>
      <c r="L261" t="inlineStr">
        <is>
          <t>UST</t>
        </is>
      </c>
      <c r="M261" t="inlineStr"/>
      <c r="N261" t="inlineStr"/>
      <c r="O261" s="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s="1" t="inlineStr"/>
      <c r="AR261" s="1" t="inlineStr"/>
      <c r="AS261" s="1" t="inlineStr"/>
      <c r="AT261">
        <f>TEXT(BDP($B261,"MATURITY"),"yyyy-mm-dd")</f>
        <v/>
      </c>
      <c r="AU261">
        <f>BDP($B261,"CPN_TYP")</f>
        <v/>
      </c>
      <c r="AV261">
        <f>BDP($B261,"CPN")</f>
        <v/>
      </c>
      <c r="AW261" t="inlineStr"/>
      <c r="AX261" t="inlineStr"/>
      <c r="AY261" t="inlineStr"/>
    </row>
    <row r="262">
      <c r="A262" t="inlineStr">
        <is>
          <t>CGOV</t>
        </is>
      </c>
      <c r="B262" t="inlineStr">
        <is>
          <t>912797TQ0 Govt</t>
        </is>
      </c>
      <c r="C262" s="1" t="inlineStr">
        <is>
          <t>912797TQ0</t>
        </is>
      </c>
      <c r="D262" t="inlineStr">
        <is>
          <t>United States Treasury Bill 07</t>
        </is>
      </c>
      <c r="E262">
        <f>BDP($B262,"LEGAL_ENTITY_IDENTIFIER")</f>
        <v/>
      </c>
      <c r="F262" t="inlineStr">
        <is>
          <t>United States Treasury Bill 07/30/2026</t>
        </is>
      </c>
      <c r="G262">
        <f>custodian!D262</f>
        <v/>
      </c>
      <c r="H262">
        <f>BDP($B262,"ID_ISIN")</f>
        <v/>
      </c>
      <c r="I262" s="1" t="inlineStr"/>
      <c r="J262">
        <f>BDP($B262,"CNTRY_OF_DOMICILE")</f>
        <v/>
      </c>
      <c r="K262" t="inlineStr">
        <is>
          <t>DBT</t>
        </is>
      </c>
      <c r="L262" t="inlineStr">
        <is>
          <t>UST</t>
        </is>
      </c>
      <c r="M262" t="inlineStr"/>
      <c r="N262" t="inlineStr"/>
      <c r="O262" s="1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s="1" t="inlineStr"/>
      <c r="AR262" s="1" t="inlineStr"/>
      <c r="AS262" s="1" t="inlineStr"/>
      <c r="AT262">
        <f>TEXT(BDP($B262,"MATURITY"),"yyyy-mm-dd")</f>
        <v/>
      </c>
      <c r="AU262">
        <f>BDP($B262,"CPN_TYP")</f>
        <v/>
      </c>
      <c r="AV262">
        <f>BDP($B262,"CPN")</f>
        <v/>
      </c>
      <c r="AW262" t="inlineStr"/>
      <c r="AX262" t="inlineStr"/>
      <c r="AY262" t="inlineStr"/>
    </row>
    <row r="263">
      <c r="A263" t="inlineStr">
        <is>
          <t>CGOV</t>
        </is>
      </c>
      <c r="B263" t="inlineStr">
        <is>
          <t>912797TW7 Govt</t>
        </is>
      </c>
      <c r="C263" s="1" t="inlineStr">
        <is>
          <t>912797TW7</t>
        </is>
      </c>
      <c r="D263" t="inlineStr">
        <is>
          <t>United States Treasury Bill 08</t>
        </is>
      </c>
      <c r="E263">
        <f>BDP($B263,"LEGAL_ENTITY_IDENTIFIER")</f>
        <v/>
      </c>
      <c r="F263" t="inlineStr">
        <is>
          <t>United States Treasury Bill 08/13/2026</t>
        </is>
      </c>
      <c r="G263">
        <f>custodian!D263</f>
        <v/>
      </c>
      <c r="H263">
        <f>BDP($B263,"ID_ISIN")</f>
        <v/>
      </c>
      <c r="I263" s="1" t="inlineStr"/>
      <c r="J263">
        <f>BDP($B263,"CNTRY_OF_DOMICILE")</f>
        <v/>
      </c>
      <c r="K263" t="inlineStr">
        <is>
          <t>DBT</t>
        </is>
      </c>
      <c r="L263" t="inlineStr">
        <is>
          <t>UST</t>
        </is>
      </c>
      <c r="M263" t="inlineStr"/>
      <c r="N263" t="inlineStr"/>
      <c r="O263" s="1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s="1" t="inlineStr"/>
      <c r="AR263" s="1" t="inlineStr"/>
      <c r="AS263" s="1" t="inlineStr"/>
      <c r="AT263">
        <f>TEXT(BDP($B263,"MATURITY"),"yyyy-mm-dd")</f>
        <v/>
      </c>
      <c r="AU263">
        <f>BDP($B263,"CPN_TYP")</f>
        <v/>
      </c>
      <c r="AV263">
        <f>BDP($B263,"CPN")</f>
        <v/>
      </c>
      <c r="AW263" t="inlineStr"/>
      <c r="AX263" t="inlineStr"/>
      <c r="AY263" t="inlineStr"/>
    </row>
    <row r="264">
      <c r="A264" t="inlineStr">
        <is>
          <t>CGOV</t>
        </is>
      </c>
      <c r="B264" t="inlineStr">
        <is>
          <t>912797TX5 Govt</t>
        </is>
      </c>
      <c r="C264" s="1" t="inlineStr">
        <is>
          <t>912797TX5</t>
        </is>
      </c>
      <c r="D264" t="inlineStr">
        <is>
          <t>United States Treasury Bill 08</t>
        </is>
      </c>
      <c r="E264">
        <f>BDP($B264,"LEGAL_ENTITY_IDENTIFIER")</f>
        <v/>
      </c>
      <c r="F264" t="inlineStr">
        <is>
          <t>United States Treasury Bill 08/20/2026</t>
        </is>
      </c>
      <c r="G264">
        <f>custodian!D264</f>
        <v/>
      </c>
      <c r="H264">
        <f>BDP($B264,"ID_ISIN")</f>
        <v/>
      </c>
      <c r="I264" s="1" t="inlineStr"/>
      <c r="J264">
        <f>BDP($B264,"CNTRY_OF_DOMICILE")</f>
        <v/>
      </c>
      <c r="K264" t="inlineStr">
        <is>
          <t>DBT</t>
        </is>
      </c>
      <c r="L264" t="inlineStr">
        <is>
          <t>UST</t>
        </is>
      </c>
      <c r="M264" t="inlineStr"/>
      <c r="N264" t="inlineStr"/>
      <c r="O264" s="1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s="1" t="inlineStr"/>
      <c r="AR264" s="1" t="inlineStr"/>
      <c r="AS264" s="1" t="inlineStr"/>
      <c r="AT264">
        <f>TEXT(BDP($B264,"MATURITY"),"yyyy-mm-dd")</f>
        <v/>
      </c>
      <c r="AU264">
        <f>BDP($B264,"CPN_TYP")</f>
        <v/>
      </c>
      <c r="AV264">
        <f>BDP($B264,"CPN")</f>
        <v/>
      </c>
      <c r="AW264" t="inlineStr"/>
      <c r="AX264" t="inlineStr"/>
      <c r="AY264" t="inlineStr"/>
    </row>
    <row r="265">
      <c r="A265" t="inlineStr">
        <is>
          <t>CGOV</t>
        </is>
      </c>
      <c r="B265" t="inlineStr">
        <is>
          <t>912797TY3 Govt</t>
        </is>
      </c>
      <c r="C265" s="1" t="inlineStr">
        <is>
          <t>912797TY3</t>
        </is>
      </c>
      <c r="D265" t="inlineStr">
        <is>
          <t>United States Treasury Bill 08</t>
        </is>
      </c>
      <c r="E265">
        <f>BDP($B265,"LEGAL_ENTITY_IDENTIFIER")</f>
        <v/>
      </c>
      <c r="F265" t="inlineStr">
        <is>
          <t>United States Treasury Bill 08/27/2026</t>
        </is>
      </c>
      <c r="G265">
        <f>custodian!D265</f>
        <v/>
      </c>
      <c r="H265">
        <f>BDP($B265,"ID_ISIN")</f>
        <v/>
      </c>
      <c r="I265" s="1" t="inlineStr"/>
      <c r="J265">
        <f>BDP($B265,"CNTRY_OF_DOMICILE")</f>
        <v/>
      </c>
      <c r="K265" t="inlineStr">
        <is>
          <t>DBT</t>
        </is>
      </c>
      <c r="L265" t="inlineStr">
        <is>
          <t>UST</t>
        </is>
      </c>
      <c r="M265" t="inlineStr"/>
      <c r="N265" t="inlineStr"/>
      <c r="O265" s="1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s="1" t="inlineStr"/>
      <c r="AR265" s="1" t="inlineStr"/>
      <c r="AS265" s="1" t="inlineStr"/>
      <c r="AT265">
        <f>TEXT(BDP($B265,"MATURITY"),"yyyy-mm-dd")</f>
        <v/>
      </c>
      <c r="AU265">
        <f>BDP($B265,"CPN_TYP")</f>
        <v/>
      </c>
      <c r="AV265">
        <f>BDP($B265,"CPN")</f>
        <v/>
      </c>
      <c r="AW265" t="inlineStr"/>
      <c r="AX265" t="inlineStr"/>
      <c r="AY265" t="inlineStr"/>
    </row>
    <row r="266">
      <c r="A266" t="inlineStr">
        <is>
          <t>CGOV</t>
        </is>
      </c>
      <c r="B266" t="inlineStr">
        <is>
          <t>912797UC9 Govt</t>
        </is>
      </c>
      <c r="C266" s="1" t="inlineStr">
        <is>
          <t>912797UC9</t>
        </is>
      </c>
      <c r="D266" t="inlineStr">
        <is>
          <t>United States Treasury Bill 06</t>
        </is>
      </c>
      <c r="E266">
        <f>BDP($B266,"LEGAL_ENTITY_IDENTIFIER")</f>
        <v/>
      </c>
      <c r="F266" t="inlineStr">
        <is>
          <t>United States Treasury Bill 06/30/2026</t>
        </is>
      </c>
      <c r="G266">
        <f>custodian!D266</f>
        <v/>
      </c>
      <c r="H266">
        <f>BDP($B266,"ID_ISIN")</f>
        <v/>
      </c>
      <c r="I266" s="1" t="inlineStr"/>
      <c r="J266">
        <f>BDP($B266,"CNTRY_OF_DOMICILE")</f>
        <v/>
      </c>
      <c r="K266" t="inlineStr">
        <is>
          <t>DBT</t>
        </is>
      </c>
      <c r="L266" t="inlineStr">
        <is>
          <t>UST</t>
        </is>
      </c>
      <c r="M266" t="inlineStr"/>
      <c r="N266" t="inlineStr"/>
      <c r="O266" s="1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s="1" t="inlineStr"/>
      <c r="AR266" s="1" t="inlineStr"/>
      <c r="AS266" s="1" t="inlineStr"/>
      <c r="AT266">
        <f>TEXT(BDP($B266,"MATURITY"),"yyyy-mm-dd")</f>
        <v/>
      </c>
      <c r="AU266">
        <f>BDP($B266,"CPN_TYP")</f>
        <v/>
      </c>
      <c r="AV266">
        <f>BDP($B266,"CPN")</f>
        <v/>
      </c>
      <c r="AW266" t="inlineStr"/>
      <c r="AX266" t="inlineStr"/>
      <c r="AY266" t="inlineStr"/>
    </row>
    <row r="267">
      <c r="A267" t="inlineStr">
        <is>
          <t>CGOV</t>
        </is>
      </c>
      <c r="B267" t="inlineStr">
        <is>
          <t>912797UN5 Govt</t>
        </is>
      </c>
      <c r="C267" s="1" t="inlineStr">
        <is>
          <t>912797UN5</t>
        </is>
      </c>
      <c r="D267" t="inlineStr">
        <is>
          <t>United States Treasury Bill 07</t>
        </is>
      </c>
      <c r="E267">
        <f>BDP($B267,"LEGAL_ENTITY_IDENTIFIER")</f>
        <v/>
      </c>
      <c r="F267" t="inlineStr">
        <is>
          <t>United States Treasury Bill 07/07/2026</t>
        </is>
      </c>
      <c r="G267">
        <f>custodian!D267</f>
        <v/>
      </c>
      <c r="H267">
        <f>BDP($B267,"ID_ISIN")</f>
        <v/>
      </c>
      <c r="I267" s="1" t="inlineStr"/>
      <c r="J267">
        <f>BDP($B267,"CNTRY_OF_DOMICILE")</f>
        <v/>
      </c>
      <c r="K267" t="inlineStr">
        <is>
          <t>DBT</t>
        </is>
      </c>
      <c r="L267" t="inlineStr">
        <is>
          <t>UST</t>
        </is>
      </c>
      <c r="M267" t="inlineStr"/>
      <c r="N267" t="inlineStr"/>
      <c r="O267" s="1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s="1" t="inlineStr"/>
      <c r="AR267" s="1" t="inlineStr"/>
      <c r="AS267" s="1" t="inlineStr"/>
      <c r="AT267">
        <f>TEXT(BDP($B267,"MATURITY"),"yyyy-mm-dd")</f>
        <v/>
      </c>
      <c r="AU267">
        <f>BDP($B267,"CPN_TYP")</f>
        <v/>
      </c>
      <c r="AV267">
        <f>BDP($B267,"CPN")</f>
        <v/>
      </c>
      <c r="AW267" t="inlineStr"/>
      <c r="AX267" t="inlineStr"/>
      <c r="AY267" t="inlineStr"/>
    </row>
    <row r="268">
      <c r="A268" t="inlineStr">
        <is>
          <t>CGOV</t>
        </is>
      </c>
      <c r="B268" t="inlineStr">
        <is>
          <t>912797UP0 Govt</t>
        </is>
      </c>
      <c r="C268" s="1" t="inlineStr">
        <is>
          <t>912797UP0</t>
        </is>
      </c>
      <c r="D268" t="inlineStr">
        <is>
          <t>United States Treasury Bill 07</t>
        </is>
      </c>
      <c r="E268">
        <f>BDP($B268,"LEGAL_ENTITY_IDENTIFIER")</f>
        <v/>
      </c>
      <c r="F268" t="inlineStr">
        <is>
          <t>United States Treasury Bill 07/14/2026</t>
        </is>
      </c>
      <c r="G268">
        <f>custodian!D268</f>
        <v/>
      </c>
      <c r="H268">
        <f>BDP($B268,"ID_ISIN")</f>
        <v/>
      </c>
      <c r="I268" s="1" t="inlineStr"/>
      <c r="J268">
        <f>BDP($B268,"CNTRY_OF_DOMICILE")</f>
        <v/>
      </c>
      <c r="K268" t="inlineStr">
        <is>
          <t>DBT</t>
        </is>
      </c>
      <c r="L268" t="inlineStr">
        <is>
          <t>UST</t>
        </is>
      </c>
      <c r="M268" t="inlineStr"/>
      <c r="N268" t="inlineStr"/>
      <c r="O268" s="1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s="1" t="inlineStr"/>
      <c r="AR268" s="1" t="inlineStr"/>
      <c r="AS268" s="1" t="inlineStr"/>
      <c r="AT268">
        <f>TEXT(BDP($B268,"MATURITY"),"yyyy-mm-dd")</f>
        <v/>
      </c>
      <c r="AU268">
        <f>BDP($B268,"CPN_TYP")</f>
        <v/>
      </c>
      <c r="AV268">
        <f>BDP($B268,"CPN")</f>
        <v/>
      </c>
      <c r="AW268" t="inlineStr"/>
      <c r="AX268" t="inlineStr"/>
      <c r="AY268" t="inlineStr"/>
    </row>
    <row r="269">
      <c r="A269" t="inlineStr">
        <is>
          <t>CGOV</t>
        </is>
      </c>
      <c r="B269" t="inlineStr">
        <is>
          <t>912797UQ8 Govt</t>
        </is>
      </c>
      <c r="C269" s="1" t="inlineStr">
        <is>
          <t>912797UQ8</t>
        </is>
      </c>
      <c r="D269" t="inlineStr">
        <is>
          <t>United States Treasury Bill 07</t>
        </is>
      </c>
      <c r="E269">
        <f>BDP($B269,"LEGAL_ENTITY_IDENTIFIER")</f>
        <v/>
      </c>
      <c r="F269" t="inlineStr">
        <is>
          <t>United States Treasury Bill 07/21/2026</t>
        </is>
      </c>
      <c r="G269">
        <f>custodian!D269</f>
        <v/>
      </c>
      <c r="H269">
        <f>BDP($B269,"ID_ISIN")</f>
        <v/>
      </c>
      <c r="I269" s="1" t="inlineStr"/>
      <c r="J269">
        <f>BDP($B269,"CNTRY_OF_DOMICILE")</f>
        <v/>
      </c>
      <c r="K269" t="inlineStr">
        <is>
          <t>DBT</t>
        </is>
      </c>
      <c r="L269" t="inlineStr">
        <is>
          <t>UST</t>
        </is>
      </c>
      <c r="M269" t="inlineStr"/>
      <c r="N269" t="inlineStr"/>
      <c r="O269" s="1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s="1" t="inlineStr"/>
      <c r="AR269" s="1" t="inlineStr"/>
      <c r="AS269" s="1" t="inlineStr"/>
      <c r="AT269">
        <f>TEXT(BDP($B269,"MATURITY"),"yyyy-mm-dd")</f>
        <v/>
      </c>
      <c r="AU269">
        <f>BDP($B269,"CPN_TYP")</f>
        <v/>
      </c>
      <c r="AV269">
        <f>BDP($B269,"CPN")</f>
        <v/>
      </c>
      <c r="AW269" t="inlineStr"/>
      <c r="AX269" t="inlineStr"/>
      <c r="AY269" t="inlineStr"/>
    </row>
    <row r="270">
      <c r="A270" t="inlineStr">
        <is>
          <t>CGOV</t>
        </is>
      </c>
      <c r="B270" t="inlineStr">
        <is>
          <t>912797UR6 Govt</t>
        </is>
      </c>
      <c r="C270" s="1" t="inlineStr">
        <is>
          <t>912797UR6</t>
        </is>
      </c>
      <c r="D270" t="inlineStr">
        <is>
          <t>United States Treasury Bill 07</t>
        </is>
      </c>
      <c r="E270">
        <f>BDP($B270,"LEGAL_ENTITY_IDENTIFIER")</f>
        <v/>
      </c>
      <c r="F270" t="inlineStr">
        <is>
          <t>United States Treasury Bill 07/28/2026</t>
        </is>
      </c>
      <c r="G270">
        <f>custodian!D270</f>
        <v/>
      </c>
      <c r="H270">
        <f>BDP($B270,"ID_ISIN")</f>
        <v/>
      </c>
      <c r="I270" s="1" t="inlineStr"/>
      <c r="J270">
        <f>BDP($B270,"CNTRY_OF_DOMICILE")</f>
        <v/>
      </c>
      <c r="K270" t="inlineStr">
        <is>
          <t>DBT</t>
        </is>
      </c>
      <c r="L270" t="inlineStr">
        <is>
          <t>UST</t>
        </is>
      </c>
      <c r="M270" t="inlineStr"/>
      <c r="N270" t="inlineStr"/>
      <c r="O270" s="1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s="1" t="inlineStr"/>
      <c r="AR270" s="1" t="inlineStr"/>
      <c r="AS270" s="1" t="inlineStr"/>
      <c r="AT270">
        <f>TEXT(BDP($B270,"MATURITY"),"yyyy-mm-dd")</f>
        <v/>
      </c>
      <c r="AU270">
        <f>BDP($B270,"CPN_TYP")</f>
        <v/>
      </c>
      <c r="AV270">
        <f>BDP($B270,"CPN")</f>
        <v/>
      </c>
      <c r="AW270" t="inlineStr"/>
      <c r="AX270" t="inlineStr"/>
      <c r="AY270" t="inlineStr"/>
    </row>
    <row r="271">
      <c r="A271" t="inlineStr">
        <is>
          <t>CGOV</t>
        </is>
      </c>
      <c r="B271" t="inlineStr">
        <is>
          <t>912797US4 Govt</t>
        </is>
      </c>
      <c r="C271" s="1" t="inlineStr">
        <is>
          <t>912797US4</t>
        </is>
      </c>
      <c r="D271" t="inlineStr">
        <is>
          <t>United States Treasury Bill 08</t>
        </is>
      </c>
      <c r="E271">
        <f>BDP($B271,"LEGAL_ENTITY_IDENTIFIER")</f>
        <v/>
      </c>
      <c r="F271" t="inlineStr">
        <is>
          <t>United States Treasury Bill 08/04/2026</t>
        </is>
      </c>
      <c r="G271">
        <f>custodian!D271</f>
        <v/>
      </c>
      <c r="H271">
        <f>BDP($B271,"ID_ISIN")</f>
        <v/>
      </c>
      <c r="I271" s="1" t="inlineStr"/>
      <c r="J271">
        <f>BDP($B271,"CNTRY_OF_DOMICILE")</f>
        <v/>
      </c>
      <c r="K271" t="inlineStr">
        <is>
          <t>DBT</t>
        </is>
      </c>
      <c r="L271" t="inlineStr">
        <is>
          <t>UST</t>
        </is>
      </c>
      <c r="M271" t="inlineStr"/>
      <c r="N271" t="inlineStr"/>
      <c r="O271" s="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s="1" t="inlineStr"/>
      <c r="AR271" s="1" t="inlineStr"/>
      <c r="AS271" s="1" t="inlineStr"/>
      <c r="AT271">
        <f>TEXT(BDP($B271,"MATURITY"),"yyyy-mm-dd")</f>
        <v/>
      </c>
      <c r="AU271">
        <f>BDP($B271,"CPN_TYP")</f>
        <v/>
      </c>
      <c r="AV271">
        <f>BDP($B271,"CPN")</f>
        <v/>
      </c>
      <c r="AW271" t="inlineStr"/>
      <c r="AX271" t="inlineStr"/>
      <c r="AY271" t="inlineStr"/>
    </row>
    <row r="272">
      <c r="A272" t="inlineStr">
        <is>
          <t>CGOV</t>
        </is>
      </c>
      <c r="B272" t="inlineStr">
        <is>
          <t>912797UT2 Govt</t>
        </is>
      </c>
      <c r="C272" s="1" t="inlineStr">
        <is>
          <t>912797UT2</t>
        </is>
      </c>
      <c r="D272" t="inlineStr">
        <is>
          <t>United States Treasury Bill 08</t>
        </is>
      </c>
      <c r="E272">
        <f>BDP($B272,"LEGAL_ENTITY_IDENTIFIER")</f>
        <v/>
      </c>
      <c r="F272" t="inlineStr">
        <is>
          <t>United States Treasury Bill 08/11/2026</t>
        </is>
      </c>
      <c r="G272">
        <f>custodian!D272</f>
        <v/>
      </c>
      <c r="H272">
        <f>BDP($B272,"ID_ISIN")</f>
        <v/>
      </c>
      <c r="I272" s="1" t="inlineStr"/>
      <c r="J272">
        <f>BDP($B272,"CNTRY_OF_DOMICILE")</f>
        <v/>
      </c>
      <c r="K272" t="inlineStr">
        <is>
          <t>DBT</t>
        </is>
      </c>
      <c r="L272" t="inlineStr">
        <is>
          <t>UST</t>
        </is>
      </c>
      <c r="M272" t="inlineStr"/>
      <c r="N272" t="inlineStr"/>
      <c r="O272" s="1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s="1" t="inlineStr"/>
      <c r="AR272" s="1" t="inlineStr"/>
      <c r="AS272" s="1" t="inlineStr"/>
      <c r="AT272">
        <f>TEXT(BDP($B272,"MATURITY"),"yyyy-mm-dd")</f>
        <v/>
      </c>
      <c r="AU272">
        <f>BDP($B272,"CPN_TYP")</f>
        <v/>
      </c>
      <c r="AV272">
        <f>BDP($B272,"CPN")</f>
        <v/>
      </c>
      <c r="AW272" t="inlineStr"/>
      <c r="AX272" t="inlineStr"/>
      <c r="AY272" t="inlineStr"/>
    </row>
    <row r="273">
      <c r="A273" t="inlineStr">
        <is>
          <t>CGOV</t>
        </is>
      </c>
      <c r="B273" t="inlineStr">
        <is>
          <t>912797UU9 Govt</t>
        </is>
      </c>
      <c r="C273" s="1" t="inlineStr">
        <is>
          <t>912797UU9</t>
        </is>
      </c>
      <c r="D273" t="inlineStr">
        <is>
          <t>United States Treasury Bill 08</t>
        </is>
      </c>
      <c r="E273">
        <f>BDP($B273,"LEGAL_ENTITY_IDENTIFIER")</f>
        <v/>
      </c>
      <c r="F273" t="inlineStr">
        <is>
          <t>United States Treasury Bill 08/18/2026</t>
        </is>
      </c>
      <c r="G273">
        <f>custodian!D273</f>
        <v/>
      </c>
      <c r="H273">
        <f>BDP($B273,"ID_ISIN")</f>
        <v/>
      </c>
      <c r="I273" s="1" t="inlineStr"/>
      <c r="J273">
        <f>BDP($B273,"CNTRY_OF_DOMICILE")</f>
        <v/>
      </c>
      <c r="K273" t="inlineStr">
        <is>
          <t>DBT</t>
        </is>
      </c>
      <c r="L273" t="inlineStr">
        <is>
          <t>UST</t>
        </is>
      </c>
      <c r="M273" t="inlineStr"/>
      <c r="N273" t="inlineStr"/>
      <c r="O273" s="1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s="1" t="inlineStr"/>
      <c r="AR273" s="1" t="inlineStr"/>
      <c r="AS273" s="1" t="inlineStr"/>
      <c r="AT273">
        <f>TEXT(BDP($B273,"MATURITY"),"yyyy-mm-dd")</f>
        <v/>
      </c>
      <c r="AU273">
        <f>BDP($B273,"CPN_TYP")</f>
        <v/>
      </c>
      <c r="AV273">
        <f>BDP($B273,"CPN")</f>
        <v/>
      </c>
      <c r="AW273" t="inlineStr"/>
      <c r="AX273" t="inlineStr"/>
      <c r="AY273" t="inlineStr"/>
    </row>
    <row r="274">
      <c r="A274" t="inlineStr">
        <is>
          <t>CGOV</t>
        </is>
      </c>
      <c r="B274" t="inlineStr">
        <is>
          <t>912797UV7 Govt</t>
        </is>
      </c>
      <c r="C274" s="1" t="inlineStr">
        <is>
          <t>912797UV7</t>
        </is>
      </c>
      <c r="D274" t="inlineStr">
        <is>
          <t>United States Treasury Bill 08</t>
        </is>
      </c>
      <c r="E274">
        <f>BDP($B274,"LEGAL_ENTITY_IDENTIFIER")</f>
        <v/>
      </c>
      <c r="F274" t="inlineStr">
        <is>
          <t>United States Treasury Bill 08/25/2026</t>
        </is>
      </c>
      <c r="G274">
        <f>custodian!D274</f>
        <v/>
      </c>
      <c r="H274">
        <f>BDP($B274,"ID_ISIN")</f>
        <v/>
      </c>
      <c r="I274" s="1" t="inlineStr"/>
      <c r="J274">
        <f>BDP($B274,"CNTRY_OF_DOMICILE")</f>
        <v/>
      </c>
      <c r="K274" t="inlineStr">
        <is>
          <t>DBT</t>
        </is>
      </c>
      <c r="L274" t="inlineStr">
        <is>
          <t>UST</t>
        </is>
      </c>
      <c r="M274" t="inlineStr"/>
      <c r="N274" t="inlineStr"/>
      <c r="O274" s="1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s="1" t="inlineStr"/>
      <c r="AR274" s="1" t="inlineStr"/>
      <c r="AS274" s="1" t="inlineStr"/>
      <c r="AT274">
        <f>TEXT(BDP($B274,"MATURITY"),"yyyy-mm-dd")</f>
        <v/>
      </c>
      <c r="AU274">
        <f>BDP($B274,"CPN_TYP")</f>
        <v/>
      </c>
      <c r="AV274">
        <f>BDP($B274,"CPN")</f>
        <v/>
      </c>
      <c r="AW274" t="inlineStr"/>
      <c r="AX274" t="inlineStr"/>
      <c r="AY274" t="inlineStr"/>
    </row>
    <row r="275">
      <c r="A275" t="inlineStr">
        <is>
          <t>CGOV</t>
        </is>
      </c>
      <c r="B275" t="inlineStr">
        <is>
          <t>912797UW5 Govt</t>
        </is>
      </c>
      <c r="C275" s="1" t="inlineStr">
        <is>
          <t>912797UW5</t>
        </is>
      </c>
      <c r="D275" t="inlineStr">
        <is>
          <t>United States Treasury Bill 09</t>
        </is>
      </c>
      <c r="E275">
        <f>BDP($B275,"LEGAL_ENTITY_IDENTIFIER")</f>
        <v/>
      </c>
      <c r="F275" t="inlineStr">
        <is>
          <t>United States Treasury Bill 09/01/2026</t>
        </is>
      </c>
      <c r="G275">
        <f>custodian!D275</f>
        <v/>
      </c>
      <c r="H275">
        <f>BDP($B275,"ID_ISIN")</f>
        <v/>
      </c>
      <c r="I275" s="1" t="inlineStr"/>
      <c r="J275">
        <f>BDP($B275,"CNTRY_OF_DOMICILE")</f>
        <v/>
      </c>
      <c r="K275" t="inlineStr">
        <is>
          <t>DBT</t>
        </is>
      </c>
      <c r="L275" t="inlineStr">
        <is>
          <t>UST</t>
        </is>
      </c>
      <c r="M275" t="inlineStr"/>
      <c r="N275" t="inlineStr"/>
      <c r="O275" s="1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s="1" t="inlineStr"/>
      <c r="AR275" s="1" t="inlineStr"/>
      <c r="AS275" s="1" t="inlineStr"/>
      <c r="AT275">
        <f>TEXT(BDP($B275,"MATURITY"),"yyyy-mm-dd")</f>
        <v/>
      </c>
      <c r="AU275">
        <f>BDP($B275,"CPN_TYP")</f>
        <v/>
      </c>
      <c r="AV275">
        <f>BDP($B275,"CPN")</f>
        <v/>
      </c>
      <c r="AW275" t="inlineStr"/>
      <c r="AX275" t="inlineStr"/>
      <c r="AY275" t="inlineStr"/>
    </row>
    <row r="276">
      <c r="A276" t="inlineStr">
        <is>
          <t>CGOV</t>
        </is>
      </c>
      <c r="B276" t="inlineStr">
        <is>
          <t>912797VB0 Govt</t>
        </is>
      </c>
      <c r="C276" s="1" t="inlineStr">
        <is>
          <t>912797VB0</t>
        </is>
      </c>
      <c r="D276" t="inlineStr">
        <is>
          <t>United States Treasury Bill 09</t>
        </is>
      </c>
      <c r="E276">
        <f>BDP($B276,"LEGAL_ENTITY_IDENTIFIER")</f>
        <v/>
      </c>
      <c r="F276" t="inlineStr">
        <is>
          <t>United States Treasury Bill 09/08/2026</t>
        </is>
      </c>
      <c r="G276">
        <f>custodian!D276</f>
        <v/>
      </c>
      <c r="H276">
        <f>BDP($B276,"ID_ISIN")</f>
        <v/>
      </c>
      <c r="I276" s="1" t="inlineStr"/>
      <c r="J276">
        <f>BDP($B276,"CNTRY_OF_DOMICILE")</f>
        <v/>
      </c>
      <c r="K276" t="inlineStr">
        <is>
          <t>DBT</t>
        </is>
      </c>
      <c r="L276" t="inlineStr">
        <is>
          <t>UST</t>
        </is>
      </c>
      <c r="M276" t="inlineStr"/>
      <c r="N276" t="inlineStr"/>
      <c r="O276" s="1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s="1" t="inlineStr"/>
      <c r="AR276" s="1" t="inlineStr"/>
      <c r="AS276" s="1" t="inlineStr"/>
      <c r="AT276">
        <f>TEXT(BDP($B276,"MATURITY"),"yyyy-mm-dd")</f>
        <v/>
      </c>
      <c r="AU276">
        <f>BDP($B276,"CPN_TYP")</f>
        <v/>
      </c>
      <c r="AV276">
        <f>BDP($B276,"CPN")</f>
        <v/>
      </c>
      <c r="AW276" t="inlineStr"/>
      <c r="AX276" t="inlineStr"/>
      <c r="AY276" t="inlineStr"/>
    </row>
    <row r="277">
      <c r="A277" t="inlineStr">
        <is>
          <t>CGOV</t>
        </is>
      </c>
      <c r="B277" t="inlineStr">
        <is>
          <t>FGXXX US Equity</t>
        </is>
      </c>
      <c r="C277" s="1" t="inlineStr">
        <is>
          <t>FGXXX</t>
        </is>
      </c>
      <c r="D277" t="inlineStr">
        <is>
          <t>First American Government Obli</t>
        </is>
      </c>
      <c r="E277">
        <f>BDP($B277,"LEGAL_ENTITY_IDENTIFIER")</f>
        <v/>
      </c>
      <c r="F277" t="inlineStr">
        <is>
          <t>First American Government Obligations Fund</t>
        </is>
      </c>
      <c r="G277">
        <f>custodian!D277</f>
        <v/>
      </c>
      <c r="H277">
        <f>BDP($B277,"ID_ISIN")</f>
        <v/>
      </c>
      <c r="I277" s="1" t="inlineStr">
        <is>
          <t>FGXXX</t>
        </is>
      </c>
      <c r="J277">
        <f>BDP($B277,"CNTRY_OF_DOMICILE")</f>
        <v/>
      </c>
      <c r="K277" t="inlineStr">
        <is>
          <t>STIV</t>
        </is>
      </c>
      <c r="L277" t="inlineStr">
        <is>
          <t>RF</t>
        </is>
      </c>
      <c r="M277" t="inlineStr"/>
      <c r="N277" t="inlineStr"/>
      <c r="O277" s="1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s="1" t="inlineStr"/>
      <c r="AR277" s="1" t="inlineStr"/>
      <c r="AS277" s="1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CGOV</t>
        </is>
      </c>
      <c r="B278" t="inlineStr"/>
      <c r="C278" s="1" t="inlineStr">
        <is>
          <t>Cash&amp;Other</t>
        </is>
      </c>
      <c r="D278" t="inlineStr"/>
      <c r="E278" s="1" t="inlineStr"/>
      <c r="F278" t="inlineStr"/>
      <c r="G278">
        <f>custodian!D278</f>
        <v/>
      </c>
      <c r="H278" s="1" t="inlineStr"/>
      <c r="I278" s="1" t="inlineStr"/>
      <c r="J278" t="inlineStr"/>
      <c r="K278" t="inlineStr"/>
      <c r="L278" t="inlineStr"/>
      <c r="M278" t="inlineStr"/>
      <c r="N278" t="inlineStr"/>
      <c r="O278" s="1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s="1" t="inlineStr"/>
      <c r="AR278" s="1" t="inlineStr"/>
      <c r="AS278" s="1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CHYG</t>
        </is>
      </c>
      <c r="B279" t="inlineStr">
        <is>
          <t>00081TAK4 Corp</t>
        </is>
      </c>
      <c r="C279" s="1" t="inlineStr">
        <is>
          <t>00081TAK4</t>
        </is>
      </c>
      <c r="D279" t="inlineStr">
        <is>
          <t>ACCO Brands Corp 4.25% 03/15/2</t>
        </is>
      </c>
      <c r="E279">
        <f>BDP($B279,"LEGAL_ENTITY_IDENTIFIER")</f>
        <v/>
      </c>
      <c r="F279" t="inlineStr">
        <is>
          <t>ACCO Brands Corp 4.25% 03/15/2029</t>
        </is>
      </c>
      <c r="G279">
        <f>custodian!D279</f>
        <v/>
      </c>
      <c r="H279">
        <f>BDP($B279,"ID_ISIN")</f>
        <v/>
      </c>
      <c r="I279" s="1" t="inlineStr"/>
      <c r="J279">
        <f>BDP($B279,"CNTRY_OF_DOMICILE")</f>
        <v/>
      </c>
      <c r="K279" t="inlineStr">
        <is>
          <t>DBT</t>
        </is>
      </c>
      <c r="L279" t="inlineStr">
        <is>
          <t>CORP</t>
        </is>
      </c>
      <c r="M279" t="inlineStr"/>
      <c r="N279" t="inlineStr"/>
      <c r="O279" s="1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s="1" t="inlineStr"/>
      <c r="AR279" s="1" t="inlineStr"/>
      <c r="AS279" s="1" t="inlineStr"/>
      <c r="AT279">
        <f>TEXT(BDP($B279,"MATURITY"),"yyyy-mm-dd")</f>
        <v/>
      </c>
      <c r="AU279">
        <f>BDP($B279,"CPN_TYP")</f>
        <v/>
      </c>
      <c r="AV279">
        <f>BDP($B279,"CPN")</f>
        <v/>
      </c>
      <c r="AW279" t="inlineStr"/>
      <c r="AX279" t="inlineStr"/>
      <c r="AY279" t="inlineStr"/>
    </row>
    <row r="280">
      <c r="A280" t="inlineStr">
        <is>
          <t>CHYG</t>
        </is>
      </c>
      <c r="B280" t="inlineStr">
        <is>
          <t>00109LAA1 Corp</t>
        </is>
      </c>
      <c r="C280" s="1" t="inlineStr">
        <is>
          <t>00109LAA1</t>
        </is>
      </c>
      <c r="D280" t="inlineStr">
        <is>
          <t>ADT Security Corp/The 4.125% 0</t>
        </is>
      </c>
      <c r="E280">
        <f>BDP($B280,"LEGAL_ENTITY_IDENTIFIER")</f>
        <v/>
      </c>
      <c r="F280" t="inlineStr">
        <is>
          <t>ADT Security Corp/The 4.125% 08/01/2029</t>
        </is>
      </c>
      <c r="G280">
        <f>custodian!D280</f>
        <v/>
      </c>
      <c r="H280">
        <f>BDP($B280,"ID_ISIN")</f>
        <v/>
      </c>
      <c r="I280" s="1" t="inlineStr"/>
      <c r="J280">
        <f>BDP($B280,"CNTRY_OF_DOMICILE")</f>
        <v/>
      </c>
      <c r="K280" t="inlineStr">
        <is>
          <t>DBT</t>
        </is>
      </c>
      <c r="L280" t="inlineStr">
        <is>
          <t>CORP</t>
        </is>
      </c>
      <c r="M280" t="inlineStr"/>
      <c r="N280" t="inlineStr"/>
      <c r="O280" s="1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s="1" t="inlineStr"/>
      <c r="AR280" s="1" t="inlineStr"/>
      <c r="AS280" s="1" t="inlineStr"/>
      <c r="AT280">
        <f>TEXT(BDP($B280,"MATURITY"),"yyyy-mm-dd")</f>
        <v/>
      </c>
      <c r="AU280">
        <f>BDP($B280,"CPN_TYP")</f>
        <v/>
      </c>
      <c r="AV280">
        <f>BDP($B280,"CPN")</f>
        <v/>
      </c>
      <c r="AW280" t="inlineStr"/>
      <c r="AX280" t="inlineStr"/>
      <c r="AY280" t="inlineStr"/>
    </row>
    <row r="281">
      <c r="A281" t="inlineStr">
        <is>
          <t>CHYG</t>
        </is>
      </c>
      <c r="B281" t="inlineStr">
        <is>
          <t>00253XAB7 Corp</t>
        </is>
      </c>
      <c r="C281" s="1" t="inlineStr">
        <is>
          <t>00253XAB7</t>
        </is>
      </c>
      <c r="D281" t="inlineStr">
        <is>
          <t>American Airlines Inc/AAdvanta</t>
        </is>
      </c>
      <c r="E281">
        <f>BDP($B281,"LEGAL_ENTITY_IDENTIFIER")</f>
        <v/>
      </c>
      <c r="F281" t="inlineStr">
        <is>
          <t>American Airlines Inc/AAdvantage Loyalty IP Ltd 5.75% 04/20/2029</t>
        </is>
      </c>
      <c r="G281">
        <f>custodian!D281</f>
        <v/>
      </c>
      <c r="H281">
        <f>BDP($B281,"ID_ISIN")</f>
        <v/>
      </c>
      <c r="I281" s="1" t="inlineStr"/>
      <c r="J281">
        <f>BDP($B281,"CNTRY_OF_DOMICILE")</f>
        <v/>
      </c>
      <c r="K281" t="inlineStr">
        <is>
          <t>DBT</t>
        </is>
      </c>
      <c r="L281" t="inlineStr">
        <is>
          <t>CORP</t>
        </is>
      </c>
      <c r="M281" t="inlineStr"/>
      <c r="N281" t="inlineStr"/>
      <c r="O281" s="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s="1" t="inlineStr"/>
      <c r="AR281" s="1" t="inlineStr"/>
      <c r="AS281" s="1" t="inlineStr"/>
      <c r="AT281">
        <f>TEXT(BDP($B281,"MATURITY"),"yyyy-mm-dd")</f>
        <v/>
      </c>
      <c r="AU281">
        <f>BDP($B281,"CPN_TYP")</f>
        <v/>
      </c>
      <c r="AV281">
        <f>BDP($B281,"CPN")</f>
        <v/>
      </c>
      <c r="AW281" t="inlineStr"/>
      <c r="AX281" t="inlineStr"/>
      <c r="AY281" t="inlineStr"/>
    </row>
    <row r="282">
      <c r="A282" t="inlineStr">
        <is>
          <t>CHYG</t>
        </is>
      </c>
      <c r="B282" t="inlineStr">
        <is>
          <t>00489LAL7 Corp</t>
        </is>
      </c>
      <c r="C282" s="1" t="inlineStr">
        <is>
          <t>00489LAL7</t>
        </is>
      </c>
      <c r="D282" t="inlineStr">
        <is>
          <t>Acrisure LLC / Acrisure Financ</t>
        </is>
      </c>
      <c r="E282">
        <f>BDP($B282,"LEGAL_ENTITY_IDENTIFIER")</f>
        <v/>
      </c>
      <c r="F282" t="inlineStr">
        <is>
          <t>Acrisure LLC / Acrisure Finance Inc 7.5% 11/06/2030</t>
        </is>
      </c>
      <c r="G282">
        <f>custodian!D282</f>
        <v/>
      </c>
      <c r="H282">
        <f>BDP($B282,"ID_ISIN")</f>
        <v/>
      </c>
      <c r="I282" s="1" t="inlineStr"/>
      <c r="J282">
        <f>BDP($B282,"CNTRY_OF_DOMICILE")</f>
        <v/>
      </c>
      <c r="K282" t="inlineStr">
        <is>
          <t>DBT</t>
        </is>
      </c>
      <c r="L282" t="inlineStr">
        <is>
          <t>CORP</t>
        </is>
      </c>
      <c r="M282" t="inlineStr"/>
      <c r="N282" t="inlineStr"/>
      <c r="O282" s="1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s="1" t="inlineStr"/>
      <c r="AR282" s="1" t="inlineStr"/>
      <c r="AS282" s="1" t="inlineStr"/>
      <c r="AT282">
        <f>TEXT(BDP($B282,"MATURITY"),"yyyy-mm-dd")</f>
        <v/>
      </c>
      <c r="AU282">
        <f>BDP($B282,"CPN_TYP")</f>
        <v/>
      </c>
      <c r="AV282">
        <f>BDP($B282,"CPN")</f>
        <v/>
      </c>
      <c r="AW282" t="inlineStr"/>
      <c r="AX282" t="inlineStr"/>
      <c r="AY282" t="inlineStr"/>
    </row>
    <row r="283">
      <c r="A283" t="inlineStr">
        <is>
          <t>CHYG</t>
        </is>
      </c>
      <c r="B283" t="inlineStr">
        <is>
          <t>00653VAA9 Corp</t>
        </is>
      </c>
      <c r="C283" s="1" t="inlineStr">
        <is>
          <t>00653VAA9</t>
        </is>
      </c>
      <c r="D283" t="inlineStr">
        <is>
          <t>Adapthealth LLC 6.125% 08/01/2</t>
        </is>
      </c>
      <c r="E283">
        <f>BDP($B283,"LEGAL_ENTITY_IDENTIFIER")</f>
        <v/>
      </c>
      <c r="F283" t="inlineStr">
        <is>
          <t>Adapthealth LLC 6.125% 08/01/2028</t>
        </is>
      </c>
      <c r="G283">
        <f>custodian!D283</f>
        <v/>
      </c>
      <c r="H283">
        <f>BDP($B283,"ID_ISIN")</f>
        <v/>
      </c>
      <c r="I283" s="1" t="inlineStr"/>
      <c r="J283">
        <f>BDP($B283,"CNTRY_OF_DOMICILE")</f>
        <v/>
      </c>
      <c r="K283" t="inlineStr">
        <is>
          <t>DBT</t>
        </is>
      </c>
      <c r="L283" t="inlineStr">
        <is>
          <t>CORP</t>
        </is>
      </c>
      <c r="M283" t="inlineStr"/>
      <c r="N283" t="inlineStr"/>
      <c r="O283" s="1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s="1" t="inlineStr"/>
      <c r="AR283" s="1" t="inlineStr"/>
      <c r="AS283" s="1" t="inlineStr"/>
      <c r="AT283">
        <f>TEXT(BDP($B283,"MATURITY"),"yyyy-mm-dd")</f>
        <v/>
      </c>
      <c r="AU283">
        <f>BDP($B283,"CPN_TYP")</f>
        <v/>
      </c>
      <c r="AV283">
        <f>BDP($B283,"CPN")</f>
        <v/>
      </c>
      <c r="AW283" t="inlineStr"/>
      <c r="AX283" t="inlineStr"/>
      <c r="AY283" t="inlineStr"/>
    </row>
    <row r="284">
      <c r="A284" t="inlineStr">
        <is>
          <t>CHYG</t>
        </is>
      </c>
      <c r="B284" t="inlineStr">
        <is>
          <t>00751YAE6 Corp</t>
        </is>
      </c>
      <c r="C284" s="1" t="inlineStr">
        <is>
          <t>00751YAE6</t>
        </is>
      </c>
      <c r="D284" t="inlineStr">
        <is>
          <t>Advance Auto Parts Inc 3.9% 04</t>
        </is>
      </c>
      <c r="E284">
        <f>BDP($B284,"LEGAL_ENTITY_IDENTIFIER")</f>
        <v/>
      </c>
      <c r="F284" t="inlineStr">
        <is>
          <t>Advance Auto Parts Inc 3.9% 04/15/2030</t>
        </is>
      </c>
      <c r="G284">
        <f>custodian!D284</f>
        <v/>
      </c>
      <c r="H284">
        <f>BDP($B284,"ID_ISIN")</f>
        <v/>
      </c>
      <c r="I284" s="1" t="inlineStr"/>
      <c r="J284">
        <f>BDP($B284,"CNTRY_OF_DOMICILE")</f>
        <v/>
      </c>
      <c r="K284" t="inlineStr">
        <is>
          <t>DBT</t>
        </is>
      </c>
      <c r="L284" t="inlineStr">
        <is>
          <t>CORP</t>
        </is>
      </c>
      <c r="M284" t="inlineStr"/>
      <c r="N284" t="inlineStr"/>
      <c r="O284" s="1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s="1" t="inlineStr"/>
      <c r="AR284" s="1" t="inlineStr"/>
      <c r="AS284" s="1" t="inlineStr"/>
      <c r="AT284">
        <f>TEXT(BDP($B284,"MATURITY"),"yyyy-mm-dd")</f>
        <v/>
      </c>
      <c r="AU284">
        <f>BDP($B284,"CPN_TYP")</f>
        <v/>
      </c>
      <c r="AV284">
        <f>BDP($B284,"CPN")</f>
        <v/>
      </c>
      <c r="AW284" t="inlineStr"/>
      <c r="AX284" t="inlineStr"/>
      <c r="AY284" t="inlineStr"/>
    </row>
    <row r="285">
      <c r="A285" t="inlineStr">
        <is>
          <t>CHYG</t>
        </is>
      </c>
      <c r="B285" t="inlineStr">
        <is>
          <t>013092AG6 Corp</t>
        </is>
      </c>
      <c r="C285" s="1" t="inlineStr">
        <is>
          <t>013092AG6</t>
        </is>
      </c>
      <c r="D285" t="inlineStr">
        <is>
          <t>Albertsons Cos Inc / Safeway I</t>
        </is>
      </c>
      <c r="E285">
        <f>BDP($B285,"LEGAL_ENTITY_IDENTIFIER")</f>
        <v/>
      </c>
      <c r="F285" t="inlineStr">
        <is>
          <t>Albertsons Cos Inc / Safeway Inc / New Albertsons LP / Albertsons LLC 3.5% 03/15/2029</t>
        </is>
      </c>
      <c r="G285">
        <f>custodian!D285</f>
        <v/>
      </c>
      <c r="H285">
        <f>BDP($B285,"ID_ISIN")</f>
        <v/>
      </c>
      <c r="I285" s="1" t="inlineStr"/>
      <c r="J285">
        <f>BDP($B285,"CNTRY_OF_DOMICILE")</f>
        <v/>
      </c>
      <c r="K285" t="inlineStr">
        <is>
          <t>DBT</t>
        </is>
      </c>
      <c r="L285" t="inlineStr">
        <is>
          <t>CORP</t>
        </is>
      </c>
      <c r="M285" t="inlineStr"/>
      <c r="N285" t="inlineStr"/>
      <c r="O285" s="1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s="1" t="inlineStr"/>
      <c r="AR285" s="1" t="inlineStr"/>
      <c r="AS285" s="1" t="inlineStr"/>
      <c r="AT285">
        <f>TEXT(BDP($B285,"MATURITY"),"yyyy-mm-dd")</f>
        <v/>
      </c>
      <c r="AU285">
        <f>BDP($B285,"CPN_TYP")</f>
        <v/>
      </c>
      <c r="AV285">
        <f>BDP($B285,"CPN")</f>
        <v/>
      </c>
      <c r="AW285" t="inlineStr"/>
      <c r="AX285" t="inlineStr"/>
      <c r="AY285" t="inlineStr"/>
    </row>
    <row r="286">
      <c r="A286" t="inlineStr">
        <is>
          <t>CHYG</t>
        </is>
      </c>
      <c r="B286" t="inlineStr">
        <is>
          <t>01330AAA4 Corp</t>
        </is>
      </c>
      <c r="C286" s="1" t="inlineStr">
        <is>
          <t>01330AAA4</t>
        </is>
      </c>
      <c r="D286" t="inlineStr">
        <is>
          <t>Albion Financing 1 SARL / Aggr</t>
        </is>
      </c>
      <c r="E286">
        <f>BDP($B286,"LEGAL_ENTITY_IDENTIFIER")</f>
        <v/>
      </c>
      <c r="F286" t="inlineStr">
        <is>
          <t>Albion Financing 1 SARL / Aggreko Holdings Inc 7% 05/21/2030</t>
        </is>
      </c>
      <c r="G286">
        <f>custodian!D286</f>
        <v/>
      </c>
      <c r="H286">
        <f>BDP($B286,"ID_ISIN")</f>
        <v/>
      </c>
      <c r="I286" s="1" t="inlineStr"/>
      <c r="J286">
        <f>BDP($B286,"CNTRY_OF_DOMICILE")</f>
        <v/>
      </c>
      <c r="K286" t="inlineStr">
        <is>
          <t>DBT</t>
        </is>
      </c>
      <c r="L286" t="inlineStr">
        <is>
          <t>CORP</t>
        </is>
      </c>
      <c r="M286" t="inlineStr"/>
      <c r="N286" t="inlineStr"/>
      <c r="O286" s="1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s="1" t="inlineStr"/>
      <c r="AR286" s="1" t="inlineStr"/>
      <c r="AS286" s="1" t="inlineStr"/>
      <c r="AT286">
        <f>TEXT(BDP($B286,"MATURITY"),"yyyy-mm-dd")</f>
        <v/>
      </c>
      <c r="AU286">
        <f>BDP($B286,"CPN_TYP")</f>
        <v/>
      </c>
      <c r="AV286">
        <f>BDP($B286,"CPN")</f>
        <v/>
      </c>
      <c r="AW286" t="inlineStr"/>
      <c r="AX286" t="inlineStr"/>
      <c r="AY286" t="inlineStr"/>
    </row>
    <row r="287">
      <c r="A287" t="inlineStr">
        <is>
          <t>CHYG</t>
        </is>
      </c>
      <c r="B287" t="inlineStr">
        <is>
          <t>01883LAE3 Corp</t>
        </is>
      </c>
      <c r="C287" s="1" t="inlineStr">
        <is>
          <t>01883LAE3</t>
        </is>
      </c>
      <c r="D287" t="inlineStr">
        <is>
          <t xml:space="preserve">Alliant Holdings Intermediate </t>
        </is>
      </c>
      <c r="E287">
        <f>BDP($B287,"LEGAL_ENTITY_IDENTIFIER")</f>
        <v/>
      </c>
      <c r="F287" t="inlineStr">
        <is>
          <t>Alliant Holdings Intermediate LLC / Alliant Holdings Co-Issuer 6.75% 04/15/2028</t>
        </is>
      </c>
      <c r="G287">
        <f>custodian!D287</f>
        <v/>
      </c>
      <c r="H287">
        <f>BDP($B287,"ID_ISIN")</f>
        <v/>
      </c>
      <c r="I287" s="1" t="inlineStr"/>
      <c r="J287">
        <f>BDP($B287,"CNTRY_OF_DOMICILE")</f>
        <v/>
      </c>
      <c r="K287" t="inlineStr">
        <is>
          <t>DBT</t>
        </is>
      </c>
      <c r="L287" t="inlineStr">
        <is>
          <t>CORP</t>
        </is>
      </c>
      <c r="M287" t="inlineStr"/>
      <c r="N287" t="inlineStr"/>
      <c r="O287" s="1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s="1" t="inlineStr"/>
      <c r="AR287" s="1" t="inlineStr"/>
      <c r="AS287" s="1" t="inlineStr"/>
      <c r="AT287">
        <f>TEXT(BDP($B287,"MATURITY"),"yyyy-mm-dd")</f>
        <v/>
      </c>
      <c r="AU287">
        <f>BDP($B287,"CPN_TYP")</f>
        <v/>
      </c>
      <c r="AV287">
        <f>BDP($B287,"CPN")</f>
        <v/>
      </c>
      <c r="AW287" t="inlineStr"/>
      <c r="AX287" t="inlineStr"/>
      <c r="AY287" t="inlineStr"/>
    </row>
    <row r="288">
      <c r="A288" t="inlineStr">
        <is>
          <t>CHYG</t>
        </is>
      </c>
      <c r="B288" t="inlineStr">
        <is>
          <t>019576AD9 Corp</t>
        </is>
      </c>
      <c r="C288" s="1" t="inlineStr">
        <is>
          <t>019576AD9</t>
        </is>
      </c>
      <c r="D288" t="inlineStr">
        <is>
          <t>Allied Universal Holdco LLC 7.</t>
        </is>
      </c>
      <c r="E288">
        <f>BDP($B288,"LEGAL_ENTITY_IDENTIFIER")</f>
        <v/>
      </c>
      <c r="F288" t="inlineStr">
        <is>
          <t>Allied Universal Holdco LLC 7.875% 02/15/2031</t>
        </is>
      </c>
      <c r="G288">
        <f>custodian!D288</f>
        <v/>
      </c>
      <c r="H288">
        <f>BDP($B288,"ID_ISIN")</f>
        <v/>
      </c>
      <c r="I288" s="1" t="inlineStr"/>
      <c r="J288">
        <f>BDP($B288,"CNTRY_OF_DOMICILE")</f>
        <v/>
      </c>
      <c r="K288" t="inlineStr">
        <is>
          <t>DBT</t>
        </is>
      </c>
      <c r="L288" t="inlineStr">
        <is>
          <t>CORP</t>
        </is>
      </c>
      <c r="M288" t="inlineStr"/>
      <c r="N288" t="inlineStr"/>
      <c r="O288" s="1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s="1" t="inlineStr"/>
      <c r="AR288" s="1" t="inlineStr"/>
      <c r="AS288" s="1" t="inlineStr"/>
      <c r="AT288">
        <f>TEXT(BDP($B288,"MATURITY"),"yyyy-mm-dd")</f>
        <v/>
      </c>
      <c r="AU288">
        <f>BDP($B288,"CPN_TYP")</f>
        <v/>
      </c>
      <c r="AV288">
        <f>BDP($B288,"CPN")</f>
        <v/>
      </c>
      <c r="AW288" t="inlineStr"/>
      <c r="AX288" t="inlineStr"/>
      <c r="AY288" t="inlineStr"/>
    </row>
    <row r="289">
      <c r="A289" t="inlineStr">
        <is>
          <t>CHYG</t>
        </is>
      </c>
      <c r="B289" t="inlineStr">
        <is>
          <t>031921AC3 Corp</t>
        </is>
      </c>
      <c r="C289" s="1" t="inlineStr">
        <is>
          <t>031921AC3</t>
        </is>
      </c>
      <c r="D289" t="inlineStr">
        <is>
          <t>AmWINS Group Inc 6.375% 02/15/</t>
        </is>
      </c>
      <c r="E289">
        <f>BDP($B289,"LEGAL_ENTITY_IDENTIFIER")</f>
        <v/>
      </c>
      <c r="F289" t="inlineStr">
        <is>
          <t>AmWINS Group Inc 6.375% 02/15/2029</t>
        </is>
      </c>
      <c r="G289">
        <f>custodian!D289</f>
        <v/>
      </c>
      <c r="H289">
        <f>BDP($B289,"ID_ISIN")</f>
        <v/>
      </c>
      <c r="I289" s="1" t="inlineStr"/>
      <c r="J289">
        <f>BDP($B289,"CNTRY_OF_DOMICILE")</f>
        <v/>
      </c>
      <c r="K289" t="inlineStr">
        <is>
          <t>DBT</t>
        </is>
      </c>
      <c r="L289" t="inlineStr">
        <is>
          <t>CORP</t>
        </is>
      </c>
      <c r="M289" t="inlineStr"/>
      <c r="N289" t="inlineStr"/>
      <c r="O289" s="1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s="1" t="inlineStr"/>
      <c r="AR289" s="1" t="inlineStr"/>
      <c r="AS289" s="1" t="inlineStr"/>
      <c r="AT289">
        <f>TEXT(BDP($B289,"MATURITY"),"yyyy-mm-dd")</f>
        <v/>
      </c>
      <c r="AU289">
        <f>BDP($B289,"CPN_TYP")</f>
        <v/>
      </c>
      <c r="AV289">
        <f>BDP($B289,"CPN")</f>
        <v/>
      </c>
      <c r="AW289" t="inlineStr"/>
      <c r="AX289" t="inlineStr"/>
      <c r="AY289" t="inlineStr"/>
    </row>
    <row r="290">
      <c r="A290" t="inlineStr">
        <is>
          <t>CHYG</t>
        </is>
      </c>
      <c r="B290" t="inlineStr">
        <is>
          <t>03772CAA1 Corp</t>
        </is>
      </c>
      <c r="C290" s="1" t="inlineStr">
        <is>
          <t>03772CAA1</t>
        </is>
      </c>
      <c r="D290" t="inlineStr">
        <is>
          <t>APLD ComputeCo 2 LLC 6.75% 03/</t>
        </is>
      </c>
      <c r="E290">
        <f>BDP($B290,"LEGAL_ENTITY_IDENTIFIER")</f>
        <v/>
      </c>
      <c r="F290" t="inlineStr">
        <is>
          <t>APLD ComputeCo 2 LLC 6.75% 03/15/2031</t>
        </is>
      </c>
      <c r="G290">
        <f>custodian!D290</f>
        <v/>
      </c>
      <c r="H290">
        <f>BDP($B290,"ID_ISIN")</f>
        <v/>
      </c>
      <c r="I290" s="1" t="inlineStr"/>
      <c r="J290">
        <f>BDP($B290,"CNTRY_OF_DOMICILE")</f>
        <v/>
      </c>
      <c r="K290" t="inlineStr">
        <is>
          <t>DBT</t>
        </is>
      </c>
      <c r="L290" t="inlineStr">
        <is>
          <t>CORP</t>
        </is>
      </c>
      <c r="M290" t="inlineStr"/>
      <c r="N290" t="inlineStr"/>
      <c r="O290" s="1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s="1" t="inlineStr"/>
      <c r="AR290" s="1" t="inlineStr"/>
      <c r="AS290" s="1" t="inlineStr"/>
      <c r="AT290">
        <f>TEXT(BDP($B290,"MATURITY"),"yyyy-mm-dd")</f>
        <v/>
      </c>
      <c r="AU290">
        <f>BDP($B290,"CPN_TYP")</f>
        <v/>
      </c>
      <c r="AV290">
        <f>BDP($B290,"CPN")</f>
        <v/>
      </c>
      <c r="AW290" t="inlineStr"/>
      <c r="AX290" t="inlineStr"/>
      <c r="AY290" t="inlineStr"/>
    </row>
    <row r="291">
      <c r="A291" t="inlineStr">
        <is>
          <t>CHYG</t>
        </is>
      </c>
      <c r="B291" t="inlineStr">
        <is>
          <t>039853AA4 Corp</t>
        </is>
      </c>
      <c r="C291" s="1" t="inlineStr">
        <is>
          <t>039853AA4</t>
        </is>
      </c>
      <c r="D291" t="inlineStr">
        <is>
          <t>Ardonagh Finco Ltd 7.75% 02/15</t>
        </is>
      </c>
      <c r="E291">
        <f>BDP($B291,"LEGAL_ENTITY_IDENTIFIER")</f>
        <v/>
      </c>
      <c r="F291" t="inlineStr">
        <is>
          <t>Ardonagh Finco Ltd 7.75% 02/15/2031</t>
        </is>
      </c>
      <c r="G291">
        <f>custodian!D291</f>
        <v/>
      </c>
      <c r="H291">
        <f>BDP($B291,"ID_ISIN")</f>
        <v/>
      </c>
      <c r="I291" s="1" t="inlineStr"/>
      <c r="J291">
        <f>BDP($B291,"CNTRY_OF_DOMICILE")</f>
        <v/>
      </c>
      <c r="K291" t="inlineStr">
        <is>
          <t>DBT</t>
        </is>
      </c>
      <c r="L291" t="inlineStr">
        <is>
          <t>CORP</t>
        </is>
      </c>
      <c r="M291" t="inlineStr"/>
      <c r="N291" t="inlineStr"/>
      <c r="O291" s="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s="1" t="inlineStr"/>
      <c r="AR291" s="1" t="inlineStr"/>
      <c r="AS291" s="1" t="inlineStr"/>
      <c r="AT291">
        <f>TEXT(BDP($B291,"MATURITY"),"yyyy-mm-dd")</f>
        <v/>
      </c>
      <c r="AU291">
        <f>BDP($B291,"CPN_TYP")</f>
        <v/>
      </c>
      <c r="AV291">
        <f>BDP($B291,"CPN")</f>
        <v/>
      </c>
      <c r="AW291" t="inlineStr"/>
      <c r="AX291" t="inlineStr"/>
      <c r="AY291" t="inlineStr"/>
    </row>
    <row r="292">
      <c r="A292" t="inlineStr">
        <is>
          <t>CHYG</t>
        </is>
      </c>
      <c r="B292" t="inlineStr">
        <is>
          <t>039959AA9 Corp</t>
        </is>
      </c>
      <c r="C292" s="1" t="inlineStr">
        <is>
          <t>039959AA9</t>
        </is>
      </c>
      <c r="D292" t="inlineStr">
        <is>
          <t>Ardagh Group SA 9.5% 12/01/203</t>
        </is>
      </c>
      <c r="E292">
        <f>BDP($B292,"LEGAL_ENTITY_IDENTIFIER")</f>
        <v/>
      </c>
      <c r="F292" t="inlineStr">
        <is>
          <t>Ardagh Group SA 9.5% 12/01/2030</t>
        </is>
      </c>
      <c r="G292">
        <f>custodian!D292</f>
        <v/>
      </c>
      <c r="H292">
        <f>BDP($B292,"ID_ISIN")</f>
        <v/>
      </c>
      <c r="I292" s="1" t="inlineStr"/>
      <c r="J292">
        <f>BDP($B292,"CNTRY_OF_DOMICILE")</f>
        <v/>
      </c>
      <c r="K292" t="inlineStr">
        <is>
          <t>DBT</t>
        </is>
      </c>
      <c r="L292" t="inlineStr">
        <is>
          <t>CORP</t>
        </is>
      </c>
      <c r="M292" t="inlineStr"/>
      <c r="N292" t="inlineStr"/>
      <c r="O292" s="1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s="1" t="inlineStr"/>
      <c r="AR292" s="1" t="inlineStr"/>
      <c r="AS292" s="1" t="inlineStr"/>
      <c r="AT292">
        <f>TEXT(BDP($B292,"MATURITY"),"yyyy-mm-dd")</f>
        <v/>
      </c>
      <c r="AU292">
        <f>BDP($B292,"CPN_TYP")</f>
        <v/>
      </c>
      <c r="AV292">
        <f>BDP($B292,"CPN")</f>
        <v/>
      </c>
      <c r="AW292" t="inlineStr"/>
      <c r="AX292" t="inlineStr"/>
      <c r="AY292" t="inlineStr"/>
    </row>
    <row r="293">
      <c r="A293" t="inlineStr">
        <is>
          <t>CHYG</t>
        </is>
      </c>
      <c r="B293" t="inlineStr">
        <is>
          <t>04288BAB6 Corp</t>
        </is>
      </c>
      <c r="C293" s="1" t="inlineStr">
        <is>
          <t>04288BAB6</t>
        </is>
      </c>
      <c r="D293" t="inlineStr">
        <is>
          <t>Arsenal AIC Parent LLC 8% 10/0</t>
        </is>
      </c>
      <c r="E293">
        <f>BDP($B293,"LEGAL_ENTITY_IDENTIFIER")</f>
        <v/>
      </c>
      <c r="F293" t="inlineStr">
        <is>
          <t>Arsenal AIC Parent LLC 8% 10/01/2030</t>
        </is>
      </c>
      <c r="G293">
        <f>custodian!D293</f>
        <v/>
      </c>
      <c r="H293">
        <f>BDP($B293,"ID_ISIN")</f>
        <v/>
      </c>
      <c r="I293" s="1" t="inlineStr"/>
      <c r="J293">
        <f>BDP($B293,"CNTRY_OF_DOMICILE")</f>
        <v/>
      </c>
      <c r="K293" t="inlineStr">
        <is>
          <t>DBT</t>
        </is>
      </c>
      <c r="L293" t="inlineStr">
        <is>
          <t>CORP</t>
        </is>
      </c>
      <c r="M293" t="inlineStr"/>
      <c r="N293" t="inlineStr"/>
      <c r="O293" s="1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s="1" t="inlineStr"/>
      <c r="AR293" s="1" t="inlineStr"/>
      <c r="AS293" s="1" t="inlineStr"/>
      <c r="AT293">
        <f>TEXT(BDP($B293,"MATURITY"),"yyyy-mm-dd")</f>
        <v/>
      </c>
      <c r="AU293">
        <f>BDP($B293,"CPN_TYP")</f>
        <v/>
      </c>
      <c r="AV293">
        <f>BDP($B293,"CPN")</f>
        <v/>
      </c>
      <c r="AW293" t="inlineStr"/>
      <c r="AX293" t="inlineStr"/>
      <c r="AY293" t="inlineStr"/>
    </row>
    <row r="294">
      <c r="A294" t="inlineStr">
        <is>
          <t>CHYG</t>
        </is>
      </c>
      <c r="B294" t="inlineStr">
        <is>
          <t>045086AP0 Corp</t>
        </is>
      </c>
      <c r="C294" s="1" t="inlineStr">
        <is>
          <t>045086AP0</t>
        </is>
      </c>
      <c r="D294" t="inlineStr">
        <is>
          <t xml:space="preserve">Ashton Woods USA LLC / Ashton </t>
        </is>
      </c>
      <c r="E294">
        <f>BDP($B294,"LEGAL_ENTITY_IDENTIFIER")</f>
        <v/>
      </c>
      <c r="F294" t="inlineStr">
        <is>
          <t>Ashton Woods USA LLC / Ashton Woods Finance Co 4.625% 04/01/2030</t>
        </is>
      </c>
      <c r="G294">
        <f>custodian!D294</f>
        <v/>
      </c>
      <c r="H294">
        <f>BDP($B294,"ID_ISIN")</f>
        <v/>
      </c>
      <c r="I294" s="1" t="inlineStr"/>
      <c r="J294">
        <f>BDP($B294,"CNTRY_OF_DOMICILE")</f>
        <v/>
      </c>
      <c r="K294" t="inlineStr">
        <is>
          <t>DBT</t>
        </is>
      </c>
      <c r="L294" t="inlineStr">
        <is>
          <t>CORP</t>
        </is>
      </c>
      <c r="M294" t="inlineStr"/>
      <c r="N294" t="inlineStr"/>
      <c r="O294" s="1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s="1" t="inlineStr"/>
      <c r="AR294" s="1" t="inlineStr"/>
      <c r="AS294" s="1" t="inlineStr"/>
      <c r="AT294">
        <f>TEXT(BDP($B294,"MATURITY"),"yyyy-mm-dd")</f>
        <v/>
      </c>
      <c r="AU294">
        <f>BDP($B294,"CPN_TYP")</f>
        <v/>
      </c>
      <c r="AV294">
        <f>BDP($B294,"CPN")</f>
        <v/>
      </c>
      <c r="AW294" t="inlineStr"/>
      <c r="AX294" t="inlineStr"/>
      <c r="AY294" t="inlineStr"/>
    </row>
    <row r="295">
      <c r="A295" t="inlineStr">
        <is>
          <t>CHYG</t>
        </is>
      </c>
      <c r="B295" t="inlineStr">
        <is>
          <t>05352TAA7 Corp</t>
        </is>
      </c>
      <c r="C295" s="1" t="inlineStr">
        <is>
          <t>05352TAA7</t>
        </is>
      </c>
      <c r="D295" t="inlineStr">
        <is>
          <t>Avantor Funding Inc 4.625% 07/</t>
        </is>
      </c>
      <c r="E295">
        <f>BDP($B295,"LEGAL_ENTITY_IDENTIFIER")</f>
        <v/>
      </c>
      <c r="F295" t="inlineStr">
        <is>
          <t>Avantor Funding Inc 4.625% 07/15/2028</t>
        </is>
      </c>
      <c r="G295">
        <f>custodian!D295</f>
        <v/>
      </c>
      <c r="H295">
        <f>BDP($B295,"ID_ISIN")</f>
        <v/>
      </c>
      <c r="I295" s="1" t="inlineStr"/>
      <c r="J295">
        <f>BDP($B295,"CNTRY_OF_DOMICILE")</f>
        <v/>
      </c>
      <c r="K295" t="inlineStr">
        <is>
          <t>DBT</t>
        </is>
      </c>
      <c r="L295" t="inlineStr">
        <is>
          <t>CORP</t>
        </is>
      </c>
      <c r="M295" t="inlineStr"/>
      <c r="N295" t="inlineStr"/>
      <c r="O295" s="1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s="1" t="inlineStr"/>
      <c r="AR295" s="1" t="inlineStr"/>
      <c r="AS295" s="1" t="inlineStr"/>
      <c r="AT295">
        <f>TEXT(BDP($B295,"MATURITY"),"yyyy-mm-dd")</f>
        <v/>
      </c>
      <c r="AU295">
        <f>BDP($B295,"CPN_TYP")</f>
        <v/>
      </c>
      <c r="AV295">
        <f>BDP($B295,"CPN")</f>
        <v/>
      </c>
      <c r="AW295" t="inlineStr"/>
      <c r="AX295" t="inlineStr"/>
      <c r="AY295" t="inlineStr"/>
    </row>
    <row r="296">
      <c r="A296" t="inlineStr">
        <is>
          <t>CHYG</t>
        </is>
      </c>
      <c r="B296" t="inlineStr">
        <is>
          <t>058498AW6 Corp</t>
        </is>
      </c>
      <c r="C296" s="1" t="inlineStr">
        <is>
          <t>058498AW6</t>
        </is>
      </c>
      <c r="D296" t="inlineStr">
        <is>
          <t>Ball Corp 2.875% 08/15/2030</t>
        </is>
      </c>
      <c r="E296">
        <f>BDP($B296,"LEGAL_ENTITY_IDENTIFIER")</f>
        <v/>
      </c>
      <c r="F296" t="inlineStr">
        <is>
          <t>Ball Corp 2.875% 08/15/2030</t>
        </is>
      </c>
      <c r="G296">
        <f>custodian!D296</f>
        <v/>
      </c>
      <c r="H296">
        <f>BDP($B296,"ID_ISIN")</f>
        <v/>
      </c>
      <c r="I296" s="1" t="inlineStr"/>
      <c r="J296">
        <f>BDP($B296,"CNTRY_OF_DOMICILE")</f>
        <v/>
      </c>
      <c r="K296" t="inlineStr">
        <is>
          <t>DBT</t>
        </is>
      </c>
      <c r="L296" t="inlineStr">
        <is>
          <t>CORP</t>
        </is>
      </c>
      <c r="M296" t="inlineStr"/>
      <c r="N296" t="inlineStr"/>
      <c r="O296" s="1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s="1" t="inlineStr"/>
      <c r="AR296" s="1" t="inlineStr"/>
      <c r="AS296" s="1" t="inlineStr"/>
      <c r="AT296">
        <f>TEXT(BDP($B296,"MATURITY"),"yyyy-mm-dd")</f>
        <v/>
      </c>
      <c r="AU296">
        <f>BDP($B296,"CPN_TYP")</f>
        <v/>
      </c>
      <c r="AV296">
        <f>BDP($B296,"CPN")</f>
        <v/>
      </c>
      <c r="AW296" t="inlineStr"/>
      <c r="AX296" t="inlineStr"/>
      <c r="AY296" t="inlineStr"/>
    </row>
    <row r="297">
      <c r="A297" t="inlineStr">
        <is>
          <t>CHYG</t>
        </is>
      </c>
      <c r="B297" t="inlineStr">
        <is>
          <t>060335AB2 Corp</t>
        </is>
      </c>
      <c r="C297" s="1" t="inlineStr">
        <is>
          <t>060335AB2</t>
        </is>
      </c>
      <c r="D297" t="inlineStr">
        <is>
          <t>Banijay Entertainment SAS 8.12</t>
        </is>
      </c>
      <c r="E297">
        <f>BDP($B297,"LEGAL_ENTITY_IDENTIFIER")</f>
        <v/>
      </c>
      <c r="F297" t="inlineStr">
        <is>
          <t>Banijay Entertainment SAS 8.125% 05/01/2029</t>
        </is>
      </c>
      <c r="G297">
        <f>custodian!D297</f>
        <v/>
      </c>
      <c r="H297">
        <f>BDP($B297,"ID_ISIN")</f>
        <v/>
      </c>
      <c r="I297" s="1" t="inlineStr"/>
      <c r="J297">
        <f>BDP($B297,"CNTRY_OF_DOMICILE")</f>
        <v/>
      </c>
      <c r="K297" t="inlineStr">
        <is>
          <t>DBT</t>
        </is>
      </c>
      <c r="L297" t="inlineStr">
        <is>
          <t>CORP</t>
        </is>
      </c>
      <c r="M297" t="inlineStr"/>
      <c r="N297" t="inlineStr"/>
      <c r="O297" s="1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s="1" t="inlineStr"/>
      <c r="AR297" s="1" t="inlineStr"/>
      <c r="AS297" s="1" t="inlineStr"/>
      <c r="AT297">
        <f>TEXT(BDP($B297,"MATURITY"),"yyyy-mm-dd")</f>
        <v/>
      </c>
      <c r="AU297">
        <f>BDP($B297,"CPN_TYP")</f>
        <v/>
      </c>
      <c r="AV297">
        <f>BDP($B297,"CPN")</f>
        <v/>
      </c>
      <c r="AW297" t="inlineStr"/>
      <c r="AX297" t="inlineStr"/>
      <c r="AY297" t="inlineStr"/>
    </row>
    <row r="298">
      <c r="A298" t="inlineStr">
        <is>
          <t>CHYG</t>
        </is>
      </c>
      <c r="B298" t="inlineStr">
        <is>
          <t>07831CAA1 Corp</t>
        </is>
      </c>
      <c r="C298" s="1" t="inlineStr">
        <is>
          <t>07831CAA1</t>
        </is>
      </c>
      <c r="D298" t="inlineStr">
        <is>
          <t>BellRing Brands Inc 7% 03/15/2</t>
        </is>
      </c>
      <c r="E298">
        <f>BDP($B298,"LEGAL_ENTITY_IDENTIFIER")</f>
        <v/>
      </c>
      <c r="F298" t="inlineStr">
        <is>
          <t>BellRing Brands Inc 7% 03/15/2030</t>
        </is>
      </c>
      <c r="G298">
        <f>custodian!D298</f>
        <v/>
      </c>
      <c r="H298">
        <f>BDP($B298,"ID_ISIN")</f>
        <v/>
      </c>
      <c r="I298" s="1" t="inlineStr"/>
      <c r="J298">
        <f>BDP($B298,"CNTRY_OF_DOMICILE")</f>
        <v/>
      </c>
      <c r="K298" t="inlineStr">
        <is>
          <t>DBT</t>
        </is>
      </c>
      <c r="L298" t="inlineStr">
        <is>
          <t>CORP</t>
        </is>
      </c>
      <c r="M298" t="inlineStr"/>
      <c r="N298" t="inlineStr"/>
      <c r="O298" s="1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s="1" t="inlineStr"/>
      <c r="AR298" s="1" t="inlineStr"/>
      <c r="AS298" s="1" t="inlineStr"/>
      <c r="AT298">
        <f>TEXT(BDP($B298,"MATURITY"),"yyyy-mm-dd")</f>
        <v/>
      </c>
      <c r="AU298">
        <f>BDP($B298,"CPN_TYP")</f>
        <v/>
      </c>
      <c r="AV298">
        <f>BDP($B298,"CPN")</f>
        <v/>
      </c>
      <c r="AW298" t="inlineStr"/>
      <c r="AX298" t="inlineStr"/>
      <c r="AY298" t="inlineStr"/>
    </row>
    <row r="299">
      <c r="A299" t="inlineStr">
        <is>
          <t>CHYG</t>
        </is>
      </c>
      <c r="B299" t="inlineStr">
        <is>
          <t>080782AA3 Corp</t>
        </is>
      </c>
      <c r="C299" s="1" t="inlineStr">
        <is>
          <t>080782AA3</t>
        </is>
      </c>
      <c r="D299" t="inlineStr">
        <is>
          <t>Belron UK Finance PLC 5.75% 10</t>
        </is>
      </c>
      <c r="E299">
        <f>BDP($B299,"LEGAL_ENTITY_IDENTIFIER")</f>
        <v/>
      </c>
      <c r="F299" t="inlineStr">
        <is>
          <t>Belron UK Finance PLC 5.75% 10/15/2029</t>
        </is>
      </c>
      <c r="G299">
        <f>custodian!D299</f>
        <v/>
      </c>
      <c r="H299">
        <f>BDP($B299,"ID_ISIN")</f>
        <v/>
      </c>
      <c r="I299" s="1" t="inlineStr"/>
      <c r="J299">
        <f>BDP($B299,"CNTRY_OF_DOMICILE")</f>
        <v/>
      </c>
      <c r="K299" t="inlineStr">
        <is>
          <t>DBT</t>
        </is>
      </c>
      <c r="L299" t="inlineStr">
        <is>
          <t>CORP</t>
        </is>
      </c>
      <c r="M299" t="inlineStr"/>
      <c r="N299" t="inlineStr"/>
      <c r="O299" s="1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s="1" t="inlineStr"/>
      <c r="AR299" s="1" t="inlineStr"/>
      <c r="AS299" s="1" t="inlineStr"/>
      <c r="AT299">
        <f>TEXT(BDP($B299,"MATURITY"),"yyyy-mm-dd")</f>
        <v/>
      </c>
      <c r="AU299">
        <f>BDP($B299,"CPN_TYP")</f>
        <v/>
      </c>
      <c r="AV299">
        <f>BDP($B299,"CPN")</f>
        <v/>
      </c>
      <c r="AW299" t="inlineStr"/>
      <c r="AX299" t="inlineStr"/>
      <c r="AY299" t="inlineStr"/>
    </row>
    <row r="300">
      <c r="A300" t="inlineStr">
        <is>
          <t>CHYG</t>
        </is>
      </c>
      <c r="B300" t="inlineStr">
        <is>
          <t>09216NAA8 Corp</t>
        </is>
      </c>
      <c r="C300" s="1" t="inlineStr">
        <is>
          <t>09216NAA8</t>
        </is>
      </c>
      <c r="D300" t="inlineStr">
        <is>
          <t>Black Pearl Compute LLC 6.125%</t>
        </is>
      </c>
      <c r="E300">
        <f>BDP($B300,"LEGAL_ENTITY_IDENTIFIER")</f>
        <v/>
      </c>
      <c r="F300" t="inlineStr">
        <is>
          <t>Black Pearl Compute LLC 6.125% 02/15/2031</t>
        </is>
      </c>
      <c r="G300">
        <f>custodian!D300</f>
        <v/>
      </c>
      <c r="H300">
        <f>BDP($B300,"ID_ISIN")</f>
        <v/>
      </c>
      <c r="I300" s="1" t="inlineStr"/>
      <c r="J300">
        <f>BDP($B300,"CNTRY_OF_DOMICILE")</f>
        <v/>
      </c>
      <c r="K300" t="inlineStr">
        <is>
          <t>DBT</t>
        </is>
      </c>
      <c r="L300" t="inlineStr">
        <is>
          <t>CORP</t>
        </is>
      </c>
      <c r="M300" t="inlineStr"/>
      <c r="N300" t="inlineStr"/>
      <c r="O300" s="1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s="1" t="inlineStr"/>
      <c r="AR300" s="1" t="inlineStr"/>
      <c r="AS300" s="1" t="inlineStr"/>
      <c r="AT300">
        <f>TEXT(BDP($B300,"MATURITY"),"yyyy-mm-dd")</f>
        <v/>
      </c>
      <c r="AU300">
        <f>BDP($B300,"CPN_TYP")</f>
        <v/>
      </c>
      <c r="AV300">
        <f>BDP($B300,"CPN")</f>
        <v/>
      </c>
      <c r="AW300" t="inlineStr"/>
      <c r="AX300" t="inlineStr"/>
      <c r="AY300" t="inlineStr"/>
    </row>
    <row r="301">
      <c r="A301" t="inlineStr">
        <is>
          <t>CHYG</t>
        </is>
      </c>
      <c r="B301" t="inlineStr">
        <is>
          <t>097751CA7 Corp</t>
        </is>
      </c>
      <c r="C301" s="1" t="inlineStr">
        <is>
          <t>097751CA7</t>
        </is>
      </c>
      <c r="D301" t="inlineStr">
        <is>
          <t>Bombardier Inc 8.75% 11/15/203</t>
        </is>
      </c>
      <c r="E301">
        <f>BDP($B301,"LEGAL_ENTITY_IDENTIFIER")</f>
        <v/>
      </c>
      <c r="F301" t="inlineStr">
        <is>
          <t>Bombardier Inc 8.75% 11/15/2030</t>
        </is>
      </c>
      <c r="G301">
        <f>custodian!D301</f>
        <v/>
      </c>
      <c r="H301">
        <f>BDP($B301,"ID_ISIN")</f>
        <v/>
      </c>
      <c r="I301" s="1" t="inlineStr"/>
      <c r="J301">
        <f>BDP($B301,"CNTRY_OF_DOMICILE")</f>
        <v/>
      </c>
      <c r="K301" t="inlineStr">
        <is>
          <t>DBT</t>
        </is>
      </c>
      <c r="L301" t="inlineStr">
        <is>
          <t>CORP</t>
        </is>
      </c>
      <c r="M301" t="inlineStr"/>
      <c r="N301" t="inlineStr"/>
      <c r="O301" s="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s="1" t="inlineStr"/>
      <c r="AR301" s="1" t="inlineStr"/>
      <c r="AS301" s="1" t="inlineStr"/>
      <c r="AT301">
        <f>TEXT(BDP($B301,"MATURITY"),"yyyy-mm-dd")</f>
        <v/>
      </c>
      <c r="AU301">
        <f>BDP($B301,"CPN_TYP")</f>
        <v/>
      </c>
      <c r="AV301">
        <f>BDP($B301,"CPN")</f>
        <v/>
      </c>
      <c r="AW301" t="inlineStr"/>
      <c r="AX301" t="inlineStr"/>
      <c r="AY301" t="inlineStr"/>
    </row>
    <row r="302">
      <c r="A302" t="inlineStr">
        <is>
          <t>CHYG</t>
        </is>
      </c>
      <c r="B302" t="inlineStr">
        <is>
          <t>10637BAA3 Corp</t>
        </is>
      </c>
      <c r="C302" s="1" t="inlineStr">
        <is>
          <t>10637BAA3</t>
        </is>
      </c>
      <c r="D302" t="inlineStr">
        <is>
          <t>Breakwater Energy Holdings Sar</t>
        </is>
      </c>
      <c r="E302">
        <f>BDP($B302,"LEGAL_ENTITY_IDENTIFIER")</f>
        <v/>
      </c>
      <c r="F302" t="inlineStr">
        <is>
          <t>Breakwater Energy Holdings Sarl 9.25% 11/15/2030</t>
        </is>
      </c>
      <c r="G302">
        <f>custodian!D302</f>
        <v/>
      </c>
      <c r="H302">
        <f>BDP($B302,"ID_ISIN")</f>
        <v/>
      </c>
      <c r="I302" s="1" t="inlineStr"/>
      <c r="J302">
        <f>BDP($B302,"CNTRY_OF_DOMICILE")</f>
        <v/>
      </c>
      <c r="K302" t="inlineStr">
        <is>
          <t>DBT</t>
        </is>
      </c>
      <c r="L302" t="inlineStr">
        <is>
          <t>CORP</t>
        </is>
      </c>
      <c r="M302" t="inlineStr"/>
      <c r="N302" t="inlineStr"/>
      <c r="O302" s="1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s="1" t="inlineStr"/>
      <c r="AR302" s="1" t="inlineStr"/>
      <c r="AS302" s="1" t="inlineStr"/>
      <c r="AT302">
        <f>TEXT(BDP($B302,"MATURITY"),"yyyy-mm-dd")</f>
        <v/>
      </c>
      <c r="AU302">
        <f>BDP($B302,"CPN_TYP")</f>
        <v/>
      </c>
      <c r="AV302">
        <f>BDP($B302,"CPN")</f>
        <v/>
      </c>
      <c r="AW302" t="inlineStr"/>
      <c r="AX302" t="inlineStr"/>
      <c r="AY302" t="inlineStr"/>
    </row>
    <row r="303">
      <c r="A303" t="inlineStr">
        <is>
          <t>CHYG</t>
        </is>
      </c>
      <c r="B303" t="inlineStr">
        <is>
          <t>118230AU5 Corp</t>
        </is>
      </c>
      <c r="C303" s="1" t="inlineStr">
        <is>
          <t>118230AU5</t>
        </is>
      </c>
      <c r="D303" t="inlineStr">
        <is>
          <t>Buckeye Partners LP 4.5% 03/01</t>
        </is>
      </c>
      <c r="E303">
        <f>BDP($B303,"LEGAL_ENTITY_IDENTIFIER")</f>
        <v/>
      </c>
      <c r="F303" t="inlineStr">
        <is>
          <t>Buckeye Partners LP 4.5% 03/01/2028</t>
        </is>
      </c>
      <c r="G303">
        <f>custodian!D303</f>
        <v/>
      </c>
      <c r="H303">
        <f>BDP($B303,"ID_ISIN")</f>
        <v/>
      </c>
      <c r="I303" s="1" t="inlineStr"/>
      <c r="J303">
        <f>BDP($B303,"CNTRY_OF_DOMICILE")</f>
        <v/>
      </c>
      <c r="K303" t="inlineStr">
        <is>
          <t>DBT</t>
        </is>
      </c>
      <c r="L303" t="inlineStr">
        <is>
          <t>CORP</t>
        </is>
      </c>
      <c r="M303" t="inlineStr"/>
      <c r="N303" t="inlineStr"/>
      <c r="O303" s="1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s="1" t="inlineStr"/>
      <c r="AR303" s="1" t="inlineStr"/>
      <c r="AS303" s="1" t="inlineStr"/>
      <c r="AT303">
        <f>TEXT(BDP($B303,"MATURITY"),"yyyy-mm-dd")</f>
        <v/>
      </c>
      <c r="AU303">
        <f>BDP($B303,"CPN_TYP")</f>
        <v/>
      </c>
      <c r="AV303">
        <f>BDP($B303,"CPN")</f>
        <v/>
      </c>
      <c r="AW303" t="inlineStr"/>
      <c r="AX303" t="inlineStr"/>
      <c r="AY303" t="inlineStr"/>
    </row>
    <row r="304">
      <c r="A304" t="inlineStr">
        <is>
          <t>CHYG</t>
        </is>
      </c>
      <c r="B304" t="inlineStr">
        <is>
          <t>1248EPBX0 Corp</t>
        </is>
      </c>
      <c r="C304" s="1" t="inlineStr">
        <is>
          <t>1248EPBX0</t>
        </is>
      </c>
      <c r="D304" t="inlineStr">
        <is>
          <t>CCO Holdings LLC / CCO Holding</t>
        </is>
      </c>
      <c r="E304">
        <f>BDP($B304,"LEGAL_ENTITY_IDENTIFIER")</f>
        <v/>
      </c>
      <c r="F304" t="inlineStr">
        <is>
          <t>CCO Holdings LLC / CCO Holdings Capital Corp 5% 02/01/2028</t>
        </is>
      </c>
      <c r="G304">
        <f>custodian!D304</f>
        <v/>
      </c>
      <c r="H304">
        <f>BDP($B304,"ID_ISIN")</f>
        <v/>
      </c>
      <c r="I304" s="1" t="inlineStr"/>
      <c r="J304">
        <f>BDP($B304,"CNTRY_OF_DOMICILE")</f>
        <v/>
      </c>
      <c r="K304" t="inlineStr">
        <is>
          <t>DBT</t>
        </is>
      </c>
      <c r="L304" t="inlineStr">
        <is>
          <t>CORP</t>
        </is>
      </c>
      <c r="M304" t="inlineStr"/>
      <c r="N304" t="inlineStr"/>
      <c r="O304" s="1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s="1" t="inlineStr"/>
      <c r="AR304" s="1" t="inlineStr"/>
      <c r="AS304" s="1" t="inlineStr"/>
      <c r="AT304">
        <f>TEXT(BDP($B304,"MATURITY"),"yyyy-mm-dd")</f>
        <v/>
      </c>
      <c r="AU304">
        <f>BDP($B304,"CPN_TYP")</f>
        <v/>
      </c>
      <c r="AV304">
        <f>BDP($B304,"CPN")</f>
        <v/>
      </c>
      <c r="AW304" t="inlineStr"/>
      <c r="AX304" t="inlineStr"/>
      <c r="AY304" t="inlineStr"/>
    </row>
    <row r="305">
      <c r="A305" t="inlineStr">
        <is>
          <t>CHYG</t>
        </is>
      </c>
      <c r="B305" t="inlineStr">
        <is>
          <t>12543DBH2 Corp</t>
        </is>
      </c>
      <c r="C305" s="1" t="inlineStr">
        <is>
          <t>12543DBH2</t>
        </is>
      </c>
      <c r="D305" t="inlineStr">
        <is>
          <t>CHS/Community Health Systems I</t>
        </is>
      </c>
      <c r="E305">
        <f>BDP($B305,"LEGAL_ENTITY_IDENTIFIER")</f>
        <v/>
      </c>
      <c r="F305" t="inlineStr">
        <is>
          <t>CHS/Community Health Systems Inc 6% 01/15/2029</t>
        </is>
      </c>
      <c r="G305">
        <f>custodian!D305</f>
        <v/>
      </c>
      <c r="H305">
        <f>BDP($B305,"ID_ISIN")</f>
        <v/>
      </c>
      <c r="I305" s="1" t="inlineStr"/>
      <c r="J305">
        <f>BDP($B305,"CNTRY_OF_DOMICILE")</f>
        <v/>
      </c>
      <c r="K305" t="inlineStr">
        <is>
          <t>DBT</t>
        </is>
      </c>
      <c r="L305" t="inlineStr">
        <is>
          <t>CORP</t>
        </is>
      </c>
      <c r="M305" t="inlineStr"/>
      <c r="N305" t="inlineStr"/>
      <c r="O305" s="1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s="1" t="inlineStr"/>
      <c r="AR305" s="1" t="inlineStr"/>
      <c r="AS305" s="1" t="inlineStr"/>
      <c r="AT305">
        <f>TEXT(BDP($B305,"MATURITY"),"yyyy-mm-dd")</f>
        <v/>
      </c>
      <c r="AU305">
        <f>BDP($B305,"CPN_TYP")</f>
        <v/>
      </c>
      <c r="AV305">
        <f>BDP($B305,"CPN")</f>
        <v/>
      </c>
      <c r="AW305" t="inlineStr"/>
      <c r="AX305" t="inlineStr"/>
      <c r="AY305" t="inlineStr"/>
    </row>
    <row r="306">
      <c r="A306" t="inlineStr">
        <is>
          <t>CHYG</t>
        </is>
      </c>
      <c r="B306" t="inlineStr">
        <is>
          <t>12662PAH1 Corp</t>
        </is>
      </c>
      <c r="C306" s="1" t="inlineStr">
        <is>
          <t>12662PAH1</t>
        </is>
      </c>
      <c r="D306" t="inlineStr">
        <is>
          <t>CVR Energy Inc 7.5% 02/15/2031</t>
        </is>
      </c>
      <c r="E306">
        <f>BDP($B306,"LEGAL_ENTITY_IDENTIFIER")</f>
        <v/>
      </c>
      <c r="F306" t="inlineStr">
        <is>
          <t>CVR Energy Inc 7.5% 02/15/2031</t>
        </is>
      </c>
      <c r="G306">
        <f>custodian!D306</f>
        <v/>
      </c>
      <c r="H306">
        <f>BDP($B306,"ID_ISIN")</f>
        <v/>
      </c>
      <c r="I306" s="1" t="inlineStr"/>
      <c r="J306">
        <f>BDP($B306,"CNTRY_OF_DOMICILE")</f>
        <v/>
      </c>
      <c r="K306" t="inlineStr">
        <is>
          <t>DBT</t>
        </is>
      </c>
      <c r="L306" t="inlineStr">
        <is>
          <t>CORP</t>
        </is>
      </c>
      <c r="M306" t="inlineStr"/>
      <c r="N306" t="inlineStr"/>
      <c r="O306" s="1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s="1" t="inlineStr"/>
      <c r="AR306" s="1" t="inlineStr"/>
      <c r="AS306" s="1" t="inlineStr"/>
      <c r="AT306">
        <f>TEXT(BDP($B306,"MATURITY"),"yyyy-mm-dd")</f>
        <v/>
      </c>
      <c r="AU306">
        <f>BDP($B306,"CPN_TYP")</f>
        <v/>
      </c>
      <c r="AV306">
        <f>BDP($B306,"CPN")</f>
        <v/>
      </c>
      <c r="AW306" t="inlineStr"/>
      <c r="AX306" t="inlineStr"/>
      <c r="AY306" t="inlineStr"/>
    </row>
    <row r="307">
      <c r="A307" t="inlineStr">
        <is>
          <t>CHYG</t>
        </is>
      </c>
      <c r="B307" t="inlineStr">
        <is>
          <t>126650EH9 Corp</t>
        </is>
      </c>
      <c r="C307" s="1" t="inlineStr">
        <is>
          <t>126650EH9</t>
        </is>
      </c>
      <c r="D307" t="inlineStr">
        <is>
          <t>CVS Health Corp 7% 03/10/2055</t>
        </is>
      </c>
      <c r="E307">
        <f>BDP($B307,"LEGAL_ENTITY_IDENTIFIER")</f>
        <v/>
      </c>
      <c r="F307" t="inlineStr">
        <is>
          <t>CVS Health Corp 7% 03/10/2055</t>
        </is>
      </c>
      <c r="G307">
        <f>custodian!D307</f>
        <v/>
      </c>
      <c r="H307">
        <f>BDP($B307,"ID_ISIN")</f>
        <v/>
      </c>
      <c r="I307" s="1" t="inlineStr"/>
      <c r="J307">
        <f>BDP($B307,"CNTRY_OF_DOMICILE")</f>
        <v/>
      </c>
      <c r="K307" t="inlineStr">
        <is>
          <t>DBT</t>
        </is>
      </c>
      <c r="L307" t="inlineStr">
        <is>
          <t>CORP</t>
        </is>
      </c>
      <c r="M307" t="inlineStr"/>
      <c r="N307" t="inlineStr"/>
      <c r="O307" s="1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s="1" t="inlineStr"/>
      <c r="AR307" s="1" t="inlineStr"/>
      <c r="AS307" s="1" t="inlineStr"/>
      <c r="AT307">
        <f>TEXT(BDP($B307,"MATURITY"),"yyyy-mm-dd")</f>
        <v/>
      </c>
      <c r="AU307">
        <f>BDP($B307,"CPN_TYP")</f>
        <v/>
      </c>
      <c r="AV307">
        <f>BDP($B307,"CPN")</f>
        <v/>
      </c>
      <c r="AW307" t="inlineStr"/>
      <c r="AX307" t="inlineStr"/>
      <c r="AY307" t="inlineStr"/>
    </row>
    <row r="308">
      <c r="A308" t="inlineStr">
        <is>
          <t>CHYG</t>
        </is>
      </c>
      <c r="B308" t="inlineStr">
        <is>
          <t>131477BA8 Corp</t>
        </is>
      </c>
      <c r="C308" s="1" t="inlineStr">
        <is>
          <t>131477BA8</t>
        </is>
      </c>
      <c r="D308" t="inlineStr">
        <is>
          <t>Calumet Specialty Products Par</t>
        </is>
      </c>
      <c r="E308">
        <f>BDP($B308,"LEGAL_ENTITY_IDENTIFIER")</f>
        <v/>
      </c>
      <c r="F308" t="inlineStr">
        <is>
          <t>Calumet Specialty Products Partners LP / Calumet Finance Corp 9.75% 02/15/2031</t>
        </is>
      </c>
      <c r="G308">
        <f>custodian!D308</f>
        <v/>
      </c>
      <c r="H308">
        <f>BDP($B308,"ID_ISIN")</f>
        <v/>
      </c>
      <c r="I308" s="1" t="inlineStr"/>
      <c r="J308">
        <f>BDP($B308,"CNTRY_OF_DOMICILE")</f>
        <v/>
      </c>
      <c r="K308" t="inlineStr">
        <is>
          <t>DBT</t>
        </is>
      </c>
      <c r="L308" t="inlineStr">
        <is>
          <t>CORP</t>
        </is>
      </c>
      <c r="M308" t="inlineStr"/>
      <c r="N308" t="inlineStr"/>
      <c r="O308" s="1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s="1" t="inlineStr"/>
      <c r="AR308" s="1" t="inlineStr"/>
      <c r="AS308" s="1" t="inlineStr"/>
      <c r="AT308">
        <f>TEXT(BDP($B308,"MATURITY"),"yyyy-mm-dd")</f>
        <v/>
      </c>
      <c r="AU308">
        <f>BDP($B308,"CPN_TYP")</f>
        <v/>
      </c>
      <c r="AV308">
        <f>BDP($B308,"CPN")</f>
        <v/>
      </c>
      <c r="AW308" t="inlineStr"/>
      <c r="AX308" t="inlineStr"/>
      <c r="AY308" t="inlineStr"/>
    </row>
    <row r="309">
      <c r="A309" t="inlineStr">
        <is>
          <t>CHYG</t>
        </is>
      </c>
      <c r="B309" t="inlineStr">
        <is>
          <t>140944AA7 Corp</t>
        </is>
      </c>
      <c r="C309" s="1" t="inlineStr">
        <is>
          <t>140944AA7</t>
        </is>
      </c>
      <c r="D309" t="inlineStr">
        <is>
          <t>Capstone Borrower Inc 8% 06/15</t>
        </is>
      </c>
      <c r="E309">
        <f>BDP($B309,"LEGAL_ENTITY_IDENTIFIER")</f>
        <v/>
      </c>
      <c r="F309" t="inlineStr">
        <is>
          <t>Capstone Borrower Inc 8% 06/15/2030</t>
        </is>
      </c>
      <c r="G309">
        <f>custodian!D309</f>
        <v/>
      </c>
      <c r="H309">
        <f>BDP($B309,"ID_ISIN")</f>
        <v/>
      </c>
      <c r="I309" s="1" t="inlineStr"/>
      <c r="J309">
        <f>BDP($B309,"CNTRY_OF_DOMICILE")</f>
        <v/>
      </c>
      <c r="K309" t="inlineStr">
        <is>
          <t>DBT</t>
        </is>
      </c>
      <c r="L309" t="inlineStr">
        <is>
          <t>CORP</t>
        </is>
      </c>
      <c r="M309" t="inlineStr"/>
      <c r="N309" t="inlineStr"/>
      <c r="O309" s="1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s="1" t="inlineStr"/>
      <c r="AR309" s="1" t="inlineStr"/>
      <c r="AS309" s="1" t="inlineStr"/>
      <c r="AT309">
        <f>TEXT(BDP($B309,"MATURITY"),"yyyy-mm-dd")</f>
        <v/>
      </c>
      <c r="AU309">
        <f>BDP($B309,"CPN_TYP")</f>
        <v/>
      </c>
      <c r="AV309">
        <f>BDP($B309,"CPN")</f>
        <v/>
      </c>
      <c r="AW309" t="inlineStr"/>
      <c r="AX309" t="inlineStr"/>
      <c r="AY309" t="inlineStr"/>
    </row>
    <row r="310">
      <c r="A310" t="inlineStr">
        <is>
          <t>CHYG</t>
        </is>
      </c>
      <c r="B310" t="inlineStr">
        <is>
          <t>143658CB6 Corp</t>
        </is>
      </c>
      <c r="C310" s="1" t="inlineStr">
        <is>
          <t>143658CB6</t>
        </is>
      </c>
      <c r="D310" t="inlineStr">
        <is>
          <t>Carnival Corp Ltd 5.125% 05/01</t>
        </is>
      </c>
      <c r="E310">
        <f>BDP($B310,"LEGAL_ENTITY_IDENTIFIER")</f>
        <v/>
      </c>
      <c r="F310" t="inlineStr">
        <is>
          <t>Carnival Corp Ltd 5.125% 05/01/2029</t>
        </is>
      </c>
      <c r="G310">
        <f>custodian!D310</f>
        <v/>
      </c>
      <c r="H310">
        <f>BDP($B310,"ID_ISIN")</f>
        <v/>
      </c>
      <c r="I310" s="1" t="inlineStr"/>
      <c r="J310">
        <f>BDP($B310,"CNTRY_OF_DOMICILE")</f>
        <v/>
      </c>
      <c r="K310" t="inlineStr">
        <is>
          <t>DBT</t>
        </is>
      </c>
      <c r="L310" t="inlineStr">
        <is>
          <t>CORP</t>
        </is>
      </c>
      <c r="M310" t="inlineStr"/>
      <c r="N310" t="inlineStr"/>
      <c r="O310" s="1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s="1" t="inlineStr"/>
      <c r="AR310" s="1" t="inlineStr"/>
      <c r="AS310" s="1" t="inlineStr"/>
      <c r="AT310">
        <f>TEXT(BDP($B310,"MATURITY"),"yyyy-mm-dd")</f>
        <v/>
      </c>
      <c r="AU310">
        <f>BDP($B310,"CPN_TYP")</f>
        <v/>
      </c>
      <c r="AV310">
        <f>BDP($B310,"CPN")</f>
        <v/>
      </c>
      <c r="AW310" t="inlineStr"/>
      <c r="AX310" t="inlineStr"/>
      <c r="AY310" t="inlineStr"/>
    </row>
    <row r="311">
      <c r="A311" t="inlineStr">
        <is>
          <t>CHYG</t>
        </is>
      </c>
      <c r="B311" t="inlineStr">
        <is>
          <t>15089QAW4 Corp</t>
        </is>
      </c>
      <c r="C311" s="1" t="inlineStr">
        <is>
          <t>15089QAW4</t>
        </is>
      </c>
      <c r="D311" t="inlineStr">
        <is>
          <t>Celanese US Holdings LLC 6.85%</t>
        </is>
      </c>
      <c r="E311">
        <f>BDP($B311,"LEGAL_ENTITY_IDENTIFIER")</f>
        <v/>
      </c>
      <c r="F311" t="inlineStr">
        <is>
          <t>Celanese US Holdings LLC 6.85% 11/15/2028</t>
        </is>
      </c>
      <c r="G311">
        <f>custodian!D311</f>
        <v/>
      </c>
      <c r="H311">
        <f>BDP($B311,"ID_ISIN")</f>
        <v/>
      </c>
      <c r="I311" s="1" t="inlineStr"/>
      <c r="J311">
        <f>BDP($B311,"CNTRY_OF_DOMICILE")</f>
        <v/>
      </c>
      <c r="K311" t="inlineStr">
        <is>
          <t>DBT</t>
        </is>
      </c>
      <c r="L311" t="inlineStr">
        <is>
          <t>CORP</t>
        </is>
      </c>
      <c r="M311" t="inlineStr"/>
      <c r="N311" t="inlineStr"/>
      <c r="O311" s="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s="1" t="inlineStr"/>
      <c r="AR311" s="1" t="inlineStr"/>
      <c r="AS311" s="1" t="inlineStr"/>
      <c r="AT311">
        <f>TEXT(BDP($B311,"MATURITY"),"yyyy-mm-dd")</f>
        <v/>
      </c>
      <c r="AU311">
        <f>BDP($B311,"CPN_TYP")</f>
        <v/>
      </c>
      <c r="AV311">
        <f>BDP($B311,"CPN")</f>
        <v/>
      </c>
      <c r="AW311" t="inlineStr"/>
      <c r="AX311" t="inlineStr"/>
      <c r="AY311" t="inlineStr"/>
    </row>
    <row r="312">
      <c r="A312" t="inlineStr">
        <is>
          <t>CHYG</t>
        </is>
      </c>
      <c r="B312" t="inlineStr">
        <is>
          <t>15135BAT8 Corp</t>
        </is>
      </c>
      <c r="C312" s="1" t="inlineStr">
        <is>
          <t>15135BAT8</t>
        </is>
      </c>
      <c r="D312" t="inlineStr">
        <is>
          <t>Centene Corp 4.625% 12/15/2029</t>
        </is>
      </c>
      <c r="E312">
        <f>BDP($B312,"LEGAL_ENTITY_IDENTIFIER")</f>
        <v/>
      </c>
      <c r="F312" t="inlineStr">
        <is>
          <t>Centene Corp 4.625% 12/15/2029</t>
        </is>
      </c>
      <c r="G312">
        <f>custodian!D312</f>
        <v/>
      </c>
      <c r="H312">
        <f>BDP($B312,"ID_ISIN")</f>
        <v/>
      </c>
      <c r="I312" s="1" t="inlineStr"/>
      <c r="J312">
        <f>BDP($B312,"CNTRY_OF_DOMICILE")</f>
        <v/>
      </c>
      <c r="K312" t="inlineStr">
        <is>
          <t>DBT</t>
        </is>
      </c>
      <c r="L312" t="inlineStr">
        <is>
          <t>CORP</t>
        </is>
      </c>
      <c r="M312" t="inlineStr"/>
      <c r="N312" t="inlineStr"/>
      <c r="O312" s="1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s="1" t="inlineStr"/>
      <c r="AR312" s="1" t="inlineStr"/>
      <c r="AS312" s="1" t="inlineStr"/>
      <c r="AT312">
        <f>TEXT(BDP($B312,"MATURITY"),"yyyy-mm-dd")</f>
        <v/>
      </c>
      <c r="AU312">
        <f>BDP($B312,"CPN_TYP")</f>
        <v/>
      </c>
      <c r="AV312">
        <f>BDP($B312,"CPN")</f>
        <v/>
      </c>
      <c r="AW312" t="inlineStr"/>
      <c r="AX312" t="inlineStr"/>
      <c r="AY312" t="inlineStr"/>
    </row>
    <row r="313">
      <c r="A313" t="inlineStr">
        <is>
          <t>CHYG</t>
        </is>
      </c>
      <c r="B313" t="inlineStr">
        <is>
          <t>156686AM9 Corp</t>
        </is>
      </c>
      <c r="C313" s="1" t="inlineStr">
        <is>
          <t>156686AM9</t>
        </is>
      </c>
      <c r="D313" t="inlineStr">
        <is>
          <t xml:space="preserve">Lumen Technologies Inc 6.875% </t>
        </is>
      </c>
      <c r="E313">
        <f>BDP($B313,"LEGAL_ENTITY_IDENTIFIER")</f>
        <v/>
      </c>
      <c r="F313" t="inlineStr">
        <is>
          <t>Lumen Technologies Inc 6.875% 01/15/2028</t>
        </is>
      </c>
      <c r="G313">
        <f>custodian!D313</f>
        <v/>
      </c>
      <c r="H313">
        <f>BDP($B313,"ID_ISIN")</f>
        <v/>
      </c>
      <c r="I313" s="1" t="inlineStr"/>
      <c r="J313">
        <f>BDP($B313,"CNTRY_OF_DOMICILE")</f>
        <v/>
      </c>
      <c r="K313" t="inlineStr">
        <is>
          <t>DBT</t>
        </is>
      </c>
      <c r="L313" t="inlineStr">
        <is>
          <t>CORP</t>
        </is>
      </c>
      <c r="M313" t="inlineStr"/>
      <c r="N313" t="inlineStr"/>
      <c r="O313" s="1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s="1" t="inlineStr"/>
      <c r="AR313" s="1" t="inlineStr"/>
      <c r="AS313" s="1" t="inlineStr"/>
      <c r="AT313">
        <f>TEXT(BDP($B313,"MATURITY"),"yyyy-mm-dd")</f>
        <v/>
      </c>
      <c r="AU313">
        <f>BDP($B313,"CPN_TYP")</f>
        <v/>
      </c>
      <c r="AV313">
        <f>BDP($B313,"CPN")</f>
        <v/>
      </c>
      <c r="AW313" t="inlineStr"/>
      <c r="AX313" t="inlineStr"/>
      <c r="AY313" t="inlineStr"/>
    </row>
    <row r="314">
      <c r="A314" t="inlineStr">
        <is>
          <t>CHYG</t>
        </is>
      </c>
      <c r="B314" t="inlineStr">
        <is>
          <t>172441BF3 Corp</t>
        </is>
      </c>
      <c r="C314" s="1" t="inlineStr">
        <is>
          <t>172441BF3</t>
        </is>
      </c>
      <c r="D314" t="inlineStr">
        <is>
          <t>Cinemark USA Inc 5.25% 07/15/2</t>
        </is>
      </c>
      <c r="E314">
        <f>BDP($B314,"LEGAL_ENTITY_IDENTIFIER")</f>
        <v/>
      </c>
      <c r="F314" t="inlineStr">
        <is>
          <t>Cinemark USA Inc 5.25% 07/15/2028</t>
        </is>
      </c>
      <c r="G314">
        <f>custodian!D314</f>
        <v/>
      </c>
      <c r="H314">
        <f>BDP($B314,"ID_ISIN")</f>
        <v/>
      </c>
      <c r="I314" s="1" t="inlineStr"/>
      <c r="J314">
        <f>BDP($B314,"CNTRY_OF_DOMICILE")</f>
        <v/>
      </c>
      <c r="K314" t="inlineStr">
        <is>
          <t>DBT</t>
        </is>
      </c>
      <c r="L314" t="inlineStr">
        <is>
          <t>CORP</t>
        </is>
      </c>
      <c r="M314" t="inlineStr"/>
      <c r="N314" t="inlineStr"/>
      <c r="O314" s="1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s="1" t="inlineStr"/>
      <c r="AR314" s="1" t="inlineStr"/>
      <c r="AS314" s="1" t="inlineStr"/>
      <c r="AT314">
        <f>TEXT(BDP($B314,"MATURITY"),"yyyy-mm-dd")</f>
        <v/>
      </c>
      <c r="AU314">
        <f>BDP($B314,"CPN_TYP")</f>
        <v/>
      </c>
      <c r="AV314">
        <f>BDP($B314,"CPN")</f>
        <v/>
      </c>
      <c r="AW314" t="inlineStr"/>
      <c r="AX314" t="inlineStr"/>
      <c r="AY314" t="inlineStr"/>
    </row>
    <row r="315">
      <c r="A315" t="inlineStr">
        <is>
          <t>CHYG</t>
        </is>
      </c>
      <c r="B315" t="inlineStr">
        <is>
          <t>17302XAN6 Corp</t>
        </is>
      </c>
      <c r="C315" s="1" t="inlineStr">
        <is>
          <t>17302XAN6</t>
        </is>
      </c>
      <c r="D315" t="inlineStr">
        <is>
          <t>CITGO Petroleum Corp 8.375% 01</t>
        </is>
      </c>
      <c r="E315">
        <f>BDP($B315,"LEGAL_ENTITY_IDENTIFIER")</f>
        <v/>
      </c>
      <c r="F315" t="inlineStr">
        <is>
          <t>CITGO Petroleum Corp 8.375% 01/15/2029</t>
        </is>
      </c>
      <c r="G315">
        <f>custodian!D315</f>
        <v/>
      </c>
      <c r="H315">
        <f>BDP($B315,"ID_ISIN")</f>
        <v/>
      </c>
      <c r="I315" s="1" t="inlineStr"/>
      <c r="J315">
        <f>BDP($B315,"CNTRY_OF_DOMICILE")</f>
        <v/>
      </c>
      <c r="K315" t="inlineStr">
        <is>
          <t>DBT</t>
        </is>
      </c>
      <c r="L315" t="inlineStr">
        <is>
          <t>CORP</t>
        </is>
      </c>
      <c r="M315" t="inlineStr"/>
      <c r="N315" t="inlineStr"/>
      <c r="O315" s="1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s="1" t="inlineStr"/>
      <c r="AR315" s="1" t="inlineStr"/>
      <c r="AS315" s="1" t="inlineStr"/>
      <c r="AT315">
        <f>TEXT(BDP($B315,"MATURITY"),"yyyy-mm-dd")</f>
        <v/>
      </c>
      <c r="AU315">
        <f>BDP($B315,"CPN_TYP")</f>
        <v/>
      </c>
      <c r="AV315">
        <f>BDP($B315,"CPN")</f>
        <v/>
      </c>
      <c r="AW315" t="inlineStr"/>
      <c r="AX315" t="inlineStr"/>
      <c r="AY315" t="inlineStr"/>
    </row>
    <row r="316">
      <c r="A316" t="inlineStr">
        <is>
          <t>CHYG</t>
        </is>
      </c>
      <c r="B316" t="inlineStr">
        <is>
          <t>18064PAD1 Corp</t>
        </is>
      </c>
      <c r="C316" s="1" t="inlineStr">
        <is>
          <t>18064PAD1</t>
        </is>
      </c>
      <c r="D316" t="inlineStr">
        <is>
          <t>Clarivate Science Holdings Cor</t>
        </is>
      </c>
      <c r="E316">
        <f>BDP($B316,"LEGAL_ENTITY_IDENTIFIER")</f>
        <v/>
      </c>
      <c r="F316" t="inlineStr">
        <is>
          <t>Clarivate Science Holdings Corp 4.875% 07/01/2029</t>
        </is>
      </c>
      <c r="G316">
        <f>custodian!D316</f>
        <v/>
      </c>
      <c r="H316">
        <f>BDP($B316,"ID_ISIN")</f>
        <v/>
      </c>
      <c r="I316" s="1" t="inlineStr"/>
      <c r="J316">
        <f>BDP($B316,"CNTRY_OF_DOMICILE")</f>
        <v/>
      </c>
      <c r="K316" t="inlineStr">
        <is>
          <t>DBT</t>
        </is>
      </c>
      <c r="L316" t="inlineStr">
        <is>
          <t>CORP</t>
        </is>
      </c>
      <c r="M316" t="inlineStr"/>
      <c r="N316" t="inlineStr"/>
      <c r="O316" s="1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s="1" t="inlineStr"/>
      <c r="AR316" s="1" t="inlineStr"/>
      <c r="AS316" s="1" t="inlineStr"/>
      <c r="AT316">
        <f>TEXT(BDP($B316,"MATURITY"),"yyyy-mm-dd")</f>
        <v/>
      </c>
      <c r="AU316">
        <f>BDP($B316,"CPN_TYP")</f>
        <v/>
      </c>
      <c r="AV316">
        <f>BDP($B316,"CPN")</f>
        <v/>
      </c>
      <c r="AW316" t="inlineStr"/>
      <c r="AX316" t="inlineStr"/>
      <c r="AY316" t="inlineStr"/>
    </row>
    <row r="317">
      <c r="A317" t="inlineStr">
        <is>
          <t>CHYG</t>
        </is>
      </c>
      <c r="B317" t="inlineStr">
        <is>
          <t>18453HAF3 Corp</t>
        </is>
      </c>
      <c r="C317" s="1" t="inlineStr">
        <is>
          <t>18453HAF3</t>
        </is>
      </c>
      <c r="D317" t="inlineStr">
        <is>
          <t>Clear Channel Outdoor Holdings</t>
        </is>
      </c>
      <c r="E317">
        <f>BDP($B317,"LEGAL_ENTITY_IDENTIFIER")</f>
        <v/>
      </c>
      <c r="F317" t="inlineStr">
        <is>
          <t>Clear Channel Outdoor Holdings Inc 7.875% 04/01/2030</t>
        </is>
      </c>
      <c r="G317">
        <f>custodian!D317</f>
        <v/>
      </c>
      <c r="H317">
        <f>BDP($B317,"ID_ISIN")</f>
        <v/>
      </c>
      <c r="I317" s="1" t="inlineStr"/>
      <c r="J317">
        <f>BDP($B317,"CNTRY_OF_DOMICILE")</f>
        <v/>
      </c>
      <c r="K317" t="inlineStr">
        <is>
          <t>DBT</t>
        </is>
      </c>
      <c r="L317" t="inlineStr">
        <is>
          <t>CORP</t>
        </is>
      </c>
      <c r="M317" t="inlineStr"/>
      <c r="N317" t="inlineStr"/>
      <c r="O317" s="1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s="1" t="inlineStr"/>
      <c r="AR317" s="1" t="inlineStr"/>
      <c r="AS317" s="1" t="inlineStr"/>
      <c r="AT317">
        <f>TEXT(BDP($B317,"MATURITY"),"yyyy-mm-dd")</f>
        <v/>
      </c>
      <c r="AU317">
        <f>BDP($B317,"CPN_TYP")</f>
        <v/>
      </c>
      <c r="AV317">
        <f>BDP($B317,"CPN")</f>
        <v/>
      </c>
      <c r="AW317" t="inlineStr"/>
      <c r="AX317" t="inlineStr"/>
      <c r="AY317" t="inlineStr"/>
    </row>
    <row r="318">
      <c r="A318" t="inlineStr">
        <is>
          <t>CHYG</t>
        </is>
      </c>
      <c r="B318" t="inlineStr">
        <is>
          <t>185899AN1 Corp</t>
        </is>
      </c>
      <c r="C318" s="1" t="inlineStr">
        <is>
          <t>185899AN1</t>
        </is>
      </c>
      <c r="D318" t="inlineStr">
        <is>
          <t>Cleveland-Cliffs Inc 6.75% 04/</t>
        </is>
      </c>
      <c r="E318">
        <f>BDP($B318,"LEGAL_ENTITY_IDENTIFIER")</f>
        <v/>
      </c>
      <c r="F318" t="inlineStr">
        <is>
          <t>Cleveland-Cliffs Inc 6.75% 04/15/2030</t>
        </is>
      </c>
      <c r="G318">
        <f>custodian!D318</f>
        <v/>
      </c>
      <c r="H318">
        <f>BDP($B318,"ID_ISIN")</f>
        <v/>
      </c>
      <c r="I318" s="1" t="inlineStr"/>
      <c r="J318">
        <f>BDP($B318,"CNTRY_OF_DOMICILE")</f>
        <v/>
      </c>
      <c r="K318" t="inlineStr">
        <is>
          <t>DBT</t>
        </is>
      </c>
      <c r="L318" t="inlineStr">
        <is>
          <t>CORP</t>
        </is>
      </c>
      <c r="M318" t="inlineStr"/>
      <c r="N318" t="inlineStr"/>
      <c r="O318" s="1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s="1" t="inlineStr"/>
      <c r="AR318" s="1" t="inlineStr"/>
      <c r="AS318" s="1" t="inlineStr"/>
      <c r="AT318">
        <f>TEXT(BDP($B318,"MATURITY"),"yyyy-mm-dd")</f>
        <v/>
      </c>
      <c r="AU318">
        <f>BDP($B318,"CPN_TYP")</f>
        <v/>
      </c>
      <c r="AV318">
        <f>BDP($B318,"CPN")</f>
        <v/>
      </c>
      <c r="AW318" t="inlineStr"/>
      <c r="AX318" t="inlineStr"/>
      <c r="AY318" t="inlineStr"/>
    </row>
    <row r="319">
      <c r="A319" t="inlineStr">
        <is>
          <t>CHYG</t>
        </is>
      </c>
      <c r="B319" t="inlineStr">
        <is>
          <t>18912UAA0 Corp</t>
        </is>
      </c>
      <c r="C319" s="1" t="inlineStr">
        <is>
          <t>18912UAA0</t>
        </is>
      </c>
      <c r="D319" t="inlineStr">
        <is>
          <t>Cloud Software Group Inc 9% 09</t>
        </is>
      </c>
      <c r="E319">
        <f>BDP($B319,"LEGAL_ENTITY_IDENTIFIER")</f>
        <v/>
      </c>
      <c r="F319" t="inlineStr">
        <is>
          <t>Cloud Software Group Inc 9% 09/30/2029</t>
        </is>
      </c>
      <c r="G319">
        <f>custodian!D319</f>
        <v/>
      </c>
      <c r="H319">
        <f>BDP($B319,"ID_ISIN")</f>
        <v/>
      </c>
      <c r="I319" s="1" t="inlineStr"/>
      <c r="J319">
        <f>BDP($B319,"CNTRY_OF_DOMICILE")</f>
        <v/>
      </c>
      <c r="K319" t="inlineStr">
        <is>
          <t>DBT</t>
        </is>
      </c>
      <c r="L319" t="inlineStr">
        <is>
          <t>CORP</t>
        </is>
      </c>
      <c r="M319" t="inlineStr"/>
      <c r="N319" t="inlineStr"/>
      <c r="O319" s="1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s="1" t="inlineStr"/>
      <c r="AR319" s="1" t="inlineStr"/>
      <c r="AS319" s="1" t="inlineStr"/>
      <c r="AT319">
        <f>TEXT(BDP($B319,"MATURITY"),"yyyy-mm-dd")</f>
        <v/>
      </c>
      <c r="AU319">
        <f>BDP($B319,"CPN_TYP")</f>
        <v/>
      </c>
      <c r="AV319">
        <f>BDP($B319,"CPN")</f>
        <v/>
      </c>
      <c r="AW319" t="inlineStr"/>
      <c r="AX319" t="inlineStr"/>
      <c r="AY319" t="inlineStr"/>
    </row>
    <row r="320">
      <c r="A320" t="inlineStr">
        <is>
          <t>CHYG</t>
        </is>
      </c>
      <c r="B320" t="inlineStr">
        <is>
          <t>18972EAB1 Corp</t>
        </is>
      </c>
      <c r="C320" s="1" t="inlineStr">
        <is>
          <t>18972EAB1</t>
        </is>
      </c>
      <c r="D320" t="inlineStr">
        <is>
          <t>Clydesdale Acquisition Holding</t>
        </is>
      </c>
      <c r="E320">
        <f>BDP($B320,"LEGAL_ENTITY_IDENTIFIER")</f>
        <v/>
      </c>
      <c r="F320" t="inlineStr">
        <is>
          <t>Clydesdale Acquisition Holdings Inc 8.75% 04/15/2030</t>
        </is>
      </c>
      <c r="G320">
        <f>custodian!D320</f>
        <v/>
      </c>
      <c r="H320">
        <f>BDP($B320,"ID_ISIN")</f>
        <v/>
      </c>
      <c r="I320" s="1" t="inlineStr"/>
      <c r="J320">
        <f>BDP($B320,"CNTRY_OF_DOMICILE")</f>
        <v/>
      </c>
      <c r="K320" t="inlineStr">
        <is>
          <t>DBT</t>
        </is>
      </c>
      <c r="L320" t="inlineStr">
        <is>
          <t>CORP</t>
        </is>
      </c>
      <c r="M320" t="inlineStr"/>
      <c r="N320" t="inlineStr"/>
      <c r="O320" s="1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s="1" t="inlineStr"/>
      <c r="AR320" s="1" t="inlineStr"/>
      <c r="AS320" s="1" t="inlineStr"/>
      <c r="AT320">
        <f>TEXT(BDP($B320,"MATURITY"),"yyyy-mm-dd")</f>
        <v/>
      </c>
      <c r="AU320">
        <f>BDP($B320,"CPN_TYP")</f>
        <v/>
      </c>
      <c r="AV320">
        <f>BDP($B320,"CPN")</f>
        <v/>
      </c>
      <c r="AW320" t="inlineStr"/>
      <c r="AX320" t="inlineStr"/>
      <c r="AY320" t="inlineStr"/>
    </row>
    <row r="321">
      <c r="A321" t="inlineStr">
        <is>
          <t>CHYG</t>
        </is>
      </c>
      <c r="B321" t="inlineStr">
        <is>
          <t>20752TAB0 Corp</t>
        </is>
      </c>
      <c r="C321" s="1" t="inlineStr">
        <is>
          <t>20752TAB0</t>
        </is>
      </c>
      <c r="D321" t="inlineStr">
        <is>
          <t>Connect Finco SARL / Connect U</t>
        </is>
      </c>
      <c r="E321">
        <f>BDP($B321,"LEGAL_ENTITY_IDENTIFIER")</f>
        <v/>
      </c>
      <c r="F321" t="inlineStr">
        <is>
          <t>Connect Finco SARL / Connect US Finco LLC 9% 09/15/2029</t>
        </is>
      </c>
      <c r="G321">
        <f>custodian!D321</f>
        <v/>
      </c>
      <c r="H321">
        <f>BDP($B321,"ID_ISIN")</f>
        <v/>
      </c>
      <c r="I321" s="1" t="inlineStr"/>
      <c r="J321">
        <f>BDP($B321,"CNTRY_OF_DOMICILE")</f>
        <v/>
      </c>
      <c r="K321" t="inlineStr">
        <is>
          <t>DBT</t>
        </is>
      </c>
      <c r="L321" t="inlineStr">
        <is>
          <t>CORP</t>
        </is>
      </c>
      <c r="M321" t="inlineStr"/>
      <c r="N321" t="inlineStr"/>
      <c r="O321" s="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s="1" t="inlineStr"/>
      <c r="AR321" s="1" t="inlineStr"/>
      <c r="AS321" s="1" t="inlineStr"/>
      <c r="AT321">
        <f>TEXT(BDP($B321,"MATURITY"),"yyyy-mm-dd")</f>
        <v/>
      </c>
      <c r="AU321">
        <f>BDP($B321,"CPN_TYP")</f>
        <v/>
      </c>
      <c r="AV321">
        <f>BDP($B321,"CPN")</f>
        <v/>
      </c>
      <c r="AW321" t="inlineStr"/>
      <c r="AX321" t="inlineStr"/>
      <c r="AY321" t="inlineStr"/>
    </row>
    <row r="322">
      <c r="A322" t="inlineStr">
        <is>
          <t>CHYG</t>
        </is>
      </c>
      <c r="B322" t="inlineStr">
        <is>
          <t>20753PAD3 Corp</t>
        </is>
      </c>
      <c r="C322" s="1" t="inlineStr">
        <is>
          <t>20753PAD3</t>
        </is>
      </c>
      <c r="D322" t="inlineStr">
        <is>
          <t>Connect Holding II LLC 10.5% 0</t>
        </is>
      </c>
      <c r="E322">
        <f>BDP($B322,"LEGAL_ENTITY_IDENTIFIER")</f>
        <v/>
      </c>
      <c r="F322" t="inlineStr">
        <is>
          <t>Connect Holding II LLC 10.5% 04/03/2031</t>
        </is>
      </c>
      <c r="G322">
        <f>custodian!D322</f>
        <v/>
      </c>
      <c r="H322">
        <f>BDP($B322,"ID_ISIN")</f>
        <v/>
      </c>
      <c r="I322" s="1" t="inlineStr"/>
      <c r="J322">
        <f>BDP($B322,"CNTRY_OF_DOMICILE")</f>
        <v/>
      </c>
      <c r="K322" t="inlineStr">
        <is>
          <t>DBT</t>
        </is>
      </c>
      <c r="L322" t="inlineStr">
        <is>
          <t>CORP</t>
        </is>
      </c>
      <c r="M322" t="inlineStr"/>
      <c r="N322" t="inlineStr"/>
      <c r="O322" s="1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s="1" t="inlineStr"/>
      <c r="AR322" s="1" t="inlineStr"/>
      <c r="AS322" s="1" t="inlineStr"/>
      <c r="AT322">
        <f>TEXT(BDP($B322,"MATURITY"),"yyyy-mm-dd")</f>
        <v/>
      </c>
      <c r="AU322">
        <f>BDP($B322,"CPN_TYP")</f>
        <v/>
      </c>
      <c r="AV322">
        <f>BDP($B322,"CPN")</f>
        <v/>
      </c>
      <c r="AW322" t="inlineStr"/>
      <c r="AX322" t="inlineStr"/>
      <c r="AY322" t="inlineStr"/>
    </row>
    <row r="323">
      <c r="A323" t="inlineStr">
        <is>
          <t>CHYG</t>
        </is>
      </c>
      <c r="B323" t="inlineStr">
        <is>
          <t>20848VAB1 Corp</t>
        </is>
      </c>
      <c r="C323" s="1" t="inlineStr">
        <is>
          <t>20848VAB1</t>
        </is>
      </c>
      <c r="D323" t="inlineStr">
        <is>
          <t xml:space="preserve">Consensus Cloud Solutions Inc </t>
        </is>
      </c>
      <c r="E323">
        <f>BDP($B323,"LEGAL_ENTITY_IDENTIFIER")</f>
        <v/>
      </c>
      <c r="F323" t="inlineStr">
        <is>
          <t>Consensus Cloud Solutions Inc 6.5% 10/15/2028</t>
        </is>
      </c>
      <c r="G323">
        <f>custodian!D323</f>
        <v/>
      </c>
      <c r="H323">
        <f>BDP($B323,"ID_ISIN")</f>
        <v/>
      </c>
      <c r="I323" s="1" t="inlineStr"/>
      <c r="J323">
        <f>BDP($B323,"CNTRY_OF_DOMICILE")</f>
        <v/>
      </c>
      <c r="K323" t="inlineStr">
        <is>
          <t>DBT</t>
        </is>
      </c>
      <c r="L323" t="inlineStr">
        <is>
          <t>CORP</t>
        </is>
      </c>
      <c r="M323" t="inlineStr"/>
      <c r="N323" t="inlineStr"/>
      <c r="O323" s="1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s="1" t="inlineStr"/>
      <c r="AR323" s="1" t="inlineStr"/>
      <c r="AS323" s="1" t="inlineStr"/>
      <c r="AT323">
        <f>TEXT(BDP($B323,"MATURITY"),"yyyy-mm-dd")</f>
        <v/>
      </c>
      <c r="AU323">
        <f>BDP($B323,"CPN_TYP")</f>
        <v/>
      </c>
      <c r="AV323">
        <f>BDP($B323,"CPN")</f>
        <v/>
      </c>
      <c r="AW323" t="inlineStr"/>
      <c r="AX323" t="inlineStr"/>
      <c r="AY323" t="inlineStr"/>
    </row>
    <row r="324">
      <c r="A324" t="inlineStr">
        <is>
          <t>CHYG</t>
        </is>
      </c>
      <c r="B324" t="inlineStr">
        <is>
          <t>21873SAB4 Corp</t>
        </is>
      </c>
      <c r="C324" s="1" t="inlineStr">
        <is>
          <t>21873SAB4</t>
        </is>
      </c>
      <c r="D324" t="inlineStr">
        <is>
          <t>CoreWeave Inc 9.25% 06/01/2030</t>
        </is>
      </c>
      <c r="E324">
        <f>BDP($B324,"LEGAL_ENTITY_IDENTIFIER")</f>
        <v/>
      </c>
      <c r="F324" t="inlineStr">
        <is>
          <t>CoreWeave Inc 9.25% 06/01/2030</t>
        </is>
      </c>
      <c r="G324">
        <f>custodian!D324</f>
        <v/>
      </c>
      <c r="H324">
        <f>BDP($B324,"ID_ISIN")</f>
        <v/>
      </c>
      <c r="I324" s="1" t="inlineStr"/>
      <c r="J324">
        <f>BDP($B324,"CNTRY_OF_DOMICILE")</f>
        <v/>
      </c>
      <c r="K324" t="inlineStr">
        <is>
          <t>DBT</t>
        </is>
      </c>
      <c r="L324" t="inlineStr">
        <is>
          <t>CORP</t>
        </is>
      </c>
      <c r="M324" t="inlineStr"/>
      <c r="N324" t="inlineStr"/>
      <c r="O324" s="1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s="1" t="inlineStr"/>
      <c r="AR324" s="1" t="inlineStr"/>
      <c r="AS324" s="1" t="inlineStr"/>
      <c r="AT324">
        <f>TEXT(BDP($B324,"MATURITY"),"yyyy-mm-dd")</f>
        <v/>
      </c>
      <c r="AU324">
        <f>BDP($B324,"CPN_TYP")</f>
        <v/>
      </c>
      <c r="AV324">
        <f>BDP($B324,"CPN")</f>
        <v/>
      </c>
      <c r="AW324" t="inlineStr"/>
      <c r="AX324" t="inlineStr"/>
      <c r="AY324" t="inlineStr"/>
    </row>
    <row r="325">
      <c r="A325" t="inlineStr">
        <is>
          <t>CHYG</t>
        </is>
      </c>
      <c r="B325" t="inlineStr">
        <is>
          <t>21874LAA0 Corp</t>
        </is>
      </c>
      <c r="C325" s="1" t="inlineStr">
        <is>
          <t>21874LAA0</t>
        </is>
      </c>
      <c r="D325" t="inlineStr">
        <is>
          <t xml:space="preserve">Core Scientific Finance I LLC </t>
        </is>
      </c>
      <c r="E325">
        <f>BDP($B325,"LEGAL_ENTITY_IDENTIFIER")</f>
        <v/>
      </c>
      <c r="F325" t="inlineStr">
        <is>
          <t>Core Scientific Finance I LLC 7.75% 05/15/2031</t>
        </is>
      </c>
      <c r="G325">
        <f>custodian!D325</f>
        <v/>
      </c>
      <c r="H325">
        <f>BDP($B325,"ID_ISIN")</f>
        <v/>
      </c>
      <c r="I325" s="1" t="inlineStr"/>
      <c r="J325">
        <f>BDP($B325,"CNTRY_OF_DOMICILE")</f>
        <v/>
      </c>
      <c r="K325" t="inlineStr">
        <is>
          <t>DBT</t>
        </is>
      </c>
      <c r="L325" t="inlineStr">
        <is>
          <t>CORP</t>
        </is>
      </c>
      <c r="M325" t="inlineStr"/>
      <c r="N325" t="inlineStr"/>
      <c r="O325" s="1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s="1" t="inlineStr"/>
      <c r="AR325" s="1" t="inlineStr"/>
      <c r="AS325" s="1" t="inlineStr"/>
      <c r="AT325">
        <f>TEXT(BDP($B325,"MATURITY"),"yyyy-mm-dd")</f>
        <v/>
      </c>
      <c r="AU325">
        <f>BDP($B325,"CPN_TYP")</f>
        <v/>
      </c>
      <c r="AV325">
        <f>BDP($B325,"CPN")</f>
        <v/>
      </c>
      <c r="AW325" t="inlineStr"/>
      <c r="AX325" t="inlineStr"/>
      <c r="AY325" t="inlineStr"/>
    </row>
    <row r="326">
      <c r="A326" t="inlineStr">
        <is>
          <t>CHYG</t>
        </is>
      </c>
      <c r="B326" t="inlineStr">
        <is>
          <t>227046AA7 Corp</t>
        </is>
      </c>
      <c r="C326" s="1" t="inlineStr">
        <is>
          <t>227046AA7</t>
        </is>
      </c>
      <c r="D326" t="inlineStr">
        <is>
          <t>Crocs Inc 4.25% 03/15/2029</t>
        </is>
      </c>
      <c r="E326">
        <f>BDP($B326,"LEGAL_ENTITY_IDENTIFIER")</f>
        <v/>
      </c>
      <c r="F326" t="inlineStr">
        <is>
          <t>Crocs Inc 4.25% 03/15/2029</t>
        </is>
      </c>
      <c r="G326">
        <f>custodian!D326</f>
        <v/>
      </c>
      <c r="H326">
        <f>BDP($B326,"ID_ISIN")</f>
        <v/>
      </c>
      <c r="I326" s="1" t="inlineStr"/>
      <c r="J326">
        <f>BDP($B326,"CNTRY_OF_DOMICILE")</f>
        <v/>
      </c>
      <c r="K326" t="inlineStr">
        <is>
          <t>DBT</t>
        </is>
      </c>
      <c r="L326" t="inlineStr">
        <is>
          <t>CORP</t>
        </is>
      </c>
      <c r="M326" t="inlineStr"/>
      <c r="N326" t="inlineStr"/>
      <c r="O326" s="1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s="1" t="inlineStr"/>
      <c r="AR326" s="1" t="inlineStr"/>
      <c r="AS326" s="1" t="inlineStr"/>
      <c r="AT326">
        <f>TEXT(BDP($B326,"MATURITY"),"yyyy-mm-dd")</f>
        <v/>
      </c>
      <c r="AU326">
        <f>BDP($B326,"CPN_TYP")</f>
        <v/>
      </c>
      <c r="AV326">
        <f>BDP($B326,"CPN")</f>
        <v/>
      </c>
      <c r="AW326" t="inlineStr"/>
      <c r="AX326" t="inlineStr"/>
      <c r="AY326" t="inlineStr"/>
    </row>
    <row r="327">
      <c r="A327" t="inlineStr">
        <is>
          <t>CHYG</t>
        </is>
      </c>
      <c r="B327" t="inlineStr">
        <is>
          <t>23292NAA6 Corp</t>
        </is>
      </c>
      <c r="C327" s="1" t="inlineStr">
        <is>
          <t>23292NAA6</t>
        </is>
      </c>
      <c r="D327" t="inlineStr">
        <is>
          <t>Cyprium Corp / Cyprium Holding</t>
        </is>
      </c>
      <c r="E327">
        <f>BDP($B327,"LEGAL_ENTITY_IDENTIFIER")</f>
        <v/>
      </c>
      <c r="F327" t="inlineStr">
        <is>
          <t>Cyprium Corp / Cyprium Holdings Luxembourg Sarl 6.125% 04/15/2031</t>
        </is>
      </c>
      <c r="G327">
        <f>custodian!D327</f>
        <v/>
      </c>
      <c r="H327">
        <f>BDP($B327,"ID_ISIN")</f>
        <v/>
      </c>
      <c r="I327" s="1" t="inlineStr"/>
      <c r="J327">
        <f>BDP($B327,"CNTRY_OF_DOMICILE")</f>
        <v/>
      </c>
      <c r="K327" t="inlineStr">
        <is>
          <t>DBT</t>
        </is>
      </c>
      <c r="L327" t="inlineStr">
        <is>
          <t>CORP</t>
        </is>
      </c>
      <c r="M327" t="inlineStr"/>
      <c r="N327" t="inlineStr"/>
      <c r="O327" s="1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s="1" t="inlineStr"/>
      <c r="AR327" s="1" t="inlineStr"/>
      <c r="AS327" s="1" t="inlineStr"/>
      <c r="AT327">
        <f>TEXT(BDP($B327,"MATURITY"),"yyyy-mm-dd")</f>
        <v/>
      </c>
      <c r="AU327">
        <f>BDP($B327,"CPN_TYP")</f>
        <v/>
      </c>
      <c r="AV327">
        <f>BDP($B327,"CPN")</f>
        <v/>
      </c>
      <c r="AW327" t="inlineStr"/>
      <c r="AX327" t="inlineStr"/>
      <c r="AY327" t="inlineStr"/>
    </row>
    <row r="328">
      <c r="A328" t="inlineStr">
        <is>
          <t>CHYG</t>
        </is>
      </c>
      <c r="B328" t="inlineStr">
        <is>
          <t>23918KAS7 Corp</t>
        </is>
      </c>
      <c r="C328" s="1" t="inlineStr">
        <is>
          <t>23918KAS7</t>
        </is>
      </c>
      <c r="D328" t="inlineStr">
        <is>
          <t>DaVita Inc 4.625% 06/01/2030</t>
        </is>
      </c>
      <c r="E328">
        <f>BDP($B328,"LEGAL_ENTITY_IDENTIFIER")</f>
        <v/>
      </c>
      <c r="F328" t="inlineStr">
        <is>
          <t>DaVita Inc 4.625% 06/01/2030</t>
        </is>
      </c>
      <c r="G328">
        <f>custodian!D328</f>
        <v/>
      </c>
      <c r="H328">
        <f>BDP($B328,"ID_ISIN")</f>
        <v/>
      </c>
      <c r="I328" s="1" t="inlineStr"/>
      <c r="J328">
        <f>BDP($B328,"CNTRY_OF_DOMICILE")</f>
        <v/>
      </c>
      <c r="K328" t="inlineStr">
        <is>
          <t>DBT</t>
        </is>
      </c>
      <c r="L328" t="inlineStr">
        <is>
          <t>CORP</t>
        </is>
      </c>
      <c r="M328" t="inlineStr"/>
      <c r="N328" t="inlineStr"/>
      <c r="O328" s="1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s="1" t="inlineStr"/>
      <c r="AR328" s="1" t="inlineStr"/>
      <c r="AS328" s="1" t="inlineStr"/>
      <c r="AT328">
        <f>TEXT(BDP($B328,"MATURITY"),"yyyy-mm-dd")</f>
        <v/>
      </c>
      <c r="AU328">
        <f>BDP($B328,"CPN_TYP")</f>
        <v/>
      </c>
      <c r="AV328">
        <f>BDP($B328,"CPN")</f>
        <v/>
      </c>
      <c r="AW328" t="inlineStr"/>
      <c r="AX328" t="inlineStr"/>
      <c r="AY328" t="inlineStr"/>
    </row>
    <row r="329">
      <c r="A329" t="inlineStr">
        <is>
          <t>CHYG</t>
        </is>
      </c>
      <c r="B329" t="inlineStr">
        <is>
          <t>254032AD7 Corp</t>
        </is>
      </c>
      <c r="C329" s="1" t="inlineStr">
        <is>
          <t>254032AD7</t>
        </is>
      </c>
      <c r="D329" t="inlineStr">
        <is>
          <t>Ardshinbank CJSC Via Dilijan F</t>
        </is>
      </c>
      <c r="E329">
        <f>BDP($B329,"LEGAL_ENTITY_IDENTIFIER")</f>
        <v/>
      </c>
      <c r="F329" t="inlineStr">
        <is>
          <t>Ardshinbank CJSC Via Dilijan Finance BV 6.6% 01/22/2031</t>
        </is>
      </c>
      <c r="G329">
        <f>custodian!D329</f>
        <v/>
      </c>
      <c r="H329">
        <f>BDP($B329,"ID_ISIN")</f>
        <v/>
      </c>
      <c r="I329" s="1" t="inlineStr"/>
      <c r="J329">
        <f>BDP($B329,"CNTRY_OF_DOMICILE")</f>
        <v/>
      </c>
      <c r="K329" t="inlineStr">
        <is>
          <t>DBT</t>
        </is>
      </c>
      <c r="L329" t="inlineStr">
        <is>
          <t>CORP</t>
        </is>
      </c>
      <c r="M329" t="inlineStr"/>
      <c r="N329" t="inlineStr"/>
      <c r="O329" s="1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s="1" t="inlineStr"/>
      <c r="AR329" s="1" t="inlineStr"/>
      <c r="AS329" s="1" t="inlineStr"/>
      <c r="AT329">
        <f>TEXT(BDP($B329,"MATURITY"),"yyyy-mm-dd")</f>
        <v/>
      </c>
      <c r="AU329">
        <f>BDP($B329,"CPN_TYP")</f>
        <v/>
      </c>
      <c r="AV329">
        <f>BDP($B329,"CPN")</f>
        <v/>
      </c>
      <c r="AW329" t="inlineStr"/>
      <c r="AX329" t="inlineStr"/>
      <c r="AY329" t="inlineStr"/>
    </row>
    <row r="330">
      <c r="A330" t="inlineStr">
        <is>
          <t>CHYG</t>
        </is>
      </c>
      <c r="B330" t="inlineStr">
        <is>
          <t>25461LAD4 Corp</t>
        </is>
      </c>
      <c r="C330" s="1" t="inlineStr">
        <is>
          <t>25461LAD4</t>
        </is>
      </c>
      <c r="D330" t="inlineStr">
        <is>
          <t>Directv Financing LLC / Direct</t>
        </is>
      </c>
      <c r="E330">
        <f>BDP($B330,"LEGAL_ENTITY_IDENTIFIER")</f>
        <v/>
      </c>
      <c r="F330" t="inlineStr">
        <is>
          <t>Directv Financing LLC / Directv Financing Co-Obligor Inc 10% 02/15/2031</t>
        </is>
      </c>
      <c r="G330">
        <f>custodian!D330</f>
        <v/>
      </c>
      <c r="H330">
        <f>BDP($B330,"ID_ISIN")</f>
        <v/>
      </c>
      <c r="I330" s="1" t="inlineStr"/>
      <c r="J330">
        <f>BDP($B330,"CNTRY_OF_DOMICILE")</f>
        <v/>
      </c>
      <c r="K330" t="inlineStr">
        <is>
          <t>DBT</t>
        </is>
      </c>
      <c r="L330" t="inlineStr">
        <is>
          <t>CORP</t>
        </is>
      </c>
      <c r="M330" t="inlineStr"/>
      <c r="N330" t="inlineStr"/>
      <c r="O330" s="1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s="1" t="inlineStr"/>
      <c r="AR330" s="1" t="inlineStr"/>
      <c r="AS330" s="1" t="inlineStr"/>
      <c r="AT330">
        <f>TEXT(BDP($B330,"MATURITY"),"yyyy-mm-dd")</f>
        <v/>
      </c>
      <c r="AU330">
        <f>BDP($B330,"CPN_TYP")</f>
        <v/>
      </c>
      <c r="AV330">
        <f>BDP($B330,"CPN")</f>
        <v/>
      </c>
      <c r="AW330" t="inlineStr"/>
      <c r="AX330" t="inlineStr"/>
      <c r="AY330" t="inlineStr"/>
    </row>
    <row r="331">
      <c r="A331" t="inlineStr">
        <is>
          <t>CHYG</t>
        </is>
      </c>
      <c r="B331" t="inlineStr">
        <is>
          <t>25470MAG4 Corp</t>
        </is>
      </c>
      <c r="C331" s="1" t="inlineStr">
        <is>
          <t>25470MAG4</t>
        </is>
      </c>
      <c r="D331" t="inlineStr">
        <is>
          <t>DISH Network Corp 11.75% 11/15</t>
        </is>
      </c>
      <c r="E331">
        <f>BDP($B331,"LEGAL_ENTITY_IDENTIFIER")</f>
        <v/>
      </c>
      <c r="F331" t="inlineStr">
        <is>
          <t>DISH Network Corp 11.75% 11/15/2027</t>
        </is>
      </c>
      <c r="G331">
        <f>custodian!D331</f>
        <v/>
      </c>
      <c r="H331">
        <f>BDP($B331,"ID_ISIN")</f>
        <v/>
      </c>
      <c r="I331" s="1" t="inlineStr"/>
      <c r="J331">
        <f>BDP($B331,"CNTRY_OF_DOMICILE")</f>
        <v/>
      </c>
      <c r="K331" t="inlineStr">
        <is>
          <t>DBT</t>
        </is>
      </c>
      <c r="L331" t="inlineStr">
        <is>
          <t>CORP</t>
        </is>
      </c>
      <c r="M331" t="inlineStr"/>
      <c r="N331" t="inlineStr"/>
      <c r="O331" s="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s="1" t="inlineStr"/>
      <c r="AR331" s="1" t="inlineStr"/>
      <c r="AS331" s="1" t="inlineStr"/>
      <c r="AT331">
        <f>TEXT(BDP($B331,"MATURITY"),"yyyy-mm-dd")</f>
        <v/>
      </c>
      <c r="AU331">
        <f>BDP($B331,"CPN_TYP")</f>
        <v/>
      </c>
      <c r="AV331">
        <f>BDP($B331,"CPN")</f>
        <v/>
      </c>
      <c r="AW331" t="inlineStr"/>
      <c r="AX331" t="inlineStr"/>
      <c r="AY331" t="inlineStr"/>
    </row>
    <row r="332">
      <c r="A332" t="inlineStr">
        <is>
          <t>CHYG</t>
        </is>
      </c>
      <c r="B332" t="inlineStr">
        <is>
          <t>257867BJ9 Corp</t>
        </is>
      </c>
      <c r="C332" s="1" t="inlineStr">
        <is>
          <t>257867BJ9</t>
        </is>
      </c>
      <c r="D332" t="inlineStr">
        <is>
          <t>RR Donnelley &amp; Sons Co 9.5% 08</t>
        </is>
      </c>
      <c r="E332">
        <f>BDP($B332,"LEGAL_ENTITY_IDENTIFIER")</f>
        <v/>
      </c>
      <c r="F332" t="inlineStr">
        <is>
          <t>RR Donnelley &amp; Sons Co 9.5% 08/01/2029</t>
        </is>
      </c>
      <c r="G332">
        <f>custodian!D332</f>
        <v/>
      </c>
      <c r="H332">
        <f>BDP($B332,"ID_ISIN")</f>
        <v/>
      </c>
      <c r="I332" s="1" t="inlineStr"/>
      <c r="J332">
        <f>BDP($B332,"CNTRY_OF_DOMICILE")</f>
        <v/>
      </c>
      <c r="K332" t="inlineStr">
        <is>
          <t>DBT</t>
        </is>
      </c>
      <c r="L332" t="inlineStr">
        <is>
          <t>CORP</t>
        </is>
      </c>
      <c r="M332" t="inlineStr"/>
      <c r="N332" t="inlineStr"/>
      <c r="O332" s="1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s="1" t="inlineStr"/>
      <c r="AR332" s="1" t="inlineStr"/>
      <c r="AS332" s="1" t="inlineStr"/>
      <c r="AT332">
        <f>TEXT(BDP($B332,"MATURITY"),"yyyy-mm-dd")</f>
        <v/>
      </c>
      <c r="AU332">
        <f>BDP($B332,"CPN_TYP")</f>
        <v/>
      </c>
      <c r="AV332">
        <f>BDP($B332,"CPN")</f>
        <v/>
      </c>
      <c r="AW332" t="inlineStr"/>
      <c r="AX332" t="inlineStr"/>
      <c r="AY332" t="inlineStr"/>
    </row>
    <row r="333">
      <c r="A333" t="inlineStr">
        <is>
          <t>CHYG</t>
        </is>
      </c>
      <c r="B333" t="inlineStr">
        <is>
          <t>28414HAG8 Corp</t>
        </is>
      </c>
      <c r="C333" s="1" t="inlineStr">
        <is>
          <t>28414HAG8</t>
        </is>
      </c>
      <c r="D333" t="inlineStr">
        <is>
          <t xml:space="preserve">Elanco Animal Health Inc 6.4% </t>
        </is>
      </c>
      <c r="E333">
        <f>BDP($B333,"LEGAL_ENTITY_IDENTIFIER")</f>
        <v/>
      </c>
      <c r="F333" t="inlineStr">
        <is>
          <t>Elanco Animal Health Inc 6.4% 08/28/2028</t>
        </is>
      </c>
      <c r="G333">
        <f>custodian!D333</f>
        <v/>
      </c>
      <c r="H333">
        <f>BDP($B333,"ID_ISIN")</f>
        <v/>
      </c>
      <c r="I333" s="1" t="inlineStr"/>
      <c r="J333">
        <f>BDP($B333,"CNTRY_OF_DOMICILE")</f>
        <v/>
      </c>
      <c r="K333" t="inlineStr">
        <is>
          <t>DBT</t>
        </is>
      </c>
      <c r="L333" t="inlineStr">
        <is>
          <t>CORP</t>
        </is>
      </c>
      <c r="M333" t="inlineStr"/>
      <c r="N333" t="inlineStr"/>
      <c r="O333" s="1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s="1" t="inlineStr"/>
      <c r="AR333" s="1" t="inlineStr"/>
      <c r="AS333" s="1" t="inlineStr"/>
      <c r="AT333">
        <f>TEXT(BDP($B333,"MATURITY"),"yyyy-mm-dd")</f>
        <v/>
      </c>
      <c r="AU333">
        <f>BDP($B333,"CPN_TYP")</f>
        <v/>
      </c>
      <c r="AV333">
        <f>BDP($B333,"CPN")</f>
        <v/>
      </c>
      <c r="AW333" t="inlineStr"/>
      <c r="AX333" t="inlineStr"/>
      <c r="AY333" t="inlineStr"/>
    </row>
    <row r="334">
      <c r="A334" t="inlineStr">
        <is>
          <t>CHYG</t>
        </is>
      </c>
      <c r="B334" t="inlineStr">
        <is>
          <t>29089QAC9 Corp</t>
        </is>
      </c>
      <c r="C334" s="1" t="inlineStr">
        <is>
          <t>29089QAC9</t>
        </is>
      </c>
      <c r="D334" t="inlineStr">
        <is>
          <t>Emergent BioSolutions Inc 3.87</t>
        </is>
      </c>
      <c r="E334">
        <f>BDP($B334,"LEGAL_ENTITY_IDENTIFIER")</f>
        <v/>
      </c>
      <c r="F334" t="inlineStr">
        <is>
          <t>Emergent BioSolutions Inc 3.875% 08/15/2028</t>
        </is>
      </c>
      <c r="G334">
        <f>custodian!D334</f>
        <v/>
      </c>
      <c r="H334">
        <f>BDP($B334,"ID_ISIN")</f>
        <v/>
      </c>
      <c r="I334" s="1" t="inlineStr"/>
      <c r="J334">
        <f>BDP($B334,"CNTRY_OF_DOMICILE")</f>
        <v/>
      </c>
      <c r="K334" t="inlineStr">
        <is>
          <t>DBT</t>
        </is>
      </c>
      <c r="L334" t="inlineStr">
        <is>
          <t>CORP</t>
        </is>
      </c>
      <c r="M334" t="inlineStr"/>
      <c r="N334" t="inlineStr"/>
      <c r="O334" s="1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s="1" t="inlineStr"/>
      <c r="AR334" s="1" t="inlineStr"/>
      <c r="AS334" s="1" t="inlineStr"/>
      <c r="AT334">
        <f>TEXT(BDP($B334,"MATURITY"),"yyyy-mm-dd")</f>
        <v/>
      </c>
      <c r="AU334">
        <f>BDP($B334,"CPN_TYP")</f>
        <v/>
      </c>
      <c r="AV334">
        <f>BDP($B334,"CPN")</f>
        <v/>
      </c>
      <c r="AW334" t="inlineStr"/>
      <c r="AX334" t="inlineStr"/>
      <c r="AY334" t="inlineStr"/>
    </row>
    <row r="335">
      <c r="A335" t="inlineStr">
        <is>
          <t>CHYG</t>
        </is>
      </c>
      <c r="B335" t="inlineStr">
        <is>
          <t>29103CAA6 Corp</t>
        </is>
      </c>
      <c r="C335" s="1" t="inlineStr">
        <is>
          <t>29103CAA6</t>
        </is>
      </c>
      <c r="D335" t="inlineStr">
        <is>
          <t>EMRLD Borrower LP / Emerald Co</t>
        </is>
      </c>
      <c r="E335">
        <f>BDP($B335,"LEGAL_ENTITY_IDENTIFIER")</f>
        <v/>
      </c>
      <c r="F335" t="inlineStr">
        <is>
          <t>EMRLD Borrower LP / Emerald Co-Issuer Inc 6.625% 12/15/2030</t>
        </is>
      </c>
      <c r="G335">
        <f>custodian!D335</f>
        <v/>
      </c>
      <c r="H335">
        <f>BDP($B335,"ID_ISIN")</f>
        <v/>
      </c>
      <c r="I335" s="1" t="inlineStr"/>
      <c r="J335">
        <f>BDP($B335,"CNTRY_OF_DOMICILE")</f>
        <v/>
      </c>
      <c r="K335" t="inlineStr">
        <is>
          <t>DBT</t>
        </is>
      </c>
      <c r="L335" t="inlineStr">
        <is>
          <t>CORP</t>
        </is>
      </c>
      <c r="M335" t="inlineStr"/>
      <c r="N335" t="inlineStr"/>
      <c r="O335" s="1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s="1" t="inlineStr"/>
      <c r="AR335" s="1" t="inlineStr"/>
      <c r="AS335" s="1" t="inlineStr"/>
      <c r="AT335">
        <f>TEXT(BDP($B335,"MATURITY"),"yyyy-mm-dd")</f>
        <v/>
      </c>
      <c r="AU335">
        <f>BDP($B335,"CPN_TYP")</f>
        <v/>
      </c>
      <c r="AV335">
        <f>BDP($B335,"CPN")</f>
        <v/>
      </c>
      <c r="AW335" t="inlineStr"/>
      <c r="AX335" t="inlineStr"/>
      <c r="AY335" t="inlineStr"/>
    </row>
    <row r="336">
      <c r="A336" t="inlineStr">
        <is>
          <t>CHYG</t>
        </is>
      </c>
      <c r="B336" t="inlineStr">
        <is>
          <t>29163VAG8 Corp</t>
        </is>
      </c>
      <c r="C336" s="1" t="inlineStr">
        <is>
          <t>29163VAG8</t>
        </is>
      </c>
      <c r="D336" t="inlineStr">
        <is>
          <t xml:space="preserve">Empire Communities Corp 9.75% </t>
        </is>
      </c>
      <c r="E336">
        <f>BDP($B336,"LEGAL_ENTITY_IDENTIFIER")</f>
        <v/>
      </c>
      <c r="F336" t="inlineStr">
        <is>
          <t>Empire Communities Corp 9.75% 05/01/2029</t>
        </is>
      </c>
      <c r="G336">
        <f>custodian!D336</f>
        <v/>
      </c>
      <c r="H336">
        <f>BDP($B336,"ID_ISIN")</f>
        <v/>
      </c>
      <c r="I336" s="1" t="inlineStr"/>
      <c r="J336">
        <f>BDP($B336,"CNTRY_OF_DOMICILE")</f>
        <v/>
      </c>
      <c r="K336" t="inlineStr">
        <is>
          <t>DBT</t>
        </is>
      </c>
      <c r="L336" t="inlineStr">
        <is>
          <t>CORP</t>
        </is>
      </c>
      <c r="M336" t="inlineStr"/>
      <c r="N336" t="inlineStr"/>
      <c r="O336" s="1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s="1" t="inlineStr"/>
      <c r="AR336" s="1" t="inlineStr"/>
      <c r="AS336" s="1" t="inlineStr"/>
      <c r="AT336">
        <f>TEXT(BDP($B336,"MATURITY"),"yyyy-mm-dd")</f>
        <v/>
      </c>
      <c r="AU336">
        <f>BDP($B336,"CPN_TYP")</f>
        <v/>
      </c>
      <c r="AV336">
        <f>BDP($B336,"CPN")</f>
        <v/>
      </c>
      <c r="AW336" t="inlineStr"/>
      <c r="AX336" t="inlineStr"/>
      <c r="AY336" t="inlineStr"/>
    </row>
    <row r="337">
      <c r="A337" t="inlineStr">
        <is>
          <t>CHYG</t>
        </is>
      </c>
      <c r="B337" t="inlineStr">
        <is>
          <t>292052AF4 Corp</t>
        </is>
      </c>
      <c r="C337" s="1" t="inlineStr">
        <is>
          <t>292052AF4</t>
        </is>
      </c>
      <c r="D337" t="inlineStr">
        <is>
          <t>Empire Resorts Inc 7.75% 11/01</t>
        </is>
      </c>
      <c r="E337">
        <f>BDP($B337,"LEGAL_ENTITY_IDENTIFIER")</f>
        <v/>
      </c>
      <c r="F337" t="inlineStr">
        <is>
          <t>Empire Resorts Inc 7.75% 11/01/2026</t>
        </is>
      </c>
      <c r="G337">
        <f>custodian!D337</f>
        <v/>
      </c>
      <c r="H337">
        <f>BDP($B337,"ID_ISIN")</f>
        <v/>
      </c>
      <c r="I337" s="1" t="inlineStr"/>
      <c r="J337">
        <f>BDP($B337,"CNTRY_OF_DOMICILE")</f>
        <v/>
      </c>
      <c r="K337" t="inlineStr">
        <is>
          <t>DBT</t>
        </is>
      </c>
      <c r="L337" t="inlineStr">
        <is>
          <t>CORP</t>
        </is>
      </c>
      <c r="M337" t="inlineStr"/>
      <c r="N337" t="inlineStr"/>
      <c r="O337" s="1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s="1" t="inlineStr"/>
      <c r="AR337" s="1" t="inlineStr"/>
      <c r="AS337" s="1" t="inlineStr"/>
      <c r="AT337">
        <f>TEXT(BDP($B337,"MATURITY"),"yyyy-mm-dd")</f>
        <v/>
      </c>
      <c r="AU337">
        <f>BDP($B337,"CPN_TYP")</f>
        <v/>
      </c>
      <c r="AV337">
        <f>BDP($B337,"CPN")</f>
        <v/>
      </c>
      <c r="AW337" t="inlineStr"/>
      <c r="AX337" t="inlineStr"/>
      <c r="AY337" t="inlineStr"/>
    </row>
    <row r="338">
      <c r="A338" t="inlineStr">
        <is>
          <t>CHYG</t>
        </is>
      </c>
      <c r="B338" t="inlineStr">
        <is>
          <t>292554AS1 Corp</t>
        </is>
      </c>
      <c r="C338" s="1" t="inlineStr">
        <is>
          <t>292554AS1</t>
        </is>
      </c>
      <c r="D338" t="inlineStr">
        <is>
          <t>Encore Capital Group Inc 6.625</t>
        </is>
      </c>
      <c r="E338">
        <f>BDP($B338,"LEGAL_ENTITY_IDENTIFIER")</f>
        <v/>
      </c>
      <c r="F338" t="inlineStr">
        <is>
          <t>Encore Capital Group Inc 6.625% 04/15/2031</t>
        </is>
      </c>
      <c r="G338">
        <f>custodian!D338</f>
        <v/>
      </c>
      <c r="H338">
        <f>BDP($B338,"ID_ISIN")</f>
        <v/>
      </c>
      <c r="I338" s="1" t="inlineStr"/>
      <c r="J338">
        <f>BDP($B338,"CNTRY_OF_DOMICILE")</f>
        <v/>
      </c>
      <c r="K338" t="inlineStr">
        <is>
          <t>DBT</t>
        </is>
      </c>
      <c r="L338" t="inlineStr">
        <is>
          <t>CORP</t>
        </is>
      </c>
      <c r="M338" t="inlineStr"/>
      <c r="N338" t="inlineStr"/>
      <c r="O338" s="1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s="1" t="inlineStr"/>
      <c r="AR338" s="1" t="inlineStr"/>
      <c r="AS338" s="1" t="inlineStr"/>
      <c r="AT338">
        <f>TEXT(BDP($B338,"MATURITY"),"yyyy-mm-dd")</f>
        <v/>
      </c>
      <c r="AU338">
        <f>BDP($B338,"CPN_TYP")</f>
        <v/>
      </c>
      <c r="AV338">
        <f>BDP($B338,"CPN")</f>
        <v/>
      </c>
      <c r="AW338" t="inlineStr"/>
      <c r="AX338" t="inlineStr"/>
      <c r="AY338" t="inlineStr"/>
    </row>
    <row r="339">
      <c r="A339" t="inlineStr">
        <is>
          <t>CHYG</t>
        </is>
      </c>
      <c r="B339" t="inlineStr">
        <is>
          <t>29605JAA4 Corp</t>
        </is>
      </c>
      <c r="C339" s="1" t="inlineStr">
        <is>
          <t>29605JAA4</t>
        </is>
      </c>
      <c r="D339" t="inlineStr">
        <is>
          <t>Esab Corp 6.25% 04/15/2029</t>
        </is>
      </c>
      <c r="E339">
        <f>BDP($B339,"LEGAL_ENTITY_IDENTIFIER")</f>
        <v/>
      </c>
      <c r="F339" t="inlineStr">
        <is>
          <t>Esab Corp 6.25% 04/15/2029</t>
        </is>
      </c>
      <c r="G339">
        <f>custodian!D339</f>
        <v/>
      </c>
      <c r="H339">
        <f>BDP($B339,"ID_ISIN")</f>
        <v/>
      </c>
      <c r="I339" s="1" t="inlineStr"/>
      <c r="J339">
        <f>BDP($B339,"CNTRY_OF_DOMICILE")</f>
        <v/>
      </c>
      <c r="K339" t="inlineStr">
        <is>
          <t>DBT</t>
        </is>
      </c>
      <c r="L339" t="inlineStr">
        <is>
          <t>CORP</t>
        </is>
      </c>
      <c r="M339" t="inlineStr"/>
      <c r="N339" t="inlineStr"/>
      <c r="O339" s="1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s="1" t="inlineStr"/>
      <c r="AR339" s="1" t="inlineStr"/>
      <c r="AS339" s="1" t="inlineStr"/>
      <c r="AT339">
        <f>TEXT(BDP($B339,"MATURITY"),"yyyy-mm-dd")</f>
        <v/>
      </c>
      <c r="AU339">
        <f>BDP($B339,"CPN_TYP")</f>
        <v/>
      </c>
      <c r="AV339">
        <f>BDP($B339,"CPN")</f>
        <v/>
      </c>
      <c r="AW339" t="inlineStr"/>
      <c r="AX339" t="inlineStr"/>
      <c r="AY339" t="inlineStr"/>
    </row>
    <row r="340">
      <c r="A340" t="inlineStr">
        <is>
          <t>CHYG</t>
        </is>
      </c>
      <c r="B340" t="inlineStr">
        <is>
          <t>29882DAC7 Corp</t>
        </is>
      </c>
      <c r="C340" s="1" t="inlineStr">
        <is>
          <t>29882DAC7</t>
        </is>
      </c>
      <c r="D340" t="inlineStr">
        <is>
          <t>EUSHI Finance Inc 6.25% 04/01/</t>
        </is>
      </c>
      <c r="E340">
        <f>BDP($B340,"LEGAL_ENTITY_IDENTIFIER")</f>
        <v/>
      </c>
      <c r="F340" t="inlineStr">
        <is>
          <t>EUSHI Finance Inc 6.25% 04/01/2056</t>
        </is>
      </c>
      <c r="G340">
        <f>custodian!D340</f>
        <v/>
      </c>
      <c r="H340">
        <f>BDP($B340,"ID_ISIN")</f>
        <v/>
      </c>
      <c r="I340" s="1" t="inlineStr"/>
      <c r="J340">
        <f>BDP($B340,"CNTRY_OF_DOMICILE")</f>
        <v/>
      </c>
      <c r="K340" t="inlineStr">
        <is>
          <t>DBT</t>
        </is>
      </c>
      <c r="L340" t="inlineStr">
        <is>
          <t>CORP</t>
        </is>
      </c>
      <c r="M340" t="inlineStr"/>
      <c r="N340" t="inlineStr"/>
      <c r="O340" s="1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s="1" t="inlineStr"/>
      <c r="AR340" s="1" t="inlineStr"/>
      <c r="AS340" s="1" t="inlineStr"/>
      <c r="AT340">
        <f>TEXT(BDP($B340,"MATURITY"),"yyyy-mm-dd")</f>
        <v/>
      </c>
      <c r="AU340">
        <f>BDP($B340,"CPN_TYP")</f>
        <v/>
      </c>
      <c r="AV340">
        <f>BDP($B340,"CPN")</f>
        <v/>
      </c>
      <c r="AW340" t="inlineStr"/>
      <c r="AX340" t="inlineStr"/>
      <c r="AY340" t="inlineStr"/>
    </row>
    <row r="341">
      <c r="A341" t="inlineStr">
        <is>
          <t>CHYG</t>
        </is>
      </c>
      <c r="B341" t="inlineStr">
        <is>
          <t>302635AN7 Corp</t>
        </is>
      </c>
      <c r="C341" s="1" t="inlineStr">
        <is>
          <t>302635AN7</t>
        </is>
      </c>
      <c r="D341" t="inlineStr">
        <is>
          <t>FS KKR Capital Corp 6.875% 08/</t>
        </is>
      </c>
      <c r="E341">
        <f>BDP($B341,"LEGAL_ENTITY_IDENTIFIER")</f>
        <v/>
      </c>
      <c r="F341" t="inlineStr">
        <is>
          <t>FS KKR Capital Corp 6.875% 08/15/2029</t>
        </is>
      </c>
      <c r="G341">
        <f>custodian!D341</f>
        <v/>
      </c>
      <c r="H341">
        <f>BDP($B341,"ID_ISIN")</f>
        <v/>
      </c>
      <c r="I341" s="1" t="inlineStr"/>
      <c r="J341">
        <f>BDP($B341,"CNTRY_OF_DOMICILE")</f>
        <v/>
      </c>
      <c r="K341" t="inlineStr">
        <is>
          <t>DBT</t>
        </is>
      </c>
      <c r="L341" t="inlineStr">
        <is>
          <t>CORP</t>
        </is>
      </c>
      <c r="M341" t="inlineStr"/>
      <c r="N341" t="inlineStr"/>
      <c r="O341" s="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s="1" t="inlineStr"/>
      <c r="AR341" s="1" t="inlineStr"/>
      <c r="AS341" s="1" t="inlineStr"/>
      <c r="AT341">
        <f>TEXT(BDP($B341,"MATURITY"),"yyyy-mm-dd")</f>
        <v/>
      </c>
      <c r="AU341">
        <f>BDP($B341,"CPN_TYP")</f>
        <v/>
      </c>
      <c r="AV341">
        <f>BDP($B341,"CPN")</f>
        <v/>
      </c>
      <c r="AW341" t="inlineStr"/>
      <c r="AX341" t="inlineStr"/>
      <c r="AY341" t="inlineStr"/>
    </row>
    <row r="342">
      <c r="A342" t="inlineStr">
        <is>
          <t>CHYG</t>
        </is>
      </c>
      <c r="B342" t="inlineStr">
        <is>
          <t>315292AU6 Corp</t>
        </is>
      </c>
      <c r="C342" s="1" t="inlineStr">
        <is>
          <t>315292AU6</t>
        </is>
      </c>
      <c r="D342" t="inlineStr">
        <is>
          <t>Ferrellgas LP / Ferrellgas Fin</t>
        </is>
      </c>
      <c r="E342">
        <f>BDP($B342,"LEGAL_ENTITY_IDENTIFIER")</f>
        <v/>
      </c>
      <c r="F342" t="inlineStr">
        <is>
          <t>Ferrellgas LP / Ferrellgas Finance Corp 9.25% 01/15/2031</t>
        </is>
      </c>
      <c r="G342">
        <f>custodian!D342</f>
        <v/>
      </c>
      <c r="H342">
        <f>BDP($B342,"ID_ISIN")</f>
        <v/>
      </c>
      <c r="I342" s="1" t="inlineStr"/>
      <c r="J342">
        <f>BDP($B342,"CNTRY_OF_DOMICILE")</f>
        <v/>
      </c>
      <c r="K342" t="inlineStr">
        <is>
          <t>DBT</t>
        </is>
      </c>
      <c r="L342" t="inlineStr">
        <is>
          <t>CORP</t>
        </is>
      </c>
      <c r="M342" t="inlineStr"/>
      <c r="N342" t="inlineStr"/>
      <c r="O342" s="1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s="1" t="inlineStr"/>
      <c r="AR342" s="1" t="inlineStr"/>
      <c r="AS342" s="1" t="inlineStr"/>
      <c r="AT342">
        <f>TEXT(BDP($B342,"MATURITY"),"yyyy-mm-dd")</f>
        <v/>
      </c>
      <c r="AU342">
        <f>BDP($B342,"CPN_TYP")</f>
        <v/>
      </c>
      <c r="AV342">
        <f>BDP($B342,"CPN")</f>
        <v/>
      </c>
      <c r="AW342" t="inlineStr"/>
      <c r="AX342" t="inlineStr"/>
      <c r="AY342" t="inlineStr"/>
    </row>
    <row r="343">
      <c r="A343" t="inlineStr">
        <is>
          <t>CHYG</t>
        </is>
      </c>
      <c r="B343" t="inlineStr">
        <is>
          <t>34960PAF8 Corp</t>
        </is>
      </c>
      <c r="C343" s="1" t="inlineStr">
        <is>
          <t>34960PAF8</t>
        </is>
      </c>
      <c r="D343" t="inlineStr">
        <is>
          <t>FTAI Aviation Investors LLC 7%</t>
        </is>
      </c>
      <c r="E343">
        <f>BDP($B343,"LEGAL_ENTITY_IDENTIFIER")</f>
        <v/>
      </c>
      <c r="F343" t="inlineStr">
        <is>
          <t>FTAI Aviation Investors LLC 7% 05/01/2031</t>
        </is>
      </c>
      <c r="G343">
        <f>custodian!D343</f>
        <v/>
      </c>
      <c r="H343">
        <f>BDP($B343,"ID_ISIN")</f>
        <v/>
      </c>
      <c r="I343" s="1" t="inlineStr"/>
      <c r="J343">
        <f>BDP($B343,"CNTRY_OF_DOMICILE")</f>
        <v/>
      </c>
      <c r="K343" t="inlineStr">
        <is>
          <t>DBT</t>
        </is>
      </c>
      <c r="L343" t="inlineStr">
        <is>
          <t>CORP</t>
        </is>
      </c>
      <c r="M343" t="inlineStr"/>
      <c r="N343" t="inlineStr"/>
      <c r="O343" s="1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s="1" t="inlineStr"/>
      <c r="AR343" s="1" t="inlineStr"/>
      <c r="AS343" s="1" t="inlineStr"/>
      <c r="AT343">
        <f>TEXT(BDP($B343,"MATURITY"),"yyyy-mm-dd")</f>
        <v/>
      </c>
      <c r="AU343">
        <f>BDP($B343,"CPN_TYP")</f>
        <v/>
      </c>
      <c r="AV343">
        <f>BDP($B343,"CPN")</f>
        <v/>
      </c>
      <c r="AW343" t="inlineStr"/>
      <c r="AX343" t="inlineStr"/>
      <c r="AY343" t="inlineStr"/>
    </row>
    <row r="344">
      <c r="A344" t="inlineStr">
        <is>
          <t>CHYG</t>
        </is>
      </c>
      <c r="B344" t="inlineStr">
        <is>
          <t>35641AAB4 Corp</t>
        </is>
      </c>
      <c r="C344" s="1" t="inlineStr">
        <is>
          <t>35641AAB4</t>
        </is>
      </c>
      <c r="D344" t="inlineStr">
        <is>
          <t xml:space="preserve">Freedom Mortgage Holdings LLC </t>
        </is>
      </c>
      <c r="E344">
        <f>BDP($B344,"LEGAL_ENTITY_IDENTIFIER")</f>
        <v/>
      </c>
      <c r="F344" t="inlineStr">
        <is>
          <t>Freedom Mortgage Holdings LLC 9.125% 05/15/2031</t>
        </is>
      </c>
      <c r="G344">
        <f>custodian!D344</f>
        <v/>
      </c>
      <c r="H344">
        <f>BDP($B344,"ID_ISIN")</f>
        <v/>
      </c>
      <c r="I344" s="1" t="inlineStr"/>
      <c r="J344">
        <f>BDP($B344,"CNTRY_OF_DOMICILE")</f>
        <v/>
      </c>
      <c r="K344" t="inlineStr">
        <is>
          <t>DBT</t>
        </is>
      </c>
      <c r="L344" t="inlineStr">
        <is>
          <t>CORP</t>
        </is>
      </c>
      <c r="M344" t="inlineStr"/>
      <c r="N344" t="inlineStr"/>
      <c r="O344" s="1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s="1" t="inlineStr"/>
      <c r="AR344" s="1" t="inlineStr"/>
      <c r="AS344" s="1" t="inlineStr"/>
      <c r="AT344">
        <f>TEXT(BDP($B344,"MATURITY"),"yyyy-mm-dd")</f>
        <v/>
      </c>
      <c r="AU344">
        <f>BDP($B344,"CPN_TYP")</f>
        <v/>
      </c>
      <c r="AV344">
        <f>BDP($B344,"CPN")</f>
        <v/>
      </c>
      <c r="AW344" t="inlineStr"/>
      <c r="AX344" t="inlineStr"/>
      <c r="AY344" t="inlineStr"/>
    </row>
    <row r="345">
      <c r="A345" t="inlineStr">
        <is>
          <t>CHYG</t>
        </is>
      </c>
      <c r="B345" t="inlineStr">
        <is>
          <t>359694AB2 Corp</t>
        </is>
      </c>
      <c r="C345" s="1" t="inlineStr">
        <is>
          <t>359694AB2</t>
        </is>
      </c>
      <c r="D345" t="inlineStr">
        <is>
          <t>HB Fuller Co 4% 02/15/2027</t>
        </is>
      </c>
      <c r="E345">
        <f>BDP($B345,"LEGAL_ENTITY_IDENTIFIER")</f>
        <v/>
      </c>
      <c r="F345" t="inlineStr">
        <is>
          <t>HB Fuller Co 4% 02/15/2027</t>
        </is>
      </c>
      <c r="G345">
        <f>custodian!D345</f>
        <v/>
      </c>
      <c r="H345">
        <f>BDP($B345,"ID_ISIN")</f>
        <v/>
      </c>
      <c r="I345" s="1" t="inlineStr"/>
      <c r="J345">
        <f>BDP($B345,"CNTRY_OF_DOMICILE")</f>
        <v/>
      </c>
      <c r="K345" t="inlineStr">
        <is>
          <t>DBT</t>
        </is>
      </c>
      <c r="L345" t="inlineStr">
        <is>
          <t>CORP</t>
        </is>
      </c>
      <c r="M345" t="inlineStr"/>
      <c r="N345" t="inlineStr"/>
      <c r="O345" s="1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s="1" t="inlineStr"/>
      <c r="AR345" s="1" t="inlineStr"/>
      <c r="AS345" s="1" t="inlineStr"/>
      <c r="AT345">
        <f>TEXT(BDP($B345,"MATURITY"),"yyyy-mm-dd")</f>
        <v/>
      </c>
      <c r="AU345">
        <f>BDP($B345,"CPN_TYP")</f>
        <v/>
      </c>
      <c r="AV345">
        <f>BDP($B345,"CPN")</f>
        <v/>
      </c>
      <c r="AW345" t="inlineStr"/>
      <c r="AX345" t="inlineStr"/>
      <c r="AY345" t="inlineStr"/>
    </row>
    <row r="346">
      <c r="A346" t="inlineStr">
        <is>
          <t>CHYG</t>
        </is>
      </c>
      <c r="B346" t="inlineStr">
        <is>
          <t>36168QAQ7 Corp</t>
        </is>
      </c>
      <c r="C346" s="1" t="inlineStr">
        <is>
          <t>36168QAQ7</t>
        </is>
      </c>
      <c r="D346" t="inlineStr">
        <is>
          <t>GFL Environmental Inc 6.75% 01</t>
        </is>
      </c>
      <c r="E346">
        <f>BDP($B346,"LEGAL_ENTITY_IDENTIFIER")</f>
        <v/>
      </c>
      <c r="F346" t="inlineStr">
        <is>
          <t>GFL Environmental Inc 6.75% 01/15/2031</t>
        </is>
      </c>
      <c r="G346">
        <f>custodian!D346</f>
        <v/>
      </c>
      <c r="H346">
        <f>BDP($B346,"ID_ISIN")</f>
        <v/>
      </c>
      <c r="I346" s="1" t="inlineStr"/>
      <c r="J346">
        <f>BDP($B346,"CNTRY_OF_DOMICILE")</f>
        <v/>
      </c>
      <c r="K346" t="inlineStr">
        <is>
          <t>DBT</t>
        </is>
      </c>
      <c r="L346" t="inlineStr">
        <is>
          <t>CORP</t>
        </is>
      </c>
      <c r="M346" t="inlineStr"/>
      <c r="N346" t="inlineStr"/>
      <c r="O346" s="1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s="1" t="inlineStr"/>
      <c r="AR346" s="1" t="inlineStr"/>
      <c r="AS346" s="1" t="inlineStr"/>
      <c r="AT346">
        <f>TEXT(BDP($B346,"MATURITY"),"yyyy-mm-dd")</f>
        <v/>
      </c>
      <c r="AU346">
        <f>BDP($B346,"CPN_TYP")</f>
        <v/>
      </c>
      <c r="AV346">
        <f>BDP($B346,"CPN")</f>
        <v/>
      </c>
      <c r="AW346" t="inlineStr"/>
      <c r="AX346" t="inlineStr"/>
      <c r="AY346" t="inlineStr"/>
    </row>
    <row r="347">
      <c r="A347" t="inlineStr">
        <is>
          <t>CHYG</t>
        </is>
      </c>
      <c r="B347" t="inlineStr">
        <is>
          <t>37185LAP7 Corp</t>
        </is>
      </c>
      <c r="C347" s="1" t="inlineStr">
        <is>
          <t>37185LAP7</t>
        </is>
      </c>
      <c r="D347" t="inlineStr">
        <is>
          <t>Genesis Energy LP / Genesis En</t>
        </is>
      </c>
      <c r="E347">
        <f>BDP($B347,"LEGAL_ENTITY_IDENTIFIER")</f>
        <v/>
      </c>
      <c r="F347" t="inlineStr">
        <is>
          <t>Genesis Energy LP / Genesis Energy Finance Corp 8.25% 01/15/2029</t>
        </is>
      </c>
      <c r="G347">
        <f>custodian!D347</f>
        <v/>
      </c>
      <c r="H347">
        <f>BDP($B347,"ID_ISIN")</f>
        <v/>
      </c>
      <c r="I347" s="1" t="inlineStr"/>
      <c r="J347">
        <f>BDP($B347,"CNTRY_OF_DOMICILE")</f>
        <v/>
      </c>
      <c r="K347" t="inlineStr">
        <is>
          <t>DBT</t>
        </is>
      </c>
      <c r="L347" t="inlineStr">
        <is>
          <t>CORP</t>
        </is>
      </c>
      <c r="M347" t="inlineStr"/>
      <c r="N347" t="inlineStr"/>
      <c r="O347" s="1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s="1" t="inlineStr"/>
      <c r="AR347" s="1" t="inlineStr"/>
      <c r="AS347" s="1" t="inlineStr"/>
      <c r="AT347">
        <f>TEXT(BDP($B347,"MATURITY"),"yyyy-mm-dd")</f>
        <v/>
      </c>
      <c r="AU347">
        <f>BDP($B347,"CPN_TYP")</f>
        <v/>
      </c>
      <c r="AV347">
        <f>BDP($B347,"CPN")</f>
        <v/>
      </c>
      <c r="AW347" t="inlineStr"/>
      <c r="AX347" t="inlineStr"/>
      <c r="AY347" t="inlineStr"/>
    </row>
    <row r="348">
      <c r="A348" t="inlineStr">
        <is>
          <t>CHYG</t>
        </is>
      </c>
      <c r="B348" t="inlineStr">
        <is>
          <t>38016LAA3 Corp</t>
        </is>
      </c>
      <c r="C348" s="1" t="inlineStr">
        <is>
          <t>38016LAA3</t>
        </is>
      </c>
      <c r="D348" t="inlineStr">
        <is>
          <t>Go Daddy Operating Co LLC / GD</t>
        </is>
      </c>
      <c r="E348">
        <f>BDP($B348,"LEGAL_ENTITY_IDENTIFIER")</f>
        <v/>
      </c>
      <c r="F348" t="inlineStr">
        <is>
          <t>Go Daddy Operating Co LLC / GD Finance Co Inc 5.25% 12/01/2027</t>
        </is>
      </c>
      <c r="G348">
        <f>custodian!D348</f>
        <v/>
      </c>
      <c r="H348">
        <f>BDP($B348,"ID_ISIN")</f>
        <v/>
      </c>
      <c r="I348" s="1" t="inlineStr"/>
      <c r="J348">
        <f>BDP($B348,"CNTRY_OF_DOMICILE")</f>
        <v/>
      </c>
      <c r="K348" t="inlineStr">
        <is>
          <t>DBT</t>
        </is>
      </c>
      <c r="L348" t="inlineStr">
        <is>
          <t>CORP</t>
        </is>
      </c>
      <c r="M348" t="inlineStr"/>
      <c r="N348" t="inlineStr"/>
      <c r="O348" s="1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s="1" t="inlineStr"/>
      <c r="AR348" s="1" t="inlineStr"/>
      <c r="AS348" s="1" t="inlineStr"/>
      <c r="AT348">
        <f>TEXT(BDP($B348,"MATURITY"),"yyyy-mm-dd")</f>
        <v/>
      </c>
      <c r="AU348">
        <f>BDP($B348,"CPN_TYP")</f>
        <v/>
      </c>
      <c r="AV348">
        <f>BDP($B348,"CPN")</f>
        <v/>
      </c>
      <c r="AW348" t="inlineStr"/>
      <c r="AX348" t="inlineStr"/>
      <c r="AY348" t="inlineStr"/>
    </row>
    <row r="349">
      <c r="A349" t="inlineStr">
        <is>
          <t>CHYG</t>
        </is>
      </c>
      <c r="B349" t="inlineStr">
        <is>
          <t>382550BN0 Corp</t>
        </is>
      </c>
      <c r="C349" s="1" t="inlineStr">
        <is>
          <t>382550BN0</t>
        </is>
      </c>
      <c r="D349" t="inlineStr">
        <is>
          <t xml:space="preserve">Goodyear Tire &amp; Rubber Co/The </t>
        </is>
      </c>
      <c r="E349">
        <f>BDP($B349,"LEGAL_ENTITY_IDENTIFIER")</f>
        <v/>
      </c>
      <c r="F349" t="inlineStr">
        <is>
          <t>Goodyear Tire &amp; Rubber Co/The 5% 07/15/2029</t>
        </is>
      </c>
      <c r="G349">
        <f>custodian!D349</f>
        <v/>
      </c>
      <c r="H349">
        <f>BDP($B349,"ID_ISIN")</f>
        <v/>
      </c>
      <c r="I349" s="1" t="inlineStr"/>
      <c r="J349">
        <f>BDP($B349,"CNTRY_OF_DOMICILE")</f>
        <v/>
      </c>
      <c r="K349" t="inlineStr">
        <is>
          <t>DBT</t>
        </is>
      </c>
      <c r="L349" t="inlineStr">
        <is>
          <t>CORP</t>
        </is>
      </c>
      <c r="M349" t="inlineStr"/>
      <c r="N349" t="inlineStr"/>
      <c r="O349" s="1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s="1" t="inlineStr"/>
      <c r="AR349" s="1" t="inlineStr"/>
      <c r="AS349" s="1" t="inlineStr"/>
      <c r="AT349">
        <f>TEXT(BDP($B349,"MATURITY"),"yyyy-mm-dd")</f>
        <v/>
      </c>
      <c r="AU349">
        <f>BDP($B349,"CPN_TYP")</f>
        <v/>
      </c>
      <c r="AV349">
        <f>BDP($B349,"CPN")</f>
        <v/>
      </c>
      <c r="AW349" t="inlineStr"/>
      <c r="AX349" t="inlineStr"/>
      <c r="AY349" t="inlineStr"/>
    </row>
    <row r="350">
      <c r="A350" t="inlineStr">
        <is>
          <t>CHYG</t>
        </is>
      </c>
      <c r="B350" t="inlineStr">
        <is>
          <t>38869AAB3 Corp</t>
        </is>
      </c>
      <c r="C350" s="1" t="inlineStr">
        <is>
          <t>38869AAB3</t>
        </is>
      </c>
      <c r="D350" t="inlineStr">
        <is>
          <t>Graphic Packaging Internationa</t>
        </is>
      </c>
      <c r="E350">
        <f>BDP($B350,"LEGAL_ENTITY_IDENTIFIER")</f>
        <v/>
      </c>
      <c r="F350" t="inlineStr">
        <is>
          <t>Graphic Packaging International LLC 3.5% 03/15/2028</t>
        </is>
      </c>
      <c r="G350">
        <f>custodian!D350</f>
        <v/>
      </c>
      <c r="H350">
        <f>BDP($B350,"ID_ISIN")</f>
        <v/>
      </c>
      <c r="I350" s="1" t="inlineStr"/>
      <c r="J350">
        <f>BDP($B350,"CNTRY_OF_DOMICILE")</f>
        <v/>
      </c>
      <c r="K350" t="inlineStr">
        <is>
          <t>DBT</t>
        </is>
      </c>
      <c r="L350" t="inlineStr">
        <is>
          <t>CORP</t>
        </is>
      </c>
      <c r="M350" t="inlineStr"/>
      <c r="N350" t="inlineStr"/>
      <c r="O350" s="1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s="1" t="inlineStr"/>
      <c r="AR350" s="1" t="inlineStr"/>
      <c r="AS350" s="1" t="inlineStr"/>
      <c r="AT350">
        <f>TEXT(BDP($B350,"MATURITY"),"yyyy-mm-dd")</f>
        <v/>
      </c>
      <c r="AU350">
        <f>BDP($B350,"CPN_TYP")</f>
        <v/>
      </c>
      <c r="AV350">
        <f>BDP($B350,"CPN")</f>
        <v/>
      </c>
      <c r="AW350" t="inlineStr"/>
      <c r="AX350" t="inlineStr"/>
      <c r="AY350" t="inlineStr"/>
    </row>
    <row r="351">
      <c r="A351" t="inlineStr">
        <is>
          <t>CHYG</t>
        </is>
      </c>
      <c r="B351" t="inlineStr">
        <is>
          <t>39807UAD8 Corp</t>
        </is>
      </c>
      <c r="C351" s="1" t="inlineStr">
        <is>
          <t>39807UAD8</t>
        </is>
      </c>
      <c r="D351" t="inlineStr">
        <is>
          <t xml:space="preserve">Greystar Real Estate Partners </t>
        </is>
      </c>
      <c r="E351">
        <f>BDP($B351,"LEGAL_ENTITY_IDENTIFIER")</f>
        <v/>
      </c>
      <c r="F351" t="inlineStr">
        <is>
          <t>Greystar Real Estate Partners LLC 7.75% 09/01/2030</t>
        </is>
      </c>
      <c r="G351">
        <f>custodian!D351</f>
        <v/>
      </c>
      <c r="H351">
        <f>BDP($B351,"ID_ISIN")</f>
        <v/>
      </c>
      <c r="I351" s="1" t="inlineStr"/>
      <c r="J351">
        <f>BDP($B351,"CNTRY_OF_DOMICILE")</f>
        <v/>
      </c>
      <c r="K351" t="inlineStr">
        <is>
          <t>DBT</t>
        </is>
      </c>
      <c r="L351" t="inlineStr">
        <is>
          <t>CORP</t>
        </is>
      </c>
      <c r="M351" t="inlineStr"/>
      <c r="N351" t="inlineStr"/>
      <c r="O351" s="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s="1" t="inlineStr"/>
      <c r="AR351" s="1" t="inlineStr"/>
      <c r="AS351" s="1" t="inlineStr"/>
      <c r="AT351">
        <f>TEXT(BDP($B351,"MATURITY"),"yyyy-mm-dd")</f>
        <v/>
      </c>
      <c r="AU351">
        <f>BDP($B351,"CPN_TYP")</f>
        <v/>
      </c>
      <c r="AV351">
        <f>BDP($B351,"CPN")</f>
        <v/>
      </c>
      <c r="AW351" t="inlineStr"/>
      <c r="AX351" t="inlineStr"/>
      <c r="AY351" t="inlineStr"/>
    </row>
    <row r="352">
      <c r="A352" t="inlineStr">
        <is>
          <t>CHYG</t>
        </is>
      </c>
      <c r="B352" t="inlineStr">
        <is>
          <t>398905AN9 Corp</t>
        </is>
      </c>
      <c r="C352" s="1" t="inlineStr">
        <is>
          <t>398905AN9</t>
        </is>
      </c>
      <c r="D352" t="inlineStr">
        <is>
          <t>Group 1 Automotive Inc 4% 08/1</t>
        </is>
      </c>
      <c r="E352">
        <f>BDP($B352,"LEGAL_ENTITY_IDENTIFIER")</f>
        <v/>
      </c>
      <c r="F352" t="inlineStr">
        <is>
          <t>Group 1 Automotive Inc 4% 08/15/2028</t>
        </is>
      </c>
      <c r="G352">
        <f>custodian!D352</f>
        <v/>
      </c>
      <c r="H352">
        <f>BDP($B352,"ID_ISIN")</f>
        <v/>
      </c>
      <c r="I352" s="1" t="inlineStr"/>
      <c r="J352">
        <f>BDP($B352,"CNTRY_OF_DOMICILE")</f>
        <v/>
      </c>
      <c r="K352" t="inlineStr">
        <is>
          <t>DBT</t>
        </is>
      </c>
      <c r="L352" t="inlineStr">
        <is>
          <t>CORP</t>
        </is>
      </c>
      <c r="M352" t="inlineStr"/>
      <c r="N352" t="inlineStr"/>
      <c r="O352" s="1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s="1" t="inlineStr"/>
      <c r="AR352" s="1" t="inlineStr"/>
      <c r="AS352" s="1" t="inlineStr"/>
      <c r="AT352">
        <f>TEXT(BDP($B352,"MATURITY"),"yyyy-mm-dd")</f>
        <v/>
      </c>
      <c r="AU352">
        <f>BDP($B352,"CPN_TYP")</f>
        <v/>
      </c>
      <c r="AV352">
        <f>BDP($B352,"CPN")</f>
        <v/>
      </c>
      <c r="AW352" t="inlineStr"/>
      <c r="AX352" t="inlineStr"/>
      <c r="AY352" t="inlineStr"/>
    </row>
    <row r="353">
      <c r="A353" t="inlineStr">
        <is>
          <t>CHYG</t>
        </is>
      </c>
      <c r="B353" t="inlineStr">
        <is>
          <t>402635AT3 Corp</t>
        </is>
      </c>
      <c r="C353" s="1" t="inlineStr">
        <is>
          <t>402635AT3</t>
        </is>
      </c>
      <c r="D353" t="inlineStr">
        <is>
          <t>Gulfport Energy Operating Corp</t>
        </is>
      </c>
      <c r="E353">
        <f>BDP($B353,"LEGAL_ENTITY_IDENTIFIER")</f>
        <v/>
      </c>
      <c r="F353" t="inlineStr">
        <is>
          <t>Gulfport Energy Operating Corp 6.75% 09/01/2029</t>
        </is>
      </c>
      <c r="G353">
        <f>custodian!D353</f>
        <v/>
      </c>
      <c r="H353">
        <f>BDP($B353,"ID_ISIN")</f>
        <v/>
      </c>
      <c r="I353" s="1" t="inlineStr"/>
      <c r="J353">
        <f>BDP($B353,"CNTRY_OF_DOMICILE")</f>
        <v/>
      </c>
      <c r="K353" t="inlineStr">
        <is>
          <t>DBT</t>
        </is>
      </c>
      <c r="L353" t="inlineStr">
        <is>
          <t>CORP</t>
        </is>
      </c>
      <c r="M353" t="inlineStr"/>
      <c r="N353" t="inlineStr"/>
      <c r="O353" s="1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s="1" t="inlineStr"/>
      <c r="AR353" s="1" t="inlineStr"/>
      <c r="AS353" s="1" t="inlineStr"/>
      <c r="AT353">
        <f>TEXT(BDP($B353,"MATURITY"),"yyyy-mm-dd")</f>
        <v/>
      </c>
      <c r="AU353">
        <f>BDP($B353,"CPN_TYP")</f>
        <v/>
      </c>
      <c r="AV353">
        <f>BDP($B353,"CPN")</f>
        <v/>
      </c>
      <c r="AW353" t="inlineStr"/>
      <c r="AX353" t="inlineStr"/>
      <c r="AY353" t="inlineStr"/>
    </row>
    <row r="354">
      <c r="A354" t="inlineStr">
        <is>
          <t>CHYG</t>
        </is>
      </c>
      <c r="B354" t="inlineStr">
        <is>
          <t>415858AC3 Corp</t>
        </is>
      </c>
      <c r="C354" s="1" t="inlineStr">
        <is>
          <t>415858AC3</t>
        </is>
      </c>
      <c r="D354" t="inlineStr">
        <is>
          <t>Harrow Inc 8.625% 09/15/2030</t>
        </is>
      </c>
      <c r="E354">
        <f>BDP($B354,"LEGAL_ENTITY_IDENTIFIER")</f>
        <v/>
      </c>
      <c r="F354" t="inlineStr">
        <is>
          <t>Harrow Inc 8.625% 09/15/2030</t>
        </is>
      </c>
      <c r="G354">
        <f>custodian!D354</f>
        <v/>
      </c>
      <c r="H354">
        <f>BDP($B354,"ID_ISIN")</f>
        <v/>
      </c>
      <c r="I354" s="1" t="inlineStr"/>
      <c r="J354">
        <f>BDP($B354,"CNTRY_OF_DOMICILE")</f>
        <v/>
      </c>
      <c r="K354" t="inlineStr">
        <is>
          <t>DBT</t>
        </is>
      </c>
      <c r="L354" t="inlineStr">
        <is>
          <t>CORP</t>
        </is>
      </c>
      <c r="M354" t="inlineStr"/>
      <c r="N354" t="inlineStr"/>
      <c r="O354" s="1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s="1" t="inlineStr"/>
      <c r="AR354" s="1" t="inlineStr"/>
      <c r="AS354" s="1" t="inlineStr"/>
      <c r="AT354">
        <f>TEXT(BDP($B354,"MATURITY"),"yyyy-mm-dd")</f>
        <v/>
      </c>
      <c r="AU354">
        <f>BDP($B354,"CPN_TYP")</f>
        <v/>
      </c>
      <c r="AV354">
        <f>BDP($B354,"CPN")</f>
        <v/>
      </c>
      <c r="AW354" t="inlineStr"/>
      <c r="AX354" t="inlineStr"/>
      <c r="AY354" t="inlineStr"/>
    </row>
    <row r="355">
      <c r="A355" t="inlineStr">
        <is>
          <t>CHYG</t>
        </is>
      </c>
      <c r="B355" t="inlineStr">
        <is>
          <t>42704LAE4 Corp</t>
        </is>
      </c>
      <c r="C355" s="1" t="inlineStr">
        <is>
          <t>42704LAE4</t>
        </is>
      </c>
      <c r="D355" t="inlineStr">
        <is>
          <t>Herc Holdings Inc 6.625% 06/15</t>
        </is>
      </c>
      <c r="E355">
        <f>BDP($B355,"LEGAL_ENTITY_IDENTIFIER")</f>
        <v/>
      </c>
      <c r="F355" t="inlineStr">
        <is>
          <t>Herc Holdings Inc 6.625% 06/15/2029</t>
        </is>
      </c>
      <c r="G355">
        <f>custodian!D355</f>
        <v/>
      </c>
      <c r="H355">
        <f>BDP($B355,"ID_ISIN")</f>
        <v/>
      </c>
      <c r="I355" s="1" t="inlineStr"/>
      <c r="J355">
        <f>BDP($B355,"CNTRY_OF_DOMICILE")</f>
        <v/>
      </c>
      <c r="K355" t="inlineStr">
        <is>
          <t>DBT</t>
        </is>
      </c>
      <c r="L355" t="inlineStr">
        <is>
          <t>CORP</t>
        </is>
      </c>
      <c r="M355" t="inlineStr"/>
      <c r="N355" t="inlineStr"/>
      <c r="O355" s="1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s="1" t="inlineStr"/>
      <c r="AR355" s="1" t="inlineStr"/>
      <c r="AS355" s="1" t="inlineStr"/>
      <c r="AT355">
        <f>TEXT(BDP($B355,"MATURITY"),"yyyy-mm-dd")</f>
        <v/>
      </c>
      <c r="AU355">
        <f>BDP($B355,"CPN_TYP")</f>
        <v/>
      </c>
      <c r="AV355">
        <f>BDP($B355,"CPN")</f>
        <v/>
      </c>
      <c r="AW355" t="inlineStr"/>
      <c r="AX355" t="inlineStr"/>
      <c r="AY355" t="inlineStr"/>
    </row>
    <row r="356">
      <c r="A356" t="inlineStr">
        <is>
          <t>CHYG</t>
        </is>
      </c>
      <c r="B356" t="inlineStr">
        <is>
          <t>43118DAB6 Corp</t>
        </is>
      </c>
      <c r="C356" s="1" t="inlineStr">
        <is>
          <t>43118DAB6</t>
        </is>
      </c>
      <c r="D356" t="inlineStr">
        <is>
          <t>Hightower Holding LLC 9.125% 0</t>
        </is>
      </c>
      <c r="E356">
        <f>BDP($B356,"LEGAL_ENTITY_IDENTIFIER")</f>
        <v/>
      </c>
      <c r="F356" t="inlineStr">
        <is>
          <t>Hightower Holding LLC 9.125% 01/31/2030</t>
        </is>
      </c>
      <c r="G356">
        <f>custodian!D356</f>
        <v/>
      </c>
      <c r="H356">
        <f>BDP($B356,"ID_ISIN")</f>
        <v/>
      </c>
      <c r="I356" s="1" t="inlineStr"/>
      <c r="J356">
        <f>BDP($B356,"CNTRY_OF_DOMICILE")</f>
        <v/>
      </c>
      <c r="K356" t="inlineStr">
        <is>
          <t>DBT</t>
        </is>
      </c>
      <c r="L356" t="inlineStr">
        <is>
          <t>CORP</t>
        </is>
      </c>
      <c r="M356" t="inlineStr"/>
      <c r="N356" t="inlineStr"/>
      <c r="O356" s="1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s="1" t="inlineStr"/>
      <c r="AR356" s="1" t="inlineStr"/>
      <c r="AS356" s="1" t="inlineStr"/>
      <c r="AT356">
        <f>TEXT(BDP($B356,"MATURITY"),"yyyy-mm-dd")</f>
        <v/>
      </c>
      <c r="AU356">
        <f>BDP($B356,"CPN_TYP")</f>
        <v/>
      </c>
      <c r="AV356">
        <f>BDP($B356,"CPN")</f>
        <v/>
      </c>
      <c r="AW356" t="inlineStr"/>
      <c r="AX356" t="inlineStr"/>
      <c r="AY356" t="inlineStr"/>
    </row>
    <row r="357">
      <c r="A357" t="inlineStr">
        <is>
          <t>CHYG</t>
        </is>
      </c>
      <c r="B357" t="inlineStr">
        <is>
          <t>431318AU8 Corp</t>
        </is>
      </c>
      <c r="C357" s="1" t="inlineStr">
        <is>
          <t>431318AU8</t>
        </is>
      </c>
      <c r="D357" t="inlineStr">
        <is>
          <t xml:space="preserve">Hilcorp Energy I LP / Hilcorp </t>
        </is>
      </c>
      <c r="E357">
        <f>BDP($B357,"LEGAL_ENTITY_IDENTIFIER")</f>
        <v/>
      </c>
      <c r="F357" t="inlineStr">
        <is>
          <t>Hilcorp Energy I LP / Hilcorp Finance Co 5.75% 02/01/2029</t>
        </is>
      </c>
      <c r="G357">
        <f>custodian!D357</f>
        <v/>
      </c>
      <c r="H357">
        <f>BDP($B357,"ID_ISIN")</f>
        <v/>
      </c>
      <c r="I357" s="1" t="inlineStr"/>
      <c r="J357">
        <f>BDP($B357,"CNTRY_OF_DOMICILE")</f>
        <v/>
      </c>
      <c r="K357" t="inlineStr">
        <is>
          <t>DBT</t>
        </is>
      </c>
      <c r="L357" t="inlineStr">
        <is>
          <t>CORP</t>
        </is>
      </c>
      <c r="M357" t="inlineStr"/>
      <c r="N357" t="inlineStr"/>
      <c r="O357" s="1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s="1" t="inlineStr"/>
      <c r="AR357" s="1" t="inlineStr"/>
      <c r="AS357" s="1" t="inlineStr"/>
      <c r="AT357">
        <f>TEXT(BDP($B357,"MATURITY"),"yyyy-mm-dd")</f>
        <v/>
      </c>
      <c r="AU357">
        <f>BDP($B357,"CPN_TYP")</f>
        <v/>
      </c>
      <c r="AV357">
        <f>BDP($B357,"CPN")</f>
        <v/>
      </c>
      <c r="AW357" t="inlineStr"/>
      <c r="AX357" t="inlineStr"/>
      <c r="AY357" t="inlineStr"/>
    </row>
    <row r="358">
      <c r="A358" t="inlineStr">
        <is>
          <t>CHYG</t>
        </is>
      </c>
      <c r="B358" t="inlineStr">
        <is>
          <t>44287GAA4 Corp</t>
        </is>
      </c>
      <c r="C358" s="1" t="inlineStr">
        <is>
          <t>44287GAA4</t>
        </is>
      </c>
      <c r="D358" t="inlineStr">
        <is>
          <t>Howden UK Refinance PLC / Howd</t>
        </is>
      </c>
      <c r="E358">
        <f>BDP($B358,"LEGAL_ENTITY_IDENTIFIER")</f>
        <v/>
      </c>
      <c r="F358" t="inlineStr">
        <is>
          <t>Howden UK Refinance PLC / Howden UK Refinance 2 PLC / Howden US Refinance LLC 7.25% 02/15/2031</t>
        </is>
      </c>
      <c r="G358">
        <f>custodian!D358</f>
        <v/>
      </c>
      <c r="H358">
        <f>BDP($B358,"ID_ISIN")</f>
        <v/>
      </c>
      <c r="I358" s="1" t="inlineStr"/>
      <c r="J358">
        <f>BDP($B358,"CNTRY_OF_DOMICILE")</f>
        <v/>
      </c>
      <c r="K358" t="inlineStr">
        <is>
          <t>DBT</t>
        </is>
      </c>
      <c r="L358" t="inlineStr">
        <is>
          <t>CORP</t>
        </is>
      </c>
      <c r="M358" t="inlineStr"/>
      <c r="N358" t="inlineStr"/>
      <c r="O358" s="1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s="1" t="inlineStr"/>
      <c r="AR358" s="1" t="inlineStr"/>
      <c r="AS358" s="1" t="inlineStr"/>
      <c r="AT358">
        <f>TEXT(BDP($B358,"MATURITY"),"yyyy-mm-dd")</f>
        <v/>
      </c>
      <c r="AU358">
        <f>BDP($B358,"CPN_TYP")</f>
        <v/>
      </c>
      <c r="AV358">
        <f>BDP($B358,"CPN")</f>
        <v/>
      </c>
      <c r="AW358" t="inlineStr"/>
      <c r="AX358" t="inlineStr"/>
      <c r="AY358" t="inlineStr"/>
    </row>
    <row r="359">
      <c r="A359" t="inlineStr">
        <is>
          <t>CHYG</t>
        </is>
      </c>
      <c r="B359" t="inlineStr">
        <is>
          <t>44332PAH4 Corp</t>
        </is>
      </c>
      <c r="C359" s="1" t="inlineStr">
        <is>
          <t>44332PAH4</t>
        </is>
      </c>
      <c r="D359" t="inlineStr">
        <is>
          <t>HUB International Ltd 7.25% 06</t>
        </is>
      </c>
      <c r="E359">
        <f>BDP($B359,"LEGAL_ENTITY_IDENTIFIER")</f>
        <v/>
      </c>
      <c r="F359" t="inlineStr">
        <is>
          <t>HUB International Ltd 7.25% 06/15/2030</t>
        </is>
      </c>
      <c r="G359">
        <f>custodian!D359</f>
        <v/>
      </c>
      <c r="H359">
        <f>BDP($B359,"ID_ISIN")</f>
        <v/>
      </c>
      <c r="I359" s="1" t="inlineStr"/>
      <c r="J359">
        <f>BDP($B359,"CNTRY_OF_DOMICILE")</f>
        <v/>
      </c>
      <c r="K359" t="inlineStr">
        <is>
          <t>DBT</t>
        </is>
      </c>
      <c r="L359" t="inlineStr">
        <is>
          <t>CORP</t>
        </is>
      </c>
      <c r="M359" t="inlineStr"/>
      <c r="N359" t="inlineStr"/>
      <c r="O359" s="1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s="1" t="inlineStr"/>
      <c r="AR359" s="1" t="inlineStr"/>
      <c r="AS359" s="1" t="inlineStr"/>
      <c r="AT359">
        <f>TEXT(BDP($B359,"MATURITY"),"yyyy-mm-dd")</f>
        <v/>
      </c>
      <c r="AU359">
        <f>BDP($B359,"CPN_TYP")</f>
        <v/>
      </c>
      <c r="AV359">
        <f>BDP($B359,"CPN")</f>
        <v/>
      </c>
      <c r="AW359" t="inlineStr"/>
      <c r="AX359" t="inlineStr"/>
      <c r="AY359" t="inlineStr"/>
    </row>
    <row r="360">
      <c r="A360" t="inlineStr">
        <is>
          <t>CHYG</t>
        </is>
      </c>
      <c r="B360" t="inlineStr">
        <is>
          <t>44701QBE1 Corp</t>
        </is>
      </c>
      <c r="C360" s="1" t="inlineStr">
        <is>
          <t>44701QBE1</t>
        </is>
      </c>
      <c r="D360" t="inlineStr">
        <is>
          <t>Huntsman International LLC 4.5</t>
        </is>
      </c>
      <c r="E360">
        <f>BDP($B360,"LEGAL_ENTITY_IDENTIFIER")</f>
        <v/>
      </c>
      <c r="F360" t="inlineStr">
        <is>
          <t>Huntsman International LLC 4.5% 05/01/2029</t>
        </is>
      </c>
      <c r="G360">
        <f>custodian!D360</f>
        <v/>
      </c>
      <c r="H360">
        <f>BDP($B360,"ID_ISIN")</f>
        <v/>
      </c>
      <c r="I360" s="1" t="inlineStr"/>
      <c r="J360">
        <f>BDP($B360,"CNTRY_OF_DOMICILE")</f>
        <v/>
      </c>
      <c r="K360" t="inlineStr">
        <is>
          <t>DBT</t>
        </is>
      </c>
      <c r="L360" t="inlineStr">
        <is>
          <t>CORP</t>
        </is>
      </c>
      <c r="M360" t="inlineStr"/>
      <c r="N360" t="inlineStr"/>
      <c r="O360" s="1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s="1" t="inlineStr"/>
      <c r="AR360" s="1" t="inlineStr"/>
      <c r="AS360" s="1" t="inlineStr"/>
      <c r="AT360">
        <f>TEXT(BDP($B360,"MATURITY"),"yyyy-mm-dd")</f>
        <v/>
      </c>
      <c r="AU360">
        <f>BDP($B360,"CPN_TYP")</f>
        <v/>
      </c>
      <c r="AV360">
        <f>BDP($B360,"CPN")</f>
        <v/>
      </c>
      <c r="AW360" t="inlineStr"/>
      <c r="AX360" t="inlineStr"/>
      <c r="AY360" t="inlineStr"/>
    </row>
    <row r="361">
      <c r="A361" t="inlineStr">
        <is>
          <t>CHYG</t>
        </is>
      </c>
      <c r="B361" t="inlineStr">
        <is>
          <t>449691AC8 Corp</t>
        </is>
      </c>
      <c r="C361" s="1" t="inlineStr">
        <is>
          <t>449691AC8</t>
        </is>
      </c>
      <c r="D361" t="inlineStr">
        <is>
          <t>Iliad Holding SAS 7% 10/15/202</t>
        </is>
      </c>
      <c r="E361">
        <f>BDP($B361,"LEGAL_ENTITY_IDENTIFIER")</f>
        <v/>
      </c>
      <c r="F361" t="inlineStr">
        <is>
          <t>Iliad Holding SAS 7% 10/15/2028</t>
        </is>
      </c>
      <c r="G361">
        <f>custodian!D361</f>
        <v/>
      </c>
      <c r="H361">
        <f>BDP($B361,"ID_ISIN")</f>
        <v/>
      </c>
      <c r="I361" s="1" t="inlineStr"/>
      <c r="J361">
        <f>BDP($B361,"CNTRY_OF_DOMICILE")</f>
        <v/>
      </c>
      <c r="K361" t="inlineStr">
        <is>
          <t>DBT</t>
        </is>
      </c>
      <c r="L361" t="inlineStr">
        <is>
          <t>CORP</t>
        </is>
      </c>
      <c r="M361" t="inlineStr"/>
      <c r="N361" t="inlineStr"/>
      <c r="O361" s="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s="1" t="inlineStr"/>
      <c r="AR361" s="1" t="inlineStr"/>
      <c r="AS361" s="1" t="inlineStr"/>
      <c r="AT361">
        <f>TEXT(BDP($B361,"MATURITY"),"yyyy-mm-dd")</f>
        <v/>
      </c>
      <c r="AU361">
        <f>BDP($B361,"CPN_TYP")</f>
        <v/>
      </c>
      <c r="AV361">
        <f>BDP($B361,"CPN")</f>
        <v/>
      </c>
      <c r="AW361" t="inlineStr"/>
      <c r="AX361" t="inlineStr"/>
      <c r="AY361" t="inlineStr"/>
    </row>
    <row r="362">
      <c r="A362" t="inlineStr">
        <is>
          <t>CHYG</t>
        </is>
      </c>
      <c r="B362" t="inlineStr">
        <is>
          <t>45074JAA2 Corp</t>
        </is>
      </c>
      <c r="C362" s="1" t="inlineStr">
        <is>
          <t>45074JAA2</t>
        </is>
      </c>
      <c r="D362" t="inlineStr">
        <is>
          <t>ITT Holdings LLC 6.5% 08/01/20</t>
        </is>
      </c>
      <c r="E362">
        <f>BDP($B362,"LEGAL_ENTITY_IDENTIFIER")</f>
        <v/>
      </c>
      <c r="F362" t="inlineStr">
        <is>
          <t>ITT Holdings LLC 6.5% 08/01/2029</t>
        </is>
      </c>
      <c r="G362">
        <f>custodian!D362</f>
        <v/>
      </c>
      <c r="H362">
        <f>BDP($B362,"ID_ISIN")</f>
        <v/>
      </c>
      <c r="I362" s="1" t="inlineStr"/>
      <c r="J362">
        <f>BDP($B362,"CNTRY_OF_DOMICILE")</f>
        <v/>
      </c>
      <c r="K362" t="inlineStr">
        <is>
          <t>DBT</t>
        </is>
      </c>
      <c r="L362" t="inlineStr">
        <is>
          <t>CORP</t>
        </is>
      </c>
      <c r="M362" t="inlineStr"/>
      <c r="N362" t="inlineStr"/>
      <c r="O362" s="1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s="1" t="inlineStr"/>
      <c r="AR362" s="1" t="inlineStr"/>
      <c r="AS362" s="1" t="inlineStr"/>
      <c r="AT362">
        <f>TEXT(BDP($B362,"MATURITY"),"yyyy-mm-dd")</f>
        <v/>
      </c>
      <c r="AU362">
        <f>BDP($B362,"CPN_TYP")</f>
        <v/>
      </c>
      <c r="AV362">
        <f>BDP($B362,"CPN")</f>
        <v/>
      </c>
      <c r="AW362" t="inlineStr"/>
      <c r="AX362" t="inlineStr"/>
      <c r="AY362" t="inlineStr"/>
    </row>
    <row r="363">
      <c r="A363" t="inlineStr">
        <is>
          <t>CHYG</t>
        </is>
      </c>
      <c r="B363" t="inlineStr">
        <is>
          <t>45174HBJ5 Corp</t>
        </is>
      </c>
      <c r="C363" s="1" t="inlineStr">
        <is>
          <t>45174HBJ5</t>
        </is>
      </c>
      <c r="D363" t="inlineStr">
        <is>
          <t>iHeartCommunications Inc 9.125</t>
        </is>
      </c>
      <c r="E363">
        <f>BDP($B363,"LEGAL_ENTITY_IDENTIFIER")</f>
        <v/>
      </c>
      <c r="F363" t="inlineStr">
        <is>
          <t>iHeartCommunications Inc 9.125% 05/01/2029</t>
        </is>
      </c>
      <c r="G363">
        <f>custodian!D363</f>
        <v/>
      </c>
      <c r="H363">
        <f>BDP($B363,"ID_ISIN")</f>
        <v/>
      </c>
      <c r="I363" s="1" t="inlineStr"/>
      <c r="J363">
        <f>BDP($B363,"CNTRY_OF_DOMICILE")</f>
        <v/>
      </c>
      <c r="K363" t="inlineStr">
        <is>
          <t>DBT</t>
        </is>
      </c>
      <c r="L363" t="inlineStr">
        <is>
          <t>CORP</t>
        </is>
      </c>
      <c r="M363" t="inlineStr"/>
      <c r="N363" t="inlineStr"/>
      <c r="O363" s="1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s="1" t="inlineStr"/>
      <c r="AR363" s="1" t="inlineStr"/>
      <c r="AS363" s="1" t="inlineStr"/>
      <c r="AT363">
        <f>TEXT(BDP($B363,"MATURITY"),"yyyy-mm-dd")</f>
        <v/>
      </c>
      <c r="AU363">
        <f>BDP($B363,"CPN_TYP")</f>
        <v/>
      </c>
      <c r="AV363">
        <f>BDP($B363,"CPN")</f>
        <v/>
      </c>
      <c r="AW363" t="inlineStr"/>
      <c r="AX363" t="inlineStr"/>
      <c r="AY363" t="inlineStr"/>
    </row>
    <row r="364">
      <c r="A364" t="inlineStr">
        <is>
          <t>CHYG</t>
        </is>
      </c>
      <c r="B364" t="inlineStr">
        <is>
          <t>45258LAA5 Corp</t>
        </is>
      </c>
      <c r="C364" s="1" t="inlineStr">
        <is>
          <t>45258LAA5</t>
        </is>
      </c>
      <c r="D364" t="inlineStr">
        <is>
          <t>Ingram Micro Inc 4.75% 05/15/2</t>
        </is>
      </c>
      <c r="E364">
        <f>BDP($B364,"LEGAL_ENTITY_IDENTIFIER")</f>
        <v/>
      </c>
      <c r="F364" t="inlineStr">
        <is>
          <t>Ingram Micro Inc 4.75% 05/15/2029</t>
        </is>
      </c>
      <c r="G364">
        <f>custodian!D364</f>
        <v/>
      </c>
      <c r="H364">
        <f>BDP($B364,"ID_ISIN")</f>
        <v/>
      </c>
      <c r="I364" s="1" t="inlineStr"/>
      <c r="J364">
        <f>BDP($B364,"CNTRY_OF_DOMICILE")</f>
        <v/>
      </c>
      <c r="K364" t="inlineStr">
        <is>
          <t>DBT</t>
        </is>
      </c>
      <c r="L364" t="inlineStr">
        <is>
          <t>CORP</t>
        </is>
      </c>
      <c r="M364" t="inlineStr"/>
      <c r="N364" t="inlineStr"/>
      <c r="O364" s="1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s="1" t="inlineStr"/>
      <c r="AR364" s="1" t="inlineStr"/>
      <c r="AS364" s="1" t="inlineStr"/>
      <c r="AT364">
        <f>TEXT(BDP($B364,"MATURITY"),"yyyy-mm-dd")</f>
        <v/>
      </c>
      <c r="AU364">
        <f>BDP($B364,"CPN_TYP")</f>
        <v/>
      </c>
      <c r="AV364">
        <f>BDP($B364,"CPN")</f>
        <v/>
      </c>
      <c r="AW364" t="inlineStr"/>
      <c r="AX364" t="inlineStr"/>
      <c r="AY364" t="inlineStr"/>
    </row>
    <row r="365">
      <c r="A365" t="inlineStr">
        <is>
          <t>CHYG</t>
        </is>
      </c>
      <c r="B365" t="inlineStr">
        <is>
          <t>46284VAF8 Corp</t>
        </is>
      </c>
      <c r="C365" s="1" t="inlineStr">
        <is>
          <t>46284VAF8</t>
        </is>
      </c>
      <c r="D365" t="inlineStr">
        <is>
          <t>Iron Mountain Inc 4.875% 09/15</t>
        </is>
      </c>
      <c r="E365">
        <f>BDP($B365,"LEGAL_ENTITY_IDENTIFIER")</f>
        <v/>
      </c>
      <c r="F365" t="inlineStr">
        <is>
          <t>Iron Mountain Inc 4.875% 09/15/2029</t>
        </is>
      </c>
      <c r="G365">
        <f>custodian!D365</f>
        <v/>
      </c>
      <c r="H365">
        <f>BDP($B365,"ID_ISIN")</f>
        <v/>
      </c>
      <c r="I365" s="1" t="inlineStr"/>
      <c r="J365">
        <f>BDP($B365,"CNTRY_OF_DOMICILE")</f>
        <v/>
      </c>
      <c r="K365" t="inlineStr">
        <is>
          <t>DBT</t>
        </is>
      </c>
      <c r="L365" t="inlineStr">
        <is>
          <t>CORP</t>
        </is>
      </c>
      <c r="M365" t="inlineStr"/>
      <c r="N365" t="inlineStr"/>
      <c r="O365" s="1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s="1" t="inlineStr"/>
      <c r="AR365" s="1" t="inlineStr"/>
      <c r="AS365" s="1" t="inlineStr"/>
      <c r="AT365">
        <f>TEXT(BDP($B365,"MATURITY"),"yyyy-mm-dd")</f>
        <v/>
      </c>
      <c r="AU365">
        <f>BDP($B365,"CPN_TYP")</f>
        <v/>
      </c>
      <c r="AV365">
        <f>BDP($B365,"CPN")</f>
        <v/>
      </c>
      <c r="AW365" t="inlineStr"/>
      <c r="AX365" t="inlineStr"/>
      <c r="AY365" t="inlineStr"/>
    </row>
    <row r="366">
      <c r="A366" t="inlineStr">
        <is>
          <t>CHYG</t>
        </is>
      </c>
      <c r="B366" t="inlineStr">
        <is>
          <t>469815AK0 Corp</t>
        </is>
      </c>
      <c r="C366" s="1" t="inlineStr">
        <is>
          <t>469815AK0</t>
        </is>
      </c>
      <c r="D366" t="inlineStr">
        <is>
          <t>Jacobs Entertainment Inc 6.75%</t>
        </is>
      </c>
      <c r="E366">
        <f>BDP($B366,"LEGAL_ENTITY_IDENTIFIER")</f>
        <v/>
      </c>
      <c r="F366" t="inlineStr">
        <is>
          <t>Jacobs Entertainment Inc 6.75% 02/15/2029</t>
        </is>
      </c>
      <c r="G366">
        <f>custodian!D366</f>
        <v/>
      </c>
      <c r="H366">
        <f>BDP($B366,"ID_ISIN")</f>
        <v/>
      </c>
      <c r="I366" s="1" t="inlineStr"/>
      <c r="J366">
        <f>BDP($B366,"CNTRY_OF_DOMICILE")</f>
        <v/>
      </c>
      <c r="K366" t="inlineStr">
        <is>
          <t>DBT</t>
        </is>
      </c>
      <c r="L366" t="inlineStr">
        <is>
          <t>CORP</t>
        </is>
      </c>
      <c r="M366" t="inlineStr"/>
      <c r="N366" t="inlineStr"/>
      <c r="O366" s="1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s="1" t="inlineStr"/>
      <c r="AR366" s="1" t="inlineStr"/>
      <c r="AS366" s="1" t="inlineStr"/>
      <c r="AT366">
        <f>TEXT(BDP($B366,"MATURITY"),"yyyy-mm-dd")</f>
        <v/>
      </c>
      <c r="AU366">
        <f>BDP($B366,"CPN_TYP")</f>
        <v/>
      </c>
      <c r="AV366">
        <f>BDP($B366,"CPN")</f>
        <v/>
      </c>
      <c r="AW366" t="inlineStr"/>
      <c r="AX366" t="inlineStr"/>
      <c r="AY366" t="inlineStr"/>
    </row>
    <row r="367">
      <c r="A367" t="inlineStr">
        <is>
          <t>CHYG</t>
        </is>
      </c>
      <c r="B367" t="inlineStr">
        <is>
          <t>47077WAC2 Corp</t>
        </is>
      </c>
      <c r="C367" s="1" t="inlineStr">
        <is>
          <t>47077WAC2</t>
        </is>
      </c>
      <c r="D367" t="inlineStr">
        <is>
          <t>Jane Street Group / JSG Financ</t>
        </is>
      </c>
      <c r="E367">
        <f>BDP($B367,"LEGAL_ENTITY_IDENTIFIER")</f>
        <v/>
      </c>
      <c r="F367" t="inlineStr">
        <is>
          <t>Jane Street Group / JSG Finance Inc 7.125% 04/30/2031</t>
        </is>
      </c>
      <c r="G367">
        <f>custodian!D367</f>
        <v/>
      </c>
      <c r="H367">
        <f>BDP($B367,"ID_ISIN")</f>
        <v/>
      </c>
      <c r="I367" s="1" t="inlineStr"/>
      <c r="J367">
        <f>BDP($B367,"CNTRY_OF_DOMICILE")</f>
        <v/>
      </c>
      <c r="K367" t="inlineStr">
        <is>
          <t>DBT</t>
        </is>
      </c>
      <c r="L367" t="inlineStr">
        <is>
          <t>CORP</t>
        </is>
      </c>
      <c r="M367" t="inlineStr"/>
      <c r="N367" t="inlineStr"/>
      <c r="O367" s="1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s="1" t="inlineStr"/>
      <c r="AR367" s="1" t="inlineStr"/>
      <c r="AS367" s="1" t="inlineStr"/>
      <c r="AT367">
        <f>TEXT(BDP($B367,"MATURITY"),"yyyy-mm-dd")</f>
        <v/>
      </c>
      <c r="AU367">
        <f>BDP($B367,"CPN_TYP")</f>
        <v/>
      </c>
      <c r="AV367">
        <f>BDP($B367,"CPN")</f>
        <v/>
      </c>
      <c r="AW367" t="inlineStr"/>
      <c r="AX367" t="inlineStr"/>
      <c r="AY367" t="inlineStr"/>
    </row>
    <row r="368">
      <c r="A368" t="inlineStr">
        <is>
          <t>CHYG</t>
        </is>
      </c>
      <c r="B368" t="inlineStr">
        <is>
          <t>472481AC4 Corp</t>
        </is>
      </c>
      <c r="C368" s="1" t="inlineStr">
        <is>
          <t>472481AC4</t>
        </is>
      </c>
      <c r="D368" t="inlineStr">
        <is>
          <t>Jefferson Capital Holdings LLC</t>
        </is>
      </c>
      <c r="E368">
        <f>BDP($B368,"LEGAL_ENTITY_IDENTIFIER")</f>
        <v/>
      </c>
      <c r="F368" t="inlineStr">
        <is>
          <t>Jefferson Capital Holdings LLC 8.25% 05/15/2030</t>
        </is>
      </c>
      <c r="G368">
        <f>custodian!D368</f>
        <v/>
      </c>
      <c r="H368">
        <f>BDP($B368,"ID_ISIN")</f>
        <v/>
      </c>
      <c r="I368" s="1" t="inlineStr"/>
      <c r="J368">
        <f>BDP($B368,"CNTRY_OF_DOMICILE")</f>
        <v/>
      </c>
      <c r="K368" t="inlineStr">
        <is>
          <t>DBT</t>
        </is>
      </c>
      <c r="L368" t="inlineStr">
        <is>
          <t>CORP</t>
        </is>
      </c>
      <c r="M368" t="inlineStr"/>
      <c r="N368" t="inlineStr"/>
      <c r="O368" s="1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s="1" t="inlineStr"/>
      <c r="AR368" s="1" t="inlineStr"/>
      <c r="AS368" s="1" t="inlineStr"/>
      <c r="AT368">
        <f>TEXT(BDP($B368,"MATURITY"),"yyyy-mm-dd")</f>
        <v/>
      </c>
      <c r="AU368">
        <f>BDP($B368,"CPN_TYP")</f>
        <v/>
      </c>
      <c r="AV368">
        <f>BDP($B368,"CPN")</f>
        <v/>
      </c>
      <c r="AW368" t="inlineStr"/>
      <c r="AX368" t="inlineStr"/>
      <c r="AY368" t="inlineStr"/>
    </row>
    <row r="369">
      <c r="A369" t="inlineStr">
        <is>
          <t>CHYG</t>
        </is>
      </c>
      <c r="B369" t="inlineStr">
        <is>
          <t>48020RAB1 Corp</t>
        </is>
      </c>
      <c r="C369" s="1" t="inlineStr">
        <is>
          <t>48020RAB1</t>
        </is>
      </c>
      <c r="D369" t="inlineStr">
        <is>
          <t>Jones Deslauriers Insurance Ma</t>
        </is>
      </c>
      <c r="E369">
        <f>BDP($B369,"LEGAL_ENTITY_IDENTIFIER")</f>
        <v/>
      </c>
      <c r="F369" t="inlineStr">
        <is>
          <t>Jones Deslauriers Insurance Management Inc 8.5% 03/15/2030</t>
        </is>
      </c>
      <c r="G369">
        <f>custodian!D369</f>
        <v/>
      </c>
      <c r="H369">
        <f>BDP($B369,"ID_ISIN")</f>
        <v/>
      </c>
      <c r="I369" s="1" t="inlineStr"/>
      <c r="J369">
        <f>BDP($B369,"CNTRY_OF_DOMICILE")</f>
        <v/>
      </c>
      <c r="K369" t="inlineStr">
        <is>
          <t>DBT</t>
        </is>
      </c>
      <c r="L369" t="inlineStr">
        <is>
          <t>CORP</t>
        </is>
      </c>
      <c r="M369" t="inlineStr"/>
      <c r="N369" t="inlineStr"/>
      <c r="O369" s="1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s="1" t="inlineStr"/>
      <c r="AR369" s="1" t="inlineStr"/>
      <c r="AS369" s="1" t="inlineStr"/>
      <c r="AT369">
        <f>TEXT(BDP($B369,"MATURITY"),"yyyy-mm-dd")</f>
        <v/>
      </c>
      <c r="AU369">
        <f>BDP($B369,"CPN_TYP")</f>
        <v/>
      </c>
      <c r="AV369">
        <f>BDP($B369,"CPN")</f>
        <v/>
      </c>
      <c r="AW369" t="inlineStr"/>
      <c r="AX369" t="inlineStr"/>
      <c r="AY369" t="inlineStr"/>
    </row>
    <row r="370">
      <c r="A370" t="inlineStr">
        <is>
          <t>CHYG</t>
        </is>
      </c>
      <c r="B370" t="inlineStr">
        <is>
          <t>48250NAC9 Corp</t>
        </is>
      </c>
      <c r="C370" s="1" t="inlineStr">
        <is>
          <t>48250NAC9</t>
        </is>
      </c>
      <c r="D370" t="inlineStr">
        <is>
          <t>KFC Holding Co/Pizza Hut Holdi</t>
        </is>
      </c>
      <c r="E370">
        <f>BDP($B370,"LEGAL_ENTITY_IDENTIFIER")</f>
        <v/>
      </c>
      <c r="F370" t="inlineStr">
        <is>
          <t>KFC Holding Co/Pizza Hut Holdings LLC/Taco Bell of America LLC 4.75% 06/01/2027</t>
        </is>
      </c>
      <c r="G370">
        <f>custodian!D370</f>
        <v/>
      </c>
      <c r="H370">
        <f>BDP($B370,"ID_ISIN")</f>
        <v/>
      </c>
      <c r="I370" s="1" t="inlineStr"/>
      <c r="J370">
        <f>BDP($B370,"CNTRY_OF_DOMICILE")</f>
        <v/>
      </c>
      <c r="K370" t="inlineStr">
        <is>
          <t>DBT</t>
        </is>
      </c>
      <c r="L370" t="inlineStr">
        <is>
          <t>CORP</t>
        </is>
      </c>
      <c r="M370" t="inlineStr"/>
      <c r="N370" t="inlineStr"/>
      <c r="O370" s="1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s="1" t="inlineStr"/>
      <c r="AR370" s="1" t="inlineStr"/>
      <c r="AS370" s="1" t="inlineStr"/>
      <c r="AT370">
        <f>TEXT(BDP($B370,"MATURITY"),"yyyy-mm-dd")</f>
        <v/>
      </c>
      <c r="AU370">
        <f>BDP($B370,"CPN_TYP")</f>
        <v/>
      </c>
      <c r="AV370">
        <f>BDP($B370,"CPN")</f>
        <v/>
      </c>
      <c r="AW370" t="inlineStr"/>
      <c r="AX370" t="inlineStr"/>
      <c r="AY370" t="inlineStr"/>
    </row>
    <row r="371">
      <c r="A371" t="inlineStr">
        <is>
          <t>CHYG</t>
        </is>
      </c>
      <c r="B371" t="inlineStr">
        <is>
          <t>49461MAB6 Corp</t>
        </is>
      </c>
      <c r="C371" s="1" t="inlineStr">
        <is>
          <t>49461MAB6</t>
        </is>
      </c>
      <c r="D371" t="inlineStr">
        <is>
          <t>Kinetik Holdings LP 6.625% 12/</t>
        </is>
      </c>
      <c r="E371">
        <f>BDP($B371,"LEGAL_ENTITY_IDENTIFIER")</f>
        <v/>
      </c>
      <c r="F371" t="inlineStr">
        <is>
          <t>Kinetik Holdings LP 6.625% 12/15/2028</t>
        </is>
      </c>
      <c r="G371">
        <f>custodian!D371</f>
        <v/>
      </c>
      <c r="H371">
        <f>BDP($B371,"ID_ISIN")</f>
        <v/>
      </c>
      <c r="I371" s="1" t="inlineStr"/>
      <c r="J371">
        <f>BDP($B371,"CNTRY_OF_DOMICILE")</f>
        <v/>
      </c>
      <c r="K371" t="inlineStr">
        <is>
          <t>DBT</t>
        </is>
      </c>
      <c r="L371" t="inlineStr">
        <is>
          <t>CORP</t>
        </is>
      </c>
      <c r="M371" t="inlineStr"/>
      <c r="N371" t="inlineStr"/>
      <c r="O371" s="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s="1" t="inlineStr"/>
      <c r="AR371" s="1" t="inlineStr"/>
      <c r="AS371" s="1" t="inlineStr"/>
      <c r="AT371">
        <f>TEXT(BDP($B371,"MATURITY"),"yyyy-mm-dd")</f>
        <v/>
      </c>
      <c r="AU371">
        <f>BDP($B371,"CPN_TYP")</f>
        <v/>
      </c>
      <c r="AV371">
        <f>BDP($B371,"CPN")</f>
        <v/>
      </c>
      <c r="AW371" t="inlineStr"/>
      <c r="AX371" t="inlineStr"/>
      <c r="AY371" t="inlineStr"/>
    </row>
    <row r="372">
      <c r="A372" t="inlineStr">
        <is>
          <t>CHYG</t>
        </is>
      </c>
      <c r="B372" t="inlineStr">
        <is>
          <t>50067PAA7 Corp</t>
        </is>
      </c>
      <c r="C372" s="1" t="inlineStr">
        <is>
          <t>50067PAA7</t>
        </is>
      </c>
      <c r="D372" t="inlineStr">
        <is>
          <t>Korn Ferry 4.625% 12/15/2027</t>
        </is>
      </c>
      <c r="E372">
        <f>BDP($B372,"LEGAL_ENTITY_IDENTIFIER")</f>
        <v/>
      </c>
      <c r="F372" t="inlineStr">
        <is>
          <t>Korn Ferry 4.625% 12/15/2027</t>
        </is>
      </c>
      <c r="G372">
        <f>custodian!D372</f>
        <v/>
      </c>
      <c r="H372">
        <f>BDP($B372,"ID_ISIN")</f>
        <v/>
      </c>
      <c r="I372" s="1" t="inlineStr"/>
      <c r="J372">
        <f>BDP($B372,"CNTRY_OF_DOMICILE")</f>
        <v/>
      </c>
      <c r="K372" t="inlineStr">
        <is>
          <t>DBT</t>
        </is>
      </c>
      <c r="L372" t="inlineStr">
        <is>
          <t>CORP</t>
        </is>
      </c>
      <c r="M372" t="inlineStr"/>
      <c r="N372" t="inlineStr"/>
      <c r="O372" s="1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s="1" t="inlineStr"/>
      <c r="AR372" s="1" t="inlineStr"/>
      <c r="AS372" s="1" t="inlineStr"/>
      <c r="AT372">
        <f>TEXT(BDP($B372,"MATURITY"),"yyyy-mm-dd")</f>
        <v/>
      </c>
      <c r="AU372">
        <f>BDP($B372,"CPN_TYP")</f>
        <v/>
      </c>
      <c r="AV372">
        <f>BDP($B372,"CPN")</f>
        <v/>
      </c>
      <c r="AW372" t="inlineStr"/>
      <c r="AX372" t="inlineStr"/>
      <c r="AY372" t="inlineStr"/>
    </row>
    <row r="373">
      <c r="A373" t="inlineStr">
        <is>
          <t>CHYG</t>
        </is>
      </c>
      <c r="B373" t="inlineStr">
        <is>
          <t>501797AN4 Corp</t>
        </is>
      </c>
      <c r="C373" s="1" t="inlineStr">
        <is>
          <t>501797AN4</t>
        </is>
      </c>
      <c r="D373" t="inlineStr">
        <is>
          <t>Bath &amp; Body Works Inc 5.25% 02</t>
        </is>
      </c>
      <c r="E373">
        <f>BDP($B373,"LEGAL_ENTITY_IDENTIFIER")</f>
        <v/>
      </c>
      <c r="F373" t="inlineStr">
        <is>
          <t>Bath &amp; Body Works Inc 5.25% 02/01/2028</t>
        </is>
      </c>
      <c r="G373">
        <f>custodian!D373</f>
        <v/>
      </c>
      <c r="H373">
        <f>BDP($B373,"ID_ISIN")</f>
        <v/>
      </c>
      <c r="I373" s="1" t="inlineStr"/>
      <c r="J373">
        <f>BDP($B373,"CNTRY_OF_DOMICILE")</f>
        <v/>
      </c>
      <c r="K373" t="inlineStr">
        <is>
          <t>DBT</t>
        </is>
      </c>
      <c r="L373" t="inlineStr">
        <is>
          <t>CORP</t>
        </is>
      </c>
      <c r="M373" t="inlineStr"/>
      <c r="N373" t="inlineStr"/>
      <c r="O373" s="1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s="1" t="inlineStr"/>
      <c r="AR373" s="1" t="inlineStr"/>
      <c r="AS373" s="1" t="inlineStr"/>
      <c r="AT373">
        <f>TEXT(BDP($B373,"MATURITY"),"yyyy-mm-dd")</f>
        <v/>
      </c>
      <c r="AU373">
        <f>BDP($B373,"CPN_TYP")</f>
        <v/>
      </c>
      <c r="AV373">
        <f>BDP($B373,"CPN")</f>
        <v/>
      </c>
      <c r="AW373" t="inlineStr"/>
      <c r="AX373" t="inlineStr"/>
      <c r="AY373" t="inlineStr"/>
    </row>
    <row r="374">
      <c r="A374" t="inlineStr">
        <is>
          <t>CHYG</t>
        </is>
      </c>
      <c r="B374" t="inlineStr">
        <is>
          <t>502160AN4 Corp</t>
        </is>
      </c>
      <c r="C374" s="1" t="inlineStr">
        <is>
          <t>502160AN4</t>
        </is>
      </c>
      <c r="D374" t="inlineStr">
        <is>
          <t>LSB Industries Inc 6.25% 10/15</t>
        </is>
      </c>
      <c r="E374">
        <f>BDP($B374,"LEGAL_ENTITY_IDENTIFIER")</f>
        <v/>
      </c>
      <c r="F374" t="inlineStr">
        <is>
          <t>LSB Industries Inc 6.25% 10/15/2028</t>
        </is>
      </c>
      <c r="G374">
        <f>custodian!D374</f>
        <v/>
      </c>
      <c r="H374">
        <f>BDP($B374,"ID_ISIN")</f>
        <v/>
      </c>
      <c r="I374" s="1" t="inlineStr"/>
      <c r="J374">
        <f>BDP($B374,"CNTRY_OF_DOMICILE")</f>
        <v/>
      </c>
      <c r="K374" t="inlineStr">
        <is>
          <t>DBT</t>
        </is>
      </c>
      <c r="L374" t="inlineStr">
        <is>
          <t>CORP</t>
        </is>
      </c>
      <c r="M374" t="inlineStr"/>
      <c r="N374" t="inlineStr"/>
      <c r="O374" s="1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s="1" t="inlineStr"/>
      <c r="AR374" s="1" t="inlineStr"/>
      <c r="AS374" s="1" t="inlineStr"/>
      <c r="AT374">
        <f>TEXT(BDP($B374,"MATURITY"),"yyyy-mm-dd")</f>
        <v/>
      </c>
      <c r="AU374">
        <f>BDP($B374,"CPN_TYP")</f>
        <v/>
      </c>
      <c r="AV374">
        <f>BDP($B374,"CPN")</f>
        <v/>
      </c>
      <c r="AW374" t="inlineStr"/>
      <c r="AX374" t="inlineStr"/>
      <c r="AY374" t="inlineStr"/>
    </row>
    <row r="375">
      <c r="A375" t="inlineStr">
        <is>
          <t>CHYG</t>
        </is>
      </c>
      <c r="B375" t="inlineStr">
        <is>
          <t>513075BZ3 Corp</t>
        </is>
      </c>
      <c r="C375" s="1" t="inlineStr">
        <is>
          <t>513075BZ3</t>
        </is>
      </c>
      <c r="D375" t="inlineStr">
        <is>
          <t>Lamar Media Corp 3.625% 01/15/</t>
        </is>
      </c>
      <c r="E375">
        <f>BDP($B375,"LEGAL_ENTITY_IDENTIFIER")</f>
        <v/>
      </c>
      <c r="F375" t="inlineStr">
        <is>
          <t>Lamar Media Corp 3.625% 01/15/2031</t>
        </is>
      </c>
      <c r="G375">
        <f>custodian!D375</f>
        <v/>
      </c>
      <c r="H375">
        <f>BDP($B375,"ID_ISIN")</f>
        <v/>
      </c>
      <c r="I375" s="1" t="inlineStr"/>
      <c r="J375">
        <f>BDP($B375,"CNTRY_OF_DOMICILE")</f>
        <v/>
      </c>
      <c r="K375" t="inlineStr">
        <is>
          <t>DBT</t>
        </is>
      </c>
      <c r="L375" t="inlineStr">
        <is>
          <t>CORP</t>
        </is>
      </c>
      <c r="M375" t="inlineStr"/>
      <c r="N375" t="inlineStr"/>
      <c r="O375" s="1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s="1" t="inlineStr"/>
      <c r="AR375" s="1" t="inlineStr"/>
      <c r="AS375" s="1" t="inlineStr"/>
      <c r="AT375">
        <f>TEXT(BDP($B375,"MATURITY"),"yyyy-mm-dd")</f>
        <v/>
      </c>
      <c r="AU375">
        <f>BDP($B375,"CPN_TYP")</f>
        <v/>
      </c>
      <c r="AV375">
        <f>BDP($B375,"CPN")</f>
        <v/>
      </c>
      <c r="AW375" t="inlineStr"/>
      <c r="AX375" t="inlineStr"/>
      <c r="AY375" t="inlineStr"/>
    </row>
    <row r="376">
      <c r="A376" t="inlineStr">
        <is>
          <t>CHYG</t>
        </is>
      </c>
      <c r="B376" t="inlineStr">
        <is>
          <t>536797AJ2 Corp</t>
        </is>
      </c>
      <c r="C376" s="1" t="inlineStr">
        <is>
          <t>536797AJ2</t>
        </is>
      </c>
      <c r="D376" t="inlineStr">
        <is>
          <t>Lithia Motors Inc 5.5% 10/01/2</t>
        </is>
      </c>
      <c r="E376">
        <f>BDP($B376,"LEGAL_ENTITY_IDENTIFIER")</f>
        <v/>
      </c>
      <c r="F376" t="inlineStr">
        <is>
          <t>Lithia Motors Inc 5.5% 10/01/2030</t>
        </is>
      </c>
      <c r="G376">
        <f>custodian!D376</f>
        <v/>
      </c>
      <c r="H376">
        <f>BDP($B376,"ID_ISIN")</f>
        <v/>
      </c>
      <c r="I376" s="1" t="inlineStr"/>
      <c r="J376">
        <f>BDP($B376,"CNTRY_OF_DOMICILE")</f>
        <v/>
      </c>
      <c r="K376" t="inlineStr">
        <is>
          <t>DBT</t>
        </is>
      </c>
      <c r="L376" t="inlineStr">
        <is>
          <t>CORP</t>
        </is>
      </c>
      <c r="M376" t="inlineStr"/>
      <c r="N376" t="inlineStr"/>
      <c r="O376" s="1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s="1" t="inlineStr"/>
      <c r="AR376" s="1" t="inlineStr"/>
      <c r="AS376" s="1" t="inlineStr"/>
      <c r="AT376">
        <f>TEXT(BDP($B376,"MATURITY"),"yyyy-mm-dd")</f>
        <v/>
      </c>
      <c r="AU376">
        <f>BDP($B376,"CPN_TYP")</f>
        <v/>
      </c>
      <c r="AV376">
        <f>BDP($B376,"CPN")</f>
        <v/>
      </c>
      <c r="AW376" t="inlineStr"/>
      <c r="AX376" t="inlineStr"/>
      <c r="AY376" t="inlineStr"/>
    </row>
    <row r="377">
      <c r="A377" t="inlineStr">
        <is>
          <t>CHYG</t>
        </is>
      </c>
      <c r="B377" t="inlineStr">
        <is>
          <t>538034AV1 Corp</t>
        </is>
      </c>
      <c r="C377" s="1" t="inlineStr">
        <is>
          <t>538034AV1</t>
        </is>
      </c>
      <c r="D377" t="inlineStr">
        <is>
          <t xml:space="preserve">Live Nation Entertainment Inc </t>
        </is>
      </c>
      <c r="E377">
        <f>BDP($B377,"LEGAL_ENTITY_IDENTIFIER")</f>
        <v/>
      </c>
      <c r="F377" t="inlineStr">
        <is>
          <t>Live Nation Entertainment Inc 6.5% 05/15/2027</t>
        </is>
      </c>
      <c r="G377">
        <f>custodian!D377</f>
        <v/>
      </c>
      <c r="H377">
        <f>BDP($B377,"ID_ISIN")</f>
        <v/>
      </c>
      <c r="I377" s="1" t="inlineStr"/>
      <c r="J377">
        <f>BDP($B377,"CNTRY_OF_DOMICILE")</f>
        <v/>
      </c>
      <c r="K377" t="inlineStr">
        <is>
          <t>DBT</t>
        </is>
      </c>
      <c r="L377" t="inlineStr">
        <is>
          <t>CORP</t>
        </is>
      </c>
      <c r="M377" t="inlineStr"/>
      <c r="N377" t="inlineStr"/>
      <c r="O377" s="1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s="1" t="inlineStr"/>
      <c r="AR377" s="1" t="inlineStr"/>
      <c r="AS377" s="1" t="inlineStr"/>
      <c r="AT377">
        <f>TEXT(BDP($B377,"MATURITY"),"yyyy-mm-dd")</f>
        <v/>
      </c>
      <c r="AU377">
        <f>BDP($B377,"CPN_TYP")</f>
        <v/>
      </c>
      <c r="AV377">
        <f>BDP($B377,"CPN")</f>
        <v/>
      </c>
      <c r="AW377" t="inlineStr"/>
      <c r="AX377" t="inlineStr"/>
      <c r="AY377" t="inlineStr"/>
    </row>
    <row r="378">
      <c r="A378" t="inlineStr">
        <is>
          <t>CHYG</t>
        </is>
      </c>
      <c r="B378" t="inlineStr">
        <is>
          <t>552953CF6 Corp</t>
        </is>
      </c>
      <c r="C378" s="1" t="inlineStr">
        <is>
          <t>552953CF6</t>
        </is>
      </c>
      <c r="D378" t="inlineStr">
        <is>
          <t>MGM Resorts International 5.5%</t>
        </is>
      </c>
      <c r="E378">
        <f>BDP($B378,"LEGAL_ENTITY_IDENTIFIER")</f>
        <v/>
      </c>
      <c r="F378" t="inlineStr">
        <is>
          <t>MGM Resorts International 5.5% 04/15/2027</t>
        </is>
      </c>
      <c r="G378">
        <f>custodian!D378</f>
        <v/>
      </c>
      <c r="H378">
        <f>BDP($B378,"ID_ISIN")</f>
        <v/>
      </c>
      <c r="I378" s="1" t="inlineStr"/>
      <c r="J378">
        <f>BDP($B378,"CNTRY_OF_DOMICILE")</f>
        <v/>
      </c>
      <c r="K378" t="inlineStr">
        <is>
          <t>DBT</t>
        </is>
      </c>
      <c r="L378" t="inlineStr">
        <is>
          <t>CORP</t>
        </is>
      </c>
      <c r="M378" t="inlineStr"/>
      <c r="N378" t="inlineStr"/>
      <c r="O378" s="1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s="1" t="inlineStr"/>
      <c r="AR378" s="1" t="inlineStr"/>
      <c r="AS378" s="1" t="inlineStr"/>
      <c r="AT378">
        <f>TEXT(BDP($B378,"MATURITY"),"yyyy-mm-dd")</f>
        <v/>
      </c>
      <c r="AU378">
        <f>BDP($B378,"CPN_TYP")</f>
        <v/>
      </c>
      <c r="AV378">
        <f>BDP($B378,"CPN")</f>
        <v/>
      </c>
      <c r="AW378" t="inlineStr"/>
      <c r="AX378" t="inlineStr"/>
      <c r="AY378" t="inlineStr"/>
    </row>
    <row r="379">
      <c r="A379" t="inlineStr">
        <is>
          <t>CHYG</t>
        </is>
      </c>
      <c r="B379" t="inlineStr">
        <is>
          <t>55342UAH7 Corp</t>
        </is>
      </c>
      <c r="C379" s="1" t="inlineStr">
        <is>
          <t>55342UAH7</t>
        </is>
      </c>
      <c r="D379" t="inlineStr">
        <is>
          <t>MPT Operating Partnership LP /</t>
        </is>
      </c>
      <c r="E379">
        <f>BDP($B379,"LEGAL_ENTITY_IDENTIFIER")</f>
        <v/>
      </c>
      <c r="F379" t="inlineStr">
        <is>
          <t>MPT Operating Partnership LP / MPT Finance Corp 5% 10/15/2027</t>
        </is>
      </c>
      <c r="G379">
        <f>custodian!D379</f>
        <v/>
      </c>
      <c r="H379">
        <f>BDP($B379,"ID_ISIN")</f>
        <v/>
      </c>
      <c r="I379" s="1" t="inlineStr"/>
      <c r="J379">
        <f>BDP($B379,"CNTRY_OF_DOMICILE")</f>
        <v/>
      </c>
      <c r="K379" t="inlineStr">
        <is>
          <t>DBT</t>
        </is>
      </c>
      <c r="L379" t="inlineStr">
        <is>
          <t>CORP</t>
        </is>
      </c>
      <c r="M379" t="inlineStr"/>
      <c r="N379" t="inlineStr"/>
      <c r="O379" s="1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s="1" t="inlineStr"/>
      <c r="AR379" s="1" t="inlineStr"/>
      <c r="AS379" s="1" t="inlineStr"/>
      <c r="AT379">
        <f>TEXT(BDP($B379,"MATURITY"),"yyyy-mm-dd")</f>
        <v/>
      </c>
      <c r="AU379">
        <f>BDP($B379,"CPN_TYP")</f>
        <v/>
      </c>
      <c r="AV379">
        <f>BDP($B379,"CPN")</f>
        <v/>
      </c>
      <c r="AW379" t="inlineStr"/>
      <c r="AX379" t="inlineStr"/>
      <c r="AY379" t="inlineStr"/>
    </row>
    <row r="380">
      <c r="A380" t="inlineStr">
        <is>
          <t>CHYG</t>
        </is>
      </c>
      <c r="B380" t="inlineStr">
        <is>
          <t>56085RAA8 Corp</t>
        </is>
      </c>
      <c r="C380" s="1" t="inlineStr">
        <is>
          <t>56085RAA8</t>
        </is>
      </c>
      <c r="D380" t="inlineStr">
        <is>
          <t>MajorDrive Holdings IV LLC 6.3</t>
        </is>
      </c>
      <c r="E380">
        <f>BDP($B380,"LEGAL_ENTITY_IDENTIFIER")</f>
        <v/>
      </c>
      <c r="F380" t="inlineStr">
        <is>
          <t>MajorDrive Holdings IV LLC 6.375% 06/01/2029</t>
        </is>
      </c>
      <c r="G380">
        <f>custodian!D380</f>
        <v/>
      </c>
      <c r="H380">
        <f>BDP($B380,"ID_ISIN")</f>
        <v/>
      </c>
      <c r="I380" s="1" t="inlineStr"/>
      <c r="J380">
        <f>BDP($B380,"CNTRY_OF_DOMICILE")</f>
        <v/>
      </c>
      <c r="K380" t="inlineStr">
        <is>
          <t>DBT</t>
        </is>
      </c>
      <c r="L380" t="inlineStr">
        <is>
          <t>CORP</t>
        </is>
      </c>
      <c r="M380" t="inlineStr"/>
      <c r="N380" t="inlineStr"/>
      <c r="O380" s="1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s="1" t="inlineStr"/>
      <c r="AR380" s="1" t="inlineStr"/>
      <c r="AS380" s="1" t="inlineStr"/>
      <c r="AT380">
        <f>TEXT(BDP($B380,"MATURITY"),"yyyy-mm-dd")</f>
        <v/>
      </c>
      <c r="AU380">
        <f>BDP($B380,"CPN_TYP")</f>
        <v/>
      </c>
      <c r="AV380">
        <f>BDP($B380,"CPN")</f>
        <v/>
      </c>
      <c r="AW380" t="inlineStr"/>
      <c r="AX380" t="inlineStr"/>
      <c r="AY380" t="inlineStr"/>
    </row>
    <row r="381">
      <c r="A381" t="inlineStr">
        <is>
          <t>CHYG</t>
        </is>
      </c>
      <c r="B381" t="inlineStr">
        <is>
          <t>57665RAJ5 Corp</t>
        </is>
      </c>
      <c r="C381" s="1" t="inlineStr">
        <is>
          <t>57665RAJ5</t>
        </is>
      </c>
      <c r="D381" t="inlineStr">
        <is>
          <t>Match Group Holdings II LLC 5.</t>
        </is>
      </c>
      <c r="E381">
        <f>BDP($B381,"LEGAL_ENTITY_IDENTIFIER")</f>
        <v/>
      </c>
      <c r="F381" t="inlineStr">
        <is>
          <t>Match Group Holdings II LLC 5.625% 02/15/2029</t>
        </is>
      </c>
      <c r="G381">
        <f>custodian!D381</f>
        <v/>
      </c>
      <c r="H381">
        <f>BDP($B381,"ID_ISIN")</f>
        <v/>
      </c>
      <c r="I381" s="1" t="inlineStr"/>
      <c r="J381">
        <f>BDP($B381,"CNTRY_OF_DOMICILE")</f>
        <v/>
      </c>
      <c r="K381" t="inlineStr">
        <is>
          <t>DBT</t>
        </is>
      </c>
      <c r="L381" t="inlineStr">
        <is>
          <t>CORP</t>
        </is>
      </c>
      <c r="M381" t="inlineStr"/>
      <c r="N381" t="inlineStr"/>
      <c r="O381" s="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s="1" t="inlineStr"/>
      <c r="AR381" s="1" t="inlineStr"/>
      <c r="AS381" s="1" t="inlineStr"/>
      <c r="AT381">
        <f>TEXT(BDP($B381,"MATURITY"),"yyyy-mm-dd")</f>
        <v/>
      </c>
      <c r="AU381">
        <f>BDP($B381,"CPN_TYP")</f>
        <v/>
      </c>
      <c r="AV381">
        <f>BDP($B381,"CPN")</f>
        <v/>
      </c>
      <c r="AW381" t="inlineStr"/>
      <c r="AX381" t="inlineStr"/>
      <c r="AY381" t="inlineStr"/>
    </row>
    <row r="382">
      <c r="A382" t="inlineStr">
        <is>
          <t>CHYG</t>
        </is>
      </c>
      <c r="B382" t="inlineStr">
        <is>
          <t>57763RAF4 Corp</t>
        </is>
      </c>
      <c r="C382" s="1" t="inlineStr">
        <is>
          <t>57763RAF4</t>
        </is>
      </c>
      <c r="D382" t="inlineStr">
        <is>
          <t>Mauser Packaging Solutions Hol</t>
        </is>
      </c>
      <c r="E382">
        <f>BDP($B382,"LEGAL_ENTITY_IDENTIFIER")</f>
        <v/>
      </c>
      <c r="F382" t="inlineStr">
        <is>
          <t>Mauser Packaging Solutions Holding Co 9.25% 04/15/2030</t>
        </is>
      </c>
      <c r="G382">
        <f>custodian!D382</f>
        <v/>
      </c>
      <c r="H382">
        <f>BDP($B382,"ID_ISIN")</f>
        <v/>
      </c>
      <c r="I382" s="1" t="inlineStr"/>
      <c r="J382">
        <f>BDP($B382,"CNTRY_OF_DOMICILE")</f>
        <v/>
      </c>
      <c r="K382" t="inlineStr">
        <is>
          <t>DBT</t>
        </is>
      </c>
      <c r="L382" t="inlineStr">
        <is>
          <t>CORP</t>
        </is>
      </c>
      <c r="M382" t="inlineStr"/>
      <c r="N382" t="inlineStr"/>
      <c r="O382" s="1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s="1" t="inlineStr"/>
      <c r="AR382" s="1" t="inlineStr"/>
      <c r="AS382" s="1" t="inlineStr"/>
      <c r="AT382">
        <f>TEXT(BDP($B382,"MATURITY"),"yyyy-mm-dd")</f>
        <v/>
      </c>
      <c r="AU382">
        <f>BDP($B382,"CPN_TYP")</f>
        <v/>
      </c>
      <c r="AV382">
        <f>BDP($B382,"CPN")</f>
        <v/>
      </c>
      <c r="AW382" t="inlineStr"/>
      <c r="AX382" t="inlineStr"/>
      <c r="AY382" t="inlineStr"/>
    </row>
    <row r="383">
      <c r="A383" t="inlineStr">
        <is>
          <t>CHYG</t>
        </is>
      </c>
      <c r="B383" t="inlineStr">
        <is>
          <t>57779EAA6 Corp</t>
        </is>
      </c>
      <c r="C383" s="1" t="inlineStr">
        <is>
          <t>57779EAA6</t>
        </is>
      </c>
      <c r="D383" t="inlineStr">
        <is>
          <t>Maxim Crane Works Holdings Cap</t>
        </is>
      </c>
      <c r="E383">
        <f>BDP($B383,"LEGAL_ENTITY_IDENTIFIER")</f>
        <v/>
      </c>
      <c r="F383" t="inlineStr">
        <is>
          <t>Maxim Crane Works Holdings Capital LLC 11.5% 09/01/2028</t>
        </is>
      </c>
      <c r="G383">
        <f>custodian!D383</f>
        <v/>
      </c>
      <c r="H383">
        <f>BDP($B383,"ID_ISIN")</f>
        <v/>
      </c>
      <c r="I383" s="1" t="inlineStr"/>
      <c r="J383">
        <f>BDP($B383,"CNTRY_OF_DOMICILE")</f>
        <v/>
      </c>
      <c r="K383" t="inlineStr">
        <is>
          <t>DBT</t>
        </is>
      </c>
      <c r="L383" t="inlineStr">
        <is>
          <t>CORP</t>
        </is>
      </c>
      <c r="M383" t="inlineStr"/>
      <c r="N383" t="inlineStr"/>
      <c r="O383" s="1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s="1" t="inlineStr"/>
      <c r="AR383" s="1" t="inlineStr"/>
      <c r="AS383" s="1" t="inlineStr"/>
      <c r="AT383">
        <f>TEXT(BDP($B383,"MATURITY"),"yyyy-mm-dd")</f>
        <v/>
      </c>
      <c r="AU383">
        <f>BDP($B383,"CPN_TYP")</f>
        <v/>
      </c>
      <c r="AV383">
        <f>BDP($B383,"CPN")</f>
        <v/>
      </c>
      <c r="AW383" t="inlineStr"/>
      <c r="AX383" t="inlineStr"/>
      <c r="AY383" t="inlineStr"/>
    </row>
    <row r="384">
      <c r="A384" t="inlineStr">
        <is>
          <t>CHYG</t>
        </is>
      </c>
      <c r="B384" t="inlineStr">
        <is>
          <t>579063AB4 Corp</t>
        </is>
      </c>
      <c r="C384" s="1" t="inlineStr">
        <is>
          <t>579063AB4</t>
        </is>
      </c>
      <c r="D384" t="inlineStr">
        <is>
          <t>McAfee Corp 7.375% 02/15/2030</t>
        </is>
      </c>
      <c r="E384">
        <f>BDP($B384,"LEGAL_ENTITY_IDENTIFIER")</f>
        <v/>
      </c>
      <c r="F384" t="inlineStr">
        <is>
          <t>McAfee Corp 7.375% 02/15/2030</t>
        </is>
      </c>
      <c r="G384">
        <f>custodian!D384</f>
        <v/>
      </c>
      <c r="H384">
        <f>BDP($B384,"ID_ISIN")</f>
        <v/>
      </c>
      <c r="I384" s="1" t="inlineStr"/>
      <c r="J384">
        <f>BDP($B384,"CNTRY_OF_DOMICILE")</f>
        <v/>
      </c>
      <c r="K384" t="inlineStr">
        <is>
          <t>DBT</t>
        </is>
      </c>
      <c r="L384" t="inlineStr">
        <is>
          <t>CORP</t>
        </is>
      </c>
      <c r="M384" t="inlineStr"/>
      <c r="N384" t="inlineStr"/>
      <c r="O384" s="1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s="1" t="inlineStr"/>
      <c r="AR384" s="1" t="inlineStr"/>
      <c r="AS384" s="1" t="inlineStr"/>
      <c r="AT384">
        <f>TEXT(BDP($B384,"MATURITY"),"yyyy-mm-dd")</f>
        <v/>
      </c>
      <c r="AU384">
        <f>BDP($B384,"CPN_TYP")</f>
        <v/>
      </c>
      <c r="AV384">
        <f>BDP($B384,"CPN")</f>
        <v/>
      </c>
      <c r="AW384" t="inlineStr"/>
      <c r="AX384" t="inlineStr"/>
      <c r="AY384" t="inlineStr"/>
    </row>
    <row r="385">
      <c r="A385" t="inlineStr">
        <is>
          <t>CHYG</t>
        </is>
      </c>
      <c r="B385" t="inlineStr">
        <is>
          <t>58502BAE6 Corp</t>
        </is>
      </c>
      <c r="C385" s="1" t="inlineStr">
        <is>
          <t>58502BAE6</t>
        </is>
      </c>
      <c r="D385" t="inlineStr">
        <is>
          <t>Pediatrix Medical Group Inc 5.</t>
        </is>
      </c>
      <c r="E385">
        <f>BDP($B385,"LEGAL_ENTITY_IDENTIFIER")</f>
        <v/>
      </c>
      <c r="F385" t="inlineStr">
        <is>
          <t>Pediatrix Medical Group Inc 5.375% 02/15/2030</t>
        </is>
      </c>
      <c r="G385">
        <f>custodian!D385</f>
        <v/>
      </c>
      <c r="H385">
        <f>BDP($B385,"ID_ISIN")</f>
        <v/>
      </c>
      <c r="I385" s="1" t="inlineStr"/>
      <c r="J385">
        <f>BDP($B385,"CNTRY_OF_DOMICILE")</f>
        <v/>
      </c>
      <c r="K385" t="inlineStr">
        <is>
          <t>DBT</t>
        </is>
      </c>
      <c r="L385" t="inlineStr">
        <is>
          <t>CORP</t>
        </is>
      </c>
      <c r="M385" t="inlineStr"/>
      <c r="N385" t="inlineStr"/>
      <c r="O385" s="1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s="1" t="inlineStr"/>
      <c r="AR385" s="1" t="inlineStr"/>
      <c r="AS385" s="1" t="inlineStr"/>
      <c r="AT385">
        <f>TEXT(BDP($B385,"MATURITY"),"yyyy-mm-dd")</f>
        <v/>
      </c>
      <c r="AU385">
        <f>BDP($B385,"CPN_TYP")</f>
        <v/>
      </c>
      <c r="AV385">
        <f>BDP($B385,"CPN")</f>
        <v/>
      </c>
      <c r="AW385" t="inlineStr"/>
      <c r="AX385" t="inlineStr"/>
      <c r="AY385" t="inlineStr"/>
    </row>
    <row r="386">
      <c r="A386" t="inlineStr">
        <is>
          <t>CHYG</t>
        </is>
      </c>
      <c r="B386" t="inlineStr">
        <is>
          <t>58990CAA1 Corp</t>
        </is>
      </c>
      <c r="C386" s="1" t="inlineStr">
        <is>
          <t>58990CAA1</t>
        </is>
      </c>
      <c r="D386" t="inlineStr">
        <is>
          <t xml:space="preserve">Meridian Arc Holdco LLC 6.25% </t>
        </is>
      </c>
      <c r="E386">
        <f>BDP($B386,"LEGAL_ENTITY_IDENTIFIER")</f>
        <v/>
      </c>
      <c r="F386" t="inlineStr">
        <is>
          <t>Meridian Arc Holdco LLC 6.25% 04/30/2031</t>
        </is>
      </c>
      <c r="G386">
        <f>custodian!D386</f>
        <v/>
      </c>
      <c r="H386">
        <f>BDP($B386,"ID_ISIN")</f>
        <v/>
      </c>
      <c r="I386" s="1" t="inlineStr"/>
      <c r="J386">
        <f>BDP($B386,"CNTRY_OF_DOMICILE")</f>
        <v/>
      </c>
      <c r="K386" t="inlineStr">
        <is>
          <t>DBT</t>
        </is>
      </c>
      <c r="L386" t="inlineStr">
        <is>
          <t>CORP</t>
        </is>
      </c>
      <c r="M386" t="inlineStr"/>
      <c r="N386" t="inlineStr"/>
      <c r="O386" s="1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s="1" t="inlineStr"/>
      <c r="AR386" s="1" t="inlineStr"/>
      <c r="AS386" s="1" t="inlineStr"/>
      <c r="AT386">
        <f>TEXT(BDP($B386,"MATURITY"),"yyyy-mm-dd")</f>
        <v/>
      </c>
      <c r="AU386">
        <f>BDP($B386,"CPN_TYP")</f>
        <v/>
      </c>
      <c r="AV386">
        <f>BDP($B386,"CPN")</f>
        <v/>
      </c>
      <c r="AW386" t="inlineStr"/>
      <c r="AX386" t="inlineStr"/>
      <c r="AY386" t="inlineStr"/>
    </row>
    <row r="387">
      <c r="A387" t="inlineStr">
        <is>
          <t>CHYG</t>
        </is>
      </c>
      <c r="B387" t="inlineStr">
        <is>
          <t>601137AA0 Corp</t>
        </is>
      </c>
      <c r="C387" s="1" t="inlineStr">
        <is>
          <t>601137AA0</t>
        </is>
      </c>
      <c r="D387" t="inlineStr">
        <is>
          <t>Millrose Properties Inc 6.375%</t>
        </is>
      </c>
      <c r="E387">
        <f>BDP($B387,"LEGAL_ENTITY_IDENTIFIER")</f>
        <v/>
      </c>
      <c r="F387" t="inlineStr">
        <is>
          <t>Millrose Properties Inc 6.375% 08/01/2030</t>
        </is>
      </c>
      <c r="G387">
        <f>custodian!D387</f>
        <v/>
      </c>
      <c r="H387">
        <f>BDP($B387,"ID_ISIN")</f>
        <v/>
      </c>
      <c r="I387" s="1" t="inlineStr"/>
      <c r="J387">
        <f>BDP($B387,"CNTRY_OF_DOMICILE")</f>
        <v/>
      </c>
      <c r="K387" t="inlineStr">
        <is>
          <t>DBT</t>
        </is>
      </c>
      <c r="L387" t="inlineStr">
        <is>
          <t>CORP</t>
        </is>
      </c>
      <c r="M387" t="inlineStr"/>
      <c r="N387" t="inlineStr"/>
      <c r="O387" s="1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s="1" t="inlineStr"/>
      <c r="AR387" s="1" t="inlineStr"/>
      <c r="AS387" s="1" t="inlineStr"/>
      <c r="AT387">
        <f>TEXT(BDP($B387,"MATURITY"),"yyyy-mm-dd")</f>
        <v/>
      </c>
      <c r="AU387">
        <f>BDP($B387,"CPN_TYP")</f>
        <v/>
      </c>
      <c r="AV387">
        <f>BDP($B387,"CPN")</f>
        <v/>
      </c>
      <c r="AW387" t="inlineStr"/>
      <c r="AX387" t="inlineStr"/>
      <c r="AY387" t="inlineStr"/>
    </row>
    <row r="388">
      <c r="A388" t="inlineStr">
        <is>
          <t>CHYG</t>
        </is>
      </c>
      <c r="B388" t="inlineStr">
        <is>
          <t>603051AF0 Corp</t>
        </is>
      </c>
      <c r="C388" s="1" t="inlineStr">
        <is>
          <t>603051AF0</t>
        </is>
      </c>
      <c r="D388" t="inlineStr">
        <is>
          <t>Mineral Resources Ltd 7% 04/01</t>
        </is>
      </c>
      <c r="E388">
        <f>BDP($B388,"LEGAL_ENTITY_IDENTIFIER")</f>
        <v/>
      </c>
      <c r="F388" t="inlineStr">
        <is>
          <t>Mineral Resources Ltd 7% 04/01/2031</t>
        </is>
      </c>
      <c r="G388">
        <f>custodian!D388</f>
        <v/>
      </c>
      <c r="H388">
        <f>BDP($B388,"ID_ISIN")</f>
        <v/>
      </c>
      <c r="I388" s="1" t="inlineStr"/>
      <c r="J388">
        <f>BDP($B388,"CNTRY_OF_DOMICILE")</f>
        <v/>
      </c>
      <c r="K388" t="inlineStr">
        <is>
          <t>DBT</t>
        </is>
      </c>
      <c r="L388" t="inlineStr">
        <is>
          <t>CORP</t>
        </is>
      </c>
      <c r="M388" t="inlineStr"/>
      <c r="N388" t="inlineStr"/>
      <c r="O388" s="1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s="1" t="inlineStr"/>
      <c r="AR388" s="1" t="inlineStr"/>
      <c r="AS388" s="1" t="inlineStr"/>
      <c r="AT388">
        <f>TEXT(BDP($B388,"MATURITY"),"yyyy-mm-dd")</f>
        <v/>
      </c>
      <c r="AU388">
        <f>BDP($B388,"CPN_TYP")</f>
        <v/>
      </c>
      <c r="AV388">
        <f>BDP($B388,"CPN")</f>
        <v/>
      </c>
      <c r="AW388" t="inlineStr"/>
      <c r="AX388" t="inlineStr"/>
      <c r="AY388" t="inlineStr"/>
    </row>
    <row r="389">
      <c r="A389" t="inlineStr">
        <is>
          <t>CHYG</t>
        </is>
      </c>
      <c r="B389" t="inlineStr">
        <is>
          <t>60337JAA4 Corp</t>
        </is>
      </c>
      <c r="C389" s="1" t="inlineStr">
        <is>
          <t>60337JAA4</t>
        </is>
      </c>
      <c r="D389" t="inlineStr">
        <is>
          <t>AthenaHealth Group Inc 6.5% 02</t>
        </is>
      </c>
      <c r="E389">
        <f>BDP($B389,"LEGAL_ENTITY_IDENTIFIER")</f>
        <v/>
      </c>
      <c r="F389" t="inlineStr">
        <is>
          <t>AthenaHealth Group Inc 6.5% 02/15/2030</t>
        </is>
      </c>
      <c r="G389">
        <f>custodian!D389</f>
        <v/>
      </c>
      <c r="H389">
        <f>BDP($B389,"ID_ISIN")</f>
        <v/>
      </c>
      <c r="I389" s="1" t="inlineStr"/>
      <c r="J389">
        <f>BDP($B389,"CNTRY_OF_DOMICILE")</f>
        <v/>
      </c>
      <c r="K389" t="inlineStr">
        <is>
          <t>DBT</t>
        </is>
      </c>
      <c r="L389" t="inlineStr">
        <is>
          <t>CORP</t>
        </is>
      </c>
      <c r="M389" t="inlineStr"/>
      <c r="N389" t="inlineStr"/>
      <c r="O389" s="1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s="1" t="inlineStr"/>
      <c r="AR389" s="1" t="inlineStr"/>
      <c r="AS389" s="1" t="inlineStr"/>
      <c r="AT389">
        <f>TEXT(BDP($B389,"MATURITY"),"yyyy-mm-dd")</f>
        <v/>
      </c>
      <c r="AU389">
        <f>BDP($B389,"CPN_TYP")</f>
        <v/>
      </c>
      <c r="AV389">
        <f>BDP($B389,"CPN")</f>
        <v/>
      </c>
      <c r="AW389" t="inlineStr"/>
      <c r="AX389" t="inlineStr"/>
      <c r="AY389" t="inlineStr"/>
    </row>
    <row r="390">
      <c r="A390" t="inlineStr">
        <is>
          <t>CHYG</t>
        </is>
      </c>
      <c r="B390" t="inlineStr">
        <is>
          <t>60832QAA8 Corp</t>
        </is>
      </c>
      <c r="C390" s="1" t="inlineStr">
        <is>
          <t>60832QAA8</t>
        </is>
      </c>
      <c r="D390" t="inlineStr">
        <is>
          <t>Mohegan Tribal Gaming Authorit</t>
        </is>
      </c>
      <c r="E390">
        <f>BDP($B390,"LEGAL_ENTITY_IDENTIFIER")</f>
        <v/>
      </c>
      <c r="F390" t="inlineStr">
        <is>
          <t>Mohegan Tribal Gaming Authority / MS Digital Entertainment Holdings LLC 8.25% 04/15/2030</t>
        </is>
      </c>
      <c r="G390">
        <f>custodian!D390</f>
        <v/>
      </c>
      <c r="H390">
        <f>BDP($B390,"ID_ISIN")</f>
        <v/>
      </c>
      <c r="I390" s="1" t="inlineStr"/>
      <c r="J390">
        <f>BDP($B390,"CNTRY_OF_DOMICILE")</f>
        <v/>
      </c>
      <c r="K390" t="inlineStr">
        <is>
          <t>DBT</t>
        </is>
      </c>
      <c r="L390" t="inlineStr">
        <is>
          <t>CORP</t>
        </is>
      </c>
      <c r="M390" t="inlineStr"/>
      <c r="N390" t="inlineStr"/>
      <c r="O390" s="1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s="1" t="inlineStr"/>
      <c r="AR390" s="1" t="inlineStr"/>
      <c r="AS390" s="1" t="inlineStr"/>
      <c r="AT390">
        <f>TEXT(BDP($B390,"MATURITY"),"yyyy-mm-dd")</f>
        <v/>
      </c>
      <c r="AU390">
        <f>BDP($B390,"CPN_TYP")</f>
        <v/>
      </c>
      <c r="AV390">
        <f>BDP($B390,"CPN")</f>
        <v/>
      </c>
      <c r="AW390" t="inlineStr"/>
      <c r="AX390" t="inlineStr"/>
      <c r="AY390" t="inlineStr"/>
    </row>
    <row r="391">
      <c r="A391" t="inlineStr">
        <is>
          <t>CHYG</t>
        </is>
      </c>
      <c r="B391" t="inlineStr">
        <is>
          <t>60855RAJ9 Corp</t>
        </is>
      </c>
      <c r="C391" s="1" t="inlineStr">
        <is>
          <t>60855RAJ9</t>
        </is>
      </c>
      <c r="D391" t="inlineStr">
        <is>
          <t>Molina Healthcare Inc 4.375% 0</t>
        </is>
      </c>
      <c r="E391">
        <f>BDP($B391,"LEGAL_ENTITY_IDENTIFIER")</f>
        <v/>
      </c>
      <c r="F391" t="inlineStr">
        <is>
          <t>Molina Healthcare Inc 4.375% 06/15/2028</t>
        </is>
      </c>
      <c r="G391">
        <f>custodian!D391</f>
        <v/>
      </c>
      <c r="H391">
        <f>BDP($B391,"ID_ISIN")</f>
        <v/>
      </c>
      <c r="I391" s="1" t="inlineStr"/>
      <c r="J391">
        <f>BDP($B391,"CNTRY_OF_DOMICILE")</f>
        <v/>
      </c>
      <c r="K391" t="inlineStr">
        <is>
          <t>DBT</t>
        </is>
      </c>
      <c r="L391" t="inlineStr">
        <is>
          <t>CORP</t>
        </is>
      </c>
      <c r="M391" t="inlineStr"/>
      <c r="N391" t="inlineStr"/>
      <c r="O391" s="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s="1" t="inlineStr"/>
      <c r="AR391" s="1" t="inlineStr"/>
      <c r="AS391" s="1" t="inlineStr"/>
      <c r="AT391">
        <f>TEXT(BDP($B391,"MATURITY"),"yyyy-mm-dd")</f>
        <v/>
      </c>
      <c r="AU391">
        <f>BDP($B391,"CPN_TYP")</f>
        <v/>
      </c>
      <c r="AV391">
        <f>BDP($B391,"CPN")</f>
        <v/>
      </c>
      <c r="AW391" t="inlineStr"/>
      <c r="AX391" t="inlineStr"/>
      <c r="AY391" t="inlineStr"/>
    </row>
    <row r="392">
      <c r="A392" t="inlineStr">
        <is>
          <t>CHYG</t>
        </is>
      </c>
      <c r="B392" t="inlineStr">
        <is>
          <t>62482BAB8 Corp</t>
        </is>
      </c>
      <c r="C392" s="1" t="inlineStr">
        <is>
          <t>62482BAB8</t>
        </is>
      </c>
      <c r="D392" t="inlineStr">
        <is>
          <t>Medline Borrower LP 5.25% 10/0</t>
        </is>
      </c>
      <c r="E392">
        <f>BDP($B392,"LEGAL_ENTITY_IDENTIFIER")</f>
        <v/>
      </c>
      <c r="F392" t="inlineStr">
        <is>
          <t>Medline Borrower LP 5.25% 10/01/2029</t>
        </is>
      </c>
      <c r="G392">
        <f>custodian!D392</f>
        <v/>
      </c>
      <c r="H392">
        <f>BDP($B392,"ID_ISIN")</f>
        <v/>
      </c>
      <c r="I392" s="1" t="inlineStr"/>
      <c r="J392">
        <f>BDP($B392,"CNTRY_OF_DOMICILE")</f>
        <v/>
      </c>
      <c r="K392" t="inlineStr">
        <is>
          <t>DBT</t>
        </is>
      </c>
      <c r="L392" t="inlineStr">
        <is>
          <t>CORP</t>
        </is>
      </c>
      <c r="M392" t="inlineStr"/>
      <c r="N392" t="inlineStr"/>
      <c r="O392" s="1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s="1" t="inlineStr"/>
      <c r="AR392" s="1" t="inlineStr"/>
      <c r="AS392" s="1" t="inlineStr"/>
      <c r="AT392">
        <f>TEXT(BDP($B392,"MATURITY"),"yyyy-mm-dd")</f>
        <v/>
      </c>
      <c r="AU392">
        <f>BDP($B392,"CPN_TYP")</f>
        <v/>
      </c>
      <c r="AV392">
        <f>BDP($B392,"CPN")</f>
        <v/>
      </c>
      <c r="AW392" t="inlineStr"/>
      <c r="AX392" t="inlineStr"/>
      <c r="AY392" t="inlineStr"/>
    </row>
    <row r="393">
      <c r="A393" t="inlineStr">
        <is>
          <t>CHYG</t>
        </is>
      </c>
      <c r="B393" t="inlineStr">
        <is>
          <t>626738AE8 Corp</t>
        </is>
      </c>
      <c r="C393" s="1" t="inlineStr">
        <is>
          <t>626738AE8</t>
        </is>
      </c>
      <c r="D393" t="inlineStr">
        <is>
          <t>Murphy Oil USA Inc 4.75% 09/15</t>
        </is>
      </c>
      <c r="E393">
        <f>BDP($B393,"LEGAL_ENTITY_IDENTIFIER")</f>
        <v/>
      </c>
      <c r="F393" t="inlineStr">
        <is>
          <t>Murphy Oil USA Inc 4.75% 09/15/2029</t>
        </is>
      </c>
      <c r="G393">
        <f>custodian!D393</f>
        <v/>
      </c>
      <c r="H393">
        <f>BDP($B393,"ID_ISIN")</f>
        <v/>
      </c>
      <c r="I393" s="1" t="inlineStr"/>
      <c r="J393">
        <f>BDP($B393,"CNTRY_OF_DOMICILE")</f>
        <v/>
      </c>
      <c r="K393" t="inlineStr">
        <is>
          <t>DBT</t>
        </is>
      </c>
      <c r="L393" t="inlineStr">
        <is>
          <t>CORP</t>
        </is>
      </c>
      <c r="M393" t="inlineStr"/>
      <c r="N393" t="inlineStr"/>
      <c r="O393" s="1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s="1" t="inlineStr"/>
      <c r="AR393" s="1" t="inlineStr"/>
      <c r="AS393" s="1" t="inlineStr"/>
      <c r="AT393">
        <f>TEXT(BDP($B393,"MATURITY"),"yyyy-mm-dd")</f>
        <v/>
      </c>
      <c r="AU393">
        <f>BDP($B393,"CPN_TYP")</f>
        <v/>
      </c>
      <c r="AV393">
        <f>BDP($B393,"CPN")</f>
        <v/>
      </c>
      <c r="AW393" t="inlineStr"/>
      <c r="AX393" t="inlineStr"/>
      <c r="AY393" t="inlineStr"/>
    </row>
    <row r="394">
      <c r="A394" t="inlineStr">
        <is>
          <t>CHYG</t>
        </is>
      </c>
      <c r="B394" t="inlineStr">
        <is>
          <t>62844JAE8 Corp</t>
        </is>
      </c>
      <c r="C394" s="1" t="inlineStr">
        <is>
          <t>62844JAE8</t>
        </is>
      </c>
      <c r="D394" t="inlineStr">
        <is>
          <t>Muvico LLC 15% 02/19/2029</t>
        </is>
      </c>
      <c r="E394">
        <f>BDP($B394,"LEGAL_ENTITY_IDENTIFIER")</f>
        <v/>
      </c>
      <c r="F394" t="inlineStr">
        <is>
          <t>Muvico LLC 15% 02/19/2029</t>
        </is>
      </c>
      <c r="G394">
        <f>custodian!D394</f>
        <v/>
      </c>
      <c r="H394">
        <f>BDP($B394,"ID_ISIN")</f>
        <v/>
      </c>
      <c r="I394" s="1" t="inlineStr"/>
      <c r="J394">
        <f>BDP($B394,"CNTRY_OF_DOMICILE")</f>
        <v/>
      </c>
      <c r="K394" t="inlineStr">
        <is>
          <t>DBT</t>
        </is>
      </c>
      <c r="L394" t="inlineStr">
        <is>
          <t>CORP</t>
        </is>
      </c>
      <c r="M394" t="inlineStr"/>
      <c r="N394" t="inlineStr"/>
      <c r="O394" s="1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s="1" t="inlineStr"/>
      <c r="AR394" s="1" t="inlineStr"/>
      <c r="AS394" s="1" t="inlineStr"/>
      <c r="AT394">
        <f>TEXT(BDP($B394,"MATURITY"),"yyyy-mm-dd")</f>
        <v/>
      </c>
      <c r="AU394">
        <f>BDP($B394,"CPN_TYP")</f>
        <v/>
      </c>
      <c r="AV394">
        <f>BDP($B394,"CPN")</f>
        <v/>
      </c>
      <c r="AW394" t="inlineStr"/>
      <c r="AX394" t="inlineStr"/>
      <c r="AY394" t="inlineStr"/>
    </row>
    <row r="395">
      <c r="A395" t="inlineStr">
        <is>
          <t>CHYG</t>
        </is>
      </c>
      <c r="B395" t="inlineStr">
        <is>
          <t>62886HBY6 Corp</t>
        </is>
      </c>
      <c r="C395" s="1" t="inlineStr">
        <is>
          <t>62886HBY6</t>
        </is>
      </c>
      <c r="D395" t="inlineStr">
        <is>
          <t>NCL Corp Ltd 5.875% 01/15/2031</t>
        </is>
      </c>
      <c r="E395">
        <f>BDP($B395,"LEGAL_ENTITY_IDENTIFIER")</f>
        <v/>
      </c>
      <c r="F395" t="inlineStr">
        <is>
          <t>NCL Corp Ltd 5.875% 01/15/2031</t>
        </is>
      </c>
      <c r="G395">
        <f>custodian!D395</f>
        <v/>
      </c>
      <c r="H395">
        <f>BDP($B395,"ID_ISIN")</f>
        <v/>
      </c>
      <c r="I395" s="1" t="inlineStr"/>
      <c r="J395">
        <f>BDP($B395,"CNTRY_OF_DOMICILE")</f>
        <v/>
      </c>
      <c r="K395" t="inlineStr">
        <is>
          <t>DBT</t>
        </is>
      </c>
      <c r="L395" t="inlineStr">
        <is>
          <t>CORP</t>
        </is>
      </c>
      <c r="M395" t="inlineStr"/>
      <c r="N395" t="inlineStr"/>
      <c r="O395" s="1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s="1" t="inlineStr"/>
      <c r="AR395" s="1" t="inlineStr"/>
      <c r="AS395" s="1" t="inlineStr"/>
      <c r="AT395">
        <f>TEXT(BDP($B395,"MATURITY"),"yyyy-mm-dd")</f>
        <v/>
      </c>
      <c r="AU395">
        <f>BDP($B395,"CPN_TYP")</f>
        <v/>
      </c>
      <c r="AV395">
        <f>BDP($B395,"CPN")</f>
        <v/>
      </c>
      <c r="AW395" t="inlineStr"/>
      <c r="AX395" t="inlineStr"/>
      <c r="AY395" t="inlineStr"/>
    </row>
    <row r="396">
      <c r="A396" t="inlineStr">
        <is>
          <t>CHYG</t>
        </is>
      </c>
      <c r="B396" t="inlineStr">
        <is>
          <t>629377CH3 Corp</t>
        </is>
      </c>
      <c r="C396" s="1" t="inlineStr">
        <is>
          <t>629377CH3</t>
        </is>
      </c>
      <c r="D396" t="inlineStr">
        <is>
          <t>NRG Energy Inc 5.25% 06/15/202</t>
        </is>
      </c>
      <c r="E396">
        <f>BDP($B396,"LEGAL_ENTITY_IDENTIFIER")</f>
        <v/>
      </c>
      <c r="F396" t="inlineStr">
        <is>
          <t>NRG Energy Inc 5.25% 06/15/2029</t>
        </is>
      </c>
      <c r="G396">
        <f>custodian!D396</f>
        <v/>
      </c>
      <c r="H396">
        <f>BDP($B396,"ID_ISIN")</f>
        <v/>
      </c>
      <c r="I396" s="1" t="inlineStr"/>
      <c r="J396">
        <f>BDP($B396,"CNTRY_OF_DOMICILE")</f>
        <v/>
      </c>
      <c r="K396" t="inlineStr">
        <is>
          <t>DBT</t>
        </is>
      </c>
      <c r="L396" t="inlineStr">
        <is>
          <t>CORP</t>
        </is>
      </c>
      <c r="M396" t="inlineStr"/>
      <c r="N396" t="inlineStr"/>
      <c r="O396" s="1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s="1" t="inlineStr"/>
      <c r="AR396" s="1" t="inlineStr"/>
      <c r="AS396" s="1" t="inlineStr"/>
      <c r="AT396">
        <f>TEXT(BDP($B396,"MATURITY"),"yyyy-mm-dd")</f>
        <v/>
      </c>
      <c r="AU396">
        <f>BDP($B396,"CPN_TYP")</f>
        <v/>
      </c>
      <c r="AV396">
        <f>BDP($B396,"CPN")</f>
        <v/>
      </c>
      <c r="AW396" t="inlineStr"/>
      <c r="AX396" t="inlineStr"/>
      <c r="AY396" t="inlineStr"/>
    </row>
    <row r="397">
      <c r="A397" t="inlineStr">
        <is>
          <t>CHYG</t>
        </is>
      </c>
      <c r="B397" t="inlineStr">
        <is>
          <t>63938CAM0 Corp</t>
        </is>
      </c>
      <c r="C397" s="1" t="inlineStr">
        <is>
          <t>63938CAM0</t>
        </is>
      </c>
      <c r="D397" t="inlineStr">
        <is>
          <t>Navient Corp 5.5% 03/15/2029</t>
        </is>
      </c>
      <c r="E397">
        <f>BDP($B397,"LEGAL_ENTITY_IDENTIFIER")</f>
        <v/>
      </c>
      <c r="F397" t="inlineStr">
        <is>
          <t>Navient Corp 5.5% 03/15/2029</t>
        </is>
      </c>
      <c r="G397">
        <f>custodian!D397</f>
        <v/>
      </c>
      <c r="H397">
        <f>BDP($B397,"ID_ISIN")</f>
        <v/>
      </c>
      <c r="I397" s="1" t="inlineStr"/>
      <c r="J397">
        <f>BDP($B397,"CNTRY_OF_DOMICILE")</f>
        <v/>
      </c>
      <c r="K397" t="inlineStr">
        <is>
          <t>DBT</t>
        </is>
      </c>
      <c r="L397" t="inlineStr">
        <is>
          <t>CORP</t>
        </is>
      </c>
      <c r="M397" t="inlineStr"/>
      <c r="N397" t="inlineStr"/>
      <c r="O397" s="1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s="1" t="inlineStr"/>
      <c r="AR397" s="1" t="inlineStr"/>
      <c r="AS397" s="1" t="inlineStr"/>
      <c r="AT397">
        <f>TEXT(BDP($B397,"MATURITY"),"yyyy-mm-dd")</f>
        <v/>
      </c>
      <c r="AU397">
        <f>BDP($B397,"CPN_TYP")</f>
        <v/>
      </c>
      <c r="AV397">
        <f>BDP($B397,"CPN")</f>
        <v/>
      </c>
      <c r="AW397" t="inlineStr"/>
      <c r="AX397" t="inlineStr"/>
      <c r="AY397" t="inlineStr"/>
    </row>
    <row r="398">
      <c r="A398" t="inlineStr">
        <is>
          <t>CHYG</t>
        </is>
      </c>
      <c r="B398" t="inlineStr">
        <is>
          <t>640695AC6 Corp</t>
        </is>
      </c>
      <c r="C398" s="1" t="inlineStr">
        <is>
          <t>640695AC6</t>
        </is>
      </c>
      <c r="D398" t="inlineStr">
        <is>
          <t>Neptune Bidco US Inc 10.375% 0</t>
        </is>
      </c>
      <c r="E398">
        <f>BDP($B398,"LEGAL_ENTITY_IDENTIFIER")</f>
        <v/>
      </c>
      <c r="F398" t="inlineStr">
        <is>
          <t>Neptune Bidco US Inc 10.375% 05/15/2031</t>
        </is>
      </c>
      <c r="G398">
        <f>custodian!D398</f>
        <v/>
      </c>
      <c r="H398">
        <f>BDP($B398,"ID_ISIN")</f>
        <v/>
      </c>
      <c r="I398" s="1" t="inlineStr"/>
      <c r="J398">
        <f>BDP($B398,"CNTRY_OF_DOMICILE")</f>
        <v/>
      </c>
      <c r="K398" t="inlineStr">
        <is>
          <t>DBT</t>
        </is>
      </c>
      <c r="L398" t="inlineStr">
        <is>
          <t>CORP</t>
        </is>
      </c>
      <c r="M398" t="inlineStr"/>
      <c r="N398" t="inlineStr"/>
      <c r="O398" s="1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s="1" t="inlineStr"/>
      <c r="AR398" s="1" t="inlineStr"/>
      <c r="AS398" s="1" t="inlineStr"/>
      <c r="AT398">
        <f>TEXT(BDP($B398,"MATURITY"),"yyyy-mm-dd")</f>
        <v/>
      </c>
      <c r="AU398">
        <f>BDP($B398,"CPN_TYP")</f>
        <v/>
      </c>
      <c r="AV398">
        <f>BDP($B398,"CPN")</f>
        <v/>
      </c>
      <c r="AW398" t="inlineStr"/>
      <c r="AX398" t="inlineStr"/>
      <c r="AY398" t="inlineStr"/>
    </row>
    <row r="399">
      <c r="A399" t="inlineStr">
        <is>
          <t>CHYG</t>
        </is>
      </c>
      <c r="B399" t="inlineStr">
        <is>
          <t>645370AG2 Corp</t>
        </is>
      </c>
      <c r="C399" s="1" t="inlineStr">
        <is>
          <t>645370AG2</t>
        </is>
      </c>
      <c r="D399" t="inlineStr">
        <is>
          <t>Risewell Homes Inc 8.5% 11/01/</t>
        </is>
      </c>
      <c r="E399">
        <f>BDP($B399,"LEGAL_ENTITY_IDENTIFIER")</f>
        <v/>
      </c>
      <c r="F399" t="inlineStr">
        <is>
          <t>Risewell Homes Inc 8.5% 11/01/2030</t>
        </is>
      </c>
      <c r="G399">
        <f>custodian!D399</f>
        <v/>
      </c>
      <c r="H399">
        <f>BDP($B399,"ID_ISIN")</f>
        <v/>
      </c>
      <c r="I399" s="1" t="inlineStr"/>
      <c r="J399">
        <f>BDP($B399,"CNTRY_OF_DOMICILE")</f>
        <v/>
      </c>
      <c r="K399" t="inlineStr">
        <is>
          <t>DBT</t>
        </is>
      </c>
      <c r="L399" t="inlineStr">
        <is>
          <t>CORP</t>
        </is>
      </c>
      <c r="M399" t="inlineStr"/>
      <c r="N399" t="inlineStr"/>
      <c r="O399" s="1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s="1" t="inlineStr"/>
      <c r="AR399" s="1" t="inlineStr"/>
      <c r="AS399" s="1" t="inlineStr"/>
      <c r="AT399">
        <f>TEXT(BDP($B399,"MATURITY"),"yyyy-mm-dd")</f>
        <v/>
      </c>
      <c r="AU399">
        <f>BDP($B399,"CPN_TYP")</f>
        <v/>
      </c>
      <c r="AV399">
        <f>BDP($B399,"CPN")</f>
        <v/>
      </c>
      <c r="AW399" t="inlineStr"/>
      <c r="AX399" t="inlineStr"/>
      <c r="AY399" t="inlineStr"/>
    </row>
    <row r="400">
      <c r="A400" t="inlineStr">
        <is>
          <t>CHYG</t>
        </is>
      </c>
      <c r="B400" t="inlineStr">
        <is>
          <t>651229BG0 Corp</t>
        </is>
      </c>
      <c r="C400" s="1" t="inlineStr">
        <is>
          <t>651229BG0</t>
        </is>
      </c>
      <c r="D400" t="inlineStr">
        <is>
          <t>Newell Brands Inc 8.5% 06/01/2</t>
        </is>
      </c>
      <c r="E400">
        <f>BDP($B400,"LEGAL_ENTITY_IDENTIFIER")</f>
        <v/>
      </c>
      <c r="F400" t="inlineStr">
        <is>
          <t>Newell Brands Inc 8.5% 06/01/2028</t>
        </is>
      </c>
      <c r="G400">
        <f>custodian!D400</f>
        <v/>
      </c>
      <c r="H400">
        <f>BDP($B400,"ID_ISIN")</f>
        <v/>
      </c>
      <c r="I400" s="1" t="inlineStr"/>
      <c r="J400">
        <f>BDP($B400,"CNTRY_OF_DOMICILE")</f>
        <v/>
      </c>
      <c r="K400" t="inlineStr">
        <is>
          <t>DBT</t>
        </is>
      </c>
      <c r="L400" t="inlineStr">
        <is>
          <t>CORP</t>
        </is>
      </c>
      <c r="M400" t="inlineStr"/>
      <c r="N400" t="inlineStr"/>
      <c r="O400" s="1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s="1" t="inlineStr"/>
      <c r="AR400" s="1" t="inlineStr"/>
      <c r="AS400" s="1" t="inlineStr"/>
      <c r="AT400">
        <f>TEXT(BDP($B400,"MATURITY"),"yyyy-mm-dd")</f>
        <v/>
      </c>
      <c r="AU400">
        <f>BDP($B400,"CPN_TYP")</f>
        <v/>
      </c>
      <c r="AV400">
        <f>BDP($B400,"CPN")</f>
        <v/>
      </c>
      <c r="AW400" t="inlineStr"/>
      <c r="AX400" t="inlineStr"/>
      <c r="AY400" t="inlineStr"/>
    </row>
    <row r="401">
      <c r="A401" t="inlineStr">
        <is>
          <t>CHYG</t>
        </is>
      </c>
      <c r="B401" t="inlineStr">
        <is>
          <t>65336YAN3 Corp</t>
        </is>
      </c>
      <c r="C401" s="1" t="inlineStr">
        <is>
          <t>65336YAN3</t>
        </is>
      </c>
      <c r="D401" t="inlineStr">
        <is>
          <t>Nexstar Media Inc 4.75% 11/01/</t>
        </is>
      </c>
      <c r="E401">
        <f>BDP($B401,"LEGAL_ENTITY_IDENTIFIER")</f>
        <v/>
      </c>
      <c r="F401" t="inlineStr">
        <is>
          <t>Nexstar Media Inc 4.75% 11/01/2028</t>
        </is>
      </c>
      <c r="G401">
        <f>custodian!D401</f>
        <v/>
      </c>
      <c r="H401">
        <f>BDP($B401,"ID_ISIN")</f>
        <v/>
      </c>
      <c r="I401" s="1" t="inlineStr"/>
      <c r="J401">
        <f>BDP($B401,"CNTRY_OF_DOMICILE")</f>
        <v/>
      </c>
      <c r="K401" t="inlineStr">
        <is>
          <t>DBT</t>
        </is>
      </c>
      <c r="L401" t="inlineStr">
        <is>
          <t>CORP</t>
        </is>
      </c>
      <c r="M401" t="inlineStr"/>
      <c r="N401" t="inlineStr"/>
      <c r="O401" s="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s="1" t="inlineStr"/>
      <c r="AR401" s="1" t="inlineStr"/>
      <c r="AS401" s="1" t="inlineStr"/>
      <c r="AT401">
        <f>TEXT(BDP($B401,"MATURITY"),"yyyy-mm-dd")</f>
        <v/>
      </c>
      <c r="AU401">
        <f>BDP($B401,"CPN_TYP")</f>
        <v/>
      </c>
      <c r="AV401">
        <f>BDP($B401,"CPN")</f>
        <v/>
      </c>
      <c r="AW401" t="inlineStr"/>
      <c r="AX401" t="inlineStr"/>
      <c r="AY401" t="inlineStr"/>
    </row>
    <row r="402">
      <c r="A402" t="inlineStr">
        <is>
          <t>CHYG</t>
        </is>
      </c>
      <c r="B402" t="inlineStr">
        <is>
          <t>65342QAM4 Corp</t>
        </is>
      </c>
      <c r="C402" s="1" t="inlineStr">
        <is>
          <t>65342QAM4</t>
        </is>
      </c>
      <c r="D402" t="inlineStr">
        <is>
          <t xml:space="preserve">XPLR Infrastructure Operating </t>
        </is>
      </c>
      <c r="E402">
        <f>BDP($B402,"LEGAL_ENTITY_IDENTIFIER")</f>
        <v/>
      </c>
      <c r="F402" t="inlineStr">
        <is>
          <t>XPLR Infrastructure Operating Partners LP 7.25% 01/15/2029</t>
        </is>
      </c>
      <c r="G402">
        <f>custodian!D402</f>
        <v/>
      </c>
      <c r="H402">
        <f>BDP($B402,"ID_ISIN")</f>
        <v/>
      </c>
      <c r="I402" s="1" t="inlineStr"/>
      <c r="J402">
        <f>BDP($B402,"CNTRY_OF_DOMICILE")</f>
        <v/>
      </c>
      <c r="K402" t="inlineStr">
        <is>
          <t>DBT</t>
        </is>
      </c>
      <c r="L402" t="inlineStr">
        <is>
          <t>CORP</t>
        </is>
      </c>
      <c r="M402" t="inlineStr"/>
      <c r="N402" t="inlineStr"/>
      <c r="O402" s="1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s="1" t="inlineStr"/>
      <c r="AR402" s="1" t="inlineStr"/>
      <c r="AS402" s="1" t="inlineStr"/>
      <c r="AT402">
        <f>TEXT(BDP($B402,"MATURITY"),"yyyy-mm-dd")</f>
        <v/>
      </c>
      <c r="AU402">
        <f>BDP($B402,"CPN_TYP")</f>
        <v/>
      </c>
      <c r="AV402">
        <f>BDP($B402,"CPN")</f>
        <v/>
      </c>
      <c r="AW402" t="inlineStr"/>
      <c r="AX402" t="inlineStr"/>
      <c r="AY402" t="inlineStr"/>
    </row>
    <row r="403">
      <c r="A403" t="inlineStr">
        <is>
          <t>CHYG</t>
        </is>
      </c>
      <c r="B403" t="inlineStr">
        <is>
          <t>654744AC5 Corp</t>
        </is>
      </c>
      <c r="C403" s="1" t="inlineStr">
        <is>
          <t>654744AC5</t>
        </is>
      </c>
      <c r="D403" t="inlineStr">
        <is>
          <t>Nissan Motor Co Ltd 4.345% 09/</t>
        </is>
      </c>
      <c r="E403">
        <f>BDP($B403,"LEGAL_ENTITY_IDENTIFIER")</f>
        <v/>
      </c>
      <c r="F403" t="inlineStr">
        <is>
          <t>Nissan Motor Co Ltd 4.345% 09/17/2027</t>
        </is>
      </c>
      <c r="G403">
        <f>custodian!D403</f>
        <v/>
      </c>
      <c r="H403">
        <f>BDP($B403,"ID_ISIN")</f>
        <v/>
      </c>
      <c r="I403" s="1" t="inlineStr"/>
      <c r="J403">
        <f>BDP($B403,"CNTRY_OF_DOMICILE")</f>
        <v/>
      </c>
      <c r="K403" t="inlineStr">
        <is>
          <t>DBT</t>
        </is>
      </c>
      <c r="L403" t="inlineStr">
        <is>
          <t>CORP</t>
        </is>
      </c>
      <c r="M403" t="inlineStr"/>
      <c r="N403" t="inlineStr"/>
      <c r="O403" s="1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s="1" t="inlineStr"/>
      <c r="AR403" s="1" t="inlineStr"/>
      <c r="AS403" s="1" t="inlineStr"/>
      <c r="AT403">
        <f>TEXT(BDP($B403,"MATURITY"),"yyyy-mm-dd")</f>
        <v/>
      </c>
      <c r="AU403">
        <f>BDP($B403,"CPN_TYP")</f>
        <v/>
      </c>
      <c r="AV403">
        <f>BDP($B403,"CPN")</f>
        <v/>
      </c>
      <c r="AW403" t="inlineStr"/>
      <c r="AX403" t="inlineStr"/>
      <c r="AY403" t="inlineStr"/>
    </row>
    <row r="404">
      <c r="A404" t="inlineStr">
        <is>
          <t>CHYG</t>
        </is>
      </c>
      <c r="B404" t="inlineStr">
        <is>
          <t>668771AK4 Corp</t>
        </is>
      </c>
      <c r="C404" s="1" t="inlineStr">
        <is>
          <t>668771AK4</t>
        </is>
      </c>
      <c r="D404" t="inlineStr">
        <is>
          <t>Gen Digital Inc 6.75% 09/30/20</t>
        </is>
      </c>
      <c r="E404">
        <f>BDP($B404,"LEGAL_ENTITY_IDENTIFIER")</f>
        <v/>
      </c>
      <c r="F404" t="inlineStr">
        <is>
          <t>Gen Digital Inc 6.75% 09/30/2027</t>
        </is>
      </c>
      <c r="G404">
        <f>custodian!D404</f>
        <v/>
      </c>
      <c r="H404">
        <f>BDP($B404,"ID_ISIN")</f>
        <v/>
      </c>
      <c r="I404" s="1" t="inlineStr"/>
      <c r="J404">
        <f>BDP($B404,"CNTRY_OF_DOMICILE")</f>
        <v/>
      </c>
      <c r="K404" t="inlineStr">
        <is>
          <t>DBT</t>
        </is>
      </c>
      <c r="L404" t="inlineStr">
        <is>
          <t>CORP</t>
        </is>
      </c>
      <c r="M404" t="inlineStr"/>
      <c r="N404" t="inlineStr"/>
      <c r="O404" s="1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s="1" t="inlineStr"/>
      <c r="AR404" s="1" t="inlineStr"/>
      <c r="AS404" s="1" t="inlineStr"/>
      <c r="AT404">
        <f>TEXT(BDP($B404,"MATURITY"),"yyyy-mm-dd")</f>
        <v/>
      </c>
      <c r="AU404">
        <f>BDP($B404,"CPN_TYP")</f>
        <v/>
      </c>
      <c r="AV404">
        <f>BDP($B404,"CPN")</f>
        <v/>
      </c>
      <c r="AW404" t="inlineStr"/>
      <c r="AX404" t="inlineStr"/>
      <c r="AY404" t="inlineStr"/>
    </row>
    <row r="405">
      <c r="A405" t="inlineStr">
        <is>
          <t>CHYG</t>
        </is>
      </c>
      <c r="B405" t="inlineStr">
        <is>
          <t>670001AE6 Corp</t>
        </is>
      </c>
      <c r="C405" s="1" t="inlineStr">
        <is>
          <t>670001AE6</t>
        </is>
      </c>
      <c r="D405" t="inlineStr">
        <is>
          <t>Novelis Corp 4.75% 01/30/2030</t>
        </is>
      </c>
      <c r="E405">
        <f>BDP($B405,"LEGAL_ENTITY_IDENTIFIER")</f>
        <v/>
      </c>
      <c r="F405" t="inlineStr">
        <is>
          <t>Novelis Corp 4.75% 01/30/2030</t>
        </is>
      </c>
      <c r="G405">
        <f>custodian!D405</f>
        <v/>
      </c>
      <c r="H405">
        <f>BDP($B405,"ID_ISIN")</f>
        <v/>
      </c>
      <c r="I405" s="1" t="inlineStr"/>
      <c r="J405">
        <f>BDP($B405,"CNTRY_OF_DOMICILE")</f>
        <v/>
      </c>
      <c r="K405" t="inlineStr">
        <is>
          <t>DBT</t>
        </is>
      </c>
      <c r="L405" t="inlineStr">
        <is>
          <t>CORP</t>
        </is>
      </c>
      <c r="M405" t="inlineStr"/>
      <c r="N405" t="inlineStr"/>
      <c r="O405" s="1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s="1" t="inlineStr"/>
      <c r="AR405" s="1" t="inlineStr"/>
      <c r="AS405" s="1" t="inlineStr"/>
      <c r="AT405">
        <f>TEXT(BDP($B405,"MATURITY"),"yyyy-mm-dd")</f>
        <v/>
      </c>
      <c r="AU405">
        <f>BDP($B405,"CPN_TYP")</f>
        <v/>
      </c>
      <c r="AV405">
        <f>BDP($B405,"CPN")</f>
        <v/>
      </c>
      <c r="AW405" t="inlineStr"/>
      <c r="AX405" t="inlineStr"/>
      <c r="AY405" t="inlineStr"/>
    </row>
    <row r="406">
      <c r="A406" t="inlineStr">
        <is>
          <t>CHYG</t>
        </is>
      </c>
      <c r="B406" t="inlineStr">
        <is>
          <t>674215AQ1 Corp</t>
        </is>
      </c>
      <c r="C406" s="1" t="inlineStr">
        <is>
          <t>674215AQ1</t>
        </is>
      </c>
      <c r="D406" t="inlineStr">
        <is>
          <t>Chord Energy Corp 6% 10/01/203</t>
        </is>
      </c>
      <c r="E406">
        <f>BDP($B406,"LEGAL_ENTITY_IDENTIFIER")</f>
        <v/>
      </c>
      <c r="F406" t="inlineStr">
        <is>
          <t>Chord Energy Corp 6% 10/01/2030</t>
        </is>
      </c>
      <c r="G406">
        <f>custodian!D406</f>
        <v/>
      </c>
      <c r="H406">
        <f>BDP($B406,"ID_ISIN")</f>
        <v/>
      </c>
      <c r="I406" s="1" t="inlineStr"/>
      <c r="J406">
        <f>BDP($B406,"CNTRY_OF_DOMICILE")</f>
        <v/>
      </c>
      <c r="K406" t="inlineStr">
        <is>
          <t>DBT</t>
        </is>
      </c>
      <c r="L406" t="inlineStr">
        <is>
          <t>CORP</t>
        </is>
      </c>
      <c r="M406" t="inlineStr"/>
      <c r="N406" t="inlineStr"/>
      <c r="O406" s="1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s="1" t="inlineStr"/>
      <c r="AR406" s="1" t="inlineStr"/>
      <c r="AS406" s="1" t="inlineStr"/>
      <c r="AT406">
        <f>TEXT(BDP($B406,"MATURITY"),"yyyy-mm-dd")</f>
        <v/>
      </c>
      <c r="AU406">
        <f>BDP($B406,"CPN_TYP")</f>
        <v/>
      </c>
      <c r="AV406">
        <f>BDP($B406,"CPN")</f>
        <v/>
      </c>
      <c r="AW406" t="inlineStr"/>
      <c r="AX406" t="inlineStr"/>
      <c r="AY406" t="inlineStr"/>
    </row>
    <row r="407">
      <c r="A407" t="inlineStr">
        <is>
          <t>CHYG</t>
        </is>
      </c>
      <c r="B407" t="inlineStr">
        <is>
          <t>67740QAH9 Corp</t>
        </is>
      </c>
      <c r="C407" s="1" t="inlineStr">
        <is>
          <t>67740QAH9</t>
        </is>
      </c>
      <c r="D407" t="inlineStr">
        <is>
          <t>Constellation Insurance Inc 5.</t>
        </is>
      </c>
      <c r="E407">
        <f>BDP($B407,"LEGAL_ENTITY_IDENTIFIER")</f>
        <v/>
      </c>
      <c r="F407" t="inlineStr">
        <is>
          <t>Constellation Insurance Inc 5.8% 01/24/2030</t>
        </is>
      </c>
      <c r="G407">
        <f>custodian!D407</f>
        <v/>
      </c>
      <c r="H407">
        <f>BDP($B407,"ID_ISIN")</f>
        <v/>
      </c>
      <c r="I407" s="1" t="inlineStr"/>
      <c r="J407">
        <f>BDP($B407,"CNTRY_OF_DOMICILE")</f>
        <v/>
      </c>
      <c r="K407" t="inlineStr">
        <is>
          <t>DBT</t>
        </is>
      </c>
      <c r="L407" t="inlineStr">
        <is>
          <t>CORP</t>
        </is>
      </c>
      <c r="M407" t="inlineStr"/>
      <c r="N407" t="inlineStr"/>
      <c r="O407" s="1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s="1" t="inlineStr"/>
      <c r="AR407" s="1" t="inlineStr"/>
      <c r="AS407" s="1" t="inlineStr"/>
      <c r="AT407">
        <f>TEXT(BDP($B407,"MATURITY"),"yyyy-mm-dd")</f>
        <v/>
      </c>
      <c r="AU407">
        <f>BDP($B407,"CPN_TYP")</f>
        <v/>
      </c>
      <c r="AV407">
        <f>BDP($B407,"CPN")</f>
        <v/>
      </c>
      <c r="AW407" t="inlineStr"/>
      <c r="AX407" t="inlineStr"/>
      <c r="AY407" t="inlineStr"/>
    </row>
    <row r="408">
      <c r="A408" t="inlineStr">
        <is>
          <t>CHYG</t>
        </is>
      </c>
      <c r="B408" t="inlineStr">
        <is>
          <t>68245XAM1 Corp</t>
        </is>
      </c>
      <c r="C408" s="1" t="inlineStr">
        <is>
          <t>68245XAM1</t>
        </is>
      </c>
      <c r="D408" t="inlineStr">
        <is>
          <t>1011778 BC ULC / New Red Finan</t>
        </is>
      </c>
      <c r="E408">
        <f>BDP($B408,"LEGAL_ENTITY_IDENTIFIER")</f>
        <v/>
      </c>
      <c r="F408" t="inlineStr">
        <is>
          <t>1011778 BC ULC / New Red Finance Inc 4% 10/15/2030</t>
        </is>
      </c>
      <c r="G408">
        <f>custodian!D408</f>
        <v/>
      </c>
      <c r="H408">
        <f>BDP($B408,"ID_ISIN")</f>
        <v/>
      </c>
      <c r="I408" s="1" t="inlineStr"/>
      <c r="J408">
        <f>BDP($B408,"CNTRY_OF_DOMICILE")</f>
        <v/>
      </c>
      <c r="K408" t="inlineStr">
        <is>
          <t>DBT</t>
        </is>
      </c>
      <c r="L408" t="inlineStr">
        <is>
          <t>CORP</t>
        </is>
      </c>
      <c r="M408" t="inlineStr"/>
      <c r="N408" t="inlineStr"/>
      <c r="O408" s="1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s="1" t="inlineStr"/>
      <c r="AR408" s="1" t="inlineStr"/>
      <c r="AS408" s="1" t="inlineStr"/>
      <c r="AT408">
        <f>TEXT(BDP($B408,"MATURITY"),"yyyy-mm-dd")</f>
        <v/>
      </c>
      <c r="AU408">
        <f>BDP($B408,"CPN_TYP")</f>
        <v/>
      </c>
      <c r="AV408">
        <f>BDP($B408,"CPN")</f>
        <v/>
      </c>
      <c r="AW408" t="inlineStr"/>
      <c r="AX408" t="inlineStr"/>
      <c r="AY408" t="inlineStr"/>
    </row>
    <row r="409">
      <c r="A409" t="inlineStr">
        <is>
          <t>CHYG</t>
        </is>
      </c>
      <c r="B409" t="inlineStr">
        <is>
          <t>683720AA4 Corp</t>
        </is>
      </c>
      <c r="C409" s="1" t="inlineStr">
        <is>
          <t>683720AA4</t>
        </is>
      </c>
      <c r="D409" t="inlineStr">
        <is>
          <t xml:space="preserve">Open Text Holdings Inc 4.125% </t>
        </is>
      </c>
      <c r="E409">
        <f>BDP($B409,"LEGAL_ENTITY_IDENTIFIER")</f>
        <v/>
      </c>
      <c r="F409" t="inlineStr">
        <is>
          <t>Open Text Holdings Inc 4.125% 02/15/2030</t>
        </is>
      </c>
      <c r="G409">
        <f>custodian!D409</f>
        <v/>
      </c>
      <c r="H409">
        <f>BDP($B409,"ID_ISIN")</f>
        <v/>
      </c>
      <c r="I409" s="1" t="inlineStr"/>
      <c r="J409">
        <f>BDP($B409,"CNTRY_OF_DOMICILE")</f>
        <v/>
      </c>
      <c r="K409" t="inlineStr">
        <is>
          <t>DBT</t>
        </is>
      </c>
      <c r="L409" t="inlineStr">
        <is>
          <t>CORP</t>
        </is>
      </c>
      <c r="M409" t="inlineStr"/>
      <c r="N409" t="inlineStr"/>
      <c r="O409" s="1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s="1" t="inlineStr"/>
      <c r="AR409" s="1" t="inlineStr"/>
      <c r="AS409" s="1" t="inlineStr"/>
      <c r="AT409">
        <f>TEXT(BDP($B409,"MATURITY"),"yyyy-mm-dd")</f>
        <v/>
      </c>
      <c r="AU409">
        <f>BDP($B409,"CPN_TYP")</f>
        <v/>
      </c>
      <c r="AV409">
        <f>BDP($B409,"CPN")</f>
        <v/>
      </c>
      <c r="AW409" t="inlineStr"/>
      <c r="AX409" t="inlineStr"/>
      <c r="AY409" t="inlineStr"/>
    </row>
    <row r="410">
      <c r="A410" t="inlineStr">
        <is>
          <t>CHYG</t>
        </is>
      </c>
      <c r="B410" t="inlineStr">
        <is>
          <t>69331CAH1 Corp</t>
        </is>
      </c>
      <c r="C410" s="1" t="inlineStr">
        <is>
          <t>69331CAH1</t>
        </is>
      </c>
      <c r="D410" t="inlineStr">
        <is>
          <t>PG&amp;E Corp 5% 07/01/2028</t>
        </is>
      </c>
      <c r="E410">
        <f>BDP($B410,"LEGAL_ENTITY_IDENTIFIER")</f>
        <v/>
      </c>
      <c r="F410" t="inlineStr">
        <is>
          <t>PG&amp;E Corp 5% 07/01/2028</t>
        </is>
      </c>
      <c r="G410">
        <f>custodian!D410</f>
        <v/>
      </c>
      <c r="H410">
        <f>BDP($B410,"ID_ISIN")</f>
        <v/>
      </c>
      <c r="I410" s="1" t="inlineStr"/>
      <c r="J410">
        <f>BDP($B410,"CNTRY_OF_DOMICILE")</f>
        <v/>
      </c>
      <c r="K410" t="inlineStr">
        <is>
          <t>DBT</t>
        </is>
      </c>
      <c r="L410" t="inlineStr">
        <is>
          <t>CORP</t>
        </is>
      </c>
      <c r="M410" t="inlineStr"/>
      <c r="N410" t="inlineStr"/>
      <c r="O410" s="1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s="1" t="inlineStr"/>
      <c r="AR410" s="1" t="inlineStr"/>
      <c r="AS410" s="1" t="inlineStr"/>
      <c r="AT410">
        <f>TEXT(BDP($B410,"MATURITY"),"yyyy-mm-dd")</f>
        <v/>
      </c>
      <c r="AU410">
        <f>BDP($B410,"CPN_TYP")</f>
        <v/>
      </c>
      <c r="AV410">
        <f>BDP($B410,"CPN")</f>
        <v/>
      </c>
      <c r="AW410" t="inlineStr"/>
      <c r="AX410" t="inlineStr"/>
      <c r="AY410" t="inlineStr"/>
    </row>
    <row r="411">
      <c r="A411" t="inlineStr">
        <is>
          <t>CHYG</t>
        </is>
      </c>
      <c r="B411" t="inlineStr">
        <is>
          <t>69354NAE6 Corp</t>
        </is>
      </c>
      <c r="C411" s="1" t="inlineStr">
        <is>
          <t>69354NAE6</t>
        </is>
      </c>
      <c r="D411" t="inlineStr">
        <is>
          <t>PRA Group Inc 8.375% 02/01/202</t>
        </is>
      </c>
      <c r="E411">
        <f>BDP($B411,"LEGAL_ENTITY_IDENTIFIER")</f>
        <v/>
      </c>
      <c r="F411" t="inlineStr">
        <is>
          <t>PRA Group Inc 8.375% 02/01/2028</t>
        </is>
      </c>
      <c r="G411">
        <f>custodian!D411</f>
        <v/>
      </c>
      <c r="H411">
        <f>BDP($B411,"ID_ISIN")</f>
        <v/>
      </c>
      <c r="I411" s="1" t="inlineStr"/>
      <c r="J411">
        <f>BDP($B411,"CNTRY_OF_DOMICILE")</f>
        <v/>
      </c>
      <c r="K411" t="inlineStr">
        <is>
          <t>DBT</t>
        </is>
      </c>
      <c r="L411" t="inlineStr">
        <is>
          <t>CORP</t>
        </is>
      </c>
      <c r="M411" t="inlineStr"/>
      <c r="N411" t="inlineStr"/>
      <c r="O411" s="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s="1" t="inlineStr"/>
      <c r="AR411" s="1" t="inlineStr"/>
      <c r="AS411" s="1" t="inlineStr"/>
      <c r="AT411">
        <f>TEXT(BDP($B411,"MATURITY"),"yyyy-mm-dd")</f>
        <v/>
      </c>
      <c r="AU411">
        <f>BDP($B411,"CPN_TYP")</f>
        <v/>
      </c>
      <c r="AV411">
        <f>BDP($B411,"CPN")</f>
        <v/>
      </c>
      <c r="AW411" t="inlineStr"/>
      <c r="AX411" t="inlineStr"/>
      <c r="AY411" t="inlineStr"/>
    </row>
    <row r="412">
      <c r="A412" t="inlineStr">
        <is>
          <t>CHYG</t>
        </is>
      </c>
      <c r="B412" t="inlineStr">
        <is>
          <t>69393LAA1 Corp</t>
        </is>
      </c>
      <c r="C412" s="1" t="inlineStr">
        <is>
          <t>69393LAA1</t>
        </is>
      </c>
      <c r="D412" t="inlineStr">
        <is>
          <t>PR RNO Property Owner 1 LLC 6.</t>
        </is>
      </c>
      <c r="E412">
        <f>BDP($B412,"LEGAL_ENTITY_IDENTIFIER")</f>
        <v/>
      </c>
      <c r="F412" t="inlineStr">
        <is>
          <t>PR RNO Property Owner 1 LLC 6.5% 05/01/2031</t>
        </is>
      </c>
      <c r="G412">
        <f>custodian!D412</f>
        <v/>
      </c>
      <c r="H412">
        <f>BDP($B412,"ID_ISIN")</f>
        <v/>
      </c>
      <c r="I412" s="1" t="inlineStr"/>
      <c r="J412">
        <f>BDP($B412,"CNTRY_OF_DOMICILE")</f>
        <v/>
      </c>
      <c r="K412" t="inlineStr">
        <is>
          <t>DBT</t>
        </is>
      </c>
      <c r="L412" t="inlineStr">
        <is>
          <t>CORP</t>
        </is>
      </c>
      <c r="M412" t="inlineStr"/>
      <c r="N412" t="inlineStr"/>
      <c r="O412" s="1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s="1" t="inlineStr"/>
      <c r="AR412" s="1" t="inlineStr"/>
      <c r="AS412" s="1" t="inlineStr"/>
      <c r="AT412">
        <f>TEXT(BDP($B412,"MATURITY"),"yyyy-mm-dd")</f>
        <v/>
      </c>
      <c r="AU412">
        <f>BDP($B412,"CPN_TYP")</f>
        <v/>
      </c>
      <c r="AV412">
        <f>BDP($B412,"CPN")</f>
        <v/>
      </c>
      <c r="AW412" t="inlineStr"/>
      <c r="AX412" t="inlineStr"/>
      <c r="AY412" t="inlineStr"/>
    </row>
    <row r="413">
      <c r="A413" t="inlineStr">
        <is>
          <t>CHYG</t>
        </is>
      </c>
      <c r="B413" t="inlineStr">
        <is>
          <t>70082LAC1 Corp</t>
        </is>
      </c>
      <c r="C413" s="1" t="inlineStr">
        <is>
          <t>70082LAC1</t>
        </is>
      </c>
      <c r="D413" t="inlineStr">
        <is>
          <t>Park River Holdings Inc 8% 03/</t>
        </is>
      </c>
      <c r="E413">
        <f>BDP($B413,"LEGAL_ENTITY_IDENTIFIER")</f>
        <v/>
      </c>
      <c r="F413" t="inlineStr">
        <is>
          <t>Park River Holdings Inc 8% 03/15/2031</t>
        </is>
      </c>
      <c r="G413">
        <f>custodian!D413</f>
        <v/>
      </c>
      <c r="H413">
        <f>BDP($B413,"ID_ISIN")</f>
        <v/>
      </c>
      <c r="I413" s="1" t="inlineStr"/>
      <c r="J413">
        <f>BDP($B413,"CNTRY_OF_DOMICILE")</f>
        <v/>
      </c>
      <c r="K413" t="inlineStr">
        <is>
          <t>DBT</t>
        </is>
      </c>
      <c r="L413" t="inlineStr">
        <is>
          <t>CORP</t>
        </is>
      </c>
      <c r="M413" t="inlineStr"/>
      <c r="N413" t="inlineStr"/>
      <c r="O413" s="1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s="1" t="inlineStr"/>
      <c r="AR413" s="1" t="inlineStr"/>
      <c r="AS413" s="1" t="inlineStr"/>
      <c r="AT413">
        <f>TEXT(BDP($B413,"MATURITY"),"yyyy-mm-dd")</f>
        <v/>
      </c>
      <c r="AU413">
        <f>BDP($B413,"CPN_TYP")</f>
        <v/>
      </c>
      <c r="AV413">
        <f>BDP($B413,"CPN")</f>
        <v/>
      </c>
      <c r="AW413" t="inlineStr"/>
      <c r="AX413" t="inlineStr"/>
      <c r="AY413" t="inlineStr"/>
    </row>
    <row r="414">
      <c r="A414" t="inlineStr">
        <is>
          <t>CHYG</t>
        </is>
      </c>
      <c r="B414" t="inlineStr">
        <is>
          <t>703343AD5 Corp</t>
        </is>
      </c>
      <c r="C414" s="1" t="inlineStr">
        <is>
          <t>703343AD5</t>
        </is>
      </c>
      <c r="D414" t="inlineStr">
        <is>
          <t>Patrick Industries Inc 4.75% 0</t>
        </is>
      </c>
      <c r="E414">
        <f>BDP($B414,"LEGAL_ENTITY_IDENTIFIER")</f>
        <v/>
      </c>
      <c r="F414" t="inlineStr">
        <is>
          <t>Patrick Industries Inc 4.75% 05/01/2029</t>
        </is>
      </c>
      <c r="G414">
        <f>custodian!D414</f>
        <v/>
      </c>
      <c r="H414">
        <f>BDP($B414,"ID_ISIN")</f>
        <v/>
      </c>
      <c r="I414" s="1" t="inlineStr"/>
      <c r="J414">
        <f>BDP($B414,"CNTRY_OF_DOMICILE")</f>
        <v/>
      </c>
      <c r="K414" t="inlineStr">
        <is>
          <t>DBT</t>
        </is>
      </c>
      <c r="L414" t="inlineStr">
        <is>
          <t>CORP</t>
        </is>
      </c>
      <c r="M414" t="inlineStr"/>
      <c r="N414" t="inlineStr"/>
      <c r="O414" s="1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s="1" t="inlineStr"/>
      <c r="AR414" s="1" t="inlineStr"/>
      <c r="AS414" s="1" t="inlineStr"/>
      <c r="AT414">
        <f>TEXT(BDP($B414,"MATURITY"),"yyyy-mm-dd")</f>
        <v/>
      </c>
      <c r="AU414">
        <f>BDP($B414,"CPN_TYP")</f>
        <v/>
      </c>
      <c r="AV414">
        <f>BDP($B414,"CPN")</f>
        <v/>
      </c>
      <c r="AW414" t="inlineStr"/>
      <c r="AX414" t="inlineStr"/>
      <c r="AY414" t="inlineStr"/>
    </row>
    <row r="415">
      <c r="A415" t="inlineStr">
        <is>
          <t>CHYG</t>
        </is>
      </c>
      <c r="B415" t="inlineStr">
        <is>
          <t>70452AAA1 Corp</t>
        </is>
      </c>
      <c r="C415" s="1" t="inlineStr">
        <is>
          <t>70452AAA1</t>
        </is>
      </c>
      <c r="D415" t="inlineStr">
        <is>
          <t xml:space="preserve">Paysafe Finance PLC / Paysafe </t>
        </is>
      </c>
      <c r="E415">
        <f>BDP($B415,"LEGAL_ENTITY_IDENTIFIER")</f>
        <v/>
      </c>
      <c r="F415" t="inlineStr">
        <is>
          <t>Paysafe Finance PLC / Paysafe Holdings US Corp 4% 06/15/2029</t>
        </is>
      </c>
      <c r="G415">
        <f>custodian!D415</f>
        <v/>
      </c>
      <c r="H415">
        <f>BDP($B415,"ID_ISIN")</f>
        <v/>
      </c>
      <c r="I415" s="1" t="inlineStr"/>
      <c r="J415">
        <f>BDP($B415,"CNTRY_OF_DOMICILE")</f>
        <v/>
      </c>
      <c r="K415" t="inlineStr">
        <is>
          <t>DBT</t>
        </is>
      </c>
      <c r="L415" t="inlineStr">
        <is>
          <t>CORP</t>
        </is>
      </c>
      <c r="M415" t="inlineStr"/>
      <c r="N415" t="inlineStr"/>
      <c r="O415" s="1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s="1" t="inlineStr"/>
      <c r="AR415" s="1" t="inlineStr"/>
      <c r="AS415" s="1" t="inlineStr"/>
      <c r="AT415">
        <f>TEXT(BDP($B415,"MATURITY"),"yyyy-mm-dd")</f>
        <v/>
      </c>
      <c r="AU415">
        <f>BDP($B415,"CPN_TYP")</f>
        <v/>
      </c>
      <c r="AV415">
        <f>BDP($B415,"CPN")</f>
        <v/>
      </c>
      <c r="AW415" t="inlineStr"/>
      <c r="AX415" t="inlineStr"/>
      <c r="AY415" t="inlineStr"/>
    </row>
    <row r="416">
      <c r="A416" t="inlineStr">
        <is>
          <t>CHYG</t>
        </is>
      </c>
      <c r="B416" t="inlineStr">
        <is>
          <t>707569AY5 Corp</t>
        </is>
      </c>
      <c r="C416" s="1" t="inlineStr">
        <is>
          <t>707569AY5</t>
        </is>
      </c>
      <c r="D416" t="inlineStr">
        <is>
          <t>Penn Entertainment Inc 6.75% 0</t>
        </is>
      </c>
      <c r="E416">
        <f>BDP($B416,"LEGAL_ENTITY_IDENTIFIER")</f>
        <v/>
      </c>
      <c r="F416" t="inlineStr">
        <is>
          <t>Penn Entertainment Inc 6.75% 04/01/2031</t>
        </is>
      </c>
      <c r="G416">
        <f>custodian!D416</f>
        <v/>
      </c>
      <c r="H416">
        <f>BDP($B416,"ID_ISIN")</f>
        <v/>
      </c>
      <c r="I416" s="1" t="inlineStr"/>
      <c r="J416">
        <f>BDP($B416,"CNTRY_OF_DOMICILE")</f>
        <v/>
      </c>
      <c r="K416" t="inlineStr">
        <is>
          <t>DBT</t>
        </is>
      </c>
      <c r="L416" t="inlineStr">
        <is>
          <t>CORP</t>
        </is>
      </c>
      <c r="M416" t="inlineStr"/>
      <c r="N416" t="inlineStr"/>
      <c r="O416" s="1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s="1" t="inlineStr"/>
      <c r="AR416" s="1" t="inlineStr"/>
      <c r="AS416" s="1" t="inlineStr"/>
      <c r="AT416">
        <f>TEXT(BDP($B416,"MATURITY"),"yyyy-mm-dd")</f>
        <v/>
      </c>
      <c r="AU416">
        <f>BDP($B416,"CPN_TYP")</f>
        <v/>
      </c>
      <c r="AV416">
        <f>BDP($B416,"CPN")</f>
        <v/>
      </c>
      <c r="AW416" t="inlineStr"/>
      <c r="AX416" t="inlineStr"/>
      <c r="AY416" t="inlineStr"/>
    </row>
    <row r="417">
      <c r="A417" t="inlineStr">
        <is>
          <t>CHYG</t>
        </is>
      </c>
      <c r="B417" t="inlineStr">
        <is>
          <t>72815LAA5 Corp</t>
        </is>
      </c>
      <c r="C417" s="1" t="inlineStr">
        <is>
          <t>72815LAA5</t>
        </is>
      </c>
      <c r="D417" t="inlineStr">
        <is>
          <t>Playtika Holding Corp 4.25% 03</t>
        </is>
      </c>
      <c r="E417">
        <f>BDP($B417,"LEGAL_ENTITY_IDENTIFIER")</f>
        <v/>
      </c>
      <c r="F417" t="inlineStr">
        <is>
          <t>Playtika Holding Corp 4.25% 03/15/2029</t>
        </is>
      </c>
      <c r="G417">
        <f>custodian!D417</f>
        <v/>
      </c>
      <c r="H417">
        <f>BDP($B417,"ID_ISIN")</f>
        <v/>
      </c>
      <c r="I417" s="1" t="inlineStr"/>
      <c r="J417">
        <f>BDP($B417,"CNTRY_OF_DOMICILE")</f>
        <v/>
      </c>
      <c r="K417" t="inlineStr">
        <is>
          <t>DBT</t>
        </is>
      </c>
      <c r="L417" t="inlineStr">
        <is>
          <t>CORP</t>
        </is>
      </c>
      <c r="M417" t="inlineStr"/>
      <c r="N417" t="inlineStr"/>
      <c r="O417" s="1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s="1" t="inlineStr"/>
      <c r="AR417" s="1" t="inlineStr"/>
      <c r="AS417" s="1" t="inlineStr"/>
      <c r="AT417">
        <f>TEXT(BDP($B417,"MATURITY"),"yyyy-mm-dd")</f>
        <v/>
      </c>
      <c r="AU417">
        <f>BDP($B417,"CPN_TYP")</f>
        <v/>
      </c>
      <c r="AV417">
        <f>BDP($B417,"CPN")</f>
        <v/>
      </c>
      <c r="AW417" t="inlineStr"/>
      <c r="AX417" t="inlineStr"/>
      <c r="AY417" t="inlineStr"/>
    </row>
    <row r="418">
      <c r="A418" t="inlineStr">
        <is>
          <t>CHYG</t>
        </is>
      </c>
      <c r="B418" t="inlineStr">
        <is>
          <t>740212AM7 Corp</t>
        </is>
      </c>
      <c r="C418" s="1" t="inlineStr">
        <is>
          <t>740212AM7</t>
        </is>
      </c>
      <c r="D418" t="inlineStr">
        <is>
          <t>Precision Drilling Corp 6.875%</t>
        </is>
      </c>
      <c r="E418">
        <f>BDP($B418,"LEGAL_ENTITY_IDENTIFIER")</f>
        <v/>
      </c>
      <c r="F418" t="inlineStr">
        <is>
          <t>Precision Drilling Corp 6.875% 01/15/2029</t>
        </is>
      </c>
      <c r="G418">
        <f>custodian!D418</f>
        <v/>
      </c>
      <c r="H418">
        <f>BDP($B418,"ID_ISIN")</f>
        <v/>
      </c>
      <c r="I418" s="1" t="inlineStr"/>
      <c r="J418">
        <f>BDP($B418,"CNTRY_OF_DOMICILE")</f>
        <v/>
      </c>
      <c r="K418" t="inlineStr">
        <is>
          <t>DBT</t>
        </is>
      </c>
      <c r="L418" t="inlineStr">
        <is>
          <t>CORP</t>
        </is>
      </c>
      <c r="M418" t="inlineStr"/>
      <c r="N418" t="inlineStr"/>
      <c r="O418" s="1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s="1" t="inlineStr"/>
      <c r="AR418" s="1" t="inlineStr"/>
      <c r="AS418" s="1" t="inlineStr"/>
      <c r="AT418">
        <f>TEXT(BDP($B418,"MATURITY"),"yyyy-mm-dd")</f>
        <v/>
      </c>
      <c r="AU418">
        <f>BDP($B418,"CPN_TYP")</f>
        <v/>
      </c>
      <c r="AV418">
        <f>BDP($B418,"CPN")</f>
        <v/>
      </c>
      <c r="AW418" t="inlineStr"/>
      <c r="AX418" t="inlineStr"/>
      <c r="AY418" t="inlineStr"/>
    </row>
    <row r="419">
      <c r="A419" t="inlineStr">
        <is>
          <t>CHYG</t>
        </is>
      </c>
      <c r="B419" t="inlineStr">
        <is>
          <t>74112BAM7 Corp</t>
        </is>
      </c>
      <c r="C419" s="1" t="inlineStr">
        <is>
          <t>74112BAM7</t>
        </is>
      </c>
      <c r="D419" t="inlineStr">
        <is>
          <t>Prestige Brands Inc 3.75% 04/0</t>
        </is>
      </c>
      <c r="E419">
        <f>BDP($B419,"LEGAL_ENTITY_IDENTIFIER")</f>
        <v/>
      </c>
      <c r="F419" t="inlineStr">
        <is>
          <t>Prestige Brands Inc 3.75% 04/01/2031</t>
        </is>
      </c>
      <c r="G419">
        <f>custodian!D419</f>
        <v/>
      </c>
      <c r="H419">
        <f>BDP($B419,"ID_ISIN")</f>
        <v/>
      </c>
      <c r="I419" s="1" t="inlineStr"/>
      <c r="J419">
        <f>BDP($B419,"CNTRY_OF_DOMICILE")</f>
        <v/>
      </c>
      <c r="K419" t="inlineStr">
        <is>
          <t>DBT</t>
        </is>
      </c>
      <c r="L419" t="inlineStr">
        <is>
          <t>CORP</t>
        </is>
      </c>
      <c r="M419" t="inlineStr"/>
      <c r="N419" t="inlineStr"/>
      <c r="O419" s="1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s="1" t="inlineStr"/>
      <c r="AR419" s="1" t="inlineStr"/>
      <c r="AS419" s="1" t="inlineStr"/>
      <c r="AT419">
        <f>TEXT(BDP($B419,"MATURITY"),"yyyy-mm-dd")</f>
        <v/>
      </c>
      <c r="AU419">
        <f>BDP($B419,"CPN_TYP")</f>
        <v/>
      </c>
      <c r="AV419">
        <f>BDP($B419,"CPN")</f>
        <v/>
      </c>
      <c r="AW419" t="inlineStr"/>
      <c r="AX419" t="inlineStr"/>
      <c r="AY419" t="inlineStr"/>
    </row>
    <row r="420">
      <c r="A420" t="inlineStr">
        <is>
          <t>CHYG</t>
        </is>
      </c>
      <c r="B420" t="inlineStr">
        <is>
          <t>74165HAC2 Corp</t>
        </is>
      </c>
      <c r="C420" s="1" t="inlineStr">
        <is>
          <t>74165HAC2</t>
        </is>
      </c>
      <c r="D420" t="inlineStr">
        <is>
          <t xml:space="preserve">Prime Healthcare Services Inc </t>
        </is>
      </c>
      <c r="E420">
        <f>BDP($B420,"LEGAL_ENTITY_IDENTIFIER")</f>
        <v/>
      </c>
      <c r="F420" t="inlineStr">
        <is>
          <t>Prime Healthcare Services Inc 9.375% 09/01/2029</t>
        </is>
      </c>
      <c r="G420">
        <f>custodian!D420</f>
        <v/>
      </c>
      <c r="H420">
        <f>BDP($B420,"ID_ISIN")</f>
        <v/>
      </c>
      <c r="I420" s="1" t="inlineStr"/>
      <c r="J420">
        <f>BDP($B420,"CNTRY_OF_DOMICILE")</f>
        <v/>
      </c>
      <c r="K420" t="inlineStr">
        <is>
          <t>DBT</t>
        </is>
      </c>
      <c r="L420" t="inlineStr">
        <is>
          <t>CORP</t>
        </is>
      </c>
      <c r="M420" t="inlineStr"/>
      <c r="N420" t="inlineStr"/>
      <c r="O420" s="1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s="1" t="inlineStr"/>
      <c r="AR420" s="1" t="inlineStr"/>
      <c r="AS420" s="1" t="inlineStr"/>
      <c r="AT420">
        <f>TEXT(BDP($B420,"MATURITY"),"yyyy-mm-dd")</f>
        <v/>
      </c>
      <c r="AU420">
        <f>BDP($B420,"CPN_TYP")</f>
        <v/>
      </c>
      <c r="AV420">
        <f>BDP($B420,"CPN")</f>
        <v/>
      </c>
      <c r="AW420" t="inlineStr"/>
      <c r="AX420" t="inlineStr"/>
      <c r="AY420" t="inlineStr"/>
    </row>
    <row r="421">
      <c r="A421" t="inlineStr">
        <is>
          <t>CHYG</t>
        </is>
      </c>
      <c r="B421" t="inlineStr">
        <is>
          <t>74841CAB7 Corp</t>
        </is>
      </c>
      <c r="C421" s="1" t="inlineStr">
        <is>
          <t>74841CAB7</t>
        </is>
      </c>
      <c r="D421" t="inlineStr">
        <is>
          <t>Rocket Mortgage LLC / Rocket M</t>
        </is>
      </c>
      <c r="E421">
        <f>BDP($B421,"LEGAL_ENTITY_IDENTIFIER")</f>
        <v/>
      </c>
      <c r="F421" t="inlineStr">
        <is>
          <t>Rocket Mortgage LLC / Rocket Mortgage Co-Issuer Inc 3.875% 03/01/2031</t>
        </is>
      </c>
      <c r="G421">
        <f>custodian!D421</f>
        <v/>
      </c>
      <c r="H421">
        <f>BDP($B421,"ID_ISIN")</f>
        <v/>
      </c>
      <c r="I421" s="1" t="inlineStr"/>
      <c r="J421">
        <f>BDP($B421,"CNTRY_OF_DOMICILE")</f>
        <v/>
      </c>
      <c r="K421" t="inlineStr">
        <is>
          <t>DBT</t>
        </is>
      </c>
      <c r="L421" t="inlineStr">
        <is>
          <t>CORP</t>
        </is>
      </c>
      <c r="M421" t="inlineStr"/>
      <c r="N421" t="inlineStr"/>
      <c r="O421" s="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s="1" t="inlineStr"/>
      <c r="AR421" s="1" t="inlineStr"/>
      <c r="AS421" s="1" t="inlineStr"/>
      <c r="AT421">
        <f>TEXT(BDP($B421,"MATURITY"),"yyyy-mm-dd")</f>
        <v/>
      </c>
      <c r="AU421">
        <f>BDP($B421,"CPN_TYP")</f>
        <v/>
      </c>
      <c r="AV421">
        <f>BDP($B421,"CPN")</f>
        <v/>
      </c>
      <c r="AW421" t="inlineStr"/>
      <c r="AX421" t="inlineStr"/>
      <c r="AY421" t="inlineStr"/>
    </row>
    <row r="422">
      <c r="A422" t="inlineStr">
        <is>
          <t>CHYG</t>
        </is>
      </c>
      <c r="B422" t="inlineStr">
        <is>
          <t>75102WAK4 Corp</t>
        </is>
      </c>
      <c r="C422" s="1" t="inlineStr">
        <is>
          <t>75102WAK4</t>
        </is>
      </c>
      <c r="D422" t="inlineStr">
        <is>
          <t>Rakuten Group Inc 9.75% 04/15/</t>
        </is>
      </c>
      <c r="E422">
        <f>BDP($B422,"LEGAL_ENTITY_IDENTIFIER")</f>
        <v/>
      </c>
      <c r="F422" t="inlineStr">
        <is>
          <t>Rakuten Group Inc 9.75% 04/15/2029</t>
        </is>
      </c>
      <c r="G422">
        <f>custodian!D422</f>
        <v/>
      </c>
      <c r="H422">
        <f>BDP($B422,"ID_ISIN")</f>
        <v/>
      </c>
      <c r="I422" s="1" t="inlineStr"/>
      <c r="J422">
        <f>BDP($B422,"CNTRY_OF_DOMICILE")</f>
        <v/>
      </c>
      <c r="K422" t="inlineStr">
        <is>
          <t>DBT</t>
        </is>
      </c>
      <c r="L422" t="inlineStr">
        <is>
          <t>CORP</t>
        </is>
      </c>
      <c r="M422" t="inlineStr"/>
      <c r="N422" t="inlineStr"/>
      <c r="O422" s="1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s="1" t="inlineStr"/>
      <c r="AR422" s="1" t="inlineStr"/>
      <c r="AS422" s="1" t="inlineStr"/>
      <c r="AT422">
        <f>TEXT(BDP($B422,"MATURITY"),"yyyy-mm-dd")</f>
        <v/>
      </c>
      <c r="AU422">
        <f>BDP($B422,"CPN_TYP")</f>
        <v/>
      </c>
      <c r="AV422">
        <f>BDP($B422,"CPN")</f>
        <v/>
      </c>
      <c r="AW422" t="inlineStr"/>
      <c r="AX422" t="inlineStr"/>
      <c r="AY422" t="inlineStr"/>
    </row>
    <row r="423">
      <c r="A423" t="inlineStr">
        <is>
          <t>CHYG</t>
        </is>
      </c>
      <c r="B423" t="inlineStr">
        <is>
          <t>753272AA1 Corp</t>
        </is>
      </c>
      <c r="C423" s="1" t="inlineStr">
        <is>
          <t>753272AA1</t>
        </is>
      </c>
      <c r="D423" t="inlineStr">
        <is>
          <t>Rand Parent LLC 8.5% 02/15/203</t>
        </is>
      </c>
      <c r="E423">
        <f>BDP($B423,"LEGAL_ENTITY_IDENTIFIER")</f>
        <v/>
      </c>
      <c r="F423" t="inlineStr">
        <is>
          <t>Rand Parent LLC 8.5% 02/15/2030</t>
        </is>
      </c>
      <c r="G423">
        <f>custodian!D423</f>
        <v/>
      </c>
      <c r="H423">
        <f>BDP($B423,"ID_ISIN")</f>
        <v/>
      </c>
      <c r="I423" s="1" t="inlineStr"/>
      <c r="J423">
        <f>BDP($B423,"CNTRY_OF_DOMICILE")</f>
        <v/>
      </c>
      <c r="K423" t="inlineStr">
        <is>
          <t>DBT</t>
        </is>
      </c>
      <c r="L423" t="inlineStr">
        <is>
          <t>CORP</t>
        </is>
      </c>
      <c r="M423" t="inlineStr"/>
      <c r="N423" t="inlineStr"/>
      <c r="O423" s="1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s="1" t="inlineStr"/>
      <c r="AR423" s="1" t="inlineStr"/>
      <c r="AS423" s="1" t="inlineStr"/>
      <c r="AT423">
        <f>TEXT(BDP($B423,"MATURITY"),"yyyy-mm-dd")</f>
        <v/>
      </c>
      <c r="AU423">
        <f>BDP($B423,"CPN_TYP")</f>
        <v/>
      </c>
      <c r="AV423">
        <f>BDP($B423,"CPN")</f>
        <v/>
      </c>
      <c r="AW423" t="inlineStr"/>
      <c r="AX423" t="inlineStr"/>
      <c r="AY423" t="inlineStr"/>
    </row>
    <row r="424">
      <c r="A424" t="inlineStr">
        <is>
          <t>CHYG</t>
        </is>
      </c>
      <c r="B424" t="inlineStr">
        <is>
          <t>775109DG3 Corp</t>
        </is>
      </c>
      <c r="C424" s="1" t="inlineStr">
        <is>
          <t>775109DG3</t>
        </is>
      </c>
      <c r="D424" t="inlineStr">
        <is>
          <t>Rogers Communications Inc 7% 0</t>
        </is>
      </c>
      <c r="E424">
        <f>BDP($B424,"LEGAL_ENTITY_IDENTIFIER")</f>
        <v/>
      </c>
      <c r="F424" t="inlineStr">
        <is>
          <t>Rogers Communications Inc 7% 04/15/2055</t>
        </is>
      </c>
      <c r="G424">
        <f>custodian!D424</f>
        <v/>
      </c>
      <c r="H424">
        <f>BDP($B424,"ID_ISIN")</f>
        <v/>
      </c>
      <c r="I424" s="1" t="inlineStr"/>
      <c r="J424">
        <f>BDP($B424,"CNTRY_OF_DOMICILE")</f>
        <v/>
      </c>
      <c r="K424" t="inlineStr">
        <is>
          <t>DBT</t>
        </is>
      </c>
      <c r="L424" t="inlineStr">
        <is>
          <t>CORP</t>
        </is>
      </c>
      <c r="M424" t="inlineStr"/>
      <c r="N424" t="inlineStr"/>
      <c r="O424" s="1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s="1" t="inlineStr"/>
      <c r="AR424" s="1" t="inlineStr"/>
      <c r="AS424" s="1" t="inlineStr"/>
      <c r="AT424">
        <f>TEXT(BDP($B424,"MATURITY"),"yyyy-mm-dd")</f>
        <v/>
      </c>
      <c r="AU424">
        <f>BDP($B424,"CPN_TYP")</f>
        <v/>
      </c>
      <c r="AV424">
        <f>BDP($B424,"CPN")</f>
        <v/>
      </c>
      <c r="AW424" t="inlineStr"/>
      <c r="AX424" t="inlineStr"/>
      <c r="AY424" t="inlineStr"/>
    </row>
    <row r="425">
      <c r="A425" t="inlineStr">
        <is>
          <t>CHYG</t>
        </is>
      </c>
      <c r="B425" t="inlineStr">
        <is>
          <t>78410GAD6 Corp</t>
        </is>
      </c>
      <c r="C425" s="1" t="inlineStr">
        <is>
          <t>78410GAD6</t>
        </is>
      </c>
      <c r="D425" t="inlineStr">
        <is>
          <t>SBA Communications Corp 3.875%</t>
        </is>
      </c>
      <c r="E425">
        <f>BDP($B425,"LEGAL_ENTITY_IDENTIFIER")</f>
        <v/>
      </c>
      <c r="F425" t="inlineStr">
        <is>
          <t>SBA Communications Corp 3.875% 02/15/2027</t>
        </is>
      </c>
      <c r="G425">
        <f>custodian!D425</f>
        <v/>
      </c>
      <c r="H425">
        <f>BDP($B425,"ID_ISIN")</f>
        <v/>
      </c>
      <c r="I425" s="1" t="inlineStr"/>
      <c r="J425">
        <f>BDP($B425,"CNTRY_OF_DOMICILE")</f>
        <v/>
      </c>
      <c r="K425" t="inlineStr">
        <is>
          <t>DBT</t>
        </is>
      </c>
      <c r="L425" t="inlineStr">
        <is>
          <t>CORP</t>
        </is>
      </c>
      <c r="M425" t="inlineStr"/>
      <c r="N425" t="inlineStr"/>
      <c r="O425" s="1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s="1" t="inlineStr"/>
      <c r="AR425" s="1" t="inlineStr"/>
      <c r="AS425" s="1" t="inlineStr"/>
      <c r="AT425">
        <f>TEXT(BDP($B425,"MATURITY"),"yyyy-mm-dd")</f>
        <v/>
      </c>
      <c r="AU425">
        <f>BDP($B425,"CPN_TYP")</f>
        <v/>
      </c>
      <c r="AV425">
        <f>BDP($B425,"CPN")</f>
        <v/>
      </c>
      <c r="AW425" t="inlineStr"/>
      <c r="AX425" t="inlineStr"/>
      <c r="AY425" t="inlineStr"/>
    </row>
    <row r="426">
      <c r="A426" t="inlineStr">
        <is>
          <t>CHYG</t>
        </is>
      </c>
      <c r="B426" t="inlineStr">
        <is>
          <t>78412FAX2 Corp</t>
        </is>
      </c>
      <c r="C426" s="1" t="inlineStr">
        <is>
          <t>78412FAX2</t>
        </is>
      </c>
      <c r="D426" t="inlineStr">
        <is>
          <t>SESI LLC 7.875% 09/30/2030</t>
        </is>
      </c>
      <c r="E426">
        <f>BDP($B426,"LEGAL_ENTITY_IDENTIFIER")</f>
        <v/>
      </c>
      <c r="F426" t="inlineStr">
        <is>
          <t>SESI LLC 7.875% 09/30/2030</t>
        </is>
      </c>
      <c r="G426">
        <f>custodian!D426</f>
        <v/>
      </c>
      <c r="H426">
        <f>BDP($B426,"ID_ISIN")</f>
        <v/>
      </c>
      <c r="I426" s="1" t="inlineStr"/>
      <c r="J426">
        <f>BDP($B426,"CNTRY_OF_DOMICILE")</f>
        <v/>
      </c>
      <c r="K426" t="inlineStr">
        <is>
          <t>DBT</t>
        </is>
      </c>
      <c r="L426" t="inlineStr">
        <is>
          <t>CORP</t>
        </is>
      </c>
      <c r="M426" t="inlineStr"/>
      <c r="N426" t="inlineStr"/>
      <c r="O426" s="1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s="1" t="inlineStr"/>
      <c r="AR426" s="1" t="inlineStr"/>
      <c r="AS426" s="1" t="inlineStr"/>
      <c r="AT426">
        <f>TEXT(BDP($B426,"MATURITY"),"yyyy-mm-dd")</f>
        <v/>
      </c>
      <c r="AU426">
        <f>BDP($B426,"CPN_TYP")</f>
        <v/>
      </c>
      <c r="AV426">
        <f>BDP($B426,"CPN")</f>
        <v/>
      </c>
      <c r="AW426" t="inlineStr"/>
      <c r="AX426" t="inlineStr"/>
      <c r="AY426" t="inlineStr"/>
    </row>
    <row r="427">
      <c r="A427" t="inlineStr">
        <is>
          <t>CHYG</t>
        </is>
      </c>
      <c r="B427" t="inlineStr">
        <is>
          <t>78454LAP5 Corp</t>
        </is>
      </c>
      <c r="C427" s="1" t="inlineStr">
        <is>
          <t>78454LAP5</t>
        </is>
      </c>
      <c r="D427" t="inlineStr">
        <is>
          <t>SM Energy Co 6.625% 01/15/2027</t>
        </is>
      </c>
      <c r="E427">
        <f>BDP($B427,"LEGAL_ENTITY_IDENTIFIER")</f>
        <v/>
      </c>
      <c r="F427" t="inlineStr">
        <is>
          <t>SM Energy Co 6.625% 01/15/2027</t>
        </is>
      </c>
      <c r="G427">
        <f>custodian!D427</f>
        <v/>
      </c>
      <c r="H427">
        <f>BDP($B427,"ID_ISIN")</f>
        <v/>
      </c>
      <c r="I427" s="1" t="inlineStr"/>
      <c r="J427">
        <f>BDP($B427,"CNTRY_OF_DOMICILE")</f>
        <v/>
      </c>
      <c r="K427" t="inlineStr">
        <is>
          <t>DBT</t>
        </is>
      </c>
      <c r="L427" t="inlineStr">
        <is>
          <t>CORP</t>
        </is>
      </c>
      <c r="M427" t="inlineStr"/>
      <c r="N427" t="inlineStr"/>
      <c r="O427" s="1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s="1" t="inlineStr"/>
      <c r="AR427" s="1" t="inlineStr"/>
      <c r="AS427" s="1" t="inlineStr"/>
      <c r="AT427">
        <f>TEXT(BDP($B427,"MATURITY"),"yyyy-mm-dd")</f>
        <v/>
      </c>
      <c r="AU427">
        <f>BDP($B427,"CPN_TYP")</f>
        <v/>
      </c>
      <c r="AV427">
        <f>BDP($B427,"CPN")</f>
        <v/>
      </c>
      <c r="AW427" t="inlineStr"/>
      <c r="AX427" t="inlineStr"/>
      <c r="AY427" t="inlineStr"/>
    </row>
    <row r="428">
      <c r="A428" t="inlineStr">
        <is>
          <t>CHYG</t>
        </is>
      </c>
      <c r="B428" t="inlineStr">
        <is>
          <t>78488XAA2 Corp</t>
        </is>
      </c>
      <c r="C428" s="1" t="inlineStr">
        <is>
          <t>78488XAA2</t>
        </is>
      </c>
      <c r="D428" t="inlineStr">
        <is>
          <t>SV RNO Property Owner 1 LLC 5.</t>
        </is>
      </c>
      <c r="E428">
        <f>BDP($B428,"LEGAL_ENTITY_IDENTIFIER")</f>
        <v/>
      </c>
      <c r="F428" t="inlineStr">
        <is>
          <t>SV RNO Property Owner 1 LLC 5.875% 03/01/2031</t>
        </is>
      </c>
      <c r="G428">
        <f>custodian!D428</f>
        <v/>
      </c>
      <c r="H428">
        <f>BDP($B428,"ID_ISIN")</f>
        <v/>
      </c>
      <c r="I428" s="1" t="inlineStr"/>
      <c r="J428">
        <f>BDP($B428,"CNTRY_OF_DOMICILE")</f>
        <v/>
      </c>
      <c r="K428" t="inlineStr">
        <is>
          <t>DBT</t>
        </is>
      </c>
      <c r="L428" t="inlineStr">
        <is>
          <t>CORP</t>
        </is>
      </c>
      <c r="M428" t="inlineStr"/>
      <c r="N428" t="inlineStr"/>
      <c r="O428" s="1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s="1" t="inlineStr"/>
      <c r="AR428" s="1" t="inlineStr"/>
      <c r="AS428" s="1" t="inlineStr"/>
      <c r="AT428">
        <f>TEXT(BDP($B428,"MATURITY"),"yyyy-mm-dd")</f>
        <v/>
      </c>
      <c r="AU428">
        <f>BDP($B428,"CPN_TYP")</f>
        <v/>
      </c>
      <c r="AV428">
        <f>BDP($B428,"CPN")</f>
        <v/>
      </c>
      <c r="AW428" t="inlineStr"/>
      <c r="AX428" t="inlineStr"/>
      <c r="AY428" t="inlineStr"/>
    </row>
    <row r="429">
      <c r="A429" t="inlineStr">
        <is>
          <t>CHYG</t>
        </is>
      </c>
      <c r="B429" t="inlineStr">
        <is>
          <t>78573XAA8 Corp</t>
        </is>
      </c>
      <c r="C429" s="1" t="inlineStr">
        <is>
          <t>78573XAA8</t>
        </is>
      </c>
      <c r="D429" t="inlineStr">
        <is>
          <t>Sabre Financial Borrower LLC 1</t>
        </is>
      </c>
      <c r="E429">
        <f>BDP($B429,"LEGAL_ENTITY_IDENTIFIER")</f>
        <v/>
      </c>
      <c r="F429" t="inlineStr">
        <is>
          <t>Sabre Financial Borrower LLC 11.125% 06/15/2029</t>
        </is>
      </c>
      <c r="G429">
        <f>custodian!D429</f>
        <v/>
      </c>
      <c r="H429">
        <f>BDP($B429,"ID_ISIN")</f>
        <v/>
      </c>
      <c r="I429" s="1" t="inlineStr"/>
      <c r="J429">
        <f>BDP($B429,"CNTRY_OF_DOMICILE")</f>
        <v/>
      </c>
      <c r="K429" t="inlineStr">
        <is>
          <t>DBT</t>
        </is>
      </c>
      <c r="L429" t="inlineStr">
        <is>
          <t>CORP</t>
        </is>
      </c>
      <c r="M429" t="inlineStr"/>
      <c r="N429" t="inlineStr"/>
      <c r="O429" s="1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s="1" t="inlineStr"/>
      <c r="AR429" s="1" t="inlineStr"/>
      <c r="AS429" s="1" t="inlineStr"/>
      <c r="AT429">
        <f>TEXT(BDP($B429,"MATURITY"),"yyyy-mm-dd")</f>
        <v/>
      </c>
      <c r="AU429">
        <f>BDP($B429,"CPN_TYP")</f>
        <v/>
      </c>
      <c r="AV429">
        <f>BDP($B429,"CPN")</f>
        <v/>
      </c>
      <c r="AW429" t="inlineStr"/>
      <c r="AX429" t="inlineStr"/>
      <c r="AY429" t="inlineStr"/>
    </row>
    <row r="430">
      <c r="A430" t="inlineStr">
        <is>
          <t>CHYG</t>
        </is>
      </c>
      <c r="B430" t="inlineStr">
        <is>
          <t>808625AA5 Corp</t>
        </is>
      </c>
      <c r="C430" s="1" t="inlineStr">
        <is>
          <t>808625AA5</t>
        </is>
      </c>
      <c r="D430" t="inlineStr">
        <is>
          <t>Science Applications Internati</t>
        </is>
      </c>
      <c r="E430">
        <f>BDP($B430,"LEGAL_ENTITY_IDENTIFIER")</f>
        <v/>
      </c>
      <c r="F430" t="inlineStr">
        <is>
          <t>Science Applications International Corp 4.875% 04/01/2028</t>
        </is>
      </c>
      <c r="G430">
        <f>custodian!D430</f>
        <v/>
      </c>
      <c r="H430">
        <f>BDP($B430,"ID_ISIN")</f>
        <v/>
      </c>
      <c r="I430" s="1" t="inlineStr"/>
      <c r="J430">
        <f>BDP($B430,"CNTRY_OF_DOMICILE")</f>
        <v/>
      </c>
      <c r="K430" t="inlineStr">
        <is>
          <t>DBT</t>
        </is>
      </c>
      <c r="L430" t="inlineStr">
        <is>
          <t>CORP</t>
        </is>
      </c>
      <c r="M430" t="inlineStr"/>
      <c r="N430" t="inlineStr"/>
      <c r="O430" s="1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s="1" t="inlineStr"/>
      <c r="AR430" s="1" t="inlineStr"/>
      <c r="AS430" s="1" t="inlineStr"/>
      <c r="AT430">
        <f>TEXT(BDP($B430,"MATURITY"),"yyyy-mm-dd")</f>
        <v/>
      </c>
      <c r="AU430">
        <f>BDP($B430,"CPN_TYP")</f>
        <v/>
      </c>
      <c r="AV430">
        <f>BDP($B430,"CPN")</f>
        <v/>
      </c>
      <c r="AW430" t="inlineStr"/>
      <c r="AX430" t="inlineStr"/>
      <c r="AY430" t="inlineStr"/>
    </row>
    <row r="431">
      <c r="A431" t="inlineStr">
        <is>
          <t>CHYG</t>
        </is>
      </c>
      <c r="B431" t="inlineStr">
        <is>
          <t>80874YBE9 Corp</t>
        </is>
      </c>
      <c r="C431" s="1" t="inlineStr">
        <is>
          <t>80874YBE9</t>
        </is>
      </c>
      <c r="D431" t="inlineStr">
        <is>
          <t>Light &amp; Wonder International I</t>
        </is>
      </c>
      <c r="E431">
        <f>BDP($B431,"LEGAL_ENTITY_IDENTIFIER")</f>
        <v/>
      </c>
      <c r="F431" t="inlineStr">
        <is>
          <t>Light &amp; Wonder International Inc 7.25% 11/15/2029</t>
        </is>
      </c>
      <c r="G431">
        <f>custodian!D431</f>
        <v/>
      </c>
      <c r="H431">
        <f>BDP($B431,"ID_ISIN")</f>
        <v/>
      </c>
      <c r="I431" s="1" t="inlineStr"/>
      <c r="J431">
        <f>BDP($B431,"CNTRY_OF_DOMICILE")</f>
        <v/>
      </c>
      <c r="K431" t="inlineStr">
        <is>
          <t>DBT</t>
        </is>
      </c>
      <c r="L431" t="inlineStr">
        <is>
          <t>CORP</t>
        </is>
      </c>
      <c r="M431" t="inlineStr"/>
      <c r="N431" t="inlineStr"/>
      <c r="O431" s="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s="1" t="inlineStr"/>
      <c r="AR431" s="1" t="inlineStr"/>
      <c r="AS431" s="1" t="inlineStr"/>
      <c r="AT431">
        <f>TEXT(BDP($B431,"MATURITY"),"yyyy-mm-dd")</f>
        <v/>
      </c>
      <c r="AU431">
        <f>BDP($B431,"CPN_TYP")</f>
        <v/>
      </c>
      <c r="AV431">
        <f>BDP($B431,"CPN")</f>
        <v/>
      </c>
      <c r="AW431" t="inlineStr"/>
      <c r="AX431" t="inlineStr"/>
      <c r="AY431" t="inlineStr"/>
    </row>
    <row r="432">
      <c r="A432" t="inlineStr">
        <is>
          <t>CHYG</t>
        </is>
      </c>
      <c r="B432" t="inlineStr">
        <is>
          <t>81721MAM1 Corp</t>
        </is>
      </c>
      <c r="C432" s="1" t="inlineStr">
        <is>
          <t>81721MAM1</t>
        </is>
      </c>
      <c r="D432" t="inlineStr">
        <is>
          <t>Diversified Healthcare Trust 4</t>
        </is>
      </c>
      <c r="E432">
        <f>BDP($B432,"LEGAL_ENTITY_IDENTIFIER")</f>
        <v/>
      </c>
      <c r="F432" t="inlineStr">
        <is>
          <t>Diversified Healthcare Trust 4.75% 02/15/2028</t>
        </is>
      </c>
      <c r="G432">
        <f>custodian!D432</f>
        <v/>
      </c>
      <c r="H432">
        <f>BDP($B432,"ID_ISIN")</f>
        <v/>
      </c>
      <c r="I432" s="1" t="inlineStr"/>
      <c r="J432">
        <f>BDP($B432,"CNTRY_OF_DOMICILE")</f>
        <v/>
      </c>
      <c r="K432" t="inlineStr">
        <is>
          <t>DBT</t>
        </is>
      </c>
      <c r="L432" t="inlineStr">
        <is>
          <t>CORP</t>
        </is>
      </c>
      <c r="M432" t="inlineStr"/>
      <c r="N432" t="inlineStr"/>
      <c r="O432" s="1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s="1" t="inlineStr"/>
      <c r="AR432" s="1" t="inlineStr"/>
      <c r="AS432" s="1" t="inlineStr"/>
      <c r="AT432">
        <f>TEXT(BDP($B432,"MATURITY"),"yyyy-mm-dd")</f>
        <v/>
      </c>
      <c r="AU432">
        <f>BDP($B432,"CPN_TYP")</f>
        <v/>
      </c>
      <c r="AV432">
        <f>BDP($B432,"CPN")</f>
        <v/>
      </c>
      <c r="AW432" t="inlineStr"/>
      <c r="AX432" t="inlineStr"/>
      <c r="AY432" t="inlineStr"/>
    </row>
    <row r="433">
      <c r="A433" t="inlineStr">
        <is>
          <t>CHYG</t>
        </is>
      </c>
      <c r="B433" t="inlineStr">
        <is>
          <t>81761LAF9 Corp</t>
        </is>
      </c>
      <c r="C433" s="1" t="inlineStr">
        <is>
          <t>81761LAF9</t>
        </is>
      </c>
      <c r="D433" t="inlineStr">
        <is>
          <t>Service Properties Trust 0% 09</t>
        </is>
      </c>
      <c r="E433">
        <f>BDP($B433,"LEGAL_ENTITY_IDENTIFIER")</f>
        <v/>
      </c>
      <c r="F433" t="inlineStr">
        <is>
          <t>Service Properties Trust 0% 09/30/2027</t>
        </is>
      </c>
      <c r="G433">
        <f>custodian!D433</f>
        <v/>
      </c>
      <c r="H433">
        <f>BDP($B433,"ID_ISIN")</f>
        <v/>
      </c>
      <c r="I433" s="1" t="inlineStr"/>
      <c r="J433">
        <f>BDP($B433,"CNTRY_OF_DOMICILE")</f>
        <v/>
      </c>
      <c r="K433" t="inlineStr">
        <is>
          <t>DBT</t>
        </is>
      </c>
      <c r="L433" t="inlineStr">
        <is>
          <t>CORP</t>
        </is>
      </c>
      <c r="M433" t="inlineStr"/>
      <c r="N433" t="inlineStr"/>
      <c r="O433" s="1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s="1" t="inlineStr"/>
      <c r="AR433" s="1" t="inlineStr"/>
      <c r="AS433" s="1" t="inlineStr"/>
      <c r="AT433">
        <f>TEXT(BDP($B433,"MATURITY"),"yyyy-mm-dd")</f>
        <v/>
      </c>
      <c r="AU433">
        <f>BDP($B433,"CPN_TYP")</f>
        <v/>
      </c>
      <c r="AV433">
        <f>BDP($B433,"CPN")</f>
        <v/>
      </c>
      <c r="AW433" t="inlineStr"/>
      <c r="AX433" t="inlineStr"/>
      <c r="AY433" t="inlineStr"/>
    </row>
    <row r="434">
      <c r="A434" t="inlineStr">
        <is>
          <t>CHYG</t>
        </is>
      </c>
      <c r="B434" t="inlineStr">
        <is>
          <t>82967NBA5 Corp</t>
        </is>
      </c>
      <c r="C434" s="1" t="inlineStr">
        <is>
          <t>82967NBA5</t>
        </is>
      </c>
      <c r="D434" t="inlineStr">
        <is>
          <t>Sirius XM Radio LLC 5% 08/01/2</t>
        </is>
      </c>
      <c r="E434">
        <f>BDP($B434,"LEGAL_ENTITY_IDENTIFIER")</f>
        <v/>
      </c>
      <c r="F434" t="inlineStr">
        <is>
          <t>Sirius XM Radio LLC 5% 08/01/2027</t>
        </is>
      </c>
      <c r="G434">
        <f>custodian!D434</f>
        <v/>
      </c>
      <c r="H434">
        <f>BDP($B434,"ID_ISIN")</f>
        <v/>
      </c>
      <c r="I434" s="1" t="inlineStr"/>
      <c r="J434">
        <f>BDP($B434,"CNTRY_OF_DOMICILE")</f>
        <v/>
      </c>
      <c r="K434" t="inlineStr">
        <is>
          <t>DBT</t>
        </is>
      </c>
      <c r="L434" t="inlineStr">
        <is>
          <t>CORP</t>
        </is>
      </c>
      <c r="M434" t="inlineStr"/>
      <c r="N434" t="inlineStr"/>
      <c r="O434" s="1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s="1" t="inlineStr"/>
      <c r="AR434" s="1" t="inlineStr"/>
      <c r="AS434" s="1" t="inlineStr"/>
      <c r="AT434">
        <f>TEXT(BDP($B434,"MATURITY"),"yyyy-mm-dd")</f>
        <v/>
      </c>
      <c r="AU434">
        <f>BDP($B434,"CPN_TYP")</f>
        <v/>
      </c>
      <c r="AV434">
        <f>BDP($B434,"CPN")</f>
        <v/>
      </c>
      <c r="AW434" t="inlineStr"/>
      <c r="AX434" t="inlineStr"/>
      <c r="AY434" t="inlineStr"/>
    </row>
    <row r="435">
      <c r="A435" t="inlineStr">
        <is>
          <t>CHYG</t>
        </is>
      </c>
      <c r="B435" t="inlineStr">
        <is>
          <t>83001AAD4 Corp</t>
        </is>
      </c>
      <c r="C435" s="1" t="inlineStr">
        <is>
          <t>83001AAD4</t>
        </is>
      </c>
      <c r="D435" t="inlineStr">
        <is>
          <t>Six Flags Entertainment Corp 7</t>
        </is>
      </c>
      <c r="E435">
        <f>BDP($B435,"LEGAL_ENTITY_IDENTIFIER")</f>
        <v/>
      </c>
      <c r="F435" t="inlineStr">
        <is>
          <t>Six Flags Entertainment Corp 7.25% 05/15/2031</t>
        </is>
      </c>
      <c r="G435">
        <f>custodian!D435</f>
        <v/>
      </c>
      <c r="H435">
        <f>BDP($B435,"ID_ISIN")</f>
        <v/>
      </c>
      <c r="I435" s="1" t="inlineStr"/>
      <c r="J435">
        <f>BDP($B435,"CNTRY_OF_DOMICILE")</f>
        <v/>
      </c>
      <c r="K435" t="inlineStr">
        <is>
          <t>DBT</t>
        </is>
      </c>
      <c r="L435" t="inlineStr">
        <is>
          <t>CORP</t>
        </is>
      </c>
      <c r="M435" t="inlineStr"/>
      <c r="N435" t="inlineStr"/>
      <c r="O435" s="1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s="1" t="inlineStr"/>
      <c r="AR435" s="1" t="inlineStr"/>
      <c r="AS435" s="1" t="inlineStr"/>
      <c r="AT435">
        <f>TEXT(BDP($B435,"MATURITY"),"yyyy-mm-dd")</f>
        <v/>
      </c>
      <c r="AU435">
        <f>BDP($B435,"CPN_TYP")</f>
        <v/>
      </c>
      <c r="AV435">
        <f>BDP($B435,"CPN")</f>
        <v/>
      </c>
      <c r="AW435" t="inlineStr"/>
      <c r="AX435" t="inlineStr"/>
      <c r="AY435" t="inlineStr"/>
    </row>
    <row r="436">
      <c r="A436" t="inlineStr">
        <is>
          <t>CHYG</t>
        </is>
      </c>
      <c r="B436" t="inlineStr">
        <is>
          <t>83419YAA4 Corp</t>
        </is>
      </c>
      <c r="C436" s="1" t="inlineStr">
        <is>
          <t>83419YAA4</t>
        </is>
      </c>
      <c r="D436" t="inlineStr">
        <is>
          <t xml:space="preserve">Solaris Energy Infrastructure </t>
        </is>
      </c>
      <c r="E436">
        <f>BDP($B436,"LEGAL_ENTITY_IDENTIFIER")</f>
        <v/>
      </c>
      <c r="F436" t="inlineStr">
        <is>
          <t>Solaris Energy Infrastructure LLC 6.375% 05/15/2031</t>
        </is>
      </c>
      <c r="G436">
        <f>custodian!D436</f>
        <v/>
      </c>
      <c r="H436">
        <f>BDP($B436,"ID_ISIN")</f>
        <v/>
      </c>
      <c r="I436" s="1" t="inlineStr"/>
      <c r="J436">
        <f>BDP($B436,"CNTRY_OF_DOMICILE")</f>
        <v/>
      </c>
      <c r="K436" t="inlineStr">
        <is>
          <t>DBT</t>
        </is>
      </c>
      <c r="L436" t="inlineStr">
        <is>
          <t>CORP</t>
        </is>
      </c>
      <c r="M436" t="inlineStr"/>
      <c r="N436" t="inlineStr"/>
      <c r="O436" s="1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s="1" t="inlineStr"/>
      <c r="AR436" s="1" t="inlineStr"/>
      <c r="AS436" s="1" t="inlineStr"/>
      <c r="AT436">
        <f>TEXT(BDP($B436,"MATURITY"),"yyyy-mm-dd")</f>
        <v/>
      </c>
      <c r="AU436">
        <f>BDP($B436,"CPN_TYP")</f>
        <v/>
      </c>
      <c r="AV436">
        <f>BDP($B436,"CPN")</f>
        <v/>
      </c>
      <c r="AW436" t="inlineStr"/>
      <c r="AX436" t="inlineStr"/>
      <c r="AY436" t="inlineStr"/>
    </row>
    <row r="437">
      <c r="A437" t="inlineStr">
        <is>
          <t>CHYG</t>
        </is>
      </c>
      <c r="B437" t="inlineStr">
        <is>
          <t>835898AJ6 Corp</t>
        </is>
      </c>
      <c r="C437" s="1" t="inlineStr">
        <is>
          <t>835898AJ6</t>
        </is>
      </c>
      <c r="D437" t="inlineStr">
        <is>
          <t>Sotheby's 8.25% 04/15/2031</t>
        </is>
      </c>
      <c r="E437">
        <f>BDP($B437,"LEGAL_ENTITY_IDENTIFIER")</f>
        <v/>
      </c>
      <c r="F437" t="inlineStr">
        <is>
          <t>Sotheby's 8.25% 04/15/2031</t>
        </is>
      </c>
      <c r="G437">
        <f>custodian!D437</f>
        <v/>
      </c>
      <c r="H437">
        <f>BDP($B437,"ID_ISIN")</f>
        <v/>
      </c>
      <c r="I437" s="1" t="inlineStr"/>
      <c r="J437">
        <f>BDP($B437,"CNTRY_OF_DOMICILE")</f>
        <v/>
      </c>
      <c r="K437" t="inlineStr">
        <is>
          <t>DBT</t>
        </is>
      </c>
      <c r="L437" t="inlineStr">
        <is>
          <t>CORP</t>
        </is>
      </c>
      <c r="M437" t="inlineStr"/>
      <c r="N437" t="inlineStr"/>
      <c r="O437" s="1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s="1" t="inlineStr"/>
      <c r="AR437" s="1" t="inlineStr"/>
      <c r="AS437" s="1" t="inlineStr"/>
      <c r="AT437">
        <f>TEXT(BDP($B437,"MATURITY"),"yyyy-mm-dd")</f>
        <v/>
      </c>
      <c r="AU437">
        <f>BDP($B437,"CPN_TYP")</f>
        <v/>
      </c>
      <c r="AV437">
        <f>BDP($B437,"CPN")</f>
        <v/>
      </c>
      <c r="AW437" t="inlineStr"/>
      <c r="AX437" t="inlineStr"/>
      <c r="AY437" t="inlineStr"/>
    </row>
    <row r="438">
      <c r="A438" t="inlineStr">
        <is>
          <t>CHYG</t>
        </is>
      </c>
      <c r="B438" t="inlineStr">
        <is>
          <t>84779MAA2 Corp</t>
        </is>
      </c>
      <c r="C438" s="1" t="inlineStr">
        <is>
          <t>84779MAA2</t>
        </is>
      </c>
      <c r="D438" t="inlineStr">
        <is>
          <t>Speedway Motorsports LLC / Spe</t>
        </is>
      </c>
      <c r="E438">
        <f>BDP($B438,"LEGAL_ENTITY_IDENTIFIER")</f>
        <v/>
      </c>
      <c r="F438" t="inlineStr">
        <is>
          <t>Speedway Motorsports LLC / Speedway Funding II Inc 4.875% 11/01/2027</t>
        </is>
      </c>
      <c r="G438">
        <f>custodian!D438</f>
        <v/>
      </c>
      <c r="H438">
        <f>BDP($B438,"ID_ISIN")</f>
        <v/>
      </c>
      <c r="I438" s="1" t="inlineStr"/>
      <c r="J438">
        <f>BDP($B438,"CNTRY_OF_DOMICILE")</f>
        <v/>
      </c>
      <c r="K438" t="inlineStr">
        <is>
          <t>DBT</t>
        </is>
      </c>
      <c r="L438" t="inlineStr">
        <is>
          <t>CORP</t>
        </is>
      </c>
      <c r="M438" t="inlineStr"/>
      <c r="N438" t="inlineStr"/>
      <c r="O438" s="1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s="1" t="inlineStr"/>
      <c r="AR438" s="1" t="inlineStr"/>
      <c r="AS438" s="1" t="inlineStr"/>
      <c r="AT438">
        <f>TEXT(BDP($B438,"MATURITY"),"yyyy-mm-dd")</f>
        <v/>
      </c>
      <c r="AU438">
        <f>BDP($B438,"CPN_TYP")</f>
        <v/>
      </c>
      <c r="AV438">
        <f>BDP($B438,"CPN")</f>
        <v/>
      </c>
      <c r="AW438" t="inlineStr"/>
      <c r="AX438" t="inlineStr"/>
      <c r="AY438" t="inlineStr"/>
    </row>
    <row r="439">
      <c r="A439" t="inlineStr">
        <is>
          <t>CHYG</t>
        </is>
      </c>
      <c r="B439" t="inlineStr">
        <is>
          <t>85172FAR0 Corp</t>
        </is>
      </c>
      <c r="C439" s="1" t="inlineStr">
        <is>
          <t>85172FAR0</t>
        </is>
      </c>
      <c r="D439" t="inlineStr">
        <is>
          <t>OneMain Finance Corp 5.375% 11</t>
        </is>
      </c>
      <c r="E439">
        <f>BDP($B439,"LEGAL_ENTITY_IDENTIFIER")</f>
        <v/>
      </c>
      <c r="F439" t="inlineStr">
        <is>
          <t>OneMain Finance Corp 5.375% 11/15/2029</t>
        </is>
      </c>
      <c r="G439">
        <f>custodian!D439</f>
        <v/>
      </c>
      <c r="H439">
        <f>BDP($B439,"ID_ISIN")</f>
        <v/>
      </c>
      <c r="I439" s="1" t="inlineStr"/>
      <c r="J439">
        <f>BDP($B439,"CNTRY_OF_DOMICILE")</f>
        <v/>
      </c>
      <c r="K439" t="inlineStr">
        <is>
          <t>DBT</t>
        </is>
      </c>
      <c r="L439" t="inlineStr">
        <is>
          <t>CORP</t>
        </is>
      </c>
      <c r="M439" t="inlineStr"/>
      <c r="N439" t="inlineStr"/>
      <c r="O439" s="1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s="1" t="inlineStr"/>
      <c r="AR439" s="1" t="inlineStr"/>
      <c r="AS439" s="1" t="inlineStr"/>
      <c r="AT439">
        <f>TEXT(BDP($B439,"MATURITY"),"yyyy-mm-dd")</f>
        <v/>
      </c>
      <c r="AU439">
        <f>BDP($B439,"CPN_TYP")</f>
        <v/>
      </c>
      <c r="AV439">
        <f>BDP($B439,"CPN")</f>
        <v/>
      </c>
      <c r="AW439" t="inlineStr"/>
      <c r="AX439" t="inlineStr"/>
      <c r="AY439" t="inlineStr"/>
    </row>
    <row r="440">
      <c r="A440" t="inlineStr">
        <is>
          <t>CHYG</t>
        </is>
      </c>
      <c r="B440" t="inlineStr">
        <is>
          <t>852234AT0 Corp</t>
        </is>
      </c>
      <c r="C440" s="1" t="inlineStr">
        <is>
          <t>852234AT0</t>
        </is>
      </c>
      <c r="D440" t="inlineStr">
        <is>
          <t>Block Inc 5.625% 08/15/2030</t>
        </is>
      </c>
      <c r="E440">
        <f>BDP($B440,"LEGAL_ENTITY_IDENTIFIER")</f>
        <v/>
      </c>
      <c r="F440" t="inlineStr">
        <is>
          <t>Block Inc 5.625% 08/15/2030</t>
        </is>
      </c>
      <c r="G440">
        <f>custodian!D440</f>
        <v/>
      </c>
      <c r="H440">
        <f>BDP($B440,"ID_ISIN")</f>
        <v/>
      </c>
      <c r="I440" s="1" t="inlineStr"/>
      <c r="J440">
        <f>BDP($B440,"CNTRY_OF_DOMICILE")</f>
        <v/>
      </c>
      <c r="K440" t="inlineStr">
        <is>
          <t>DBT</t>
        </is>
      </c>
      <c r="L440" t="inlineStr">
        <is>
          <t>CORP</t>
        </is>
      </c>
      <c r="M440" t="inlineStr"/>
      <c r="N440" t="inlineStr"/>
      <c r="O440" s="1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s="1" t="inlineStr"/>
      <c r="AR440" s="1" t="inlineStr"/>
      <c r="AS440" s="1" t="inlineStr"/>
      <c r="AT440">
        <f>TEXT(BDP($B440,"MATURITY"),"yyyy-mm-dd")</f>
        <v/>
      </c>
      <c r="AU440">
        <f>BDP($B440,"CPN_TYP")</f>
        <v/>
      </c>
      <c r="AV440">
        <f>BDP($B440,"CPN")</f>
        <v/>
      </c>
      <c r="AW440" t="inlineStr"/>
      <c r="AX440" t="inlineStr"/>
      <c r="AY440" t="inlineStr"/>
    </row>
    <row r="441">
      <c r="A441" t="inlineStr">
        <is>
          <t>CHYG</t>
        </is>
      </c>
      <c r="B441" t="inlineStr">
        <is>
          <t>85236FAA1 Corp</t>
        </is>
      </c>
      <c r="C441" s="1" t="inlineStr">
        <is>
          <t>85236FAA1</t>
        </is>
      </c>
      <c r="D441" t="inlineStr">
        <is>
          <t xml:space="preserve">Smyrna Ready Mix Concrete LLC </t>
        </is>
      </c>
      <c r="E441">
        <f>BDP($B441,"LEGAL_ENTITY_IDENTIFIER")</f>
        <v/>
      </c>
      <c r="F441" t="inlineStr">
        <is>
          <t>Smyrna Ready Mix Concrete LLC 6% 11/01/2028</t>
        </is>
      </c>
      <c r="G441">
        <f>custodian!D441</f>
        <v/>
      </c>
      <c r="H441">
        <f>BDP($B441,"ID_ISIN")</f>
        <v/>
      </c>
      <c r="I441" s="1" t="inlineStr"/>
      <c r="J441">
        <f>BDP($B441,"CNTRY_OF_DOMICILE")</f>
        <v/>
      </c>
      <c r="K441" t="inlineStr">
        <is>
          <t>DBT</t>
        </is>
      </c>
      <c r="L441" t="inlineStr">
        <is>
          <t>CORP</t>
        </is>
      </c>
      <c r="M441" t="inlineStr"/>
      <c r="N441" t="inlineStr"/>
      <c r="O441" s="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s="1" t="inlineStr"/>
      <c r="AR441" s="1" t="inlineStr"/>
      <c r="AS441" s="1" t="inlineStr"/>
      <c r="AT441">
        <f>TEXT(BDP($B441,"MATURITY"),"yyyy-mm-dd")</f>
        <v/>
      </c>
      <c r="AU441">
        <f>BDP($B441,"CPN_TYP")</f>
        <v/>
      </c>
      <c r="AV441">
        <f>BDP($B441,"CPN")</f>
        <v/>
      </c>
      <c r="AW441" t="inlineStr"/>
      <c r="AX441" t="inlineStr"/>
      <c r="AY441" t="inlineStr"/>
    </row>
    <row r="442">
      <c r="A442" t="inlineStr">
        <is>
          <t>CHYG</t>
        </is>
      </c>
      <c r="B442" t="inlineStr">
        <is>
          <t>853496AG2 Corp</t>
        </is>
      </c>
      <c r="C442" s="1" t="inlineStr">
        <is>
          <t>853496AG2</t>
        </is>
      </c>
      <c r="D442" t="inlineStr">
        <is>
          <t>Standard Industries Inc/NY 4.3</t>
        </is>
      </c>
      <c r="E442">
        <f>BDP($B442,"LEGAL_ENTITY_IDENTIFIER")</f>
        <v/>
      </c>
      <c r="F442" t="inlineStr">
        <is>
          <t>Standard Industries Inc/NY 4.375% 07/15/2030</t>
        </is>
      </c>
      <c r="G442">
        <f>custodian!D442</f>
        <v/>
      </c>
      <c r="H442">
        <f>BDP($B442,"ID_ISIN")</f>
        <v/>
      </c>
      <c r="I442" s="1" t="inlineStr"/>
      <c r="J442">
        <f>BDP($B442,"CNTRY_OF_DOMICILE")</f>
        <v/>
      </c>
      <c r="K442" t="inlineStr">
        <is>
          <t>DBT</t>
        </is>
      </c>
      <c r="L442" t="inlineStr">
        <is>
          <t>CORP</t>
        </is>
      </c>
      <c r="M442" t="inlineStr"/>
      <c r="N442" t="inlineStr"/>
      <c r="O442" s="1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s="1" t="inlineStr"/>
      <c r="AR442" s="1" t="inlineStr"/>
      <c r="AS442" s="1" t="inlineStr"/>
      <c r="AT442">
        <f>TEXT(BDP($B442,"MATURITY"),"yyyy-mm-dd")</f>
        <v/>
      </c>
      <c r="AU442">
        <f>BDP($B442,"CPN_TYP")</f>
        <v/>
      </c>
      <c r="AV442">
        <f>BDP($B442,"CPN")</f>
        <v/>
      </c>
      <c r="AW442" t="inlineStr"/>
      <c r="AX442" t="inlineStr"/>
      <c r="AY442" t="inlineStr"/>
    </row>
    <row r="443">
      <c r="A443" t="inlineStr">
        <is>
          <t>CHYG</t>
        </is>
      </c>
      <c r="B443" t="inlineStr">
        <is>
          <t>85571BBB0 Corp</t>
        </is>
      </c>
      <c r="C443" s="1" t="inlineStr">
        <is>
          <t>85571BBB0</t>
        </is>
      </c>
      <c r="D443" t="inlineStr">
        <is>
          <t>Starwood Property Trust Inc 7.</t>
        </is>
      </c>
      <c r="E443">
        <f>BDP($B443,"LEGAL_ENTITY_IDENTIFIER")</f>
        <v/>
      </c>
      <c r="F443" t="inlineStr">
        <is>
          <t>Starwood Property Trust Inc 7.25% 04/01/2029</t>
        </is>
      </c>
      <c r="G443">
        <f>custodian!D443</f>
        <v/>
      </c>
      <c r="H443">
        <f>BDP($B443,"ID_ISIN")</f>
        <v/>
      </c>
      <c r="I443" s="1" t="inlineStr"/>
      <c r="J443">
        <f>BDP($B443,"CNTRY_OF_DOMICILE")</f>
        <v/>
      </c>
      <c r="K443" t="inlineStr">
        <is>
          <t>DBT</t>
        </is>
      </c>
      <c r="L443" t="inlineStr">
        <is>
          <t>CORP</t>
        </is>
      </c>
      <c r="M443" t="inlineStr"/>
      <c r="N443" t="inlineStr"/>
      <c r="O443" s="1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s="1" t="inlineStr"/>
      <c r="AR443" s="1" t="inlineStr"/>
      <c r="AS443" s="1" t="inlineStr"/>
      <c r="AT443">
        <f>TEXT(BDP($B443,"MATURITY"),"yyyy-mm-dd")</f>
        <v/>
      </c>
      <c r="AU443">
        <f>BDP($B443,"CPN_TYP")</f>
        <v/>
      </c>
      <c r="AV443">
        <f>BDP($B443,"CPN")</f>
        <v/>
      </c>
      <c r="AW443" t="inlineStr"/>
      <c r="AX443" t="inlineStr"/>
      <c r="AY443" t="inlineStr"/>
    </row>
    <row r="444">
      <c r="A444" t="inlineStr">
        <is>
          <t>CHYG</t>
        </is>
      </c>
      <c r="B444" t="inlineStr">
        <is>
          <t>86177CAA7 Corp</t>
        </is>
      </c>
      <c r="C444" s="1" t="inlineStr">
        <is>
          <t>86177CAA7</t>
        </is>
      </c>
      <c r="D444" t="inlineStr">
        <is>
          <t>Stonebriar ABF Issuer LLC 8.12</t>
        </is>
      </c>
      <c r="E444">
        <f>BDP($B444,"LEGAL_ENTITY_IDENTIFIER")</f>
        <v/>
      </c>
      <c r="F444" t="inlineStr">
        <is>
          <t>Stonebriar ABF Issuer LLC 8.125% 12/15/2030</t>
        </is>
      </c>
      <c r="G444">
        <f>custodian!D444</f>
        <v/>
      </c>
      <c r="H444">
        <f>BDP($B444,"ID_ISIN")</f>
        <v/>
      </c>
      <c r="I444" s="1" t="inlineStr"/>
      <c r="J444">
        <f>BDP($B444,"CNTRY_OF_DOMICILE")</f>
        <v/>
      </c>
      <c r="K444" t="inlineStr">
        <is>
          <t>DBT</t>
        </is>
      </c>
      <c r="L444" t="inlineStr">
        <is>
          <t>CORP</t>
        </is>
      </c>
      <c r="M444" t="inlineStr"/>
      <c r="N444" t="inlineStr"/>
      <c r="O444" s="1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s="1" t="inlineStr"/>
      <c r="AR444" s="1" t="inlineStr"/>
      <c r="AS444" s="1" t="inlineStr"/>
      <c r="AT444">
        <f>TEXT(BDP($B444,"MATURITY"),"yyyy-mm-dd")</f>
        <v/>
      </c>
      <c r="AU444">
        <f>BDP($B444,"CPN_TYP")</f>
        <v/>
      </c>
      <c r="AV444">
        <f>BDP($B444,"CPN")</f>
        <v/>
      </c>
      <c r="AW444" t="inlineStr"/>
      <c r="AX444" t="inlineStr"/>
      <c r="AY444" t="inlineStr"/>
    </row>
    <row r="445">
      <c r="A445" t="inlineStr">
        <is>
          <t>CHYG</t>
        </is>
      </c>
      <c r="B445" t="inlineStr">
        <is>
          <t>86184WAA4 Corp</t>
        </is>
      </c>
      <c r="C445" s="1" t="inlineStr">
        <is>
          <t>86184WAA4</t>
        </is>
      </c>
      <c r="D445" t="inlineStr">
        <is>
          <t>StoneMor Inc 8.5% 05/15/2029</t>
        </is>
      </c>
      <c r="E445">
        <f>BDP($B445,"LEGAL_ENTITY_IDENTIFIER")</f>
        <v/>
      </c>
      <c r="F445" t="inlineStr">
        <is>
          <t>StoneMor Inc 8.5% 05/15/2029</t>
        </is>
      </c>
      <c r="G445">
        <f>custodian!D445</f>
        <v/>
      </c>
      <c r="H445">
        <f>BDP($B445,"ID_ISIN")</f>
        <v/>
      </c>
      <c r="I445" s="1" t="inlineStr"/>
      <c r="J445">
        <f>BDP($B445,"CNTRY_OF_DOMICILE")</f>
        <v/>
      </c>
      <c r="K445" t="inlineStr">
        <is>
          <t>DBT</t>
        </is>
      </c>
      <c r="L445" t="inlineStr">
        <is>
          <t>CORP</t>
        </is>
      </c>
      <c r="M445" t="inlineStr"/>
      <c r="N445" t="inlineStr"/>
      <c r="O445" s="1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s="1" t="inlineStr"/>
      <c r="AR445" s="1" t="inlineStr"/>
      <c r="AS445" s="1" t="inlineStr"/>
      <c r="AT445">
        <f>TEXT(BDP($B445,"MATURITY"),"yyyy-mm-dd")</f>
        <v/>
      </c>
      <c r="AU445">
        <f>BDP($B445,"CPN_TYP")</f>
        <v/>
      </c>
      <c r="AV445">
        <f>BDP($B445,"CPN")</f>
        <v/>
      </c>
      <c r="AW445" t="inlineStr"/>
      <c r="AX445" t="inlineStr"/>
      <c r="AY445" t="inlineStr"/>
    </row>
    <row r="446">
      <c r="A446" t="inlineStr">
        <is>
          <t>CHYG</t>
        </is>
      </c>
      <c r="B446" t="inlineStr">
        <is>
          <t>861896AA6 Corp</t>
        </is>
      </c>
      <c r="C446" s="1" t="inlineStr">
        <is>
          <t>861896AA6</t>
        </is>
      </c>
      <c r="D446" t="inlineStr">
        <is>
          <t>StoneX Group Inc 7.875% 03/01/</t>
        </is>
      </c>
      <c r="E446">
        <f>BDP($B446,"LEGAL_ENTITY_IDENTIFIER")</f>
        <v/>
      </c>
      <c r="F446" t="inlineStr">
        <is>
          <t>StoneX Group Inc 7.875% 03/01/2031</t>
        </is>
      </c>
      <c r="G446">
        <f>custodian!D446</f>
        <v/>
      </c>
      <c r="H446">
        <f>BDP($B446,"ID_ISIN")</f>
        <v/>
      </c>
      <c r="I446" s="1" t="inlineStr"/>
      <c r="J446">
        <f>BDP($B446,"CNTRY_OF_DOMICILE")</f>
        <v/>
      </c>
      <c r="K446" t="inlineStr">
        <is>
          <t>DBT</t>
        </is>
      </c>
      <c r="L446" t="inlineStr">
        <is>
          <t>CORP</t>
        </is>
      </c>
      <c r="M446" t="inlineStr"/>
      <c r="N446" t="inlineStr"/>
      <c r="O446" s="1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s="1" t="inlineStr"/>
      <c r="AR446" s="1" t="inlineStr"/>
      <c r="AS446" s="1" t="inlineStr"/>
      <c r="AT446">
        <f>TEXT(BDP($B446,"MATURITY"),"yyyy-mm-dd")</f>
        <v/>
      </c>
      <c r="AU446">
        <f>BDP($B446,"CPN_TYP")</f>
        <v/>
      </c>
      <c r="AV446">
        <f>BDP($B446,"CPN")</f>
        <v/>
      </c>
      <c r="AW446" t="inlineStr"/>
      <c r="AX446" t="inlineStr"/>
      <c r="AY446" t="inlineStr"/>
    </row>
    <row r="447">
      <c r="A447" t="inlineStr">
        <is>
          <t>CHYG</t>
        </is>
      </c>
      <c r="B447" t="inlineStr">
        <is>
          <t>86614JAA3 Corp</t>
        </is>
      </c>
      <c r="C447" s="1" t="inlineStr">
        <is>
          <t>86614JAA3</t>
        </is>
      </c>
      <c r="D447" t="inlineStr">
        <is>
          <t xml:space="preserve">Summit Midstream Holdings LLC </t>
        </is>
      </c>
      <c r="E447">
        <f>BDP($B447,"LEGAL_ENTITY_IDENTIFIER")</f>
        <v/>
      </c>
      <c r="F447" t="inlineStr">
        <is>
          <t>Summit Midstream Holdings LLC 8.625% 10/31/2029</t>
        </is>
      </c>
      <c r="G447">
        <f>custodian!D447</f>
        <v/>
      </c>
      <c r="H447">
        <f>BDP($B447,"ID_ISIN")</f>
        <v/>
      </c>
      <c r="I447" s="1" t="inlineStr"/>
      <c r="J447">
        <f>BDP($B447,"CNTRY_OF_DOMICILE")</f>
        <v/>
      </c>
      <c r="K447" t="inlineStr">
        <is>
          <t>DBT</t>
        </is>
      </c>
      <c r="L447" t="inlineStr">
        <is>
          <t>CORP</t>
        </is>
      </c>
      <c r="M447" t="inlineStr"/>
      <c r="N447" t="inlineStr"/>
      <c r="O447" s="1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s="1" t="inlineStr"/>
      <c r="AR447" s="1" t="inlineStr"/>
      <c r="AS447" s="1" t="inlineStr"/>
      <c r="AT447">
        <f>TEXT(BDP($B447,"MATURITY"),"yyyy-mm-dd")</f>
        <v/>
      </c>
      <c r="AU447">
        <f>BDP($B447,"CPN_TYP")</f>
        <v/>
      </c>
      <c r="AV447">
        <f>BDP($B447,"CPN")</f>
        <v/>
      </c>
      <c r="AW447" t="inlineStr"/>
      <c r="AX447" t="inlineStr"/>
      <c r="AY447" t="inlineStr"/>
    </row>
    <row r="448">
      <c r="A448" t="inlineStr">
        <is>
          <t>CHYG</t>
        </is>
      </c>
      <c r="B448" t="inlineStr">
        <is>
          <t>86765KAA7 Corp</t>
        </is>
      </c>
      <c r="C448" s="1" t="inlineStr">
        <is>
          <t>86765KAA7</t>
        </is>
      </c>
      <c r="D448" t="inlineStr">
        <is>
          <t>Sunoco LP / Sunoco Finance Cor</t>
        </is>
      </c>
      <c r="E448">
        <f>BDP($B448,"LEGAL_ENTITY_IDENTIFIER")</f>
        <v/>
      </c>
      <c r="F448" t="inlineStr">
        <is>
          <t>Sunoco LP / Sunoco Finance Corp 7% 09/15/2028</t>
        </is>
      </c>
      <c r="G448">
        <f>custodian!D448</f>
        <v/>
      </c>
      <c r="H448">
        <f>BDP($B448,"ID_ISIN")</f>
        <v/>
      </c>
      <c r="I448" s="1" t="inlineStr"/>
      <c r="J448">
        <f>BDP($B448,"CNTRY_OF_DOMICILE")</f>
        <v/>
      </c>
      <c r="K448" t="inlineStr">
        <is>
          <t>DBT</t>
        </is>
      </c>
      <c r="L448" t="inlineStr">
        <is>
          <t>CORP</t>
        </is>
      </c>
      <c r="M448" t="inlineStr"/>
      <c r="N448" t="inlineStr"/>
      <c r="O448" s="1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s="1" t="inlineStr"/>
      <c r="AR448" s="1" t="inlineStr"/>
      <c r="AS448" s="1" t="inlineStr"/>
      <c r="AT448">
        <f>TEXT(BDP($B448,"MATURITY"),"yyyy-mm-dd")</f>
        <v/>
      </c>
      <c r="AU448">
        <f>BDP($B448,"CPN_TYP")</f>
        <v/>
      </c>
      <c r="AV448">
        <f>BDP($B448,"CPN")</f>
        <v/>
      </c>
      <c r="AW448" t="inlineStr"/>
      <c r="AX448" t="inlineStr"/>
      <c r="AY448" t="inlineStr"/>
    </row>
    <row r="449">
      <c r="A449" t="inlineStr">
        <is>
          <t>CHYG</t>
        </is>
      </c>
      <c r="B449" t="inlineStr">
        <is>
          <t>87165BAP8 Corp</t>
        </is>
      </c>
      <c r="C449" s="1" t="inlineStr">
        <is>
          <t>87165BAP8</t>
        </is>
      </c>
      <c r="D449" t="inlineStr">
        <is>
          <t>Synchrony Financial 5.15% 03/1</t>
        </is>
      </c>
      <c r="E449">
        <f>BDP($B449,"LEGAL_ENTITY_IDENTIFIER")</f>
        <v/>
      </c>
      <c r="F449" t="inlineStr">
        <is>
          <t>Synchrony Financial 5.15% 03/19/2029</t>
        </is>
      </c>
      <c r="G449">
        <f>custodian!D449</f>
        <v/>
      </c>
      <c r="H449">
        <f>BDP($B449,"ID_ISIN")</f>
        <v/>
      </c>
      <c r="I449" s="1" t="inlineStr"/>
      <c r="J449">
        <f>BDP($B449,"CNTRY_OF_DOMICILE")</f>
        <v/>
      </c>
      <c r="K449" t="inlineStr">
        <is>
          <t>DBT</t>
        </is>
      </c>
      <c r="L449" t="inlineStr">
        <is>
          <t>CORP</t>
        </is>
      </c>
      <c r="M449" t="inlineStr"/>
      <c r="N449" t="inlineStr"/>
      <c r="O449" s="1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s="1" t="inlineStr"/>
      <c r="AR449" s="1" t="inlineStr"/>
      <c r="AS449" s="1" t="inlineStr"/>
      <c r="AT449">
        <f>TEXT(BDP($B449,"MATURITY"),"yyyy-mm-dd")</f>
        <v/>
      </c>
      <c r="AU449">
        <f>BDP($B449,"CPN_TYP")</f>
        <v/>
      </c>
      <c r="AV449">
        <f>BDP($B449,"CPN")</f>
        <v/>
      </c>
      <c r="AW449" t="inlineStr"/>
      <c r="AX449" t="inlineStr"/>
      <c r="AY449" t="inlineStr"/>
    </row>
    <row r="450">
      <c r="A450" t="inlineStr">
        <is>
          <t>CHYG</t>
        </is>
      </c>
      <c r="B450" t="inlineStr">
        <is>
          <t>87256YAG8 Corp</t>
        </is>
      </c>
      <c r="C450" s="1" t="inlineStr">
        <is>
          <t>87256YAG8</t>
        </is>
      </c>
      <c r="D450" t="inlineStr">
        <is>
          <t>TKC Holdings Inc 12% 02/15/203</t>
        </is>
      </c>
      <c r="E450">
        <f>BDP($B450,"LEGAL_ENTITY_IDENTIFIER")</f>
        <v/>
      </c>
      <c r="F450" t="inlineStr">
        <is>
          <t>TKC Holdings Inc 12% 02/15/2031</t>
        </is>
      </c>
      <c r="G450">
        <f>custodian!D450</f>
        <v/>
      </c>
      <c r="H450">
        <f>BDP($B450,"ID_ISIN")</f>
        <v/>
      </c>
      <c r="I450" s="1" t="inlineStr"/>
      <c r="J450">
        <f>BDP($B450,"CNTRY_OF_DOMICILE")</f>
        <v/>
      </c>
      <c r="K450" t="inlineStr">
        <is>
          <t>DBT</t>
        </is>
      </c>
      <c r="L450" t="inlineStr">
        <is>
          <t>CORP</t>
        </is>
      </c>
      <c r="M450" t="inlineStr"/>
      <c r="N450" t="inlineStr"/>
      <c r="O450" s="1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s="1" t="inlineStr"/>
      <c r="AR450" s="1" t="inlineStr"/>
      <c r="AS450" s="1" t="inlineStr"/>
      <c r="AT450">
        <f>TEXT(BDP($B450,"MATURITY"),"yyyy-mm-dd")</f>
        <v/>
      </c>
      <c r="AU450">
        <f>BDP($B450,"CPN_TYP")</f>
        <v/>
      </c>
      <c r="AV450">
        <f>BDP($B450,"CPN")</f>
        <v/>
      </c>
      <c r="AW450" t="inlineStr"/>
      <c r="AX450" t="inlineStr"/>
      <c r="AY450" t="inlineStr"/>
    </row>
    <row r="451">
      <c r="A451" t="inlineStr">
        <is>
          <t>CHYG</t>
        </is>
      </c>
      <c r="B451" t="inlineStr">
        <is>
          <t>87265HAF6 Corp</t>
        </is>
      </c>
      <c r="C451" s="1" t="inlineStr">
        <is>
          <t>87265HAF6</t>
        </is>
      </c>
      <c r="D451" t="inlineStr">
        <is>
          <t>Tri Pointe Homes Inc 5.25% 06/</t>
        </is>
      </c>
      <c r="E451">
        <f>BDP($B451,"LEGAL_ENTITY_IDENTIFIER")</f>
        <v/>
      </c>
      <c r="F451" t="inlineStr">
        <is>
          <t>Tri Pointe Homes Inc 5.25% 06/01/2027</t>
        </is>
      </c>
      <c r="G451">
        <f>custodian!D451</f>
        <v/>
      </c>
      <c r="H451">
        <f>BDP($B451,"ID_ISIN")</f>
        <v/>
      </c>
      <c r="I451" s="1" t="inlineStr"/>
      <c r="J451">
        <f>BDP($B451,"CNTRY_OF_DOMICILE")</f>
        <v/>
      </c>
      <c r="K451" t="inlineStr">
        <is>
          <t>DBT</t>
        </is>
      </c>
      <c r="L451" t="inlineStr">
        <is>
          <t>CORP</t>
        </is>
      </c>
      <c r="M451" t="inlineStr"/>
      <c r="N451" t="inlineStr"/>
      <c r="O451" s="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s="1" t="inlineStr"/>
      <c r="AR451" s="1" t="inlineStr"/>
      <c r="AS451" s="1" t="inlineStr"/>
      <c r="AT451">
        <f>TEXT(BDP($B451,"MATURITY"),"yyyy-mm-dd")</f>
        <v/>
      </c>
      <c r="AU451">
        <f>BDP($B451,"CPN_TYP")</f>
        <v/>
      </c>
      <c r="AV451">
        <f>BDP($B451,"CPN")</f>
        <v/>
      </c>
      <c r="AW451" t="inlineStr"/>
      <c r="AX451" t="inlineStr"/>
      <c r="AY451" t="inlineStr"/>
    </row>
    <row r="452">
      <c r="A452" t="inlineStr">
        <is>
          <t>CHYG</t>
        </is>
      </c>
      <c r="B452" t="inlineStr">
        <is>
          <t>87422VAQ1 Corp</t>
        </is>
      </c>
      <c r="C452" s="1" t="inlineStr">
        <is>
          <t>87422VAQ1</t>
        </is>
      </c>
      <c r="D452" t="inlineStr">
        <is>
          <t>Talen Energy Supply LLC 6.125%</t>
        </is>
      </c>
      <c r="E452">
        <f>BDP($B452,"LEGAL_ENTITY_IDENTIFIER")</f>
        <v/>
      </c>
      <c r="F452" t="inlineStr">
        <is>
          <t>Talen Energy Supply LLC 6.125% 05/01/2031</t>
        </is>
      </c>
      <c r="G452">
        <f>custodian!D452</f>
        <v/>
      </c>
      <c r="H452">
        <f>BDP($B452,"ID_ISIN")</f>
        <v/>
      </c>
      <c r="I452" s="1" t="inlineStr"/>
      <c r="J452">
        <f>BDP($B452,"CNTRY_OF_DOMICILE")</f>
        <v/>
      </c>
      <c r="K452" t="inlineStr">
        <is>
          <t>DBT</t>
        </is>
      </c>
      <c r="L452" t="inlineStr">
        <is>
          <t>CORP</t>
        </is>
      </c>
      <c r="M452" t="inlineStr"/>
      <c r="N452" t="inlineStr"/>
      <c r="O452" s="1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s="1" t="inlineStr"/>
      <c r="AR452" s="1" t="inlineStr"/>
      <c r="AS452" s="1" t="inlineStr"/>
      <c r="AT452">
        <f>TEXT(BDP($B452,"MATURITY"),"yyyy-mm-dd")</f>
        <v/>
      </c>
      <c r="AU452">
        <f>BDP($B452,"CPN_TYP")</f>
        <v/>
      </c>
      <c r="AV452">
        <f>BDP($B452,"CPN")</f>
        <v/>
      </c>
      <c r="AW452" t="inlineStr"/>
      <c r="AX452" t="inlineStr"/>
      <c r="AY452" t="inlineStr"/>
    </row>
    <row r="453">
      <c r="A453" t="inlineStr">
        <is>
          <t>CHYG</t>
        </is>
      </c>
      <c r="B453" t="inlineStr">
        <is>
          <t>88023UAH4 Corp</t>
        </is>
      </c>
      <c r="C453" s="1" t="inlineStr">
        <is>
          <t>88023UAH4</t>
        </is>
      </c>
      <c r="D453" t="inlineStr">
        <is>
          <t>Somnigroup International Inc 4</t>
        </is>
      </c>
      <c r="E453">
        <f>BDP($B453,"LEGAL_ENTITY_IDENTIFIER")</f>
        <v/>
      </c>
      <c r="F453" t="inlineStr">
        <is>
          <t>Somnigroup International Inc 4% 04/15/2029</t>
        </is>
      </c>
      <c r="G453">
        <f>custodian!D453</f>
        <v/>
      </c>
      <c r="H453">
        <f>BDP($B453,"ID_ISIN")</f>
        <v/>
      </c>
      <c r="I453" s="1" t="inlineStr"/>
      <c r="J453">
        <f>BDP($B453,"CNTRY_OF_DOMICILE")</f>
        <v/>
      </c>
      <c r="K453" t="inlineStr">
        <is>
          <t>DBT</t>
        </is>
      </c>
      <c r="L453" t="inlineStr">
        <is>
          <t>CORP</t>
        </is>
      </c>
      <c r="M453" t="inlineStr"/>
      <c r="N453" t="inlineStr"/>
      <c r="O453" s="1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s="1" t="inlineStr"/>
      <c r="AR453" s="1" t="inlineStr"/>
      <c r="AS453" s="1" t="inlineStr"/>
      <c r="AT453">
        <f>TEXT(BDP($B453,"MATURITY"),"yyyy-mm-dd")</f>
        <v/>
      </c>
      <c r="AU453">
        <f>BDP($B453,"CPN_TYP")</f>
        <v/>
      </c>
      <c r="AV453">
        <f>BDP($B453,"CPN")</f>
        <v/>
      </c>
      <c r="AW453" t="inlineStr"/>
      <c r="AX453" t="inlineStr"/>
      <c r="AY453" t="inlineStr"/>
    </row>
    <row r="454">
      <c r="A454" t="inlineStr">
        <is>
          <t>CHYG</t>
        </is>
      </c>
      <c r="B454" t="inlineStr">
        <is>
          <t>88033GDK3 Corp</t>
        </is>
      </c>
      <c r="C454" s="1" t="inlineStr">
        <is>
          <t>88033GDK3</t>
        </is>
      </c>
      <c r="D454" t="inlineStr">
        <is>
          <t>Tenet Healthcare Corp 6.125% 1</t>
        </is>
      </c>
      <c r="E454">
        <f>BDP($B454,"LEGAL_ENTITY_IDENTIFIER")</f>
        <v/>
      </c>
      <c r="F454" t="inlineStr">
        <is>
          <t>Tenet Healthcare Corp 6.125% 10/01/2028</t>
        </is>
      </c>
      <c r="G454">
        <f>custodian!D454</f>
        <v/>
      </c>
      <c r="H454">
        <f>BDP($B454,"ID_ISIN")</f>
        <v/>
      </c>
      <c r="I454" s="1" t="inlineStr"/>
      <c r="J454">
        <f>BDP($B454,"CNTRY_OF_DOMICILE")</f>
        <v/>
      </c>
      <c r="K454" t="inlineStr">
        <is>
          <t>DBT</t>
        </is>
      </c>
      <c r="L454" t="inlineStr">
        <is>
          <t>CORP</t>
        </is>
      </c>
      <c r="M454" t="inlineStr"/>
      <c r="N454" t="inlineStr"/>
      <c r="O454" s="1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s="1" t="inlineStr"/>
      <c r="AR454" s="1" t="inlineStr"/>
      <c r="AS454" s="1" t="inlineStr"/>
      <c r="AT454">
        <f>TEXT(BDP($B454,"MATURITY"),"yyyy-mm-dd")</f>
        <v/>
      </c>
      <c r="AU454">
        <f>BDP($B454,"CPN_TYP")</f>
        <v/>
      </c>
      <c r="AV454">
        <f>BDP($B454,"CPN")</f>
        <v/>
      </c>
      <c r="AW454" t="inlineStr"/>
      <c r="AX454" t="inlineStr"/>
      <c r="AY454" t="inlineStr"/>
    </row>
    <row r="455">
      <c r="A455" t="inlineStr">
        <is>
          <t>CHYG</t>
        </is>
      </c>
      <c r="B455" t="inlineStr">
        <is>
          <t>880349AU9 Corp</t>
        </is>
      </c>
      <c r="C455" s="1" t="inlineStr">
        <is>
          <t>880349AU9</t>
        </is>
      </c>
      <c r="D455" t="inlineStr">
        <is>
          <t>Tenneco Inc 8% 11/17/2028</t>
        </is>
      </c>
      <c r="E455">
        <f>BDP($B455,"LEGAL_ENTITY_IDENTIFIER")</f>
        <v/>
      </c>
      <c r="F455" t="inlineStr">
        <is>
          <t>Tenneco Inc 8% 11/17/2028</t>
        </is>
      </c>
      <c r="G455">
        <f>custodian!D455</f>
        <v/>
      </c>
      <c r="H455">
        <f>BDP($B455,"ID_ISIN")</f>
        <v/>
      </c>
      <c r="I455" s="1" t="inlineStr"/>
      <c r="J455">
        <f>BDP($B455,"CNTRY_OF_DOMICILE")</f>
        <v/>
      </c>
      <c r="K455" t="inlineStr">
        <is>
          <t>DBT</t>
        </is>
      </c>
      <c r="L455" t="inlineStr">
        <is>
          <t>CORP</t>
        </is>
      </c>
      <c r="M455" t="inlineStr"/>
      <c r="N455" t="inlineStr"/>
      <c r="O455" s="1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s="1" t="inlineStr"/>
      <c r="AR455" s="1" t="inlineStr"/>
      <c r="AS455" s="1" t="inlineStr"/>
      <c r="AT455">
        <f>TEXT(BDP($B455,"MATURITY"),"yyyy-mm-dd")</f>
        <v/>
      </c>
      <c r="AU455">
        <f>BDP($B455,"CPN_TYP")</f>
        <v/>
      </c>
      <c r="AV455">
        <f>BDP($B455,"CPN")</f>
        <v/>
      </c>
      <c r="AW455" t="inlineStr"/>
      <c r="AX455" t="inlineStr"/>
      <c r="AY455" t="inlineStr"/>
    </row>
    <row r="456">
      <c r="A456" t="inlineStr">
        <is>
          <t>CHYG</t>
        </is>
      </c>
      <c r="B456" t="inlineStr">
        <is>
          <t>88642RAE9 Corp</t>
        </is>
      </c>
      <c r="C456" s="1" t="inlineStr">
        <is>
          <t>88642RAE9</t>
        </is>
      </c>
      <c r="D456" t="inlineStr">
        <is>
          <t>Tidewater Inc 9.125% 07/15/203</t>
        </is>
      </c>
      <c r="E456">
        <f>BDP($B456,"LEGAL_ENTITY_IDENTIFIER")</f>
        <v/>
      </c>
      <c r="F456" t="inlineStr">
        <is>
          <t>Tidewater Inc 9.125% 07/15/2030</t>
        </is>
      </c>
      <c r="G456">
        <f>custodian!D456</f>
        <v/>
      </c>
      <c r="H456">
        <f>BDP($B456,"ID_ISIN")</f>
        <v/>
      </c>
      <c r="I456" s="1" t="inlineStr"/>
      <c r="J456">
        <f>BDP($B456,"CNTRY_OF_DOMICILE")</f>
        <v/>
      </c>
      <c r="K456" t="inlineStr">
        <is>
          <t>DBT</t>
        </is>
      </c>
      <c r="L456" t="inlineStr">
        <is>
          <t>CORP</t>
        </is>
      </c>
      <c r="M456" t="inlineStr"/>
      <c r="N456" t="inlineStr"/>
      <c r="O456" s="1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s="1" t="inlineStr"/>
      <c r="AR456" s="1" t="inlineStr"/>
      <c r="AS456" s="1" t="inlineStr"/>
      <c r="AT456">
        <f>TEXT(BDP($B456,"MATURITY"),"yyyy-mm-dd")</f>
        <v/>
      </c>
      <c r="AU456">
        <f>BDP($B456,"CPN_TYP")</f>
        <v/>
      </c>
      <c r="AV456">
        <f>BDP($B456,"CPN")</f>
        <v/>
      </c>
      <c r="AW456" t="inlineStr"/>
      <c r="AX456" t="inlineStr"/>
      <c r="AY456" t="inlineStr"/>
    </row>
    <row r="457">
      <c r="A457" t="inlineStr">
        <is>
          <t>CHYG</t>
        </is>
      </c>
      <c r="B457" t="inlineStr">
        <is>
          <t>893647BU0 Corp</t>
        </is>
      </c>
      <c r="C457" s="1" t="inlineStr">
        <is>
          <t>893647BU0</t>
        </is>
      </c>
      <c r="D457" t="inlineStr">
        <is>
          <t>TransDigm Inc 6.375% 03/01/202</t>
        </is>
      </c>
      <c r="E457">
        <f>BDP($B457,"LEGAL_ENTITY_IDENTIFIER")</f>
        <v/>
      </c>
      <c r="F457" t="inlineStr">
        <is>
          <t>TransDigm Inc 6.375% 03/01/2029</t>
        </is>
      </c>
      <c r="G457">
        <f>custodian!D457</f>
        <v/>
      </c>
      <c r="H457">
        <f>BDP($B457,"ID_ISIN")</f>
        <v/>
      </c>
      <c r="I457" s="1" t="inlineStr"/>
      <c r="J457">
        <f>BDP($B457,"CNTRY_OF_DOMICILE")</f>
        <v/>
      </c>
      <c r="K457" t="inlineStr">
        <is>
          <t>DBT</t>
        </is>
      </c>
      <c r="L457" t="inlineStr">
        <is>
          <t>CORP</t>
        </is>
      </c>
      <c r="M457" t="inlineStr"/>
      <c r="N457" t="inlineStr"/>
      <c r="O457" s="1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s="1" t="inlineStr"/>
      <c r="AR457" s="1" t="inlineStr"/>
      <c r="AS457" s="1" t="inlineStr"/>
      <c r="AT457">
        <f>TEXT(BDP($B457,"MATURITY"),"yyyy-mm-dd")</f>
        <v/>
      </c>
      <c r="AU457">
        <f>BDP($B457,"CPN_TYP")</f>
        <v/>
      </c>
      <c r="AV457">
        <f>BDP($B457,"CPN")</f>
        <v/>
      </c>
      <c r="AW457" t="inlineStr"/>
      <c r="AX457" t="inlineStr"/>
      <c r="AY457" t="inlineStr"/>
    </row>
    <row r="458">
      <c r="A458" t="inlineStr">
        <is>
          <t>CHYG</t>
        </is>
      </c>
      <c r="B458" t="inlineStr">
        <is>
          <t>893830BY4 Corp</t>
        </is>
      </c>
      <c r="C458" s="1" t="inlineStr">
        <is>
          <t>893830BY4</t>
        </is>
      </c>
      <c r="D458" t="inlineStr">
        <is>
          <t>Transocean International Ltd 8</t>
        </is>
      </c>
      <c r="E458">
        <f>BDP($B458,"LEGAL_ENTITY_IDENTIFIER")</f>
        <v/>
      </c>
      <c r="F458" t="inlineStr">
        <is>
          <t>Transocean International Ltd 8.25% 05/15/2029</t>
        </is>
      </c>
      <c r="G458">
        <f>custodian!D458</f>
        <v/>
      </c>
      <c r="H458">
        <f>BDP($B458,"ID_ISIN")</f>
        <v/>
      </c>
      <c r="I458" s="1" t="inlineStr"/>
      <c r="J458">
        <f>BDP($B458,"CNTRY_OF_DOMICILE")</f>
        <v/>
      </c>
      <c r="K458" t="inlineStr">
        <is>
          <t>DBT</t>
        </is>
      </c>
      <c r="L458" t="inlineStr">
        <is>
          <t>CORP</t>
        </is>
      </c>
      <c r="M458" t="inlineStr"/>
      <c r="N458" t="inlineStr"/>
      <c r="O458" s="1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s="1" t="inlineStr"/>
      <c r="AR458" s="1" t="inlineStr"/>
      <c r="AS458" s="1" t="inlineStr"/>
      <c r="AT458">
        <f>TEXT(BDP($B458,"MATURITY"),"yyyy-mm-dd")</f>
        <v/>
      </c>
      <c r="AU458">
        <f>BDP($B458,"CPN_TYP")</f>
        <v/>
      </c>
      <c r="AV458">
        <f>BDP($B458,"CPN")</f>
        <v/>
      </c>
      <c r="AW458" t="inlineStr"/>
      <c r="AX458" t="inlineStr"/>
      <c r="AY458" t="inlineStr"/>
    </row>
    <row r="459">
      <c r="A459" t="inlineStr">
        <is>
          <t>CHYG</t>
        </is>
      </c>
      <c r="B459" t="inlineStr">
        <is>
          <t>902104AC2 Corp</t>
        </is>
      </c>
      <c r="C459" s="1" t="inlineStr">
        <is>
          <t>902104AC2</t>
        </is>
      </c>
      <c r="D459" t="inlineStr">
        <is>
          <t>Coherent Corp 5% 12/15/2029</t>
        </is>
      </c>
      <c r="E459">
        <f>BDP($B459,"LEGAL_ENTITY_IDENTIFIER")</f>
        <v/>
      </c>
      <c r="F459" t="inlineStr">
        <is>
          <t>Coherent Corp 5% 12/15/2029</t>
        </is>
      </c>
      <c r="G459">
        <f>custodian!D459</f>
        <v/>
      </c>
      <c r="H459">
        <f>BDP($B459,"ID_ISIN")</f>
        <v/>
      </c>
      <c r="I459" s="1" t="inlineStr"/>
      <c r="J459">
        <f>BDP($B459,"CNTRY_OF_DOMICILE")</f>
        <v/>
      </c>
      <c r="K459" t="inlineStr">
        <is>
          <t>DBT</t>
        </is>
      </c>
      <c r="L459" t="inlineStr">
        <is>
          <t>CORP</t>
        </is>
      </c>
      <c r="M459" t="inlineStr"/>
      <c r="N459" t="inlineStr"/>
      <c r="O459" s="1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s="1" t="inlineStr"/>
      <c r="AR459" s="1" t="inlineStr"/>
      <c r="AS459" s="1" t="inlineStr"/>
      <c r="AT459">
        <f>TEXT(BDP($B459,"MATURITY"),"yyyy-mm-dd")</f>
        <v/>
      </c>
      <c r="AU459">
        <f>BDP($B459,"CPN_TYP")</f>
        <v/>
      </c>
      <c r="AV459">
        <f>BDP($B459,"CPN")</f>
        <v/>
      </c>
      <c r="AW459" t="inlineStr"/>
      <c r="AX459" t="inlineStr"/>
      <c r="AY459" t="inlineStr"/>
    </row>
    <row r="460">
      <c r="A460" t="inlineStr">
        <is>
          <t>CHYG</t>
        </is>
      </c>
      <c r="B460" t="inlineStr">
        <is>
          <t>90279XAA0 Corp</t>
        </is>
      </c>
      <c r="C460" s="1" t="inlineStr">
        <is>
          <t>90279XAA0</t>
        </is>
      </c>
      <c r="D460" t="inlineStr">
        <is>
          <t>UKG Inc 6.875% 02/01/2031</t>
        </is>
      </c>
      <c r="E460">
        <f>BDP($B460,"LEGAL_ENTITY_IDENTIFIER")</f>
        <v/>
      </c>
      <c r="F460" t="inlineStr">
        <is>
          <t>UKG Inc 6.875% 02/01/2031</t>
        </is>
      </c>
      <c r="G460">
        <f>custodian!D460</f>
        <v/>
      </c>
      <c r="H460">
        <f>BDP($B460,"ID_ISIN")</f>
        <v/>
      </c>
      <c r="I460" s="1" t="inlineStr"/>
      <c r="J460">
        <f>BDP($B460,"CNTRY_OF_DOMICILE")</f>
        <v/>
      </c>
      <c r="K460" t="inlineStr">
        <is>
          <t>DBT</t>
        </is>
      </c>
      <c r="L460" t="inlineStr">
        <is>
          <t>CORP</t>
        </is>
      </c>
      <c r="M460" t="inlineStr"/>
      <c r="N460" t="inlineStr"/>
      <c r="O460" s="1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s="1" t="inlineStr"/>
      <c r="AR460" s="1" t="inlineStr"/>
      <c r="AS460" s="1" t="inlineStr"/>
      <c r="AT460">
        <f>TEXT(BDP($B460,"MATURITY"),"yyyy-mm-dd")</f>
        <v/>
      </c>
      <c r="AU460">
        <f>BDP($B460,"CPN_TYP")</f>
        <v/>
      </c>
      <c r="AV460">
        <f>BDP($B460,"CPN")</f>
        <v/>
      </c>
      <c r="AW460" t="inlineStr"/>
      <c r="AX460" t="inlineStr"/>
      <c r="AY460" t="inlineStr"/>
    </row>
    <row r="461">
      <c r="A461" t="inlineStr">
        <is>
          <t>CHYG</t>
        </is>
      </c>
      <c r="B461" t="inlineStr">
        <is>
          <t>910047AM1 Corp</t>
        </is>
      </c>
      <c r="C461" s="1" t="inlineStr">
        <is>
          <t>910047AM1</t>
        </is>
      </c>
      <c r="D461" t="inlineStr">
        <is>
          <t>United Airlines Holdings Inc 4</t>
        </is>
      </c>
      <c r="E461">
        <f>BDP($B461,"LEGAL_ENTITY_IDENTIFIER")</f>
        <v/>
      </c>
      <c r="F461" t="inlineStr">
        <is>
          <t>United Airlines Holdings Inc 4.875% 03/01/2029</t>
        </is>
      </c>
      <c r="G461">
        <f>custodian!D461</f>
        <v/>
      </c>
      <c r="H461">
        <f>BDP($B461,"ID_ISIN")</f>
        <v/>
      </c>
      <c r="I461" s="1" t="inlineStr"/>
      <c r="J461">
        <f>BDP($B461,"CNTRY_OF_DOMICILE")</f>
        <v/>
      </c>
      <c r="K461" t="inlineStr">
        <is>
          <t>DBT</t>
        </is>
      </c>
      <c r="L461" t="inlineStr">
        <is>
          <t>CORP</t>
        </is>
      </c>
      <c r="M461" t="inlineStr"/>
      <c r="N461" t="inlineStr"/>
      <c r="O461" s="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s="1" t="inlineStr"/>
      <c r="AR461" s="1" t="inlineStr"/>
      <c r="AS461" s="1" t="inlineStr"/>
      <c r="AT461">
        <f>TEXT(BDP($B461,"MATURITY"),"yyyy-mm-dd")</f>
        <v/>
      </c>
      <c r="AU461">
        <f>BDP($B461,"CPN_TYP")</f>
        <v/>
      </c>
      <c r="AV461">
        <f>BDP($B461,"CPN")</f>
        <v/>
      </c>
      <c r="AW461" t="inlineStr"/>
      <c r="AX461" t="inlineStr"/>
      <c r="AY461" t="inlineStr"/>
    </row>
    <row r="462">
      <c r="A462" t="inlineStr">
        <is>
          <t>CHYG</t>
        </is>
      </c>
      <c r="B462" t="inlineStr">
        <is>
          <t>914906AX0 Corp</t>
        </is>
      </c>
      <c r="C462" s="1" t="inlineStr">
        <is>
          <t>914906AX0</t>
        </is>
      </c>
      <c r="D462" t="inlineStr">
        <is>
          <t>Univision Communications Inc 7</t>
        </is>
      </c>
      <c r="E462">
        <f>BDP($B462,"LEGAL_ENTITY_IDENTIFIER")</f>
        <v/>
      </c>
      <c r="F462" t="inlineStr">
        <is>
          <t>Univision Communications Inc 7.375% 06/30/2030</t>
        </is>
      </c>
      <c r="G462">
        <f>custodian!D462</f>
        <v/>
      </c>
      <c r="H462">
        <f>BDP($B462,"ID_ISIN")</f>
        <v/>
      </c>
      <c r="I462" s="1" t="inlineStr"/>
      <c r="J462">
        <f>BDP($B462,"CNTRY_OF_DOMICILE")</f>
        <v/>
      </c>
      <c r="K462" t="inlineStr">
        <is>
          <t>DBT</t>
        </is>
      </c>
      <c r="L462" t="inlineStr">
        <is>
          <t>CORP</t>
        </is>
      </c>
      <c r="M462" t="inlineStr"/>
      <c r="N462" t="inlineStr"/>
      <c r="O462" s="1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s="1" t="inlineStr"/>
      <c r="AR462" s="1" t="inlineStr"/>
      <c r="AS462" s="1" t="inlineStr"/>
      <c r="AT462">
        <f>TEXT(BDP($B462,"MATURITY"),"yyyy-mm-dd")</f>
        <v/>
      </c>
      <c r="AU462">
        <f>BDP($B462,"CPN_TYP")</f>
        <v/>
      </c>
      <c r="AV462">
        <f>BDP($B462,"CPN")</f>
        <v/>
      </c>
      <c r="AW462" t="inlineStr"/>
      <c r="AX462" t="inlineStr"/>
      <c r="AY462" t="inlineStr"/>
    </row>
    <row r="463">
      <c r="A463" t="inlineStr">
        <is>
          <t>CHYG</t>
        </is>
      </c>
      <c r="B463" t="inlineStr">
        <is>
          <t>918204BC1 Corp</t>
        </is>
      </c>
      <c r="C463" s="1" t="inlineStr">
        <is>
          <t>918204BC1</t>
        </is>
      </c>
      <c r="D463" t="inlineStr">
        <is>
          <t>VF Corp 2.95% 04/23/2030</t>
        </is>
      </c>
      <c r="E463">
        <f>BDP($B463,"LEGAL_ENTITY_IDENTIFIER")</f>
        <v/>
      </c>
      <c r="F463" t="inlineStr">
        <is>
          <t>VF Corp 2.95% 04/23/2030</t>
        </is>
      </c>
      <c r="G463">
        <f>custodian!D463</f>
        <v/>
      </c>
      <c r="H463">
        <f>BDP($B463,"ID_ISIN")</f>
        <v/>
      </c>
      <c r="I463" s="1" t="inlineStr"/>
      <c r="J463">
        <f>BDP($B463,"CNTRY_OF_DOMICILE")</f>
        <v/>
      </c>
      <c r="K463" t="inlineStr">
        <is>
          <t>DBT</t>
        </is>
      </c>
      <c r="L463" t="inlineStr">
        <is>
          <t>CORP</t>
        </is>
      </c>
      <c r="M463" t="inlineStr"/>
      <c r="N463" t="inlineStr"/>
      <c r="O463" s="1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s="1" t="inlineStr"/>
      <c r="AR463" s="1" t="inlineStr"/>
      <c r="AS463" s="1" t="inlineStr"/>
      <c r="AT463">
        <f>TEXT(BDP($B463,"MATURITY"),"yyyy-mm-dd")</f>
        <v/>
      </c>
      <c r="AU463">
        <f>BDP($B463,"CPN_TYP")</f>
        <v/>
      </c>
      <c r="AV463">
        <f>BDP($B463,"CPN")</f>
        <v/>
      </c>
      <c r="AW463" t="inlineStr"/>
      <c r="AX463" t="inlineStr"/>
      <c r="AY463" t="inlineStr"/>
    </row>
    <row r="464">
      <c r="A464" t="inlineStr">
        <is>
          <t>CHYG</t>
        </is>
      </c>
      <c r="B464" t="inlineStr">
        <is>
          <t>91911XAW4 Corp</t>
        </is>
      </c>
      <c r="C464" s="1" t="inlineStr">
        <is>
          <t>91911XAW4</t>
        </is>
      </c>
      <c r="D464" t="inlineStr">
        <is>
          <t>Bausch Health Americas Inc 8.5</t>
        </is>
      </c>
      <c r="E464">
        <f>BDP($B464,"LEGAL_ENTITY_IDENTIFIER")</f>
        <v/>
      </c>
      <c r="F464" t="inlineStr">
        <is>
          <t>Bausch Health Americas Inc 8.5% 01/31/2027</t>
        </is>
      </c>
      <c r="G464">
        <f>custodian!D464</f>
        <v/>
      </c>
      <c r="H464">
        <f>BDP($B464,"ID_ISIN")</f>
        <v/>
      </c>
      <c r="I464" s="1" t="inlineStr"/>
      <c r="J464">
        <f>BDP($B464,"CNTRY_OF_DOMICILE")</f>
        <v/>
      </c>
      <c r="K464" t="inlineStr">
        <is>
          <t>DBT</t>
        </is>
      </c>
      <c r="L464" t="inlineStr">
        <is>
          <t>CORP</t>
        </is>
      </c>
      <c r="M464" t="inlineStr"/>
      <c r="N464" t="inlineStr"/>
      <c r="O464" s="1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s="1" t="inlineStr"/>
      <c r="AR464" s="1" t="inlineStr"/>
      <c r="AS464" s="1" t="inlineStr"/>
      <c r="AT464">
        <f>TEXT(BDP($B464,"MATURITY"),"yyyy-mm-dd")</f>
        <v/>
      </c>
      <c r="AU464">
        <f>BDP($B464,"CPN_TYP")</f>
        <v/>
      </c>
      <c r="AV464">
        <f>BDP($B464,"CPN")</f>
        <v/>
      </c>
      <c r="AW464" t="inlineStr"/>
      <c r="AX464" t="inlineStr"/>
      <c r="AY464" t="inlineStr"/>
    </row>
    <row r="465">
      <c r="A465" t="inlineStr">
        <is>
          <t>CHYG</t>
        </is>
      </c>
      <c r="B465" t="inlineStr">
        <is>
          <t>922966AE6 Corp</t>
        </is>
      </c>
      <c r="C465" s="1" t="inlineStr">
        <is>
          <t>922966AE6</t>
        </is>
      </c>
      <c r="D465" t="inlineStr">
        <is>
          <t>Venture Global Plaquemines LNG</t>
        </is>
      </c>
      <c r="E465">
        <f>BDP($B465,"LEGAL_ENTITY_IDENTIFIER")</f>
        <v/>
      </c>
      <c r="F465" t="inlineStr">
        <is>
          <t>Venture Global Plaquemines LNG LLC 6.125% 12/15/2030</t>
        </is>
      </c>
      <c r="G465">
        <f>custodian!D465</f>
        <v/>
      </c>
      <c r="H465">
        <f>BDP($B465,"ID_ISIN")</f>
        <v/>
      </c>
      <c r="I465" s="1" t="inlineStr"/>
      <c r="J465">
        <f>BDP($B465,"CNTRY_OF_DOMICILE")</f>
        <v/>
      </c>
      <c r="K465" t="inlineStr">
        <is>
          <t>DBT</t>
        </is>
      </c>
      <c r="L465" t="inlineStr">
        <is>
          <t>CORP</t>
        </is>
      </c>
      <c r="M465" t="inlineStr"/>
      <c r="N465" t="inlineStr"/>
      <c r="O465" s="1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s="1" t="inlineStr"/>
      <c r="AR465" s="1" t="inlineStr"/>
      <c r="AS465" s="1" t="inlineStr"/>
      <c r="AT465">
        <f>TEXT(BDP($B465,"MATURITY"),"yyyy-mm-dd")</f>
        <v/>
      </c>
      <c r="AU465">
        <f>BDP($B465,"CPN_TYP")</f>
        <v/>
      </c>
      <c r="AV465">
        <f>BDP($B465,"CPN")</f>
        <v/>
      </c>
      <c r="AW465" t="inlineStr"/>
      <c r="AX465" t="inlineStr"/>
      <c r="AY465" t="inlineStr"/>
    </row>
    <row r="466">
      <c r="A466" t="inlineStr">
        <is>
          <t>CHYG</t>
        </is>
      </c>
      <c r="B466" t="inlineStr">
        <is>
          <t>92769VAJ8 Corp</t>
        </is>
      </c>
      <c r="C466" s="1" t="inlineStr">
        <is>
          <t>92769VAJ8</t>
        </is>
      </c>
      <c r="D466" t="inlineStr">
        <is>
          <t>Virgin Media Finance PLC 5% 07</t>
        </is>
      </c>
      <c r="E466">
        <f>BDP($B466,"LEGAL_ENTITY_IDENTIFIER")</f>
        <v/>
      </c>
      <c r="F466" t="inlineStr">
        <is>
          <t>Virgin Media Finance PLC 5% 07/15/2030</t>
        </is>
      </c>
      <c r="G466">
        <f>custodian!D466</f>
        <v/>
      </c>
      <c r="H466">
        <f>BDP($B466,"ID_ISIN")</f>
        <v/>
      </c>
      <c r="I466" s="1" t="inlineStr"/>
      <c r="J466">
        <f>BDP($B466,"CNTRY_OF_DOMICILE")</f>
        <v/>
      </c>
      <c r="K466" t="inlineStr">
        <is>
          <t>DBT</t>
        </is>
      </c>
      <c r="L466" t="inlineStr">
        <is>
          <t>CORP</t>
        </is>
      </c>
      <c r="M466" t="inlineStr"/>
      <c r="N466" t="inlineStr"/>
      <c r="O466" s="1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s="1" t="inlineStr"/>
      <c r="AR466" s="1" t="inlineStr"/>
      <c r="AS466" s="1" t="inlineStr"/>
      <c r="AT466">
        <f>TEXT(BDP($B466,"MATURITY"),"yyyy-mm-dd")</f>
        <v/>
      </c>
      <c r="AU466">
        <f>BDP($B466,"CPN_TYP")</f>
        <v/>
      </c>
      <c r="AV466">
        <f>BDP($B466,"CPN")</f>
        <v/>
      </c>
      <c r="AW466" t="inlineStr"/>
      <c r="AX466" t="inlineStr"/>
      <c r="AY466" t="inlineStr"/>
    </row>
    <row r="467">
      <c r="A467" t="inlineStr">
        <is>
          <t>CHYG</t>
        </is>
      </c>
      <c r="B467" t="inlineStr">
        <is>
          <t>92840JAB5 Corp</t>
        </is>
      </c>
      <c r="C467" s="1" t="inlineStr">
        <is>
          <t>92840JAB5</t>
        </is>
      </c>
      <c r="D467" t="inlineStr">
        <is>
          <t>VistaJet Malta Finance PLC / V</t>
        </is>
      </c>
      <c r="E467">
        <f>BDP($B467,"LEGAL_ENTITY_IDENTIFIER")</f>
        <v/>
      </c>
      <c r="F467" t="inlineStr">
        <is>
          <t>VistaJet Malta Finance PLC / Vista Management Holding Inc 6.375% 02/01/2030</t>
        </is>
      </c>
      <c r="G467">
        <f>custodian!D467</f>
        <v/>
      </c>
      <c r="H467">
        <f>BDP($B467,"ID_ISIN")</f>
        <v/>
      </c>
      <c r="I467" s="1" t="inlineStr"/>
      <c r="J467">
        <f>BDP($B467,"CNTRY_OF_DOMICILE")</f>
        <v/>
      </c>
      <c r="K467" t="inlineStr">
        <is>
          <t>DBT</t>
        </is>
      </c>
      <c r="L467" t="inlineStr">
        <is>
          <t>CORP</t>
        </is>
      </c>
      <c r="M467" t="inlineStr"/>
      <c r="N467" t="inlineStr"/>
      <c r="O467" s="1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s="1" t="inlineStr"/>
      <c r="AR467" s="1" t="inlineStr"/>
      <c r="AS467" s="1" t="inlineStr"/>
      <c r="AT467">
        <f>TEXT(BDP($B467,"MATURITY"),"yyyy-mm-dd")</f>
        <v/>
      </c>
      <c r="AU467">
        <f>BDP($B467,"CPN_TYP")</f>
        <v/>
      </c>
      <c r="AV467">
        <f>BDP($B467,"CPN")</f>
        <v/>
      </c>
      <c r="AW467" t="inlineStr"/>
      <c r="AX467" t="inlineStr"/>
      <c r="AY467" t="inlineStr"/>
    </row>
    <row r="468">
      <c r="A468" t="inlineStr">
        <is>
          <t>CHYG</t>
        </is>
      </c>
      <c r="B468" t="inlineStr">
        <is>
          <t>92874BAA3 Corp</t>
        </is>
      </c>
      <c r="C468" s="1" t="inlineStr">
        <is>
          <t>92874BAA3</t>
        </is>
      </c>
      <c r="D468" t="inlineStr">
        <is>
          <t>VoltaGrid LLC 7.375% 11/01/203</t>
        </is>
      </c>
      <c r="E468">
        <f>BDP($B468,"LEGAL_ENTITY_IDENTIFIER")</f>
        <v/>
      </c>
      <c r="F468" t="inlineStr">
        <is>
          <t>VoltaGrid LLC 7.375% 11/01/2030</t>
        </is>
      </c>
      <c r="G468">
        <f>custodian!D468</f>
        <v/>
      </c>
      <c r="H468">
        <f>BDP($B468,"ID_ISIN")</f>
        <v/>
      </c>
      <c r="I468" s="1" t="inlineStr"/>
      <c r="J468">
        <f>BDP($B468,"CNTRY_OF_DOMICILE")</f>
        <v/>
      </c>
      <c r="K468" t="inlineStr">
        <is>
          <t>DBT</t>
        </is>
      </c>
      <c r="L468" t="inlineStr">
        <is>
          <t>CORP</t>
        </is>
      </c>
      <c r="M468" t="inlineStr"/>
      <c r="N468" t="inlineStr"/>
      <c r="O468" s="1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s="1" t="inlineStr"/>
      <c r="AR468" s="1" t="inlineStr"/>
      <c r="AS468" s="1" t="inlineStr"/>
      <c r="AT468">
        <f>TEXT(BDP($B468,"MATURITY"),"yyyy-mm-dd")</f>
        <v/>
      </c>
      <c r="AU468">
        <f>BDP($B468,"CPN_TYP")</f>
        <v/>
      </c>
      <c r="AV468">
        <f>BDP($B468,"CPN")</f>
        <v/>
      </c>
      <c r="AW468" t="inlineStr"/>
      <c r="AX468" t="inlineStr"/>
      <c r="AY468" t="inlineStr"/>
    </row>
    <row r="469">
      <c r="A469" t="inlineStr">
        <is>
          <t>CHYG</t>
        </is>
      </c>
      <c r="B469" t="inlineStr">
        <is>
          <t>982911AA7 Corp</t>
        </is>
      </c>
      <c r="C469" s="1" t="inlineStr">
        <is>
          <t>982911AA7</t>
        </is>
      </c>
      <c r="D469" t="inlineStr">
        <is>
          <t>WULF Compute LLC 7.75% 10/15/2</t>
        </is>
      </c>
      <c r="E469">
        <f>BDP($B469,"LEGAL_ENTITY_IDENTIFIER")</f>
        <v/>
      </c>
      <c r="F469" t="inlineStr">
        <is>
          <t>WULF Compute LLC 7.75% 10/15/2030</t>
        </is>
      </c>
      <c r="G469">
        <f>custodian!D469</f>
        <v/>
      </c>
      <c r="H469">
        <f>BDP($B469,"ID_ISIN")</f>
        <v/>
      </c>
      <c r="I469" s="1" t="inlineStr"/>
      <c r="J469">
        <f>BDP($B469,"CNTRY_OF_DOMICILE")</f>
        <v/>
      </c>
      <c r="K469" t="inlineStr">
        <is>
          <t>DBT</t>
        </is>
      </c>
      <c r="L469" t="inlineStr">
        <is>
          <t>CORP</t>
        </is>
      </c>
      <c r="M469" t="inlineStr"/>
      <c r="N469" t="inlineStr"/>
      <c r="O469" s="1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s="1" t="inlineStr"/>
      <c r="AR469" s="1" t="inlineStr"/>
      <c r="AS469" s="1" t="inlineStr"/>
      <c r="AT469">
        <f>TEXT(BDP($B469,"MATURITY"),"yyyy-mm-dd")</f>
        <v/>
      </c>
      <c r="AU469">
        <f>BDP($B469,"CPN_TYP")</f>
        <v/>
      </c>
      <c r="AV469">
        <f>BDP($B469,"CPN")</f>
        <v/>
      </c>
      <c r="AW469" t="inlineStr"/>
      <c r="AX469" t="inlineStr"/>
      <c r="AY469" t="inlineStr"/>
    </row>
    <row r="470">
      <c r="A470" t="inlineStr">
        <is>
          <t>CHYG</t>
        </is>
      </c>
      <c r="B470" t="inlineStr">
        <is>
          <t>983133AC3 Corp</t>
        </is>
      </c>
      <c r="C470" s="1" t="inlineStr">
        <is>
          <t>983133AC3</t>
        </is>
      </c>
      <c r="D470" t="inlineStr">
        <is>
          <t>Wynn Resorts Finance LLC / Wyn</t>
        </is>
      </c>
      <c r="E470">
        <f>BDP($B470,"LEGAL_ENTITY_IDENTIFIER")</f>
        <v/>
      </c>
      <c r="F470" t="inlineStr">
        <is>
          <t>Wynn Resorts Finance LLC / Wynn Resorts Capital Corp 7.125% 02/15/2031</t>
        </is>
      </c>
      <c r="G470">
        <f>custodian!D470</f>
        <v/>
      </c>
      <c r="H470">
        <f>BDP($B470,"ID_ISIN")</f>
        <v/>
      </c>
      <c r="I470" s="1" t="inlineStr"/>
      <c r="J470">
        <f>BDP($B470,"CNTRY_OF_DOMICILE")</f>
        <v/>
      </c>
      <c r="K470" t="inlineStr">
        <is>
          <t>DBT</t>
        </is>
      </c>
      <c r="L470" t="inlineStr">
        <is>
          <t>CORP</t>
        </is>
      </c>
      <c r="M470" t="inlineStr"/>
      <c r="N470" t="inlineStr"/>
      <c r="O470" s="1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s="1" t="inlineStr"/>
      <c r="AR470" s="1" t="inlineStr"/>
      <c r="AS470" s="1" t="inlineStr"/>
      <c r="AT470">
        <f>TEXT(BDP($B470,"MATURITY"),"yyyy-mm-dd")</f>
        <v/>
      </c>
      <c r="AU470">
        <f>BDP($B470,"CPN_TYP")</f>
        <v/>
      </c>
      <c r="AV470">
        <f>BDP($B470,"CPN")</f>
        <v/>
      </c>
      <c r="AW470" t="inlineStr"/>
      <c r="AX470" t="inlineStr"/>
      <c r="AY470" t="inlineStr"/>
    </row>
    <row r="471">
      <c r="A471" t="inlineStr">
        <is>
          <t>CHYG</t>
        </is>
      </c>
      <c r="B471" t="inlineStr">
        <is>
          <t>FGXXX US Equity</t>
        </is>
      </c>
      <c r="C471" s="1" t="inlineStr">
        <is>
          <t>FGXXX</t>
        </is>
      </c>
      <c r="D471" t="inlineStr">
        <is>
          <t>First American Government Obli</t>
        </is>
      </c>
      <c r="E471">
        <f>BDP($B471,"LEGAL_ENTITY_IDENTIFIER")</f>
        <v/>
      </c>
      <c r="F471" t="inlineStr">
        <is>
          <t>First American Government Obligations Fund</t>
        </is>
      </c>
      <c r="G471">
        <f>custodian!D471</f>
        <v/>
      </c>
      <c r="H471">
        <f>BDP($B471,"ID_ISIN")</f>
        <v/>
      </c>
      <c r="I471" s="1" t="inlineStr">
        <is>
          <t>FGXXX</t>
        </is>
      </c>
      <c r="J471">
        <f>BDP($B471,"CNTRY_OF_DOMICILE")</f>
        <v/>
      </c>
      <c r="K471" t="inlineStr">
        <is>
          <t>STIV</t>
        </is>
      </c>
      <c r="L471" t="inlineStr">
        <is>
          <t>RF</t>
        </is>
      </c>
      <c r="M471" t="inlineStr"/>
      <c r="N471" t="inlineStr"/>
      <c r="O471" s="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s="1" t="inlineStr"/>
      <c r="AR471" s="1" t="inlineStr"/>
      <c r="AS471" s="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CHYG</t>
        </is>
      </c>
      <c r="B472" t="inlineStr"/>
      <c r="C472" s="1" t="inlineStr">
        <is>
          <t>Cash&amp;Other</t>
        </is>
      </c>
      <c r="D472" t="inlineStr"/>
      <c r="E472" s="1" t="inlineStr"/>
      <c r="F472" t="inlineStr"/>
      <c r="G472">
        <f>custodian!D472</f>
        <v/>
      </c>
      <c r="H472" s="1" t="inlineStr"/>
      <c r="I472" s="1" t="inlineStr"/>
      <c r="J472" t="inlineStr"/>
      <c r="K472" t="inlineStr"/>
      <c r="L472" t="inlineStr"/>
      <c r="M472" t="inlineStr"/>
      <c r="N472" t="inlineStr"/>
      <c r="O472" s="1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s="1" t="inlineStr"/>
      <c r="AR472" s="1" t="inlineStr"/>
      <c r="AS472" s="1" t="inlineStr"/>
      <c r="AT472" t="inlineStr"/>
      <c r="AU472" t="inlineStr"/>
      <c r="AV472" t="inlineStr"/>
      <c r="AW472" t="inlineStr"/>
      <c r="AX472" t="inlineStr"/>
      <c r="AY472" t="inlineStr"/>
    </row>
    <row r="473">
      <c r="A473" t="inlineStr">
        <is>
          <t>CIEI</t>
        </is>
      </c>
      <c r="B473" t="inlineStr">
        <is>
          <t>912810FM5 Govt</t>
        </is>
      </c>
      <c r="C473" s="1" t="inlineStr">
        <is>
          <t>912810FM5</t>
        </is>
      </c>
      <c r="D473" t="inlineStr">
        <is>
          <t>United States Treasury Note/Bo</t>
        </is>
      </c>
      <c r="E473">
        <f>BDP($B473,"LEGAL_ENTITY_IDENTIFIER")</f>
        <v/>
      </c>
      <c r="F473" t="inlineStr">
        <is>
          <t>United States Treasury Note/Bond 6.25% 05/15/2030</t>
        </is>
      </c>
      <c r="G473">
        <f>custodian!D473</f>
        <v/>
      </c>
      <c r="H473">
        <f>BDP($B473,"ID_ISIN")</f>
        <v/>
      </c>
      <c r="I473" s="1" t="inlineStr"/>
      <c r="J473">
        <f>BDP($B473,"CNTRY_OF_DOMICILE")</f>
        <v/>
      </c>
      <c r="K473" t="inlineStr">
        <is>
          <t>DBT</t>
        </is>
      </c>
      <c r="L473" t="inlineStr">
        <is>
          <t>UST</t>
        </is>
      </c>
      <c r="M473" t="inlineStr"/>
      <c r="N473" t="inlineStr"/>
      <c r="O473" s="1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s="1" t="inlineStr"/>
      <c r="AR473" s="1" t="inlineStr"/>
      <c r="AS473" s="1" t="inlineStr"/>
      <c r="AT473">
        <f>TEXT(BDP($B473,"MATURITY"),"yyyy-mm-dd")</f>
        <v/>
      </c>
      <c r="AU473">
        <f>BDP($B473,"CPN_TYP")</f>
        <v/>
      </c>
      <c r="AV473">
        <f>BDP($B473,"CPN")</f>
        <v/>
      </c>
      <c r="AW473" t="inlineStr"/>
      <c r="AX473" t="inlineStr"/>
      <c r="AY473" t="inlineStr"/>
    </row>
    <row r="474">
      <c r="A474" t="inlineStr">
        <is>
          <t>CIEI</t>
        </is>
      </c>
      <c r="B474" t="inlineStr">
        <is>
          <t>912810FP8 Govt</t>
        </is>
      </c>
      <c r="C474" s="1" t="inlineStr">
        <is>
          <t>912810FP8</t>
        </is>
      </c>
      <c r="D474" t="inlineStr">
        <is>
          <t>United States Treasury Note/Bo</t>
        </is>
      </c>
      <c r="E474">
        <f>BDP($B474,"LEGAL_ENTITY_IDENTIFIER")</f>
        <v/>
      </c>
      <c r="F474" t="inlineStr">
        <is>
          <t>United States Treasury Note/Bond 5.375% 02/15/2031</t>
        </is>
      </c>
      <c r="G474">
        <f>custodian!D474</f>
        <v/>
      </c>
      <c r="H474">
        <f>BDP($B474,"ID_ISIN")</f>
        <v/>
      </c>
      <c r="I474" s="1" t="inlineStr"/>
      <c r="J474">
        <f>BDP($B474,"CNTRY_OF_DOMICILE")</f>
        <v/>
      </c>
      <c r="K474" t="inlineStr">
        <is>
          <t>DBT</t>
        </is>
      </c>
      <c r="L474" t="inlineStr">
        <is>
          <t>UST</t>
        </is>
      </c>
      <c r="M474" t="inlineStr"/>
      <c r="N474" t="inlineStr"/>
      <c r="O474" s="1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s="1" t="inlineStr"/>
      <c r="AR474" s="1" t="inlineStr"/>
      <c r="AS474" s="1" t="inlineStr"/>
      <c r="AT474">
        <f>TEXT(BDP($B474,"MATURITY"),"yyyy-mm-dd")</f>
        <v/>
      </c>
      <c r="AU474">
        <f>BDP($B474,"CPN_TYP")</f>
        <v/>
      </c>
      <c r="AV474">
        <f>BDP($B474,"CPN")</f>
        <v/>
      </c>
      <c r="AW474" t="inlineStr"/>
      <c r="AX474" t="inlineStr"/>
      <c r="AY474" t="inlineStr"/>
    </row>
    <row r="475">
      <c r="A475" t="inlineStr">
        <is>
          <t>CIEI</t>
        </is>
      </c>
      <c r="B475" t="inlineStr">
        <is>
          <t>912828YB0 Govt</t>
        </is>
      </c>
      <c r="C475" s="1" t="inlineStr">
        <is>
          <t>912828YB0</t>
        </is>
      </c>
      <c r="D475" t="inlineStr">
        <is>
          <t>United States Treasury Note/Bo</t>
        </is>
      </c>
      <c r="E475">
        <f>BDP($B475,"LEGAL_ENTITY_IDENTIFIER")</f>
        <v/>
      </c>
      <c r="F475" t="inlineStr">
        <is>
          <t>United States Treasury Note/Bond 1.625% 08/15/2029</t>
        </is>
      </c>
      <c r="G475">
        <f>custodian!D475</f>
        <v/>
      </c>
      <c r="H475">
        <f>BDP($B475,"ID_ISIN")</f>
        <v/>
      </c>
      <c r="I475" s="1" t="inlineStr"/>
      <c r="J475">
        <f>BDP($B475,"CNTRY_OF_DOMICILE")</f>
        <v/>
      </c>
      <c r="K475" t="inlineStr">
        <is>
          <t>DBT</t>
        </is>
      </c>
      <c r="L475" t="inlineStr">
        <is>
          <t>UST</t>
        </is>
      </c>
      <c r="M475" t="inlineStr"/>
      <c r="N475" t="inlineStr"/>
      <c r="O475" s="1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s="1" t="inlineStr"/>
      <c r="AR475" s="1" t="inlineStr"/>
      <c r="AS475" s="1" t="inlineStr"/>
      <c r="AT475">
        <f>TEXT(BDP($B475,"MATURITY"),"yyyy-mm-dd")</f>
        <v/>
      </c>
      <c r="AU475">
        <f>BDP($B475,"CPN_TYP")</f>
        <v/>
      </c>
      <c r="AV475">
        <f>BDP($B475,"CPN")</f>
        <v/>
      </c>
      <c r="AW475" t="inlineStr"/>
      <c r="AX475" t="inlineStr"/>
      <c r="AY475" t="inlineStr"/>
    </row>
    <row r="476">
      <c r="A476" t="inlineStr">
        <is>
          <t>CIEI</t>
        </is>
      </c>
      <c r="B476" t="inlineStr">
        <is>
          <t>912828YS3 Govt</t>
        </is>
      </c>
      <c r="C476" s="1" t="inlineStr">
        <is>
          <t>912828YS3</t>
        </is>
      </c>
      <c r="D476" t="inlineStr">
        <is>
          <t>United States Treasury Note/Bo</t>
        </is>
      </c>
      <c r="E476">
        <f>BDP($B476,"LEGAL_ENTITY_IDENTIFIER")</f>
        <v/>
      </c>
      <c r="F476" t="inlineStr">
        <is>
          <t>United States Treasury Note/Bond 1.75% 11/15/2029</t>
        </is>
      </c>
      <c r="G476">
        <f>custodian!D476</f>
        <v/>
      </c>
      <c r="H476">
        <f>BDP($B476,"ID_ISIN")</f>
        <v/>
      </c>
      <c r="I476" s="1" t="inlineStr"/>
      <c r="J476">
        <f>BDP($B476,"CNTRY_OF_DOMICILE")</f>
        <v/>
      </c>
      <c r="K476" t="inlineStr">
        <is>
          <t>DBT</t>
        </is>
      </c>
      <c r="L476" t="inlineStr">
        <is>
          <t>UST</t>
        </is>
      </c>
      <c r="M476" t="inlineStr"/>
      <c r="N476" t="inlineStr"/>
      <c r="O476" s="1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s="1" t="inlineStr"/>
      <c r="AR476" s="1" t="inlineStr"/>
      <c r="AS476" s="1" t="inlineStr"/>
      <c r="AT476">
        <f>TEXT(BDP($B476,"MATURITY"),"yyyy-mm-dd")</f>
        <v/>
      </c>
      <c r="AU476">
        <f>BDP($B476,"CPN_TYP")</f>
        <v/>
      </c>
      <c r="AV476">
        <f>BDP($B476,"CPN")</f>
        <v/>
      </c>
      <c r="AW476" t="inlineStr"/>
      <c r="AX476" t="inlineStr"/>
      <c r="AY476" t="inlineStr"/>
    </row>
    <row r="477">
      <c r="A477" t="inlineStr">
        <is>
          <t>CIEI</t>
        </is>
      </c>
      <c r="B477" t="inlineStr">
        <is>
          <t>912828Z94 Govt</t>
        </is>
      </c>
      <c r="C477" s="1" t="inlineStr">
        <is>
          <t>912828Z94</t>
        </is>
      </c>
      <c r="D477" t="inlineStr">
        <is>
          <t>United States Treasury Note/Bo</t>
        </is>
      </c>
      <c r="E477">
        <f>BDP($B477,"LEGAL_ENTITY_IDENTIFIER")</f>
        <v/>
      </c>
      <c r="F477" t="inlineStr">
        <is>
          <t>United States Treasury Note/Bond 1.5% 02/15/2030</t>
        </is>
      </c>
      <c r="G477">
        <f>custodian!D477</f>
        <v/>
      </c>
      <c r="H477">
        <f>BDP($B477,"ID_ISIN")</f>
        <v/>
      </c>
      <c r="I477" s="1" t="inlineStr"/>
      <c r="J477">
        <f>BDP($B477,"CNTRY_OF_DOMICILE")</f>
        <v/>
      </c>
      <c r="K477" t="inlineStr">
        <is>
          <t>DBT</t>
        </is>
      </c>
      <c r="L477" t="inlineStr">
        <is>
          <t>UST</t>
        </is>
      </c>
      <c r="M477" t="inlineStr"/>
      <c r="N477" t="inlineStr"/>
      <c r="O477" s="1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s="1" t="inlineStr"/>
      <c r="AR477" s="1" t="inlineStr"/>
      <c r="AS477" s="1" t="inlineStr"/>
      <c r="AT477">
        <f>TEXT(BDP($B477,"MATURITY"),"yyyy-mm-dd")</f>
        <v/>
      </c>
      <c r="AU477">
        <f>BDP($B477,"CPN_TYP")</f>
        <v/>
      </c>
      <c r="AV477">
        <f>BDP($B477,"CPN")</f>
        <v/>
      </c>
      <c r="AW477" t="inlineStr"/>
      <c r="AX477" t="inlineStr"/>
      <c r="AY477" t="inlineStr"/>
    </row>
    <row r="478">
      <c r="A478" t="inlineStr">
        <is>
          <t>CIEI</t>
        </is>
      </c>
      <c r="B478" t="inlineStr">
        <is>
          <t>912828ZQ6 Govt</t>
        </is>
      </c>
      <c r="C478" s="1" t="inlineStr">
        <is>
          <t>912828ZQ6</t>
        </is>
      </c>
      <c r="D478" t="inlineStr">
        <is>
          <t>United States Treasury Note/Bo</t>
        </is>
      </c>
      <c r="E478">
        <f>BDP($B478,"LEGAL_ENTITY_IDENTIFIER")</f>
        <v/>
      </c>
      <c r="F478" t="inlineStr">
        <is>
          <t>United States Treasury Note/Bond 0.625% 05/15/2030</t>
        </is>
      </c>
      <c r="G478">
        <f>custodian!D478</f>
        <v/>
      </c>
      <c r="H478">
        <f>BDP($B478,"ID_ISIN")</f>
        <v/>
      </c>
      <c r="I478" s="1" t="inlineStr"/>
      <c r="J478">
        <f>BDP($B478,"CNTRY_OF_DOMICILE")</f>
        <v/>
      </c>
      <c r="K478" t="inlineStr">
        <is>
          <t>DBT</t>
        </is>
      </c>
      <c r="L478" t="inlineStr">
        <is>
          <t>UST</t>
        </is>
      </c>
      <c r="M478" t="inlineStr"/>
      <c r="N478" t="inlineStr"/>
      <c r="O478" s="1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s="1" t="inlineStr"/>
      <c r="AR478" s="1" t="inlineStr"/>
      <c r="AS478" s="1" t="inlineStr"/>
      <c r="AT478">
        <f>TEXT(BDP($B478,"MATURITY"),"yyyy-mm-dd")</f>
        <v/>
      </c>
      <c r="AU478">
        <f>BDP($B478,"CPN_TYP")</f>
        <v/>
      </c>
      <c r="AV478">
        <f>BDP($B478,"CPN")</f>
        <v/>
      </c>
      <c r="AW478" t="inlineStr"/>
      <c r="AX478" t="inlineStr"/>
      <c r="AY478" t="inlineStr"/>
    </row>
    <row r="479">
      <c r="A479" t="inlineStr">
        <is>
          <t>CIEI</t>
        </is>
      </c>
      <c r="B479" t="inlineStr">
        <is>
          <t>91282CAE1 Govt</t>
        </is>
      </c>
      <c r="C479" s="1" t="inlineStr">
        <is>
          <t>91282CAE1</t>
        </is>
      </c>
      <c r="D479" t="inlineStr">
        <is>
          <t>United States Treasury Note/Bo</t>
        </is>
      </c>
      <c r="E479">
        <f>BDP($B479,"LEGAL_ENTITY_IDENTIFIER")</f>
        <v/>
      </c>
      <c r="F479" t="inlineStr">
        <is>
          <t>United States Treasury Note/Bond 0.625% 08/15/2030</t>
        </is>
      </c>
      <c r="G479">
        <f>custodian!D479</f>
        <v/>
      </c>
      <c r="H479">
        <f>BDP($B479,"ID_ISIN")</f>
        <v/>
      </c>
      <c r="I479" s="1" t="inlineStr"/>
      <c r="J479">
        <f>BDP($B479,"CNTRY_OF_DOMICILE")</f>
        <v/>
      </c>
      <c r="K479" t="inlineStr">
        <is>
          <t>DBT</t>
        </is>
      </c>
      <c r="L479" t="inlineStr">
        <is>
          <t>UST</t>
        </is>
      </c>
      <c r="M479" t="inlineStr"/>
      <c r="N479" t="inlineStr"/>
      <c r="O479" s="1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s="1" t="inlineStr"/>
      <c r="AR479" s="1" t="inlineStr"/>
      <c r="AS479" s="1" t="inlineStr"/>
      <c r="AT479">
        <f>TEXT(BDP($B479,"MATURITY"),"yyyy-mm-dd")</f>
        <v/>
      </c>
      <c r="AU479">
        <f>BDP($B479,"CPN_TYP")</f>
        <v/>
      </c>
      <c r="AV479">
        <f>BDP($B479,"CPN")</f>
        <v/>
      </c>
      <c r="AW479" t="inlineStr"/>
      <c r="AX479" t="inlineStr"/>
      <c r="AY479" t="inlineStr"/>
    </row>
    <row r="480">
      <c r="A480" t="inlineStr">
        <is>
          <t>CIEI</t>
        </is>
      </c>
      <c r="B480" t="inlineStr">
        <is>
          <t>91282CAV3 Govt</t>
        </is>
      </c>
      <c r="C480" s="1" t="inlineStr">
        <is>
          <t>91282CAV3</t>
        </is>
      </c>
      <c r="D480" t="inlineStr">
        <is>
          <t>United States Treasury Note/Bo</t>
        </is>
      </c>
      <c r="E480">
        <f>BDP($B480,"LEGAL_ENTITY_IDENTIFIER")</f>
        <v/>
      </c>
      <c r="F480" t="inlineStr">
        <is>
          <t>United States Treasury Note/Bond 0.875% 11/15/2030</t>
        </is>
      </c>
      <c r="G480">
        <f>custodian!D480</f>
        <v/>
      </c>
      <c r="H480">
        <f>BDP($B480,"ID_ISIN")</f>
        <v/>
      </c>
      <c r="I480" s="1" t="inlineStr"/>
      <c r="J480">
        <f>BDP($B480,"CNTRY_OF_DOMICILE")</f>
        <v/>
      </c>
      <c r="K480" t="inlineStr">
        <is>
          <t>DBT</t>
        </is>
      </c>
      <c r="L480" t="inlineStr">
        <is>
          <t>UST</t>
        </is>
      </c>
      <c r="M480" t="inlineStr"/>
      <c r="N480" t="inlineStr"/>
      <c r="O480" s="1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s="1" t="inlineStr"/>
      <c r="AR480" s="1" t="inlineStr"/>
      <c r="AS480" s="1" t="inlineStr"/>
      <c r="AT480">
        <f>TEXT(BDP($B480,"MATURITY"),"yyyy-mm-dd")</f>
        <v/>
      </c>
      <c r="AU480">
        <f>BDP($B480,"CPN_TYP")</f>
        <v/>
      </c>
      <c r="AV480">
        <f>BDP($B480,"CPN")</f>
        <v/>
      </c>
      <c r="AW480" t="inlineStr"/>
      <c r="AX480" t="inlineStr"/>
      <c r="AY480" t="inlineStr"/>
    </row>
    <row r="481">
      <c r="A481" t="inlineStr">
        <is>
          <t>CIEI</t>
        </is>
      </c>
      <c r="B481" t="inlineStr">
        <is>
          <t>91282CBL4 Govt</t>
        </is>
      </c>
      <c r="C481" s="1" t="inlineStr">
        <is>
          <t>91282CBL4</t>
        </is>
      </c>
      <c r="D481" t="inlineStr">
        <is>
          <t>United States Treasury Note/Bo</t>
        </is>
      </c>
      <c r="E481">
        <f>BDP($B481,"LEGAL_ENTITY_IDENTIFIER")</f>
        <v/>
      </c>
      <c r="F481" t="inlineStr">
        <is>
          <t>United States Treasury Note/Bond 1.125% 02/15/2031</t>
        </is>
      </c>
      <c r="G481">
        <f>custodian!D481</f>
        <v/>
      </c>
      <c r="H481">
        <f>BDP($B481,"ID_ISIN")</f>
        <v/>
      </c>
      <c r="I481" s="1" t="inlineStr"/>
      <c r="J481">
        <f>BDP($B481,"CNTRY_OF_DOMICILE")</f>
        <v/>
      </c>
      <c r="K481" t="inlineStr">
        <is>
          <t>DBT</t>
        </is>
      </c>
      <c r="L481" t="inlineStr">
        <is>
          <t>UST</t>
        </is>
      </c>
      <c r="M481" t="inlineStr"/>
      <c r="N481" t="inlineStr"/>
      <c r="O481" s="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s="1" t="inlineStr"/>
      <c r="AR481" s="1" t="inlineStr"/>
      <c r="AS481" s="1" t="inlineStr"/>
      <c r="AT481">
        <f>TEXT(BDP($B481,"MATURITY"),"yyyy-mm-dd")</f>
        <v/>
      </c>
      <c r="AU481">
        <f>BDP($B481,"CPN_TYP")</f>
        <v/>
      </c>
      <c r="AV481">
        <f>BDP($B481,"CPN")</f>
        <v/>
      </c>
      <c r="AW481" t="inlineStr"/>
      <c r="AX481" t="inlineStr"/>
      <c r="AY481" t="inlineStr"/>
    </row>
    <row r="482">
      <c r="A482" t="inlineStr">
        <is>
          <t>CIEI</t>
        </is>
      </c>
      <c r="B482" t="inlineStr">
        <is>
          <t>91282CCB5 Govt</t>
        </is>
      </c>
      <c r="C482" s="1" t="inlineStr">
        <is>
          <t>91282CCB5</t>
        </is>
      </c>
      <c r="D482" t="inlineStr">
        <is>
          <t>United States Treasury Note/Bo</t>
        </is>
      </c>
      <c r="E482">
        <f>BDP($B482,"LEGAL_ENTITY_IDENTIFIER")</f>
        <v/>
      </c>
      <c r="F482" t="inlineStr">
        <is>
          <t>United States Treasury Note/Bond 1.625% 05/15/2031</t>
        </is>
      </c>
      <c r="G482">
        <f>custodian!D482</f>
        <v/>
      </c>
      <c r="H482">
        <f>BDP($B482,"ID_ISIN")</f>
        <v/>
      </c>
      <c r="I482" s="1" t="inlineStr"/>
      <c r="J482">
        <f>BDP($B482,"CNTRY_OF_DOMICILE")</f>
        <v/>
      </c>
      <c r="K482" t="inlineStr">
        <is>
          <t>DBT</t>
        </is>
      </c>
      <c r="L482" t="inlineStr">
        <is>
          <t>UST</t>
        </is>
      </c>
      <c r="M482" t="inlineStr"/>
      <c r="N482" t="inlineStr"/>
      <c r="O482" s="1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s="1" t="inlineStr"/>
      <c r="AR482" s="1" t="inlineStr"/>
      <c r="AS482" s="1" t="inlineStr"/>
      <c r="AT482">
        <f>TEXT(BDP($B482,"MATURITY"),"yyyy-mm-dd")</f>
        <v/>
      </c>
      <c r="AU482">
        <f>BDP($B482,"CPN_TYP")</f>
        <v/>
      </c>
      <c r="AV482">
        <f>BDP($B482,"CPN")</f>
        <v/>
      </c>
      <c r="AW482" t="inlineStr"/>
      <c r="AX482" t="inlineStr"/>
      <c r="AY482" t="inlineStr"/>
    </row>
    <row r="483">
      <c r="A483" t="inlineStr">
        <is>
          <t>CIEI</t>
        </is>
      </c>
      <c r="B483" t="inlineStr">
        <is>
          <t>91282CCS8 Govt</t>
        </is>
      </c>
      <c r="C483" s="1" t="inlineStr">
        <is>
          <t>91282CCS8</t>
        </is>
      </c>
      <c r="D483" t="inlineStr">
        <is>
          <t>United States Treasury Note/Bo</t>
        </is>
      </c>
      <c r="E483">
        <f>BDP($B483,"LEGAL_ENTITY_IDENTIFIER")</f>
        <v/>
      </c>
      <c r="F483" t="inlineStr">
        <is>
          <t>United States Treasury Note/Bond 1.25% 08/15/2031</t>
        </is>
      </c>
      <c r="G483">
        <f>custodian!D483</f>
        <v/>
      </c>
      <c r="H483">
        <f>BDP($B483,"ID_ISIN")</f>
        <v/>
      </c>
      <c r="I483" s="1" t="inlineStr"/>
      <c r="J483">
        <f>BDP($B483,"CNTRY_OF_DOMICILE")</f>
        <v/>
      </c>
      <c r="K483" t="inlineStr">
        <is>
          <t>DBT</t>
        </is>
      </c>
      <c r="L483" t="inlineStr">
        <is>
          <t>UST</t>
        </is>
      </c>
      <c r="M483" t="inlineStr"/>
      <c r="N483" t="inlineStr"/>
      <c r="O483" s="1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s="1" t="inlineStr"/>
      <c r="AR483" s="1" t="inlineStr"/>
      <c r="AS483" s="1" t="inlineStr"/>
      <c r="AT483">
        <f>TEXT(BDP($B483,"MATURITY"),"yyyy-mm-dd")</f>
        <v/>
      </c>
      <c r="AU483">
        <f>BDP($B483,"CPN_TYP")</f>
        <v/>
      </c>
      <c r="AV483">
        <f>BDP($B483,"CPN")</f>
        <v/>
      </c>
      <c r="AW483" t="inlineStr"/>
      <c r="AX483" t="inlineStr"/>
      <c r="AY483" t="inlineStr"/>
    </row>
    <row r="484">
      <c r="A484" t="inlineStr">
        <is>
          <t>CIEI</t>
        </is>
      </c>
      <c r="B484" t="inlineStr">
        <is>
          <t>91282CDJ7 Govt</t>
        </is>
      </c>
      <c r="C484" s="1" t="inlineStr">
        <is>
          <t>91282CDJ7</t>
        </is>
      </c>
      <c r="D484" t="inlineStr">
        <is>
          <t>United States Treasury Note/Bo</t>
        </is>
      </c>
      <c r="E484">
        <f>BDP($B484,"LEGAL_ENTITY_IDENTIFIER")</f>
        <v/>
      </c>
      <c r="F484" t="inlineStr">
        <is>
          <t>United States Treasury Note/Bond 1.375% 11/15/2031</t>
        </is>
      </c>
      <c r="G484">
        <f>custodian!D484</f>
        <v/>
      </c>
      <c r="H484">
        <f>BDP($B484,"ID_ISIN")</f>
        <v/>
      </c>
      <c r="I484" s="1" t="inlineStr"/>
      <c r="J484">
        <f>BDP($B484,"CNTRY_OF_DOMICILE")</f>
        <v/>
      </c>
      <c r="K484" t="inlineStr">
        <is>
          <t>DBT</t>
        </is>
      </c>
      <c r="L484" t="inlineStr">
        <is>
          <t>UST</t>
        </is>
      </c>
      <c r="M484" t="inlineStr"/>
      <c r="N484" t="inlineStr"/>
      <c r="O484" s="1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s="1" t="inlineStr"/>
      <c r="AR484" s="1" t="inlineStr"/>
      <c r="AS484" s="1" t="inlineStr"/>
      <c r="AT484">
        <f>TEXT(BDP($B484,"MATURITY"),"yyyy-mm-dd")</f>
        <v/>
      </c>
      <c r="AU484">
        <f>BDP($B484,"CPN_TYP")</f>
        <v/>
      </c>
      <c r="AV484">
        <f>BDP($B484,"CPN")</f>
        <v/>
      </c>
      <c r="AW484" t="inlineStr"/>
      <c r="AX484" t="inlineStr"/>
      <c r="AY484" t="inlineStr"/>
    </row>
    <row r="485">
      <c r="A485" t="inlineStr">
        <is>
          <t>CIEI</t>
        </is>
      </c>
      <c r="B485" t="inlineStr">
        <is>
          <t>91282CDY4 Govt</t>
        </is>
      </c>
      <c r="C485" s="1" t="inlineStr">
        <is>
          <t>91282CDY4</t>
        </is>
      </c>
      <c r="D485" t="inlineStr">
        <is>
          <t>United States Treasury Note/Bo</t>
        </is>
      </c>
      <c r="E485">
        <f>BDP($B485,"LEGAL_ENTITY_IDENTIFIER")</f>
        <v/>
      </c>
      <c r="F485" t="inlineStr">
        <is>
          <t>United States Treasury Note/Bond 1.875% 02/15/2032</t>
        </is>
      </c>
      <c r="G485">
        <f>custodian!D485</f>
        <v/>
      </c>
      <c r="H485">
        <f>BDP($B485,"ID_ISIN")</f>
        <v/>
      </c>
      <c r="I485" s="1" t="inlineStr"/>
      <c r="J485">
        <f>BDP($B485,"CNTRY_OF_DOMICILE")</f>
        <v/>
      </c>
      <c r="K485" t="inlineStr">
        <is>
          <t>DBT</t>
        </is>
      </c>
      <c r="L485" t="inlineStr">
        <is>
          <t>UST</t>
        </is>
      </c>
      <c r="M485" t="inlineStr"/>
      <c r="N485" t="inlineStr"/>
      <c r="O485" s="1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s="1" t="inlineStr"/>
      <c r="AR485" s="1" t="inlineStr"/>
      <c r="AS485" s="1" t="inlineStr"/>
      <c r="AT485">
        <f>TEXT(BDP($B485,"MATURITY"),"yyyy-mm-dd")</f>
        <v/>
      </c>
      <c r="AU485">
        <f>BDP($B485,"CPN_TYP")</f>
        <v/>
      </c>
      <c r="AV485">
        <f>BDP($B485,"CPN")</f>
        <v/>
      </c>
      <c r="AW485" t="inlineStr"/>
      <c r="AX485" t="inlineStr"/>
      <c r="AY485" t="inlineStr"/>
    </row>
    <row r="486">
      <c r="A486" t="inlineStr">
        <is>
          <t>CIEI</t>
        </is>
      </c>
      <c r="B486" t="inlineStr">
        <is>
          <t>91282CEP2 Govt</t>
        </is>
      </c>
      <c r="C486" s="1" t="inlineStr">
        <is>
          <t>91282CEP2</t>
        </is>
      </c>
      <c r="D486" t="inlineStr">
        <is>
          <t>United States Treasury Note/Bo</t>
        </is>
      </c>
      <c r="E486">
        <f>BDP($B486,"LEGAL_ENTITY_IDENTIFIER")</f>
        <v/>
      </c>
      <c r="F486" t="inlineStr">
        <is>
          <t>United States Treasury Note/Bond 2.875% 05/15/2032</t>
        </is>
      </c>
      <c r="G486">
        <f>custodian!D486</f>
        <v/>
      </c>
      <c r="H486">
        <f>BDP($B486,"ID_ISIN")</f>
        <v/>
      </c>
      <c r="I486" s="1" t="inlineStr"/>
      <c r="J486">
        <f>BDP($B486,"CNTRY_OF_DOMICILE")</f>
        <v/>
      </c>
      <c r="K486" t="inlineStr">
        <is>
          <t>DBT</t>
        </is>
      </c>
      <c r="L486" t="inlineStr">
        <is>
          <t>UST</t>
        </is>
      </c>
      <c r="M486" t="inlineStr"/>
      <c r="N486" t="inlineStr"/>
      <c r="O486" s="1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s="1" t="inlineStr"/>
      <c r="AR486" s="1" t="inlineStr"/>
      <c r="AS486" s="1" t="inlineStr"/>
      <c r="AT486">
        <f>TEXT(BDP($B486,"MATURITY"),"yyyy-mm-dd")</f>
        <v/>
      </c>
      <c r="AU486">
        <f>BDP($B486,"CPN_TYP")</f>
        <v/>
      </c>
      <c r="AV486">
        <f>BDP($B486,"CPN")</f>
        <v/>
      </c>
      <c r="AW486" t="inlineStr"/>
      <c r="AX486" t="inlineStr"/>
      <c r="AY486" t="inlineStr"/>
    </row>
    <row r="487">
      <c r="A487" t="inlineStr">
        <is>
          <t>CIEI</t>
        </is>
      </c>
      <c r="B487" t="inlineStr">
        <is>
          <t>91282CES6 Govt</t>
        </is>
      </c>
      <c r="C487" s="1" t="inlineStr">
        <is>
          <t>91282CES6</t>
        </is>
      </c>
      <c r="D487" t="inlineStr">
        <is>
          <t>United States Treasury Note/Bo</t>
        </is>
      </c>
      <c r="E487">
        <f>BDP($B487,"LEGAL_ENTITY_IDENTIFIER")</f>
        <v/>
      </c>
      <c r="F487" t="inlineStr">
        <is>
          <t>United States Treasury Note/Bond 2.75% 05/31/2029</t>
        </is>
      </c>
      <c r="G487">
        <f>custodian!D487</f>
        <v/>
      </c>
      <c r="H487">
        <f>BDP($B487,"ID_ISIN")</f>
        <v/>
      </c>
      <c r="I487" s="1" t="inlineStr"/>
      <c r="J487">
        <f>BDP($B487,"CNTRY_OF_DOMICILE")</f>
        <v/>
      </c>
      <c r="K487" t="inlineStr">
        <is>
          <t>DBT</t>
        </is>
      </c>
      <c r="L487" t="inlineStr">
        <is>
          <t>UST</t>
        </is>
      </c>
      <c r="M487" t="inlineStr"/>
      <c r="N487" t="inlineStr"/>
      <c r="O487" s="1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s="1" t="inlineStr"/>
      <c r="AR487" s="1" t="inlineStr"/>
      <c r="AS487" s="1" t="inlineStr"/>
      <c r="AT487">
        <f>TEXT(BDP($B487,"MATURITY"),"yyyy-mm-dd")</f>
        <v/>
      </c>
      <c r="AU487">
        <f>BDP($B487,"CPN_TYP")</f>
        <v/>
      </c>
      <c r="AV487">
        <f>BDP($B487,"CPN")</f>
        <v/>
      </c>
      <c r="AW487" t="inlineStr"/>
      <c r="AX487" t="inlineStr"/>
      <c r="AY487" t="inlineStr"/>
    </row>
    <row r="488">
      <c r="A488" t="inlineStr">
        <is>
          <t>CIEI</t>
        </is>
      </c>
      <c r="B488" t="inlineStr">
        <is>
          <t>91282CEV9 Govt</t>
        </is>
      </c>
      <c r="C488" s="1" t="inlineStr">
        <is>
          <t>91282CEV9</t>
        </is>
      </c>
      <c r="D488" t="inlineStr">
        <is>
          <t>United States Treasury Note/Bo</t>
        </is>
      </c>
      <c r="E488">
        <f>BDP($B488,"LEGAL_ENTITY_IDENTIFIER")</f>
        <v/>
      </c>
      <c r="F488" t="inlineStr">
        <is>
          <t>United States Treasury Note/Bond 3.25% 06/30/2029</t>
        </is>
      </c>
      <c r="G488">
        <f>custodian!D488</f>
        <v/>
      </c>
      <c r="H488">
        <f>BDP($B488,"ID_ISIN")</f>
        <v/>
      </c>
      <c r="I488" s="1" t="inlineStr"/>
      <c r="J488">
        <f>BDP($B488,"CNTRY_OF_DOMICILE")</f>
        <v/>
      </c>
      <c r="K488" t="inlineStr">
        <is>
          <t>DBT</t>
        </is>
      </c>
      <c r="L488" t="inlineStr">
        <is>
          <t>UST</t>
        </is>
      </c>
      <c r="M488" t="inlineStr"/>
      <c r="N488" t="inlineStr"/>
      <c r="O488" s="1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s="1" t="inlineStr"/>
      <c r="AR488" s="1" t="inlineStr"/>
      <c r="AS488" s="1" t="inlineStr"/>
      <c r="AT488">
        <f>TEXT(BDP($B488,"MATURITY"),"yyyy-mm-dd")</f>
        <v/>
      </c>
      <c r="AU488">
        <f>BDP($B488,"CPN_TYP")</f>
        <v/>
      </c>
      <c r="AV488">
        <f>BDP($B488,"CPN")</f>
        <v/>
      </c>
      <c r="AW488" t="inlineStr"/>
      <c r="AX488" t="inlineStr"/>
      <c r="AY488" t="inlineStr"/>
    </row>
    <row r="489">
      <c r="A489" t="inlineStr">
        <is>
          <t>CIEI</t>
        </is>
      </c>
      <c r="B489" t="inlineStr">
        <is>
          <t>91282CFC0 Govt</t>
        </is>
      </c>
      <c r="C489" s="1" t="inlineStr">
        <is>
          <t>91282CFC0</t>
        </is>
      </c>
      <c r="D489" t="inlineStr">
        <is>
          <t>United States Treasury Note/Bo</t>
        </is>
      </c>
      <c r="E489">
        <f>BDP($B489,"LEGAL_ENTITY_IDENTIFIER")</f>
        <v/>
      </c>
      <c r="F489" t="inlineStr">
        <is>
          <t>United States Treasury Note/Bond 2.625% 07/31/2029</t>
        </is>
      </c>
      <c r="G489">
        <f>custodian!D489</f>
        <v/>
      </c>
      <c r="H489">
        <f>BDP($B489,"ID_ISIN")</f>
        <v/>
      </c>
      <c r="I489" s="1" t="inlineStr"/>
      <c r="J489">
        <f>BDP($B489,"CNTRY_OF_DOMICILE")</f>
        <v/>
      </c>
      <c r="K489" t="inlineStr">
        <is>
          <t>DBT</t>
        </is>
      </c>
      <c r="L489" t="inlineStr">
        <is>
          <t>UST</t>
        </is>
      </c>
      <c r="M489" t="inlineStr"/>
      <c r="N489" t="inlineStr"/>
      <c r="O489" s="1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s="1" t="inlineStr"/>
      <c r="AR489" s="1" t="inlineStr"/>
      <c r="AS489" s="1" t="inlineStr"/>
      <c r="AT489">
        <f>TEXT(BDP($B489,"MATURITY"),"yyyy-mm-dd")</f>
        <v/>
      </c>
      <c r="AU489">
        <f>BDP($B489,"CPN_TYP")</f>
        <v/>
      </c>
      <c r="AV489">
        <f>BDP($B489,"CPN")</f>
        <v/>
      </c>
      <c r="AW489" t="inlineStr"/>
      <c r="AX489" t="inlineStr"/>
      <c r="AY489" t="inlineStr"/>
    </row>
    <row r="490">
      <c r="A490" t="inlineStr">
        <is>
          <t>CIEI</t>
        </is>
      </c>
      <c r="B490" t="inlineStr">
        <is>
          <t>91282CFF3 Govt</t>
        </is>
      </c>
      <c r="C490" s="1" t="inlineStr">
        <is>
          <t>91282CFF3</t>
        </is>
      </c>
      <c r="D490" t="inlineStr">
        <is>
          <t>United States Treasury Note/Bo</t>
        </is>
      </c>
      <c r="E490">
        <f>BDP($B490,"LEGAL_ENTITY_IDENTIFIER")</f>
        <v/>
      </c>
      <c r="F490" t="inlineStr">
        <is>
          <t>United States Treasury Note/Bond 2.75% 08/15/2032</t>
        </is>
      </c>
      <c r="G490">
        <f>custodian!D490</f>
        <v/>
      </c>
      <c r="H490">
        <f>BDP($B490,"ID_ISIN")</f>
        <v/>
      </c>
      <c r="I490" s="1" t="inlineStr"/>
      <c r="J490">
        <f>BDP($B490,"CNTRY_OF_DOMICILE")</f>
        <v/>
      </c>
      <c r="K490" t="inlineStr">
        <is>
          <t>DBT</t>
        </is>
      </c>
      <c r="L490" t="inlineStr">
        <is>
          <t>UST</t>
        </is>
      </c>
      <c r="M490" t="inlineStr"/>
      <c r="N490" t="inlineStr"/>
      <c r="O490" s="1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s="1" t="inlineStr"/>
      <c r="AR490" s="1" t="inlineStr"/>
      <c r="AS490" s="1" t="inlineStr"/>
      <c r="AT490">
        <f>TEXT(BDP($B490,"MATURITY"),"yyyy-mm-dd")</f>
        <v/>
      </c>
      <c r="AU490">
        <f>BDP($B490,"CPN_TYP")</f>
        <v/>
      </c>
      <c r="AV490">
        <f>BDP($B490,"CPN")</f>
        <v/>
      </c>
      <c r="AW490" t="inlineStr"/>
      <c r="AX490" t="inlineStr"/>
      <c r="AY490" t="inlineStr"/>
    </row>
    <row r="491">
      <c r="A491" t="inlineStr">
        <is>
          <t>CIEI</t>
        </is>
      </c>
      <c r="B491" t="inlineStr">
        <is>
          <t>91282CFJ5 Govt</t>
        </is>
      </c>
      <c r="C491" s="1" t="inlineStr">
        <is>
          <t>91282CFJ5</t>
        </is>
      </c>
      <c r="D491" t="inlineStr">
        <is>
          <t>United States Treasury Note/Bo</t>
        </is>
      </c>
      <c r="E491">
        <f>BDP($B491,"LEGAL_ENTITY_IDENTIFIER")</f>
        <v/>
      </c>
      <c r="F491" t="inlineStr">
        <is>
          <t>United States Treasury Note/Bond 3.125% 08/31/2029</t>
        </is>
      </c>
      <c r="G491">
        <f>custodian!D491</f>
        <v/>
      </c>
      <c r="H491">
        <f>BDP($B491,"ID_ISIN")</f>
        <v/>
      </c>
      <c r="I491" s="1" t="inlineStr"/>
      <c r="J491">
        <f>BDP($B491,"CNTRY_OF_DOMICILE")</f>
        <v/>
      </c>
      <c r="K491" t="inlineStr">
        <is>
          <t>DBT</t>
        </is>
      </c>
      <c r="L491" t="inlineStr">
        <is>
          <t>UST</t>
        </is>
      </c>
      <c r="M491" t="inlineStr"/>
      <c r="N491" t="inlineStr"/>
      <c r="O491" s="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s="1" t="inlineStr"/>
      <c r="AR491" s="1" t="inlineStr"/>
      <c r="AS491" s="1" t="inlineStr"/>
      <c r="AT491">
        <f>TEXT(BDP($B491,"MATURITY"),"yyyy-mm-dd")</f>
        <v/>
      </c>
      <c r="AU491">
        <f>BDP($B491,"CPN_TYP")</f>
        <v/>
      </c>
      <c r="AV491">
        <f>BDP($B491,"CPN")</f>
        <v/>
      </c>
      <c r="AW491" t="inlineStr"/>
      <c r="AX491" t="inlineStr"/>
      <c r="AY491" t="inlineStr"/>
    </row>
    <row r="492">
      <c r="A492" t="inlineStr">
        <is>
          <t>CIEI</t>
        </is>
      </c>
      <c r="B492" t="inlineStr">
        <is>
          <t>91282CFL0 Govt</t>
        </is>
      </c>
      <c r="C492" s="1" t="inlineStr">
        <is>
          <t>91282CFL0</t>
        </is>
      </c>
      <c r="D492" t="inlineStr">
        <is>
          <t>United States Treasury Note/Bo</t>
        </is>
      </c>
      <c r="E492">
        <f>BDP($B492,"LEGAL_ENTITY_IDENTIFIER")</f>
        <v/>
      </c>
      <c r="F492" t="inlineStr">
        <is>
          <t>United States Treasury Note/Bond 3.875% 09/30/2029</t>
        </is>
      </c>
      <c r="G492">
        <f>custodian!D492</f>
        <v/>
      </c>
      <c r="H492">
        <f>BDP($B492,"ID_ISIN")</f>
        <v/>
      </c>
      <c r="I492" s="1" t="inlineStr"/>
      <c r="J492">
        <f>BDP($B492,"CNTRY_OF_DOMICILE")</f>
        <v/>
      </c>
      <c r="K492" t="inlineStr">
        <is>
          <t>DBT</t>
        </is>
      </c>
      <c r="L492" t="inlineStr">
        <is>
          <t>UST</t>
        </is>
      </c>
      <c r="M492" t="inlineStr"/>
      <c r="N492" t="inlineStr"/>
      <c r="O492" s="1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s="1" t="inlineStr"/>
      <c r="AR492" s="1" t="inlineStr"/>
      <c r="AS492" s="1" t="inlineStr"/>
      <c r="AT492">
        <f>TEXT(BDP($B492,"MATURITY"),"yyyy-mm-dd")</f>
        <v/>
      </c>
      <c r="AU492">
        <f>BDP($B492,"CPN_TYP")</f>
        <v/>
      </c>
      <c r="AV492">
        <f>BDP($B492,"CPN")</f>
        <v/>
      </c>
      <c r="AW492" t="inlineStr"/>
      <c r="AX492" t="inlineStr"/>
      <c r="AY492" t="inlineStr"/>
    </row>
    <row r="493">
      <c r="A493" t="inlineStr">
        <is>
          <t>CIEI</t>
        </is>
      </c>
      <c r="B493" t="inlineStr">
        <is>
          <t>91282CFT3 Govt</t>
        </is>
      </c>
      <c r="C493" s="1" t="inlineStr">
        <is>
          <t>91282CFT3</t>
        </is>
      </c>
      <c r="D493" t="inlineStr">
        <is>
          <t>United States Treasury Note/Bo</t>
        </is>
      </c>
      <c r="E493">
        <f>BDP($B493,"LEGAL_ENTITY_IDENTIFIER")</f>
        <v/>
      </c>
      <c r="F493" t="inlineStr">
        <is>
          <t>United States Treasury Note/Bond 4% 10/31/2029</t>
        </is>
      </c>
      <c r="G493">
        <f>custodian!D493</f>
        <v/>
      </c>
      <c r="H493">
        <f>BDP($B493,"ID_ISIN")</f>
        <v/>
      </c>
      <c r="I493" s="1" t="inlineStr"/>
      <c r="J493">
        <f>BDP($B493,"CNTRY_OF_DOMICILE")</f>
        <v/>
      </c>
      <c r="K493" t="inlineStr">
        <is>
          <t>DBT</t>
        </is>
      </c>
      <c r="L493" t="inlineStr">
        <is>
          <t>UST</t>
        </is>
      </c>
      <c r="M493" t="inlineStr"/>
      <c r="N493" t="inlineStr"/>
      <c r="O493" s="1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s="1" t="inlineStr"/>
      <c r="AR493" s="1" t="inlineStr"/>
      <c r="AS493" s="1" t="inlineStr"/>
      <c r="AT493">
        <f>TEXT(BDP($B493,"MATURITY"),"yyyy-mm-dd")</f>
        <v/>
      </c>
      <c r="AU493">
        <f>BDP($B493,"CPN_TYP")</f>
        <v/>
      </c>
      <c r="AV493">
        <f>BDP($B493,"CPN")</f>
        <v/>
      </c>
      <c r="AW493" t="inlineStr"/>
      <c r="AX493" t="inlineStr"/>
      <c r="AY493" t="inlineStr"/>
    </row>
    <row r="494">
      <c r="A494" t="inlineStr">
        <is>
          <t>CIEI</t>
        </is>
      </c>
      <c r="B494" t="inlineStr">
        <is>
          <t>91282CFV8 Govt</t>
        </is>
      </c>
      <c r="C494" s="1" t="inlineStr">
        <is>
          <t>91282CFV8</t>
        </is>
      </c>
      <c r="D494" t="inlineStr">
        <is>
          <t>United States Treasury Note/Bo</t>
        </is>
      </c>
      <c r="E494">
        <f>BDP($B494,"LEGAL_ENTITY_IDENTIFIER")</f>
        <v/>
      </c>
      <c r="F494" t="inlineStr">
        <is>
          <t>United States Treasury Note/Bond 4.125% 11/15/2032</t>
        </is>
      </c>
      <c r="G494">
        <f>custodian!D494</f>
        <v/>
      </c>
      <c r="H494">
        <f>BDP($B494,"ID_ISIN")</f>
        <v/>
      </c>
      <c r="I494" s="1" t="inlineStr"/>
      <c r="J494">
        <f>BDP($B494,"CNTRY_OF_DOMICILE")</f>
        <v/>
      </c>
      <c r="K494" t="inlineStr">
        <is>
          <t>DBT</t>
        </is>
      </c>
      <c r="L494" t="inlineStr">
        <is>
          <t>UST</t>
        </is>
      </c>
      <c r="M494" t="inlineStr"/>
      <c r="N494" t="inlineStr"/>
      <c r="O494" s="1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s="1" t="inlineStr"/>
      <c r="AR494" s="1" t="inlineStr"/>
      <c r="AS494" s="1" t="inlineStr"/>
      <c r="AT494">
        <f>TEXT(BDP($B494,"MATURITY"),"yyyy-mm-dd")</f>
        <v/>
      </c>
      <c r="AU494">
        <f>BDP($B494,"CPN_TYP")</f>
        <v/>
      </c>
      <c r="AV494">
        <f>BDP($B494,"CPN")</f>
        <v/>
      </c>
      <c r="AW494" t="inlineStr"/>
      <c r="AX494" t="inlineStr"/>
      <c r="AY494" t="inlineStr"/>
    </row>
    <row r="495">
      <c r="A495" t="inlineStr">
        <is>
          <t>CIEI</t>
        </is>
      </c>
      <c r="B495" t="inlineStr">
        <is>
          <t>91282CFY2 Govt</t>
        </is>
      </c>
      <c r="C495" s="1" t="inlineStr">
        <is>
          <t>91282CFY2</t>
        </is>
      </c>
      <c r="D495" t="inlineStr">
        <is>
          <t>United States Treasury Note/Bo</t>
        </is>
      </c>
      <c r="E495">
        <f>BDP($B495,"LEGAL_ENTITY_IDENTIFIER")</f>
        <v/>
      </c>
      <c r="F495" t="inlineStr">
        <is>
          <t>United States Treasury Note/Bond 3.875% 11/30/2029</t>
        </is>
      </c>
      <c r="G495">
        <f>custodian!D495</f>
        <v/>
      </c>
      <c r="H495">
        <f>BDP($B495,"ID_ISIN")</f>
        <v/>
      </c>
      <c r="I495" s="1" t="inlineStr"/>
      <c r="J495">
        <f>BDP($B495,"CNTRY_OF_DOMICILE")</f>
        <v/>
      </c>
      <c r="K495" t="inlineStr">
        <is>
          <t>DBT</t>
        </is>
      </c>
      <c r="L495" t="inlineStr">
        <is>
          <t>UST</t>
        </is>
      </c>
      <c r="M495" t="inlineStr"/>
      <c r="N495" t="inlineStr"/>
      <c r="O495" s="1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s="1" t="inlineStr"/>
      <c r="AR495" s="1" t="inlineStr"/>
      <c r="AS495" s="1" t="inlineStr"/>
      <c r="AT495">
        <f>TEXT(BDP($B495,"MATURITY"),"yyyy-mm-dd")</f>
        <v/>
      </c>
      <c r="AU495">
        <f>BDP($B495,"CPN_TYP")</f>
        <v/>
      </c>
      <c r="AV495">
        <f>BDP($B495,"CPN")</f>
        <v/>
      </c>
      <c r="AW495" t="inlineStr"/>
      <c r="AX495" t="inlineStr"/>
      <c r="AY495" t="inlineStr"/>
    </row>
    <row r="496">
      <c r="A496" t="inlineStr">
        <is>
          <t>CIEI</t>
        </is>
      </c>
      <c r="B496" t="inlineStr">
        <is>
          <t>91282CGB1 Govt</t>
        </is>
      </c>
      <c r="C496" s="1" t="inlineStr">
        <is>
          <t>91282CGB1</t>
        </is>
      </c>
      <c r="D496" t="inlineStr">
        <is>
          <t>United States Treasury Note/Bo</t>
        </is>
      </c>
      <c r="E496">
        <f>BDP($B496,"LEGAL_ENTITY_IDENTIFIER")</f>
        <v/>
      </c>
      <c r="F496" t="inlineStr">
        <is>
          <t>United States Treasury Note/Bond 3.875% 12/31/2029</t>
        </is>
      </c>
      <c r="G496">
        <f>custodian!D496</f>
        <v/>
      </c>
      <c r="H496">
        <f>BDP($B496,"ID_ISIN")</f>
        <v/>
      </c>
      <c r="I496" s="1" t="inlineStr"/>
      <c r="J496">
        <f>BDP($B496,"CNTRY_OF_DOMICILE")</f>
        <v/>
      </c>
      <c r="K496" t="inlineStr">
        <is>
          <t>DBT</t>
        </is>
      </c>
      <c r="L496" t="inlineStr">
        <is>
          <t>UST</t>
        </is>
      </c>
      <c r="M496" t="inlineStr"/>
      <c r="N496" t="inlineStr"/>
      <c r="O496" s="1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s="1" t="inlineStr"/>
      <c r="AR496" s="1" t="inlineStr"/>
      <c r="AS496" s="1" t="inlineStr"/>
      <c r="AT496">
        <f>TEXT(BDP($B496,"MATURITY"),"yyyy-mm-dd")</f>
        <v/>
      </c>
      <c r="AU496">
        <f>BDP($B496,"CPN_TYP")</f>
        <v/>
      </c>
      <c r="AV496">
        <f>BDP($B496,"CPN")</f>
        <v/>
      </c>
      <c r="AW496" t="inlineStr"/>
      <c r="AX496" t="inlineStr"/>
      <c r="AY496" t="inlineStr"/>
    </row>
    <row r="497">
      <c r="A497" t="inlineStr">
        <is>
          <t>CIEI</t>
        </is>
      </c>
      <c r="B497" t="inlineStr">
        <is>
          <t>91282CGJ4 Govt</t>
        </is>
      </c>
      <c r="C497" s="1" t="inlineStr">
        <is>
          <t>91282CGJ4</t>
        </is>
      </c>
      <c r="D497" t="inlineStr">
        <is>
          <t>United States Treasury Note/Bo</t>
        </is>
      </c>
      <c r="E497">
        <f>BDP($B497,"LEGAL_ENTITY_IDENTIFIER")</f>
        <v/>
      </c>
      <c r="F497" t="inlineStr">
        <is>
          <t>United States Treasury Note/Bond 3.5% 01/31/2030</t>
        </is>
      </c>
      <c r="G497">
        <f>custodian!D497</f>
        <v/>
      </c>
      <c r="H497">
        <f>BDP($B497,"ID_ISIN")</f>
        <v/>
      </c>
      <c r="I497" s="1" t="inlineStr"/>
      <c r="J497">
        <f>BDP($B497,"CNTRY_OF_DOMICILE")</f>
        <v/>
      </c>
      <c r="K497" t="inlineStr">
        <is>
          <t>DBT</t>
        </is>
      </c>
      <c r="L497" t="inlineStr">
        <is>
          <t>UST</t>
        </is>
      </c>
      <c r="M497" t="inlineStr"/>
      <c r="N497" t="inlineStr"/>
      <c r="O497" s="1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s="1" t="inlineStr"/>
      <c r="AR497" s="1" t="inlineStr"/>
      <c r="AS497" s="1" t="inlineStr"/>
      <c r="AT497">
        <f>TEXT(BDP($B497,"MATURITY"),"yyyy-mm-dd")</f>
        <v/>
      </c>
      <c r="AU497">
        <f>BDP($B497,"CPN_TYP")</f>
        <v/>
      </c>
      <c r="AV497">
        <f>BDP($B497,"CPN")</f>
        <v/>
      </c>
      <c r="AW497" t="inlineStr"/>
      <c r="AX497" t="inlineStr"/>
      <c r="AY497" t="inlineStr"/>
    </row>
    <row r="498">
      <c r="A498" t="inlineStr">
        <is>
          <t>CIEI</t>
        </is>
      </c>
      <c r="B498" t="inlineStr">
        <is>
          <t>91282CGM7 Govt</t>
        </is>
      </c>
      <c r="C498" s="1" t="inlineStr">
        <is>
          <t>91282CGM7</t>
        </is>
      </c>
      <c r="D498" t="inlineStr">
        <is>
          <t>United States Treasury Note/Bo</t>
        </is>
      </c>
      <c r="E498">
        <f>BDP($B498,"LEGAL_ENTITY_IDENTIFIER")</f>
        <v/>
      </c>
      <c r="F498" t="inlineStr">
        <is>
          <t>United States Treasury Note/Bond 3.5% 02/15/2033</t>
        </is>
      </c>
      <c r="G498">
        <f>custodian!D498</f>
        <v/>
      </c>
      <c r="H498">
        <f>BDP($B498,"ID_ISIN")</f>
        <v/>
      </c>
      <c r="I498" s="1" t="inlineStr"/>
      <c r="J498">
        <f>BDP($B498,"CNTRY_OF_DOMICILE")</f>
        <v/>
      </c>
      <c r="K498" t="inlineStr">
        <is>
          <t>DBT</t>
        </is>
      </c>
      <c r="L498" t="inlineStr">
        <is>
          <t>UST</t>
        </is>
      </c>
      <c r="M498" t="inlineStr"/>
      <c r="N498" t="inlineStr"/>
      <c r="O498" s="1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s="1" t="inlineStr"/>
      <c r="AR498" s="1" t="inlineStr"/>
      <c r="AS498" s="1" t="inlineStr"/>
      <c r="AT498">
        <f>TEXT(BDP($B498,"MATURITY"),"yyyy-mm-dd")</f>
        <v/>
      </c>
      <c r="AU498">
        <f>BDP($B498,"CPN_TYP")</f>
        <v/>
      </c>
      <c r="AV498">
        <f>BDP($B498,"CPN")</f>
        <v/>
      </c>
      <c r="AW498" t="inlineStr"/>
      <c r="AX498" t="inlineStr"/>
      <c r="AY498" t="inlineStr"/>
    </row>
    <row r="499">
      <c r="A499" t="inlineStr">
        <is>
          <t>CIEI</t>
        </is>
      </c>
      <c r="B499" t="inlineStr">
        <is>
          <t>91282CGQ8 Govt</t>
        </is>
      </c>
      <c r="C499" s="1" t="inlineStr">
        <is>
          <t>91282CGQ8</t>
        </is>
      </c>
      <c r="D499" t="inlineStr">
        <is>
          <t>United States Treasury Note/Bo</t>
        </is>
      </c>
      <c r="E499">
        <f>BDP($B499,"LEGAL_ENTITY_IDENTIFIER")</f>
        <v/>
      </c>
      <c r="F499" t="inlineStr">
        <is>
          <t>United States Treasury Note/Bond 4% 02/28/2030</t>
        </is>
      </c>
      <c r="G499">
        <f>custodian!D499</f>
        <v/>
      </c>
      <c r="H499">
        <f>BDP($B499,"ID_ISIN")</f>
        <v/>
      </c>
      <c r="I499" s="1" t="inlineStr"/>
      <c r="J499">
        <f>BDP($B499,"CNTRY_OF_DOMICILE")</f>
        <v/>
      </c>
      <c r="K499" t="inlineStr">
        <is>
          <t>DBT</t>
        </is>
      </c>
      <c r="L499" t="inlineStr">
        <is>
          <t>UST</t>
        </is>
      </c>
      <c r="M499" t="inlineStr"/>
      <c r="N499" t="inlineStr"/>
      <c r="O499" s="1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s="1" t="inlineStr"/>
      <c r="AR499" s="1" t="inlineStr"/>
      <c r="AS499" s="1" t="inlineStr"/>
      <c r="AT499">
        <f>TEXT(BDP($B499,"MATURITY"),"yyyy-mm-dd")</f>
        <v/>
      </c>
      <c r="AU499">
        <f>BDP($B499,"CPN_TYP")</f>
        <v/>
      </c>
      <c r="AV499">
        <f>BDP($B499,"CPN")</f>
        <v/>
      </c>
      <c r="AW499" t="inlineStr"/>
      <c r="AX499" t="inlineStr"/>
      <c r="AY499" t="inlineStr"/>
    </row>
    <row r="500">
      <c r="A500" t="inlineStr">
        <is>
          <t>CIEI</t>
        </is>
      </c>
      <c r="B500" t="inlineStr">
        <is>
          <t>91282CGS4 Govt</t>
        </is>
      </c>
      <c r="C500" s="1" t="inlineStr">
        <is>
          <t>91282CGS4</t>
        </is>
      </c>
      <c r="D500" t="inlineStr">
        <is>
          <t>United States Treasury Note/Bo</t>
        </is>
      </c>
      <c r="E500">
        <f>BDP($B500,"LEGAL_ENTITY_IDENTIFIER")</f>
        <v/>
      </c>
      <c r="F500" t="inlineStr">
        <is>
          <t>United States Treasury Note/Bond 3.625% 03/31/2030</t>
        </is>
      </c>
      <c r="G500">
        <f>custodian!D500</f>
        <v/>
      </c>
      <c r="H500">
        <f>BDP($B500,"ID_ISIN")</f>
        <v/>
      </c>
      <c r="I500" s="1" t="inlineStr"/>
      <c r="J500">
        <f>BDP($B500,"CNTRY_OF_DOMICILE")</f>
        <v/>
      </c>
      <c r="K500" t="inlineStr">
        <is>
          <t>DBT</t>
        </is>
      </c>
      <c r="L500" t="inlineStr">
        <is>
          <t>UST</t>
        </is>
      </c>
      <c r="M500" t="inlineStr"/>
      <c r="N500" t="inlineStr"/>
      <c r="O500" s="1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s="1" t="inlineStr"/>
      <c r="AR500" s="1" t="inlineStr"/>
      <c r="AS500" s="1" t="inlineStr"/>
      <c r="AT500">
        <f>TEXT(BDP($B500,"MATURITY"),"yyyy-mm-dd")</f>
        <v/>
      </c>
      <c r="AU500">
        <f>BDP($B500,"CPN_TYP")</f>
        <v/>
      </c>
      <c r="AV500">
        <f>BDP($B500,"CPN")</f>
        <v/>
      </c>
      <c r="AW500" t="inlineStr"/>
      <c r="AX500" t="inlineStr"/>
      <c r="AY500" t="inlineStr"/>
    </row>
    <row r="501">
      <c r="A501" t="inlineStr">
        <is>
          <t>CIEI</t>
        </is>
      </c>
      <c r="B501" t="inlineStr">
        <is>
          <t>91282CGZ8 Govt</t>
        </is>
      </c>
      <c r="C501" s="1" t="inlineStr">
        <is>
          <t>91282CGZ8</t>
        </is>
      </c>
      <c r="D501" t="inlineStr">
        <is>
          <t>United States Treasury Note/Bo</t>
        </is>
      </c>
      <c r="E501">
        <f>BDP($B501,"LEGAL_ENTITY_IDENTIFIER")</f>
        <v/>
      </c>
      <c r="F501" t="inlineStr">
        <is>
          <t>United States Treasury Note/Bond 3.5% 04/30/2030</t>
        </is>
      </c>
      <c r="G501">
        <f>custodian!D501</f>
        <v/>
      </c>
      <c r="H501">
        <f>BDP($B501,"ID_ISIN")</f>
        <v/>
      </c>
      <c r="I501" s="1" t="inlineStr"/>
      <c r="J501">
        <f>BDP($B501,"CNTRY_OF_DOMICILE")</f>
        <v/>
      </c>
      <c r="K501" t="inlineStr">
        <is>
          <t>DBT</t>
        </is>
      </c>
      <c r="L501" t="inlineStr">
        <is>
          <t>UST</t>
        </is>
      </c>
      <c r="M501" t="inlineStr"/>
      <c r="N501" t="inlineStr"/>
      <c r="O501" s="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s="1" t="inlineStr"/>
      <c r="AR501" s="1" t="inlineStr"/>
      <c r="AS501" s="1" t="inlineStr"/>
      <c r="AT501">
        <f>TEXT(BDP($B501,"MATURITY"),"yyyy-mm-dd")</f>
        <v/>
      </c>
      <c r="AU501">
        <f>BDP($B501,"CPN_TYP")</f>
        <v/>
      </c>
      <c r="AV501">
        <f>BDP($B501,"CPN")</f>
        <v/>
      </c>
      <c r="AW501" t="inlineStr"/>
      <c r="AX501" t="inlineStr"/>
      <c r="AY501" t="inlineStr"/>
    </row>
    <row r="502">
      <c r="A502" t="inlineStr">
        <is>
          <t>CIEI</t>
        </is>
      </c>
      <c r="B502" t="inlineStr">
        <is>
          <t>91282CHC8 Govt</t>
        </is>
      </c>
      <c r="C502" s="1" t="inlineStr">
        <is>
          <t>91282CHC8</t>
        </is>
      </c>
      <c r="D502" t="inlineStr">
        <is>
          <t>United States Treasury Note/Bo</t>
        </is>
      </c>
      <c r="E502">
        <f>BDP($B502,"LEGAL_ENTITY_IDENTIFIER")</f>
        <v/>
      </c>
      <c r="F502" t="inlineStr">
        <is>
          <t>United States Treasury Note/Bond 3.375% 05/15/2033</t>
        </is>
      </c>
      <c r="G502">
        <f>custodian!D502</f>
        <v/>
      </c>
      <c r="H502">
        <f>BDP($B502,"ID_ISIN")</f>
        <v/>
      </c>
      <c r="I502" s="1" t="inlineStr"/>
      <c r="J502">
        <f>BDP($B502,"CNTRY_OF_DOMICILE")</f>
        <v/>
      </c>
      <c r="K502" t="inlineStr">
        <is>
          <t>DBT</t>
        </is>
      </c>
      <c r="L502" t="inlineStr">
        <is>
          <t>UST</t>
        </is>
      </c>
      <c r="M502" t="inlineStr"/>
      <c r="N502" t="inlineStr"/>
      <c r="O502" s="1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s="1" t="inlineStr"/>
      <c r="AR502" s="1" t="inlineStr"/>
      <c r="AS502" s="1" t="inlineStr"/>
      <c r="AT502">
        <f>TEXT(BDP($B502,"MATURITY"),"yyyy-mm-dd")</f>
        <v/>
      </c>
      <c r="AU502">
        <f>BDP($B502,"CPN_TYP")</f>
        <v/>
      </c>
      <c r="AV502">
        <f>BDP($B502,"CPN")</f>
        <v/>
      </c>
      <c r="AW502" t="inlineStr"/>
      <c r="AX502" t="inlineStr"/>
      <c r="AY502" t="inlineStr"/>
    </row>
    <row r="503">
      <c r="A503" t="inlineStr">
        <is>
          <t>CIEI</t>
        </is>
      </c>
      <c r="B503" t="inlineStr">
        <is>
          <t>91282CHF1 Govt</t>
        </is>
      </c>
      <c r="C503" s="1" t="inlineStr">
        <is>
          <t>91282CHF1</t>
        </is>
      </c>
      <c r="D503" t="inlineStr">
        <is>
          <t>United States Treasury Note/Bo</t>
        </is>
      </c>
      <c r="E503">
        <f>BDP($B503,"LEGAL_ENTITY_IDENTIFIER")</f>
        <v/>
      </c>
      <c r="F503" t="inlineStr">
        <is>
          <t>United States Treasury Note/Bond 3.75% 05/31/2030</t>
        </is>
      </c>
      <c r="G503">
        <f>custodian!D503</f>
        <v/>
      </c>
      <c r="H503">
        <f>BDP($B503,"ID_ISIN")</f>
        <v/>
      </c>
      <c r="I503" s="1" t="inlineStr"/>
      <c r="J503">
        <f>BDP($B503,"CNTRY_OF_DOMICILE")</f>
        <v/>
      </c>
      <c r="K503" t="inlineStr">
        <is>
          <t>DBT</t>
        </is>
      </c>
      <c r="L503" t="inlineStr">
        <is>
          <t>UST</t>
        </is>
      </c>
      <c r="M503" t="inlineStr"/>
      <c r="N503" t="inlineStr"/>
      <c r="O503" s="1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s="1" t="inlineStr"/>
      <c r="AR503" s="1" t="inlineStr"/>
      <c r="AS503" s="1" t="inlineStr"/>
      <c r="AT503">
        <f>TEXT(BDP($B503,"MATURITY"),"yyyy-mm-dd")</f>
        <v/>
      </c>
      <c r="AU503">
        <f>BDP($B503,"CPN_TYP")</f>
        <v/>
      </c>
      <c r="AV503">
        <f>BDP($B503,"CPN")</f>
        <v/>
      </c>
      <c r="AW503" t="inlineStr"/>
      <c r="AX503" t="inlineStr"/>
      <c r="AY503" t="inlineStr"/>
    </row>
    <row r="504">
      <c r="A504" t="inlineStr">
        <is>
          <t>CIEI</t>
        </is>
      </c>
      <c r="B504" t="inlineStr">
        <is>
          <t>91282CHJ3 Govt</t>
        </is>
      </c>
      <c r="C504" s="1" t="inlineStr">
        <is>
          <t>91282CHJ3</t>
        </is>
      </c>
      <c r="D504" t="inlineStr">
        <is>
          <t>United States Treasury Note/Bo</t>
        </is>
      </c>
      <c r="E504">
        <f>BDP($B504,"LEGAL_ENTITY_IDENTIFIER")</f>
        <v/>
      </c>
      <c r="F504" t="inlineStr">
        <is>
          <t>United States Treasury Note/Bond 3.75% 06/30/2030</t>
        </is>
      </c>
      <c r="G504">
        <f>custodian!D504</f>
        <v/>
      </c>
      <c r="H504">
        <f>BDP($B504,"ID_ISIN")</f>
        <v/>
      </c>
      <c r="I504" s="1" t="inlineStr"/>
      <c r="J504">
        <f>BDP($B504,"CNTRY_OF_DOMICILE")</f>
        <v/>
      </c>
      <c r="K504" t="inlineStr">
        <is>
          <t>DBT</t>
        </is>
      </c>
      <c r="L504" t="inlineStr">
        <is>
          <t>UST</t>
        </is>
      </c>
      <c r="M504" t="inlineStr"/>
      <c r="N504" t="inlineStr"/>
      <c r="O504" s="1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s="1" t="inlineStr"/>
      <c r="AR504" s="1" t="inlineStr"/>
      <c r="AS504" s="1" t="inlineStr"/>
      <c r="AT504">
        <f>TEXT(BDP($B504,"MATURITY"),"yyyy-mm-dd")</f>
        <v/>
      </c>
      <c r="AU504">
        <f>BDP($B504,"CPN_TYP")</f>
        <v/>
      </c>
      <c r="AV504">
        <f>BDP($B504,"CPN")</f>
        <v/>
      </c>
      <c r="AW504" t="inlineStr"/>
      <c r="AX504" t="inlineStr"/>
      <c r="AY504" t="inlineStr"/>
    </row>
    <row r="505">
      <c r="A505" t="inlineStr">
        <is>
          <t>CIEI</t>
        </is>
      </c>
      <c r="B505" t="inlineStr">
        <is>
          <t>91282CHR5 Govt</t>
        </is>
      </c>
      <c r="C505" s="1" t="inlineStr">
        <is>
          <t>91282CHR5</t>
        </is>
      </c>
      <c r="D505" t="inlineStr">
        <is>
          <t>United States Treasury Note/Bo</t>
        </is>
      </c>
      <c r="E505">
        <f>BDP($B505,"LEGAL_ENTITY_IDENTIFIER")</f>
        <v/>
      </c>
      <c r="F505" t="inlineStr">
        <is>
          <t>United States Treasury Note/Bond 4% 07/31/2030</t>
        </is>
      </c>
      <c r="G505">
        <f>custodian!D505</f>
        <v/>
      </c>
      <c r="H505">
        <f>BDP($B505,"ID_ISIN")</f>
        <v/>
      </c>
      <c r="I505" s="1" t="inlineStr"/>
      <c r="J505">
        <f>BDP($B505,"CNTRY_OF_DOMICILE")</f>
        <v/>
      </c>
      <c r="K505" t="inlineStr">
        <is>
          <t>DBT</t>
        </is>
      </c>
      <c r="L505" t="inlineStr">
        <is>
          <t>UST</t>
        </is>
      </c>
      <c r="M505" t="inlineStr"/>
      <c r="N505" t="inlineStr"/>
      <c r="O505" s="1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s="1" t="inlineStr"/>
      <c r="AR505" s="1" t="inlineStr"/>
      <c r="AS505" s="1" t="inlineStr"/>
      <c r="AT505">
        <f>TEXT(BDP($B505,"MATURITY"),"yyyy-mm-dd")</f>
        <v/>
      </c>
      <c r="AU505">
        <f>BDP($B505,"CPN_TYP")</f>
        <v/>
      </c>
      <c r="AV505">
        <f>BDP($B505,"CPN")</f>
        <v/>
      </c>
      <c r="AW505" t="inlineStr"/>
      <c r="AX505" t="inlineStr"/>
      <c r="AY505" t="inlineStr"/>
    </row>
    <row r="506">
      <c r="A506" t="inlineStr">
        <is>
          <t>CIEI</t>
        </is>
      </c>
      <c r="B506" t="inlineStr">
        <is>
          <t>91282CHW4 Govt</t>
        </is>
      </c>
      <c r="C506" s="1" t="inlineStr">
        <is>
          <t>91282CHW4</t>
        </is>
      </c>
      <c r="D506" t="inlineStr">
        <is>
          <t>United States Treasury Note/Bo</t>
        </is>
      </c>
      <c r="E506">
        <f>BDP($B506,"LEGAL_ENTITY_IDENTIFIER")</f>
        <v/>
      </c>
      <c r="F506" t="inlineStr">
        <is>
          <t>United States Treasury Note/Bond 4.125% 08/31/2030</t>
        </is>
      </c>
      <c r="G506">
        <f>custodian!D506</f>
        <v/>
      </c>
      <c r="H506">
        <f>BDP($B506,"ID_ISIN")</f>
        <v/>
      </c>
      <c r="I506" s="1" t="inlineStr"/>
      <c r="J506">
        <f>BDP($B506,"CNTRY_OF_DOMICILE")</f>
        <v/>
      </c>
      <c r="K506" t="inlineStr">
        <is>
          <t>DBT</t>
        </is>
      </c>
      <c r="L506" t="inlineStr">
        <is>
          <t>UST</t>
        </is>
      </c>
      <c r="M506" t="inlineStr"/>
      <c r="N506" t="inlineStr"/>
      <c r="O506" s="1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s="1" t="inlineStr"/>
      <c r="AR506" s="1" t="inlineStr"/>
      <c r="AS506" s="1" t="inlineStr"/>
      <c r="AT506">
        <f>TEXT(BDP($B506,"MATURITY"),"yyyy-mm-dd")</f>
        <v/>
      </c>
      <c r="AU506">
        <f>BDP($B506,"CPN_TYP")</f>
        <v/>
      </c>
      <c r="AV506">
        <f>BDP($B506,"CPN")</f>
        <v/>
      </c>
      <c r="AW506" t="inlineStr"/>
      <c r="AX506" t="inlineStr"/>
      <c r="AY506" t="inlineStr"/>
    </row>
    <row r="507">
      <c r="A507" t="inlineStr">
        <is>
          <t>CIEI</t>
        </is>
      </c>
      <c r="B507" t="inlineStr">
        <is>
          <t>91282CHZ7 Govt</t>
        </is>
      </c>
      <c r="C507" s="1" t="inlineStr">
        <is>
          <t>91282CHZ7</t>
        </is>
      </c>
      <c r="D507" t="inlineStr">
        <is>
          <t>United States Treasury Note/Bo</t>
        </is>
      </c>
      <c r="E507">
        <f>BDP($B507,"LEGAL_ENTITY_IDENTIFIER")</f>
        <v/>
      </c>
      <c r="F507" t="inlineStr">
        <is>
          <t>United States Treasury Note/Bond 4.625% 09/30/2030</t>
        </is>
      </c>
      <c r="G507">
        <f>custodian!D507</f>
        <v/>
      </c>
      <c r="H507">
        <f>BDP($B507,"ID_ISIN")</f>
        <v/>
      </c>
      <c r="I507" s="1" t="inlineStr"/>
      <c r="J507">
        <f>BDP($B507,"CNTRY_OF_DOMICILE")</f>
        <v/>
      </c>
      <c r="K507" t="inlineStr">
        <is>
          <t>DBT</t>
        </is>
      </c>
      <c r="L507" t="inlineStr">
        <is>
          <t>UST</t>
        </is>
      </c>
      <c r="M507" t="inlineStr"/>
      <c r="N507" t="inlineStr"/>
      <c r="O507" s="1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s="1" t="inlineStr"/>
      <c r="AR507" s="1" t="inlineStr"/>
      <c r="AS507" s="1" t="inlineStr"/>
      <c r="AT507">
        <f>TEXT(BDP($B507,"MATURITY"),"yyyy-mm-dd")</f>
        <v/>
      </c>
      <c r="AU507">
        <f>BDP($B507,"CPN_TYP")</f>
        <v/>
      </c>
      <c r="AV507">
        <f>BDP($B507,"CPN")</f>
        <v/>
      </c>
      <c r="AW507" t="inlineStr"/>
      <c r="AX507" t="inlineStr"/>
      <c r="AY507" t="inlineStr"/>
    </row>
    <row r="508">
      <c r="A508" t="inlineStr">
        <is>
          <t>CIEI</t>
        </is>
      </c>
      <c r="B508" t="inlineStr">
        <is>
          <t>91282CJG7 Govt</t>
        </is>
      </c>
      <c r="C508" s="1" t="inlineStr">
        <is>
          <t>91282CJG7</t>
        </is>
      </c>
      <c r="D508" t="inlineStr">
        <is>
          <t>United States Treasury Note/Bo</t>
        </is>
      </c>
      <c r="E508">
        <f>BDP($B508,"LEGAL_ENTITY_IDENTIFIER")</f>
        <v/>
      </c>
      <c r="F508" t="inlineStr">
        <is>
          <t>United States Treasury Note/Bond 4.875% 10/31/2030</t>
        </is>
      </c>
      <c r="G508">
        <f>custodian!D508</f>
        <v/>
      </c>
      <c r="H508">
        <f>BDP($B508,"ID_ISIN")</f>
        <v/>
      </c>
      <c r="I508" s="1" t="inlineStr"/>
      <c r="J508">
        <f>BDP($B508,"CNTRY_OF_DOMICILE")</f>
        <v/>
      </c>
      <c r="K508" t="inlineStr">
        <is>
          <t>DBT</t>
        </is>
      </c>
      <c r="L508" t="inlineStr">
        <is>
          <t>UST</t>
        </is>
      </c>
      <c r="M508" t="inlineStr"/>
      <c r="N508" t="inlineStr"/>
      <c r="O508" s="1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s="1" t="inlineStr"/>
      <c r="AR508" s="1" t="inlineStr"/>
      <c r="AS508" s="1" t="inlineStr"/>
      <c r="AT508">
        <f>TEXT(BDP($B508,"MATURITY"),"yyyy-mm-dd")</f>
        <v/>
      </c>
      <c r="AU508">
        <f>BDP($B508,"CPN_TYP")</f>
        <v/>
      </c>
      <c r="AV508">
        <f>BDP($B508,"CPN")</f>
        <v/>
      </c>
      <c r="AW508" t="inlineStr"/>
      <c r="AX508" t="inlineStr"/>
      <c r="AY508" t="inlineStr"/>
    </row>
    <row r="509">
      <c r="A509" t="inlineStr">
        <is>
          <t>CIEI</t>
        </is>
      </c>
      <c r="B509" t="inlineStr">
        <is>
          <t>91282CJM4 Govt</t>
        </is>
      </c>
      <c r="C509" s="1" t="inlineStr">
        <is>
          <t>91282CJM4</t>
        </is>
      </c>
      <c r="D509" t="inlineStr">
        <is>
          <t>United States Treasury Note/Bo</t>
        </is>
      </c>
      <c r="E509">
        <f>BDP($B509,"LEGAL_ENTITY_IDENTIFIER")</f>
        <v/>
      </c>
      <c r="F509" t="inlineStr">
        <is>
          <t>United States Treasury Note/Bond 4.375% 11/30/2030</t>
        </is>
      </c>
      <c r="G509">
        <f>custodian!D509</f>
        <v/>
      </c>
      <c r="H509">
        <f>BDP($B509,"ID_ISIN")</f>
        <v/>
      </c>
      <c r="I509" s="1" t="inlineStr"/>
      <c r="J509">
        <f>BDP($B509,"CNTRY_OF_DOMICILE")</f>
        <v/>
      </c>
      <c r="K509" t="inlineStr">
        <is>
          <t>DBT</t>
        </is>
      </c>
      <c r="L509" t="inlineStr">
        <is>
          <t>UST</t>
        </is>
      </c>
      <c r="M509" t="inlineStr"/>
      <c r="N509" t="inlineStr"/>
      <c r="O509" s="1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s="1" t="inlineStr"/>
      <c r="AR509" s="1" t="inlineStr"/>
      <c r="AS509" s="1" t="inlineStr"/>
      <c r="AT509">
        <f>TEXT(BDP($B509,"MATURITY"),"yyyy-mm-dd")</f>
        <v/>
      </c>
      <c r="AU509">
        <f>BDP($B509,"CPN_TYP")</f>
        <v/>
      </c>
      <c r="AV509">
        <f>BDP($B509,"CPN")</f>
        <v/>
      </c>
      <c r="AW509" t="inlineStr"/>
      <c r="AX509" t="inlineStr"/>
      <c r="AY509" t="inlineStr"/>
    </row>
    <row r="510">
      <c r="A510" t="inlineStr">
        <is>
          <t>CIEI</t>
        </is>
      </c>
      <c r="B510" t="inlineStr">
        <is>
          <t>91282CJQ5 Govt</t>
        </is>
      </c>
      <c r="C510" s="1" t="inlineStr">
        <is>
          <t>91282CJQ5</t>
        </is>
      </c>
      <c r="D510" t="inlineStr">
        <is>
          <t>United States Treasury Note/Bo</t>
        </is>
      </c>
      <c r="E510">
        <f>BDP($B510,"LEGAL_ENTITY_IDENTIFIER")</f>
        <v/>
      </c>
      <c r="F510" t="inlineStr">
        <is>
          <t>United States Treasury Note/Bond 3.75% 12/31/2030</t>
        </is>
      </c>
      <c r="G510">
        <f>custodian!D510</f>
        <v/>
      </c>
      <c r="H510">
        <f>BDP($B510,"ID_ISIN")</f>
        <v/>
      </c>
      <c r="I510" s="1" t="inlineStr"/>
      <c r="J510">
        <f>BDP($B510,"CNTRY_OF_DOMICILE")</f>
        <v/>
      </c>
      <c r="K510" t="inlineStr">
        <is>
          <t>DBT</t>
        </is>
      </c>
      <c r="L510" t="inlineStr">
        <is>
          <t>UST</t>
        </is>
      </c>
      <c r="M510" t="inlineStr"/>
      <c r="N510" t="inlineStr"/>
      <c r="O510" s="1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s="1" t="inlineStr"/>
      <c r="AR510" s="1" t="inlineStr"/>
      <c r="AS510" s="1" t="inlineStr"/>
      <c r="AT510">
        <f>TEXT(BDP($B510,"MATURITY"),"yyyy-mm-dd")</f>
        <v/>
      </c>
      <c r="AU510">
        <f>BDP($B510,"CPN_TYP")</f>
        <v/>
      </c>
      <c r="AV510">
        <f>BDP($B510,"CPN")</f>
        <v/>
      </c>
      <c r="AW510" t="inlineStr"/>
      <c r="AX510" t="inlineStr"/>
      <c r="AY510" t="inlineStr"/>
    </row>
    <row r="511">
      <c r="A511" t="inlineStr">
        <is>
          <t>CIEI</t>
        </is>
      </c>
      <c r="B511" t="inlineStr">
        <is>
          <t>91282CJX0 Govt</t>
        </is>
      </c>
      <c r="C511" s="1" t="inlineStr">
        <is>
          <t>91282CJX0</t>
        </is>
      </c>
      <c r="D511" t="inlineStr">
        <is>
          <t>United States Treasury Note/Bo</t>
        </is>
      </c>
      <c r="E511">
        <f>BDP($B511,"LEGAL_ENTITY_IDENTIFIER")</f>
        <v/>
      </c>
      <c r="F511" t="inlineStr">
        <is>
          <t>United States Treasury Note/Bond 4% 01/31/2031</t>
        </is>
      </c>
      <c r="G511">
        <f>custodian!D511</f>
        <v/>
      </c>
      <c r="H511">
        <f>BDP($B511,"ID_ISIN")</f>
        <v/>
      </c>
      <c r="I511" s="1" t="inlineStr"/>
      <c r="J511">
        <f>BDP($B511,"CNTRY_OF_DOMICILE")</f>
        <v/>
      </c>
      <c r="K511" t="inlineStr">
        <is>
          <t>DBT</t>
        </is>
      </c>
      <c r="L511" t="inlineStr">
        <is>
          <t>UST</t>
        </is>
      </c>
      <c r="M511" t="inlineStr"/>
      <c r="N511" t="inlineStr"/>
      <c r="O511" s="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s="1" t="inlineStr"/>
      <c r="AR511" s="1" t="inlineStr"/>
      <c r="AS511" s="1" t="inlineStr"/>
      <c r="AT511">
        <f>TEXT(BDP($B511,"MATURITY"),"yyyy-mm-dd")</f>
        <v/>
      </c>
      <c r="AU511">
        <f>BDP($B511,"CPN_TYP")</f>
        <v/>
      </c>
      <c r="AV511">
        <f>BDP($B511,"CPN")</f>
        <v/>
      </c>
      <c r="AW511" t="inlineStr"/>
      <c r="AX511" t="inlineStr"/>
      <c r="AY511" t="inlineStr"/>
    </row>
    <row r="512">
      <c r="A512" t="inlineStr">
        <is>
          <t>CIEI</t>
        </is>
      </c>
      <c r="B512" t="inlineStr">
        <is>
          <t>91282CKC4 Govt</t>
        </is>
      </c>
      <c r="C512" s="1" t="inlineStr">
        <is>
          <t>91282CKC4</t>
        </is>
      </c>
      <c r="D512" t="inlineStr">
        <is>
          <t>United States Treasury Note/Bo</t>
        </is>
      </c>
      <c r="E512">
        <f>BDP($B512,"LEGAL_ENTITY_IDENTIFIER")</f>
        <v/>
      </c>
      <c r="F512" t="inlineStr">
        <is>
          <t>United States Treasury Note/Bond 4.25% 02/28/2031</t>
        </is>
      </c>
      <c r="G512">
        <f>custodian!D512</f>
        <v/>
      </c>
      <c r="H512">
        <f>BDP($B512,"ID_ISIN")</f>
        <v/>
      </c>
      <c r="I512" s="1" t="inlineStr"/>
      <c r="J512">
        <f>BDP($B512,"CNTRY_OF_DOMICILE")</f>
        <v/>
      </c>
      <c r="K512" t="inlineStr">
        <is>
          <t>DBT</t>
        </is>
      </c>
      <c r="L512" t="inlineStr">
        <is>
          <t>UST</t>
        </is>
      </c>
      <c r="M512" t="inlineStr"/>
      <c r="N512" t="inlineStr"/>
      <c r="O512" s="1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s="1" t="inlineStr"/>
      <c r="AR512" s="1" t="inlineStr"/>
      <c r="AS512" s="1" t="inlineStr"/>
      <c r="AT512">
        <f>TEXT(BDP($B512,"MATURITY"),"yyyy-mm-dd")</f>
        <v/>
      </c>
      <c r="AU512">
        <f>BDP($B512,"CPN_TYP")</f>
        <v/>
      </c>
      <c r="AV512">
        <f>BDP($B512,"CPN")</f>
        <v/>
      </c>
      <c r="AW512" t="inlineStr"/>
      <c r="AX512" t="inlineStr"/>
      <c r="AY512" t="inlineStr"/>
    </row>
    <row r="513">
      <c r="A513" t="inlineStr">
        <is>
          <t>CIEI</t>
        </is>
      </c>
      <c r="B513" t="inlineStr">
        <is>
          <t>91282CKF7 Govt</t>
        </is>
      </c>
      <c r="C513" s="1" t="inlineStr">
        <is>
          <t>91282CKF7</t>
        </is>
      </c>
      <c r="D513" t="inlineStr">
        <is>
          <t>United States Treasury Note/Bo</t>
        </is>
      </c>
      <c r="E513">
        <f>BDP($B513,"LEGAL_ENTITY_IDENTIFIER")</f>
        <v/>
      </c>
      <c r="F513" t="inlineStr">
        <is>
          <t>United States Treasury Note/Bond 4.125% 03/31/2031</t>
        </is>
      </c>
      <c r="G513">
        <f>custodian!D513</f>
        <v/>
      </c>
      <c r="H513">
        <f>BDP($B513,"ID_ISIN")</f>
        <v/>
      </c>
      <c r="I513" s="1" t="inlineStr"/>
      <c r="J513">
        <f>BDP($B513,"CNTRY_OF_DOMICILE")</f>
        <v/>
      </c>
      <c r="K513" t="inlineStr">
        <is>
          <t>DBT</t>
        </is>
      </c>
      <c r="L513" t="inlineStr">
        <is>
          <t>UST</t>
        </is>
      </c>
      <c r="M513" t="inlineStr"/>
      <c r="N513" t="inlineStr"/>
      <c r="O513" s="1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s="1" t="inlineStr"/>
      <c r="AR513" s="1" t="inlineStr"/>
      <c r="AS513" s="1" t="inlineStr"/>
      <c r="AT513">
        <f>TEXT(BDP($B513,"MATURITY"),"yyyy-mm-dd")</f>
        <v/>
      </c>
      <c r="AU513">
        <f>BDP($B513,"CPN_TYP")</f>
        <v/>
      </c>
      <c r="AV513">
        <f>BDP($B513,"CPN")</f>
        <v/>
      </c>
      <c r="AW513" t="inlineStr"/>
      <c r="AX513" t="inlineStr"/>
      <c r="AY513" t="inlineStr"/>
    </row>
    <row r="514">
      <c r="A514" t="inlineStr">
        <is>
          <t>CIEI</t>
        </is>
      </c>
      <c r="B514" t="inlineStr">
        <is>
          <t>91282CKN0 Govt</t>
        </is>
      </c>
      <c r="C514" s="1" t="inlineStr">
        <is>
          <t>91282CKN0</t>
        </is>
      </c>
      <c r="D514" t="inlineStr">
        <is>
          <t>United States Treasury Note/Bo</t>
        </is>
      </c>
      <c r="E514">
        <f>BDP($B514,"LEGAL_ENTITY_IDENTIFIER")</f>
        <v/>
      </c>
      <c r="F514" t="inlineStr">
        <is>
          <t>United States Treasury Note/Bond 4.625% 04/30/2031</t>
        </is>
      </c>
      <c r="G514">
        <f>custodian!D514</f>
        <v/>
      </c>
      <c r="H514">
        <f>BDP($B514,"ID_ISIN")</f>
        <v/>
      </c>
      <c r="I514" s="1" t="inlineStr"/>
      <c r="J514">
        <f>BDP($B514,"CNTRY_OF_DOMICILE")</f>
        <v/>
      </c>
      <c r="K514" t="inlineStr">
        <is>
          <t>DBT</t>
        </is>
      </c>
      <c r="L514" t="inlineStr">
        <is>
          <t>UST</t>
        </is>
      </c>
      <c r="M514" t="inlineStr"/>
      <c r="N514" t="inlineStr"/>
      <c r="O514" s="1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s="1" t="inlineStr"/>
      <c r="AR514" s="1" t="inlineStr"/>
      <c r="AS514" s="1" t="inlineStr"/>
      <c r="AT514">
        <f>TEXT(BDP($B514,"MATURITY"),"yyyy-mm-dd")</f>
        <v/>
      </c>
      <c r="AU514">
        <f>BDP($B514,"CPN_TYP")</f>
        <v/>
      </c>
      <c r="AV514">
        <f>BDP($B514,"CPN")</f>
        <v/>
      </c>
      <c r="AW514" t="inlineStr"/>
      <c r="AX514" t="inlineStr"/>
      <c r="AY514" t="inlineStr"/>
    </row>
    <row r="515">
      <c r="A515" t="inlineStr">
        <is>
          <t>CIEI</t>
        </is>
      </c>
      <c r="B515" t="inlineStr">
        <is>
          <t>91282CKT7 Govt</t>
        </is>
      </c>
      <c r="C515" s="1" t="inlineStr">
        <is>
          <t>91282CKT7</t>
        </is>
      </c>
      <c r="D515" t="inlineStr">
        <is>
          <t>United States Treasury Note/Bo</t>
        </is>
      </c>
      <c r="E515">
        <f>BDP($B515,"LEGAL_ENTITY_IDENTIFIER")</f>
        <v/>
      </c>
      <c r="F515" t="inlineStr">
        <is>
          <t>United States Treasury Note/Bond 4.5% 05/31/2029</t>
        </is>
      </c>
      <c r="G515">
        <f>custodian!D515</f>
        <v/>
      </c>
      <c r="H515">
        <f>BDP($B515,"ID_ISIN")</f>
        <v/>
      </c>
      <c r="I515" s="1" t="inlineStr"/>
      <c r="J515">
        <f>BDP($B515,"CNTRY_OF_DOMICILE")</f>
        <v/>
      </c>
      <c r="K515" t="inlineStr">
        <is>
          <t>DBT</t>
        </is>
      </c>
      <c r="L515" t="inlineStr">
        <is>
          <t>UST</t>
        </is>
      </c>
      <c r="M515" t="inlineStr"/>
      <c r="N515" t="inlineStr"/>
      <c r="O515" s="1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s="1" t="inlineStr"/>
      <c r="AR515" s="1" t="inlineStr"/>
      <c r="AS515" s="1" t="inlineStr"/>
      <c r="AT515">
        <f>TEXT(BDP($B515,"MATURITY"),"yyyy-mm-dd")</f>
        <v/>
      </c>
      <c r="AU515">
        <f>BDP($B515,"CPN_TYP")</f>
        <v/>
      </c>
      <c r="AV515">
        <f>BDP($B515,"CPN")</f>
        <v/>
      </c>
      <c r="AW515" t="inlineStr"/>
      <c r="AX515" t="inlineStr"/>
      <c r="AY515" t="inlineStr"/>
    </row>
    <row r="516">
      <c r="A516" t="inlineStr">
        <is>
          <t>CIEI</t>
        </is>
      </c>
      <c r="B516" t="inlineStr">
        <is>
          <t>91282CKU4 Govt</t>
        </is>
      </c>
      <c r="C516" s="1" t="inlineStr">
        <is>
          <t>91282CKU4</t>
        </is>
      </c>
      <c r="D516" t="inlineStr">
        <is>
          <t>United States Treasury Note/Bo</t>
        </is>
      </c>
      <c r="E516">
        <f>BDP($B516,"LEGAL_ENTITY_IDENTIFIER")</f>
        <v/>
      </c>
      <c r="F516" t="inlineStr">
        <is>
          <t>United States Treasury Note/Bond 4.625% 05/31/2031</t>
        </is>
      </c>
      <c r="G516">
        <f>custodian!D516</f>
        <v/>
      </c>
      <c r="H516">
        <f>BDP($B516,"ID_ISIN")</f>
        <v/>
      </c>
      <c r="I516" s="1" t="inlineStr"/>
      <c r="J516">
        <f>BDP($B516,"CNTRY_OF_DOMICILE")</f>
        <v/>
      </c>
      <c r="K516" t="inlineStr">
        <is>
          <t>DBT</t>
        </is>
      </c>
      <c r="L516" t="inlineStr">
        <is>
          <t>UST</t>
        </is>
      </c>
      <c r="M516" t="inlineStr"/>
      <c r="N516" t="inlineStr"/>
      <c r="O516" s="1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s="1" t="inlineStr"/>
      <c r="AR516" s="1" t="inlineStr"/>
      <c r="AS516" s="1" t="inlineStr"/>
      <c r="AT516">
        <f>TEXT(BDP($B516,"MATURITY"),"yyyy-mm-dd")</f>
        <v/>
      </c>
      <c r="AU516">
        <f>BDP($B516,"CPN_TYP")</f>
        <v/>
      </c>
      <c r="AV516">
        <f>BDP($B516,"CPN")</f>
        <v/>
      </c>
      <c r="AW516" t="inlineStr"/>
      <c r="AX516" t="inlineStr"/>
      <c r="AY516" t="inlineStr"/>
    </row>
    <row r="517">
      <c r="A517" t="inlineStr">
        <is>
          <t>CIEI</t>
        </is>
      </c>
      <c r="B517" t="inlineStr">
        <is>
          <t>91282CKW0 Govt</t>
        </is>
      </c>
      <c r="C517" s="1" t="inlineStr">
        <is>
          <t>91282CKW0</t>
        </is>
      </c>
      <c r="D517" t="inlineStr">
        <is>
          <t>United States Treasury Note/Bo</t>
        </is>
      </c>
      <c r="E517">
        <f>BDP($B517,"LEGAL_ENTITY_IDENTIFIER")</f>
        <v/>
      </c>
      <c r="F517" t="inlineStr">
        <is>
          <t>United States Treasury Note/Bond 4.25% 06/30/2031</t>
        </is>
      </c>
      <c r="G517">
        <f>custodian!D517</f>
        <v/>
      </c>
      <c r="H517">
        <f>BDP($B517,"ID_ISIN")</f>
        <v/>
      </c>
      <c r="I517" s="1" t="inlineStr"/>
      <c r="J517">
        <f>BDP($B517,"CNTRY_OF_DOMICILE")</f>
        <v/>
      </c>
      <c r="K517" t="inlineStr">
        <is>
          <t>DBT</t>
        </is>
      </c>
      <c r="L517" t="inlineStr">
        <is>
          <t>UST</t>
        </is>
      </c>
      <c r="M517" t="inlineStr"/>
      <c r="N517" t="inlineStr"/>
      <c r="O517" s="1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s="1" t="inlineStr"/>
      <c r="AR517" s="1" t="inlineStr"/>
      <c r="AS517" s="1" t="inlineStr"/>
      <c r="AT517">
        <f>TEXT(BDP($B517,"MATURITY"),"yyyy-mm-dd")</f>
        <v/>
      </c>
      <c r="AU517">
        <f>BDP($B517,"CPN_TYP")</f>
        <v/>
      </c>
      <c r="AV517">
        <f>BDP($B517,"CPN")</f>
        <v/>
      </c>
      <c r="AW517" t="inlineStr"/>
      <c r="AX517" t="inlineStr"/>
      <c r="AY517" t="inlineStr"/>
    </row>
    <row r="518">
      <c r="A518" t="inlineStr">
        <is>
          <t>CIEI</t>
        </is>
      </c>
      <c r="B518" t="inlineStr">
        <is>
          <t>91282CKX8 Govt</t>
        </is>
      </c>
      <c r="C518" s="1" t="inlineStr">
        <is>
          <t>91282CKX8</t>
        </is>
      </c>
      <c r="D518" t="inlineStr">
        <is>
          <t>United States Treasury Note/Bo</t>
        </is>
      </c>
      <c r="E518">
        <f>BDP($B518,"LEGAL_ENTITY_IDENTIFIER")</f>
        <v/>
      </c>
      <c r="F518" t="inlineStr">
        <is>
          <t>United States Treasury Note/Bond 4.25% 06/30/2029</t>
        </is>
      </c>
      <c r="G518">
        <f>custodian!D518</f>
        <v/>
      </c>
      <c r="H518">
        <f>BDP($B518,"ID_ISIN")</f>
        <v/>
      </c>
      <c r="I518" s="1" t="inlineStr"/>
      <c r="J518">
        <f>BDP($B518,"CNTRY_OF_DOMICILE")</f>
        <v/>
      </c>
      <c r="K518" t="inlineStr">
        <is>
          <t>DBT</t>
        </is>
      </c>
      <c r="L518" t="inlineStr">
        <is>
          <t>UST</t>
        </is>
      </c>
      <c r="M518" t="inlineStr"/>
      <c r="N518" t="inlineStr"/>
      <c r="O518" s="1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s="1" t="inlineStr"/>
      <c r="AR518" s="1" t="inlineStr"/>
      <c r="AS518" s="1" t="inlineStr"/>
      <c r="AT518">
        <f>TEXT(BDP($B518,"MATURITY"),"yyyy-mm-dd")</f>
        <v/>
      </c>
      <c r="AU518">
        <f>BDP($B518,"CPN_TYP")</f>
        <v/>
      </c>
      <c r="AV518">
        <f>BDP($B518,"CPN")</f>
        <v/>
      </c>
      <c r="AW518" t="inlineStr"/>
      <c r="AX518" t="inlineStr"/>
      <c r="AY518" t="inlineStr"/>
    </row>
    <row r="519">
      <c r="A519" t="inlineStr">
        <is>
          <t>CIEI</t>
        </is>
      </c>
      <c r="B519" t="inlineStr">
        <is>
          <t>91282CLC3 Govt</t>
        </is>
      </c>
      <c r="C519" s="1" t="inlineStr">
        <is>
          <t>91282CLC3</t>
        </is>
      </c>
      <c r="D519" t="inlineStr">
        <is>
          <t>United States Treasury Note/Bo</t>
        </is>
      </c>
      <c r="E519">
        <f>BDP($B519,"LEGAL_ENTITY_IDENTIFIER")</f>
        <v/>
      </c>
      <c r="F519" t="inlineStr">
        <is>
          <t>United States Treasury Note/Bond 4% 07/31/2029</t>
        </is>
      </c>
      <c r="G519">
        <f>custodian!D519</f>
        <v/>
      </c>
      <c r="H519">
        <f>BDP($B519,"ID_ISIN")</f>
        <v/>
      </c>
      <c r="I519" s="1" t="inlineStr"/>
      <c r="J519">
        <f>BDP($B519,"CNTRY_OF_DOMICILE")</f>
        <v/>
      </c>
      <c r="K519" t="inlineStr">
        <is>
          <t>DBT</t>
        </is>
      </c>
      <c r="L519" t="inlineStr">
        <is>
          <t>UST</t>
        </is>
      </c>
      <c r="M519" t="inlineStr"/>
      <c r="N519" t="inlineStr"/>
      <c r="O519" s="1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s="1" t="inlineStr"/>
      <c r="AR519" s="1" t="inlineStr"/>
      <c r="AS519" s="1" t="inlineStr"/>
      <c r="AT519">
        <f>TEXT(BDP($B519,"MATURITY"),"yyyy-mm-dd")</f>
        <v/>
      </c>
      <c r="AU519">
        <f>BDP($B519,"CPN_TYP")</f>
        <v/>
      </c>
      <c r="AV519">
        <f>BDP($B519,"CPN")</f>
        <v/>
      </c>
      <c r="AW519" t="inlineStr"/>
      <c r="AX519" t="inlineStr"/>
      <c r="AY519" t="inlineStr"/>
    </row>
    <row r="520">
      <c r="A520" t="inlineStr">
        <is>
          <t>CIEI</t>
        </is>
      </c>
      <c r="B520" t="inlineStr">
        <is>
          <t>91282CLD1 Govt</t>
        </is>
      </c>
      <c r="C520" s="1" t="inlineStr">
        <is>
          <t>91282CLD1</t>
        </is>
      </c>
      <c r="D520" t="inlineStr">
        <is>
          <t>United States Treasury Note/Bo</t>
        </is>
      </c>
      <c r="E520">
        <f>BDP($B520,"LEGAL_ENTITY_IDENTIFIER")</f>
        <v/>
      </c>
      <c r="F520" t="inlineStr">
        <is>
          <t>United States Treasury Note/Bond 4.125% 07/31/2031</t>
        </is>
      </c>
      <c r="G520">
        <f>custodian!D520</f>
        <v/>
      </c>
      <c r="H520">
        <f>BDP($B520,"ID_ISIN")</f>
        <v/>
      </c>
      <c r="I520" s="1" t="inlineStr"/>
      <c r="J520">
        <f>BDP($B520,"CNTRY_OF_DOMICILE")</f>
        <v/>
      </c>
      <c r="K520" t="inlineStr">
        <is>
          <t>DBT</t>
        </is>
      </c>
      <c r="L520" t="inlineStr">
        <is>
          <t>UST</t>
        </is>
      </c>
      <c r="M520" t="inlineStr"/>
      <c r="N520" t="inlineStr"/>
      <c r="O520" s="1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s="1" t="inlineStr"/>
      <c r="AR520" s="1" t="inlineStr"/>
      <c r="AS520" s="1" t="inlineStr"/>
      <c r="AT520">
        <f>TEXT(BDP($B520,"MATURITY"),"yyyy-mm-dd")</f>
        <v/>
      </c>
      <c r="AU520">
        <f>BDP($B520,"CPN_TYP")</f>
        <v/>
      </c>
      <c r="AV520">
        <f>BDP($B520,"CPN")</f>
        <v/>
      </c>
      <c r="AW520" t="inlineStr"/>
      <c r="AX520" t="inlineStr"/>
      <c r="AY520" t="inlineStr"/>
    </row>
    <row r="521">
      <c r="A521" t="inlineStr">
        <is>
          <t>CIEI</t>
        </is>
      </c>
      <c r="B521" t="inlineStr">
        <is>
          <t>91282CLJ8 Govt</t>
        </is>
      </c>
      <c r="C521" s="1" t="inlineStr">
        <is>
          <t>91282CLJ8</t>
        </is>
      </c>
      <c r="D521" t="inlineStr">
        <is>
          <t>United States Treasury Note/Bo</t>
        </is>
      </c>
      <c r="E521">
        <f>BDP($B521,"LEGAL_ENTITY_IDENTIFIER")</f>
        <v/>
      </c>
      <c r="F521" t="inlineStr">
        <is>
          <t>United States Treasury Note/Bond 3.75% 08/31/2031</t>
        </is>
      </c>
      <c r="G521">
        <f>custodian!D521</f>
        <v/>
      </c>
      <c r="H521">
        <f>BDP($B521,"ID_ISIN")</f>
        <v/>
      </c>
      <c r="I521" s="1" t="inlineStr"/>
      <c r="J521">
        <f>BDP($B521,"CNTRY_OF_DOMICILE")</f>
        <v/>
      </c>
      <c r="K521" t="inlineStr">
        <is>
          <t>DBT</t>
        </is>
      </c>
      <c r="L521" t="inlineStr">
        <is>
          <t>UST</t>
        </is>
      </c>
      <c r="M521" t="inlineStr"/>
      <c r="N521" t="inlineStr"/>
      <c r="O521" s="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s="1" t="inlineStr"/>
      <c r="AR521" s="1" t="inlineStr"/>
      <c r="AS521" s="1" t="inlineStr"/>
      <c r="AT521">
        <f>TEXT(BDP($B521,"MATURITY"),"yyyy-mm-dd")</f>
        <v/>
      </c>
      <c r="AU521">
        <f>BDP($B521,"CPN_TYP")</f>
        <v/>
      </c>
      <c r="AV521">
        <f>BDP($B521,"CPN")</f>
        <v/>
      </c>
      <c r="AW521" t="inlineStr"/>
      <c r="AX521" t="inlineStr"/>
      <c r="AY521" t="inlineStr"/>
    </row>
    <row r="522">
      <c r="A522" t="inlineStr">
        <is>
          <t>CIEI</t>
        </is>
      </c>
      <c r="B522" t="inlineStr">
        <is>
          <t>91282CLK5 Govt</t>
        </is>
      </c>
      <c r="C522" s="1" t="inlineStr">
        <is>
          <t>91282CLK5</t>
        </is>
      </c>
      <c r="D522" t="inlineStr">
        <is>
          <t>United States Treasury Note/Bo</t>
        </is>
      </c>
      <c r="E522">
        <f>BDP($B522,"LEGAL_ENTITY_IDENTIFIER")</f>
        <v/>
      </c>
      <c r="F522" t="inlineStr">
        <is>
          <t>United States Treasury Note/Bond 3.625% 08/31/2029</t>
        </is>
      </c>
      <c r="G522">
        <f>custodian!D522</f>
        <v/>
      </c>
      <c r="H522">
        <f>BDP($B522,"ID_ISIN")</f>
        <v/>
      </c>
      <c r="I522" s="1" t="inlineStr"/>
      <c r="J522">
        <f>BDP($B522,"CNTRY_OF_DOMICILE")</f>
        <v/>
      </c>
      <c r="K522" t="inlineStr">
        <is>
          <t>DBT</t>
        </is>
      </c>
      <c r="L522" t="inlineStr">
        <is>
          <t>UST</t>
        </is>
      </c>
      <c r="M522" t="inlineStr"/>
      <c r="N522" t="inlineStr"/>
      <c r="O522" s="1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s="1" t="inlineStr"/>
      <c r="AR522" s="1" t="inlineStr"/>
      <c r="AS522" s="1" t="inlineStr"/>
      <c r="AT522">
        <f>TEXT(BDP($B522,"MATURITY"),"yyyy-mm-dd")</f>
        <v/>
      </c>
      <c r="AU522">
        <f>BDP($B522,"CPN_TYP")</f>
        <v/>
      </c>
      <c r="AV522">
        <f>BDP($B522,"CPN")</f>
        <v/>
      </c>
      <c r="AW522" t="inlineStr"/>
      <c r="AX522" t="inlineStr"/>
      <c r="AY522" t="inlineStr"/>
    </row>
    <row r="523">
      <c r="A523" t="inlineStr">
        <is>
          <t>CIEI</t>
        </is>
      </c>
      <c r="B523" t="inlineStr">
        <is>
          <t>91282CLM1 Govt</t>
        </is>
      </c>
      <c r="C523" s="1" t="inlineStr">
        <is>
          <t>91282CLM1</t>
        </is>
      </c>
      <c r="D523" t="inlineStr">
        <is>
          <t>United States Treasury Note/Bo</t>
        </is>
      </c>
      <c r="E523">
        <f>BDP($B523,"LEGAL_ENTITY_IDENTIFIER")</f>
        <v/>
      </c>
      <c r="F523" t="inlineStr">
        <is>
          <t>United States Treasury Note/Bond 3.625% 09/30/2031</t>
        </is>
      </c>
      <c r="G523">
        <f>custodian!D523</f>
        <v/>
      </c>
      <c r="H523">
        <f>BDP($B523,"ID_ISIN")</f>
        <v/>
      </c>
      <c r="I523" s="1" t="inlineStr"/>
      <c r="J523">
        <f>BDP($B523,"CNTRY_OF_DOMICILE")</f>
        <v/>
      </c>
      <c r="K523" t="inlineStr">
        <is>
          <t>DBT</t>
        </is>
      </c>
      <c r="L523" t="inlineStr">
        <is>
          <t>UST</t>
        </is>
      </c>
      <c r="M523" t="inlineStr"/>
      <c r="N523" t="inlineStr"/>
      <c r="O523" s="1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s="1" t="inlineStr"/>
      <c r="AR523" s="1" t="inlineStr"/>
      <c r="AS523" s="1" t="inlineStr"/>
      <c r="AT523">
        <f>TEXT(BDP($B523,"MATURITY"),"yyyy-mm-dd")</f>
        <v/>
      </c>
      <c r="AU523">
        <f>BDP($B523,"CPN_TYP")</f>
        <v/>
      </c>
      <c r="AV523">
        <f>BDP($B523,"CPN")</f>
        <v/>
      </c>
      <c r="AW523" t="inlineStr"/>
      <c r="AX523" t="inlineStr"/>
      <c r="AY523" t="inlineStr"/>
    </row>
    <row r="524">
      <c r="A524" t="inlineStr">
        <is>
          <t>CIEI</t>
        </is>
      </c>
      <c r="B524" t="inlineStr">
        <is>
          <t>91282CLN9 Govt</t>
        </is>
      </c>
      <c r="C524" s="1" t="inlineStr">
        <is>
          <t>91282CLN9</t>
        </is>
      </c>
      <c r="D524" t="inlineStr">
        <is>
          <t>United States Treasury Note/Bo</t>
        </is>
      </c>
      <c r="E524">
        <f>BDP($B524,"LEGAL_ENTITY_IDENTIFIER")</f>
        <v/>
      </c>
      <c r="F524" t="inlineStr">
        <is>
          <t>United States Treasury Note/Bond 3.5% 09/30/2029</t>
        </is>
      </c>
      <c r="G524">
        <f>custodian!D524</f>
        <v/>
      </c>
      <c r="H524">
        <f>BDP($B524,"ID_ISIN")</f>
        <v/>
      </c>
      <c r="I524" s="1" t="inlineStr"/>
      <c r="J524">
        <f>BDP($B524,"CNTRY_OF_DOMICILE")</f>
        <v/>
      </c>
      <c r="K524" t="inlineStr">
        <is>
          <t>DBT</t>
        </is>
      </c>
      <c r="L524" t="inlineStr">
        <is>
          <t>UST</t>
        </is>
      </c>
      <c r="M524" t="inlineStr"/>
      <c r="N524" t="inlineStr"/>
      <c r="O524" s="1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s="1" t="inlineStr"/>
      <c r="AR524" s="1" t="inlineStr"/>
      <c r="AS524" s="1" t="inlineStr"/>
      <c r="AT524">
        <f>TEXT(BDP($B524,"MATURITY"),"yyyy-mm-dd")</f>
        <v/>
      </c>
      <c r="AU524">
        <f>BDP($B524,"CPN_TYP")</f>
        <v/>
      </c>
      <c r="AV524">
        <f>BDP($B524,"CPN")</f>
        <v/>
      </c>
      <c r="AW524" t="inlineStr"/>
      <c r="AX524" t="inlineStr"/>
      <c r="AY524" t="inlineStr"/>
    </row>
    <row r="525">
      <c r="A525" t="inlineStr">
        <is>
          <t>CIEI</t>
        </is>
      </c>
      <c r="B525" t="inlineStr">
        <is>
          <t>91282CLR0 Govt</t>
        </is>
      </c>
      <c r="C525" s="1" t="inlineStr">
        <is>
          <t>91282CLR0</t>
        </is>
      </c>
      <c r="D525" t="inlineStr">
        <is>
          <t>United States Treasury Note/Bo</t>
        </is>
      </c>
      <c r="E525">
        <f>BDP($B525,"LEGAL_ENTITY_IDENTIFIER")</f>
        <v/>
      </c>
      <c r="F525" t="inlineStr">
        <is>
          <t>United States Treasury Note/Bond 4.125% 10/31/2029</t>
        </is>
      </c>
      <c r="G525">
        <f>custodian!D525</f>
        <v/>
      </c>
      <c r="H525">
        <f>BDP($B525,"ID_ISIN")</f>
        <v/>
      </c>
      <c r="I525" s="1" t="inlineStr"/>
      <c r="J525">
        <f>BDP($B525,"CNTRY_OF_DOMICILE")</f>
        <v/>
      </c>
      <c r="K525" t="inlineStr">
        <is>
          <t>DBT</t>
        </is>
      </c>
      <c r="L525" t="inlineStr">
        <is>
          <t>UST</t>
        </is>
      </c>
      <c r="M525" t="inlineStr"/>
      <c r="N525" t="inlineStr"/>
      <c r="O525" s="1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s="1" t="inlineStr"/>
      <c r="AR525" s="1" t="inlineStr"/>
      <c r="AS525" s="1" t="inlineStr"/>
      <c r="AT525">
        <f>TEXT(BDP($B525,"MATURITY"),"yyyy-mm-dd")</f>
        <v/>
      </c>
      <c r="AU525">
        <f>BDP($B525,"CPN_TYP")</f>
        <v/>
      </c>
      <c r="AV525">
        <f>BDP($B525,"CPN")</f>
        <v/>
      </c>
      <c r="AW525" t="inlineStr"/>
      <c r="AX525" t="inlineStr"/>
      <c r="AY525" t="inlineStr"/>
    </row>
    <row r="526">
      <c r="A526" t="inlineStr">
        <is>
          <t>CIEI</t>
        </is>
      </c>
      <c r="B526" t="inlineStr">
        <is>
          <t>91282CLU3 Govt</t>
        </is>
      </c>
      <c r="C526" s="1" t="inlineStr">
        <is>
          <t>91282CLU3</t>
        </is>
      </c>
      <c r="D526" t="inlineStr">
        <is>
          <t>United States Treasury Note/Bo</t>
        </is>
      </c>
      <c r="E526">
        <f>BDP($B526,"LEGAL_ENTITY_IDENTIFIER")</f>
        <v/>
      </c>
      <c r="F526" t="inlineStr">
        <is>
          <t>United States Treasury Note/Bond 4.125% 10/31/2031</t>
        </is>
      </c>
      <c r="G526">
        <f>custodian!D526</f>
        <v/>
      </c>
      <c r="H526">
        <f>BDP($B526,"ID_ISIN")</f>
        <v/>
      </c>
      <c r="I526" s="1" t="inlineStr"/>
      <c r="J526">
        <f>BDP($B526,"CNTRY_OF_DOMICILE")</f>
        <v/>
      </c>
      <c r="K526" t="inlineStr">
        <is>
          <t>DBT</t>
        </is>
      </c>
      <c r="L526" t="inlineStr">
        <is>
          <t>UST</t>
        </is>
      </c>
      <c r="M526" t="inlineStr"/>
      <c r="N526" t="inlineStr"/>
      <c r="O526" s="1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s="1" t="inlineStr"/>
      <c r="AR526" s="1" t="inlineStr"/>
      <c r="AS526" s="1" t="inlineStr"/>
      <c r="AT526">
        <f>TEXT(BDP($B526,"MATURITY"),"yyyy-mm-dd")</f>
        <v/>
      </c>
      <c r="AU526">
        <f>BDP($B526,"CPN_TYP")</f>
        <v/>
      </c>
      <c r="AV526">
        <f>BDP($B526,"CPN")</f>
        <v/>
      </c>
      <c r="AW526" t="inlineStr"/>
      <c r="AX526" t="inlineStr"/>
      <c r="AY526" t="inlineStr"/>
    </row>
    <row r="527">
      <c r="A527" t="inlineStr">
        <is>
          <t>CIEI</t>
        </is>
      </c>
      <c r="B527" t="inlineStr">
        <is>
          <t>91282CLZ2 Govt</t>
        </is>
      </c>
      <c r="C527" s="1" t="inlineStr">
        <is>
          <t>91282CLZ2</t>
        </is>
      </c>
      <c r="D527" t="inlineStr">
        <is>
          <t>United States Treasury Note/Bo</t>
        </is>
      </c>
      <c r="E527">
        <f>BDP($B527,"LEGAL_ENTITY_IDENTIFIER")</f>
        <v/>
      </c>
      <c r="F527" t="inlineStr">
        <is>
          <t>United States Treasury Note/Bond 4.125% 11/30/2031</t>
        </is>
      </c>
      <c r="G527">
        <f>custodian!D527</f>
        <v/>
      </c>
      <c r="H527">
        <f>BDP($B527,"ID_ISIN")</f>
        <v/>
      </c>
      <c r="I527" s="1" t="inlineStr"/>
      <c r="J527">
        <f>BDP($B527,"CNTRY_OF_DOMICILE")</f>
        <v/>
      </c>
      <c r="K527" t="inlineStr">
        <is>
          <t>DBT</t>
        </is>
      </c>
      <c r="L527" t="inlineStr">
        <is>
          <t>UST</t>
        </is>
      </c>
      <c r="M527" t="inlineStr"/>
      <c r="N527" t="inlineStr"/>
      <c r="O527" s="1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s="1" t="inlineStr"/>
      <c r="AR527" s="1" t="inlineStr"/>
      <c r="AS527" s="1" t="inlineStr"/>
      <c r="AT527">
        <f>TEXT(BDP($B527,"MATURITY"),"yyyy-mm-dd")</f>
        <v/>
      </c>
      <c r="AU527">
        <f>BDP($B527,"CPN_TYP")</f>
        <v/>
      </c>
      <c r="AV527">
        <f>BDP($B527,"CPN")</f>
        <v/>
      </c>
      <c r="AW527" t="inlineStr"/>
      <c r="AX527" t="inlineStr"/>
      <c r="AY527" t="inlineStr"/>
    </row>
    <row r="528">
      <c r="A528" t="inlineStr">
        <is>
          <t>CIEI</t>
        </is>
      </c>
      <c r="B528" t="inlineStr">
        <is>
          <t>91282CMA6 Govt</t>
        </is>
      </c>
      <c r="C528" s="1" t="inlineStr">
        <is>
          <t>91282CMA6</t>
        </is>
      </c>
      <c r="D528" t="inlineStr">
        <is>
          <t>United States Treasury Note/Bo</t>
        </is>
      </c>
      <c r="E528">
        <f>BDP($B528,"LEGAL_ENTITY_IDENTIFIER")</f>
        <v/>
      </c>
      <c r="F528" t="inlineStr">
        <is>
          <t>United States Treasury Note/Bond 4.125% 11/30/2029</t>
        </is>
      </c>
      <c r="G528">
        <f>custodian!D528</f>
        <v/>
      </c>
      <c r="H528">
        <f>BDP($B528,"ID_ISIN")</f>
        <v/>
      </c>
      <c r="I528" s="1" t="inlineStr"/>
      <c r="J528">
        <f>BDP($B528,"CNTRY_OF_DOMICILE")</f>
        <v/>
      </c>
      <c r="K528" t="inlineStr">
        <is>
          <t>DBT</t>
        </is>
      </c>
      <c r="L528" t="inlineStr">
        <is>
          <t>UST</t>
        </is>
      </c>
      <c r="M528" t="inlineStr"/>
      <c r="N528" t="inlineStr"/>
      <c r="O528" s="1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s="1" t="inlineStr"/>
      <c r="AR528" s="1" t="inlineStr"/>
      <c r="AS528" s="1" t="inlineStr"/>
      <c r="AT528">
        <f>TEXT(BDP($B528,"MATURITY"),"yyyy-mm-dd")</f>
        <v/>
      </c>
      <c r="AU528">
        <f>BDP($B528,"CPN_TYP")</f>
        <v/>
      </c>
      <c r="AV528">
        <f>BDP($B528,"CPN")</f>
        <v/>
      </c>
      <c r="AW528" t="inlineStr"/>
      <c r="AX528" t="inlineStr"/>
      <c r="AY528" t="inlineStr"/>
    </row>
    <row r="529">
      <c r="A529" t="inlineStr">
        <is>
          <t>CIEI</t>
        </is>
      </c>
      <c r="B529" t="inlineStr">
        <is>
          <t>91282CMC2 Govt</t>
        </is>
      </c>
      <c r="C529" s="1" t="inlineStr">
        <is>
          <t>91282CMC2</t>
        </is>
      </c>
      <c r="D529" t="inlineStr">
        <is>
          <t>United States Treasury Note/Bo</t>
        </is>
      </c>
      <c r="E529">
        <f>BDP($B529,"LEGAL_ENTITY_IDENTIFIER")</f>
        <v/>
      </c>
      <c r="F529" t="inlineStr">
        <is>
          <t>United States Treasury Note/Bond 4.5% 12/31/2031</t>
        </is>
      </c>
      <c r="G529">
        <f>custodian!D529</f>
        <v/>
      </c>
      <c r="H529">
        <f>BDP($B529,"ID_ISIN")</f>
        <v/>
      </c>
      <c r="I529" s="1" t="inlineStr"/>
      <c r="J529">
        <f>BDP($B529,"CNTRY_OF_DOMICILE")</f>
        <v/>
      </c>
      <c r="K529" t="inlineStr">
        <is>
          <t>DBT</t>
        </is>
      </c>
      <c r="L529" t="inlineStr">
        <is>
          <t>UST</t>
        </is>
      </c>
      <c r="M529" t="inlineStr"/>
      <c r="N529" t="inlineStr"/>
      <c r="O529" s="1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s="1" t="inlineStr"/>
      <c r="AR529" s="1" t="inlineStr"/>
      <c r="AS529" s="1" t="inlineStr"/>
      <c r="AT529">
        <f>TEXT(BDP($B529,"MATURITY"),"yyyy-mm-dd")</f>
        <v/>
      </c>
      <c r="AU529">
        <f>BDP($B529,"CPN_TYP")</f>
        <v/>
      </c>
      <c r="AV529">
        <f>BDP($B529,"CPN")</f>
        <v/>
      </c>
      <c r="AW529" t="inlineStr"/>
      <c r="AX529" t="inlineStr"/>
      <c r="AY529" t="inlineStr"/>
    </row>
    <row r="530">
      <c r="A530" t="inlineStr">
        <is>
          <t>CIEI</t>
        </is>
      </c>
      <c r="B530" t="inlineStr">
        <is>
          <t>91282CMD0 Govt</t>
        </is>
      </c>
      <c r="C530" s="1" t="inlineStr">
        <is>
          <t>91282CMD0</t>
        </is>
      </c>
      <c r="D530" t="inlineStr">
        <is>
          <t>United States Treasury Note/Bo</t>
        </is>
      </c>
      <c r="E530">
        <f>BDP($B530,"LEGAL_ENTITY_IDENTIFIER")</f>
        <v/>
      </c>
      <c r="F530" t="inlineStr">
        <is>
          <t>United States Treasury Note/Bond 4.375% 12/31/2029</t>
        </is>
      </c>
      <c r="G530">
        <f>custodian!D530</f>
        <v/>
      </c>
      <c r="H530">
        <f>BDP($B530,"ID_ISIN")</f>
        <v/>
      </c>
      <c r="I530" s="1" t="inlineStr"/>
      <c r="J530">
        <f>BDP($B530,"CNTRY_OF_DOMICILE")</f>
        <v/>
      </c>
      <c r="K530" t="inlineStr">
        <is>
          <t>DBT</t>
        </is>
      </c>
      <c r="L530" t="inlineStr">
        <is>
          <t>UST</t>
        </is>
      </c>
      <c r="M530" t="inlineStr"/>
      <c r="N530" t="inlineStr"/>
      <c r="O530" s="1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s="1" t="inlineStr"/>
      <c r="AR530" s="1" t="inlineStr"/>
      <c r="AS530" s="1" t="inlineStr"/>
      <c r="AT530">
        <f>TEXT(BDP($B530,"MATURITY"),"yyyy-mm-dd")</f>
        <v/>
      </c>
      <c r="AU530">
        <f>BDP($B530,"CPN_TYP")</f>
        <v/>
      </c>
      <c r="AV530">
        <f>BDP($B530,"CPN")</f>
        <v/>
      </c>
      <c r="AW530" t="inlineStr"/>
      <c r="AX530" t="inlineStr"/>
      <c r="AY530" t="inlineStr"/>
    </row>
    <row r="531">
      <c r="A531" t="inlineStr">
        <is>
          <t>CIEI</t>
        </is>
      </c>
      <c r="B531" t="inlineStr">
        <is>
          <t>91282CMG3 Govt</t>
        </is>
      </c>
      <c r="C531" s="1" t="inlineStr">
        <is>
          <t>91282CMG3</t>
        </is>
      </c>
      <c r="D531" t="inlineStr">
        <is>
          <t>United States Treasury Note/Bo</t>
        </is>
      </c>
      <c r="E531">
        <f>BDP($B531,"LEGAL_ENTITY_IDENTIFIER")</f>
        <v/>
      </c>
      <c r="F531" t="inlineStr">
        <is>
          <t>United States Treasury Note/Bond 4.25% 01/31/2030</t>
        </is>
      </c>
      <c r="G531">
        <f>custodian!D531</f>
        <v/>
      </c>
      <c r="H531">
        <f>BDP($B531,"ID_ISIN")</f>
        <v/>
      </c>
      <c r="I531" s="1" t="inlineStr"/>
      <c r="J531">
        <f>BDP($B531,"CNTRY_OF_DOMICILE")</f>
        <v/>
      </c>
      <c r="K531" t="inlineStr">
        <is>
          <t>DBT</t>
        </is>
      </c>
      <c r="L531" t="inlineStr">
        <is>
          <t>UST</t>
        </is>
      </c>
      <c r="M531" t="inlineStr"/>
      <c r="N531" t="inlineStr"/>
      <c r="O531" s="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s="1" t="inlineStr"/>
      <c r="AR531" s="1" t="inlineStr"/>
      <c r="AS531" s="1" t="inlineStr"/>
      <c r="AT531">
        <f>TEXT(BDP($B531,"MATURITY"),"yyyy-mm-dd")</f>
        <v/>
      </c>
      <c r="AU531">
        <f>BDP($B531,"CPN_TYP")</f>
        <v/>
      </c>
      <c r="AV531">
        <f>BDP($B531,"CPN")</f>
        <v/>
      </c>
      <c r="AW531" t="inlineStr"/>
      <c r="AX531" t="inlineStr"/>
      <c r="AY531" t="inlineStr"/>
    </row>
    <row r="532">
      <c r="A532" t="inlineStr">
        <is>
          <t>CIEI</t>
        </is>
      </c>
      <c r="B532" t="inlineStr">
        <is>
          <t>91282CMK4 Govt</t>
        </is>
      </c>
      <c r="C532" s="1" t="inlineStr">
        <is>
          <t>91282CMK4</t>
        </is>
      </c>
      <c r="D532" t="inlineStr">
        <is>
          <t>United States Treasury Note/Bo</t>
        </is>
      </c>
      <c r="E532">
        <f>BDP($B532,"LEGAL_ENTITY_IDENTIFIER")</f>
        <v/>
      </c>
      <c r="F532" t="inlineStr">
        <is>
          <t>United States Treasury Note/Bond 4.375% 01/31/2032</t>
        </is>
      </c>
      <c r="G532">
        <f>custodian!D532</f>
        <v/>
      </c>
      <c r="H532">
        <f>BDP($B532,"ID_ISIN")</f>
        <v/>
      </c>
      <c r="I532" s="1" t="inlineStr"/>
      <c r="J532">
        <f>BDP($B532,"CNTRY_OF_DOMICILE")</f>
        <v/>
      </c>
      <c r="K532" t="inlineStr">
        <is>
          <t>DBT</t>
        </is>
      </c>
      <c r="L532" t="inlineStr">
        <is>
          <t>UST</t>
        </is>
      </c>
      <c r="M532" t="inlineStr"/>
      <c r="N532" t="inlineStr"/>
      <c r="O532" s="1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s="1" t="inlineStr"/>
      <c r="AR532" s="1" t="inlineStr"/>
      <c r="AS532" s="1" t="inlineStr"/>
      <c r="AT532">
        <f>TEXT(BDP($B532,"MATURITY"),"yyyy-mm-dd")</f>
        <v/>
      </c>
      <c r="AU532">
        <f>BDP($B532,"CPN_TYP")</f>
        <v/>
      </c>
      <c r="AV532">
        <f>BDP($B532,"CPN")</f>
        <v/>
      </c>
      <c r="AW532" t="inlineStr"/>
      <c r="AX532" t="inlineStr"/>
      <c r="AY532" t="inlineStr"/>
    </row>
    <row r="533">
      <c r="A533" t="inlineStr">
        <is>
          <t>CIEI</t>
        </is>
      </c>
      <c r="B533" t="inlineStr">
        <is>
          <t>91282CMR9 Govt</t>
        </is>
      </c>
      <c r="C533" s="1" t="inlineStr">
        <is>
          <t>91282CMR9</t>
        </is>
      </c>
      <c r="D533" t="inlineStr">
        <is>
          <t>United States Treasury Note/Bo</t>
        </is>
      </c>
      <c r="E533">
        <f>BDP($B533,"LEGAL_ENTITY_IDENTIFIER")</f>
        <v/>
      </c>
      <c r="F533" t="inlineStr">
        <is>
          <t>United States Treasury Note/Bond 4.125% 02/29/2032</t>
        </is>
      </c>
      <c r="G533">
        <f>custodian!D533</f>
        <v/>
      </c>
      <c r="H533">
        <f>BDP($B533,"ID_ISIN")</f>
        <v/>
      </c>
      <c r="I533" s="1" t="inlineStr"/>
      <c r="J533">
        <f>BDP($B533,"CNTRY_OF_DOMICILE")</f>
        <v/>
      </c>
      <c r="K533" t="inlineStr">
        <is>
          <t>DBT</t>
        </is>
      </c>
      <c r="L533" t="inlineStr">
        <is>
          <t>UST</t>
        </is>
      </c>
      <c r="M533" t="inlineStr"/>
      <c r="N533" t="inlineStr"/>
      <c r="O533" s="1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s="1" t="inlineStr"/>
      <c r="AR533" s="1" t="inlineStr"/>
      <c r="AS533" s="1" t="inlineStr"/>
      <c r="AT533">
        <f>TEXT(BDP($B533,"MATURITY"),"yyyy-mm-dd")</f>
        <v/>
      </c>
      <c r="AU533">
        <f>BDP($B533,"CPN_TYP")</f>
        <v/>
      </c>
      <c r="AV533">
        <f>BDP($B533,"CPN")</f>
        <v/>
      </c>
      <c r="AW533" t="inlineStr"/>
      <c r="AX533" t="inlineStr"/>
      <c r="AY533" t="inlineStr"/>
    </row>
    <row r="534">
      <c r="A534" t="inlineStr">
        <is>
          <t>CIEI</t>
        </is>
      </c>
      <c r="B534" t="inlineStr">
        <is>
          <t>91282CMT5 Govt</t>
        </is>
      </c>
      <c r="C534" s="1" t="inlineStr">
        <is>
          <t>91282CMT5</t>
        </is>
      </c>
      <c r="D534" t="inlineStr">
        <is>
          <t>United States Treasury Note/Bo</t>
        </is>
      </c>
      <c r="E534">
        <f>BDP($B534,"LEGAL_ENTITY_IDENTIFIER")</f>
        <v/>
      </c>
      <c r="F534" t="inlineStr">
        <is>
          <t>United States Treasury Note/Bond 4.125% 03/31/2032</t>
        </is>
      </c>
      <c r="G534">
        <f>custodian!D534</f>
        <v/>
      </c>
      <c r="H534">
        <f>BDP($B534,"ID_ISIN")</f>
        <v/>
      </c>
      <c r="I534" s="1" t="inlineStr"/>
      <c r="J534">
        <f>BDP($B534,"CNTRY_OF_DOMICILE")</f>
        <v/>
      </c>
      <c r="K534" t="inlineStr">
        <is>
          <t>DBT</t>
        </is>
      </c>
      <c r="L534" t="inlineStr">
        <is>
          <t>UST</t>
        </is>
      </c>
      <c r="M534" t="inlineStr"/>
      <c r="N534" t="inlineStr"/>
      <c r="O534" s="1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s="1" t="inlineStr"/>
      <c r="AR534" s="1" t="inlineStr"/>
      <c r="AS534" s="1" t="inlineStr"/>
      <c r="AT534">
        <f>TEXT(BDP($B534,"MATURITY"),"yyyy-mm-dd")</f>
        <v/>
      </c>
      <c r="AU534">
        <f>BDP($B534,"CPN_TYP")</f>
        <v/>
      </c>
      <c r="AV534">
        <f>BDP($B534,"CPN")</f>
        <v/>
      </c>
      <c r="AW534" t="inlineStr"/>
      <c r="AX534" t="inlineStr"/>
      <c r="AY534" t="inlineStr"/>
    </row>
    <row r="535">
      <c r="A535" t="inlineStr">
        <is>
          <t>CIEI</t>
        </is>
      </c>
      <c r="B535" t="inlineStr">
        <is>
          <t>91282CMU2 Govt</t>
        </is>
      </c>
      <c r="C535" s="1" t="inlineStr">
        <is>
          <t>91282CMU2</t>
        </is>
      </c>
      <c r="D535" t="inlineStr">
        <is>
          <t>United States Treasury Note/Bo</t>
        </is>
      </c>
      <c r="E535">
        <f>BDP($B535,"LEGAL_ENTITY_IDENTIFIER")</f>
        <v/>
      </c>
      <c r="F535" t="inlineStr">
        <is>
          <t>United States Treasury Note/Bond 4% 03/31/2030</t>
        </is>
      </c>
      <c r="G535">
        <f>custodian!D535</f>
        <v/>
      </c>
      <c r="H535">
        <f>BDP($B535,"ID_ISIN")</f>
        <v/>
      </c>
      <c r="I535" s="1" t="inlineStr"/>
      <c r="J535">
        <f>BDP($B535,"CNTRY_OF_DOMICILE")</f>
        <v/>
      </c>
      <c r="K535" t="inlineStr">
        <is>
          <t>DBT</t>
        </is>
      </c>
      <c r="L535" t="inlineStr">
        <is>
          <t>UST</t>
        </is>
      </c>
      <c r="M535" t="inlineStr"/>
      <c r="N535" t="inlineStr"/>
      <c r="O535" s="1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s="1" t="inlineStr"/>
      <c r="AR535" s="1" t="inlineStr"/>
      <c r="AS535" s="1" t="inlineStr"/>
      <c r="AT535">
        <f>TEXT(BDP($B535,"MATURITY"),"yyyy-mm-dd")</f>
        <v/>
      </c>
      <c r="AU535">
        <f>BDP($B535,"CPN_TYP")</f>
        <v/>
      </c>
      <c r="AV535">
        <f>BDP($B535,"CPN")</f>
        <v/>
      </c>
      <c r="AW535" t="inlineStr"/>
      <c r="AX535" t="inlineStr"/>
      <c r="AY535" t="inlineStr"/>
    </row>
    <row r="536">
      <c r="A536" t="inlineStr">
        <is>
          <t>CIEI</t>
        </is>
      </c>
      <c r="B536" t="inlineStr">
        <is>
          <t>91282CMZ1 Govt</t>
        </is>
      </c>
      <c r="C536" s="1" t="inlineStr">
        <is>
          <t>91282CMZ1</t>
        </is>
      </c>
      <c r="D536" t="inlineStr">
        <is>
          <t>United States Treasury Note/Bo</t>
        </is>
      </c>
      <c r="E536">
        <f>BDP($B536,"LEGAL_ENTITY_IDENTIFIER")</f>
        <v/>
      </c>
      <c r="F536" t="inlineStr">
        <is>
          <t>United States Treasury Note/Bond 3.875% 04/30/2030</t>
        </is>
      </c>
      <c r="G536">
        <f>custodian!D536</f>
        <v/>
      </c>
      <c r="H536">
        <f>BDP($B536,"ID_ISIN")</f>
        <v/>
      </c>
      <c r="I536" s="1" t="inlineStr"/>
      <c r="J536">
        <f>BDP($B536,"CNTRY_OF_DOMICILE")</f>
        <v/>
      </c>
      <c r="K536" t="inlineStr">
        <is>
          <t>DBT</t>
        </is>
      </c>
      <c r="L536" t="inlineStr">
        <is>
          <t>UST</t>
        </is>
      </c>
      <c r="M536" t="inlineStr"/>
      <c r="N536" t="inlineStr"/>
      <c r="O536" s="1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s="1" t="inlineStr"/>
      <c r="AR536" s="1" t="inlineStr"/>
      <c r="AS536" s="1" t="inlineStr"/>
      <c r="AT536">
        <f>TEXT(BDP($B536,"MATURITY"),"yyyy-mm-dd")</f>
        <v/>
      </c>
      <c r="AU536">
        <f>BDP($B536,"CPN_TYP")</f>
        <v/>
      </c>
      <c r="AV536">
        <f>BDP($B536,"CPN")</f>
        <v/>
      </c>
      <c r="AW536" t="inlineStr"/>
      <c r="AX536" t="inlineStr"/>
      <c r="AY536" t="inlineStr"/>
    </row>
    <row r="537">
      <c r="A537" t="inlineStr">
        <is>
          <t>CIEI</t>
        </is>
      </c>
      <c r="B537" t="inlineStr">
        <is>
          <t>91282CNA5 Govt</t>
        </is>
      </c>
      <c r="C537" s="1" t="inlineStr">
        <is>
          <t>91282CNA5</t>
        </is>
      </c>
      <c r="D537" t="inlineStr">
        <is>
          <t>United States Treasury Note/Bo</t>
        </is>
      </c>
      <c r="E537">
        <f>BDP($B537,"LEGAL_ENTITY_IDENTIFIER")</f>
        <v/>
      </c>
      <c r="F537" t="inlineStr">
        <is>
          <t>United States Treasury Note/Bond 4% 04/30/2032</t>
        </is>
      </c>
      <c r="G537">
        <f>custodian!D537</f>
        <v/>
      </c>
      <c r="H537">
        <f>BDP($B537,"ID_ISIN")</f>
        <v/>
      </c>
      <c r="I537" s="1" t="inlineStr"/>
      <c r="J537">
        <f>BDP($B537,"CNTRY_OF_DOMICILE")</f>
        <v/>
      </c>
      <c r="K537" t="inlineStr">
        <is>
          <t>DBT</t>
        </is>
      </c>
      <c r="L537" t="inlineStr">
        <is>
          <t>UST</t>
        </is>
      </c>
      <c r="M537" t="inlineStr"/>
      <c r="N537" t="inlineStr"/>
      <c r="O537" s="1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s="1" t="inlineStr"/>
      <c r="AR537" s="1" t="inlineStr"/>
      <c r="AS537" s="1" t="inlineStr"/>
      <c r="AT537">
        <f>TEXT(BDP($B537,"MATURITY"),"yyyy-mm-dd")</f>
        <v/>
      </c>
      <c r="AU537">
        <f>BDP($B537,"CPN_TYP")</f>
        <v/>
      </c>
      <c r="AV537">
        <f>BDP($B537,"CPN")</f>
        <v/>
      </c>
      <c r="AW537" t="inlineStr"/>
      <c r="AX537" t="inlineStr"/>
      <c r="AY537" t="inlineStr"/>
    </row>
    <row r="538">
      <c r="A538" t="inlineStr">
        <is>
          <t>CIEI</t>
        </is>
      </c>
      <c r="B538" t="inlineStr">
        <is>
          <t>91282CNF4 Govt</t>
        </is>
      </c>
      <c r="C538" s="1" t="inlineStr">
        <is>
          <t>91282CNF4</t>
        </is>
      </c>
      <c r="D538" t="inlineStr">
        <is>
          <t>United States Treasury Note/Bo</t>
        </is>
      </c>
      <c r="E538">
        <f>BDP($B538,"LEGAL_ENTITY_IDENTIFIER")</f>
        <v/>
      </c>
      <c r="F538" t="inlineStr">
        <is>
          <t>United States Treasury Note/Bond 4.125% 05/31/2032</t>
        </is>
      </c>
      <c r="G538">
        <f>custodian!D538</f>
        <v/>
      </c>
      <c r="H538">
        <f>BDP($B538,"ID_ISIN")</f>
        <v/>
      </c>
      <c r="I538" s="1" t="inlineStr"/>
      <c r="J538">
        <f>BDP($B538,"CNTRY_OF_DOMICILE")</f>
        <v/>
      </c>
      <c r="K538" t="inlineStr">
        <is>
          <t>DBT</t>
        </is>
      </c>
      <c r="L538" t="inlineStr">
        <is>
          <t>UST</t>
        </is>
      </c>
      <c r="M538" t="inlineStr"/>
      <c r="N538" t="inlineStr"/>
      <c r="O538" s="1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s="1" t="inlineStr"/>
      <c r="AR538" s="1" t="inlineStr"/>
      <c r="AS538" s="1" t="inlineStr"/>
      <c r="AT538">
        <f>TEXT(BDP($B538,"MATURITY"),"yyyy-mm-dd")</f>
        <v/>
      </c>
      <c r="AU538">
        <f>BDP($B538,"CPN_TYP")</f>
        <v/>
      </c>
      <c r="AV538">
        <f>BDP($B538,"CPN")</f>
        <v/>
      </c>
      <c r="AW538" t="inlineStr"/>
      <c r="AX538" t="inlineStr"/>
      <c r="AY538" t="inlineStr"/>
    </row>
    <row r="539">
      <c r="A539" t="inlineStr">
        <is>
          <t>CIEI</t>
        </is>
      </c>
      <c r="B539" t="inlineStr">
        <is>
          <t>91282CNG2 Govt</t>
        </is>
      </c>
      <c r="C539" s="1" t="inlineStr">
        <is>
          <t>91282CNG2</t>
        </is>
      </c>
      <c r="D539" t="inlineStr">
        <is>
          <t>United States Treasury Note/Bo</t>
        </is>
      </c>
      <c r="E539">
        <f>BDP($B539,"LEGAL_ENTITY_IDENTIFIER")</f>
        <v/>
      </c>
      <c r="F539" t="inlineStr">
        <is>
          <t>United States Treasury Note/Bond 4% 05/31/2030</t>
        </is>
      </c>
      <c r="G539">
        <f>custodian!D539</f>
        <v/>
      </c>
      <c r="H539">
        <f>BDP($B539,"ID_ISIN")</f>
        <v/>
      </c>
      <c r="I539" s="1" t="inlineStr"/>
      <c r="J539">
        <f>BDP($B539,"CNTRY_OF_DOMICILE")</f>
        <v/>
      </c>
      <c r="K539" t="inlineStr">
        <is>
          <t>DBT</t>
        </is>
      </c>
      <c r="L539" t="inlineStr">
        <is>
          <t>UST</t>
        </is>
      </c>
      <c r="M539" t="inlineStr"/>
      <c r="N539" t="inlineStr"/>
      <c r="O539" s="1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s="1" t="inlineStr"/>
      <c r="AR539" s="1" t="inlineStr"/>
      <c r="AS539" s="1" t="inlineStr"/>
      <c r="AT539">
        <f>TEXT(BDP($B539,"MATURITY"),"yyyy-mm-dd")</f>
        <v/>
      </c>
      <c r="AU539">
        <f>BDP($B539,"CPN_TYP")</f>
        <v/>
      </c>
      <c r="AV539">
        <f>BDP($B539,"CPN")</f>
        <v/>
      </c>
      <c r="AW539" t="inlineStr"/>
      <c r="AX539" t="inlineStr"/>
      <c r="AY539" t="inlineStr"/>
    </row>
    <row r="540">
      <c r="A540" t="inlineStr">
        <is>
          <t>CIEI</t>
        </is>
      </c>
      <c r="B540" t="inlineStr">
        <is>
          <t>91282CNJ6 Govt</t>
        </is>
      </c>
      <c r="C540" s="1" t="inlineStr">
        <is>
          <t>91282CNJ6</t>
        </is>
      </c>
      <c r="D540" t="inlineStr">
        <is>
          <t>United States Treasury Note/Bo</t>
        </is>
      </c>
      <c r="E540">
        <f>BDP($B540,"LEGAL_ENTITY_IDENTIFIER")</f>
        <v/>
      </c>
      <c r="F540" t="inlineStr">
        <is>
          <t>United States Treasury Note/Bond 4% 06/30/2032</t>
        </is>
      </c>
      <c r="G540">
        <f>custodian!D540</f>
        <v/>
      </c>
      <c r="H540">
        <f>BDP($B540,"ID_ISIN")</f>
        <v/>
      </c>
      <c r="I540" s="1" t="inlineStr"/>
      <c r="J540">
        <f>BDP($B540,"CNTRY_OF_DOMICILE")</f>
        <v/>
      </c>
      <c r="K540" t="inlineStr">
        <is>
          <t>DBT</t>
        </is>
      </c>
      <c r="L540" t="inlineStr">
        <is>
          <t>UST</t>
        </is>
      </c>
      <c r="M540" t="inlineStr"/>
      <c r="N540" t="inlineStr"/>
      <c r="O540" s="1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s="1" t="inlineStr"/>
      <c r="AR540" s="1" t="inlineStr"/>
      <c r="AS540" s="1" t="inlineStr"/>
      <c r="AT540">
        <f>TEXT(BDP($B540,"MATURITY"),"yyyy-mm-dd")</f>
        <v/>
      </c>
      <c r="AU540">
        <f>BDP($B540,"CPN_TYP")</f>
        <v/>
      </c>
      <c r="AV540">
        <f>BDP($B540,"CPN")</f>
        <v/>
      </c>
      <c r="AW540" t="inlineStr"/>
      <c r="AX540" t="inlineStr"/>
      <c r="AY540" t="inlineStr"/>
    </row>
    <row r="541">
      <c r="A541" t="inlineStr">
        <is>
          <t>CIEI</t>
        </is>
      </c>
      <c r="B541" t="inlineStr">
        <is>
          <t>91282CNK3 Govt</t>
        </is>
      </c>
      <c r="C541" s="1" t="inlineStr">
        <is>
          <t>91282CNK3</t>
        </is>
      </c>
      <c r="D541" t="inlineStr">
        <is>
          <t>United States Treasury Note/Bo</t>
        </is>
      </c>
      <c r="E541">
        <f>BDP($B541,"LEGAL_ENTITY_IDENTIFIER")</f>
        <v/>
      </c>
      <c r="F541" t="inlineStr">
        <is>
          <t>United States Treasury Note/Bond 3.875% 06/30/2030</t>
        </is>
      </c>
      <c r="G541">
        <f>custodian!D541</f>
        <v/>
      </c>
      <c r="H541">
        <f>BDP($B541,"ID_ISIN")</f>
        <v/>
      </c>
      <c r="I541" s="1" t="inlineStr"/>
      <c r="J541">
        <f>BDP($B541,"CNTRY_OF_DOMICILE")</f>
        <v/>
      </c>
      <c r="K541" t="inlineStr">
        <is>
          <t>DBT</t>
        </is>
      </c>
      <c r="L541" t="inlineStr">
        <is>
          <t>UST</t>
        </is>
      </c>
      <c r="M541" t="inlineStr"/>
      <c r="N541" t="inlineStr"/>
      <c r="O541" s="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s="1" t="inlineStr"/>
      <c r="AR541" s="1" t="inlineStr"/>
      <c r="AS541" s="1" t="inlineStr"/>
      <c r="AT541">
        <f>TEXT(BDP($B541,"MATURITY"),"yyyy-mm-dd")</f>
        <v/>
      </c>
      <c r="AU541">
        <f>BDP($B541,"CPN_TYP")</f>
        <v/>
      </c>
      <c r="AV541">
        <f>BDP($B541,"CPN")</f>
        <v/>
      </c>
      <c r="AW541" t="inlineStr"/>
      <c r="AX541" t="inlineStr"/>
      <c r="AY541" t="inlineStr"/>
    </row>
    <row r="542">
      <c r="A542" t="inlineStr">
        <is>
          <t>CIEI</t>
        </is>
      </c>
      <c r="B542" t="inlineStr">
        <is>
          <t>91282CNN7 Govt</t>
        </is>
      </c>
      <c r="C542" s="1" t="inlineStr">
        <is>
          <t>91282CNN7</t>
        </is>
      </c>
      <c r="D542" t="inlineStr">
        <is>
          <t>United States Treasury Note/Bo</t>
        </is>
      </c>
      <c r="E542">
        <f>BDP($B542,"LEGAL_ENTITY_IDENTIFIER")</f>
        <v/>
      </c>
      <c r="F542" t="inlineStr">
        <is>
          <t>United States Treasury Note/Bond 3.875% 07/31/2030</t>
        </is>
      </c>
      <c r="G542">
        <f>custodian!D542</f>
        <v/>
      </c>
      <c r="H542">
        <f>BDP($B542,"ID_ISIN")</f>
        <v/>
      </c>
      <c r="I542" s="1" t="inlineStr"/>
      <c r="J542">
        <f>BDP($B542,"CNTRY_OF_DOMICILE")</f>
        <v/>
      </c>
      <c r="K542" t="inlineStr">
        <is>
          <t>DBT</t>
        </is>
      </c>
      <c r="L542" t="inlineStr">
        <is>
          <t>UST</t>
        </is>
      </c>
      <c r="M542" t="inlineStr"/>
      <c r="N542" t="inlineStr"/>
      <c r="O542" s="1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s="1" t="inlineStr"/>
      <c r="AR542" s="1" t="inlineStr"/>
      <c r="AS542" s="1" t="inlineStr"/>
      <c r="AT542">
        <f>TEXT(BDP($B542,"MATURITY"),"yyyy-mm-dd")</f>
        <v/>
      </c>
      <c r="AU542">
        <f>BDP($B542,"CPN_TYP")</f>
        <v/>
      </c>
      <c r="AV542">
        <f>BDP($B542,"CPN")</f>
        <v/>
      </c>
      <c r="AW542" t="inlineStr"/>
      <c r="AX542" t="inlineStr"/>
      <c r="AY542" t="inlineStr"/>
    </row>
    <row r="543">
      <c r="A543" t="inlineStr">
        <is>
          <t>CIEI</t>
        </is>
      </c>
      <c r="B543" t="inlineStr">
        <is>
          <t>91282CNR8 Govt</t>
        </is>
      </c>
      <c r="C543" s="1" t="inlineStr">
        <is>
          <t>91282CNR8</t>
        </is>
      </c>
      <c r="D543" t="inlineStr">
        <is>
          <t>United States Treasury Note/Bo</t>
        </is>
      </c>
      <c r="E543">
        <f>BDP($B543,"LEGAL_ENTITY_IDENTIFIER")</f>
        <v/>
      </c>
      <c r="F543" t="inlineStr">
        <is>
          <t>United States Treasury Note/Bond 4% 07/31/2032</t>
        </is>
      </c>
      <c r="G543">
        <f>custodian!D543</f>
        <v/>
      </c>
      <c r="H543">
        <f>BDP($B543,"ID_ISIN")</f>
        <v/>
      </c>
      <c r="I543" s="1" t="inlineStr"/>
      <c r="J543">
        <f>BDP($B543,"CNTRY_OF_DOMICILE")</f>
        <v/>
      </c>
      <c r="K543" t="inlineStr">
        <is>
          <t>DBT</t>
        </is>
      </c>
      <c r="L543" t="inlineStr">
        <is>
          <t>UST</t>
        </is>
      </c>
      <c r="M543" t="inlineStr"/>
      <c r="N543" t="inlineStr"/>
      <c r="O543" s="1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s="1" t="inlineStr"/>
      <c r="AR543" s="1" t="inlineStr"/>
      <c r="AS543" s="1" t="inlineStr"/>
      <c r="AT543">
        <f>TEXT(BDP($B543,"MATURITY"),"yyyy-mm-dd")</f>
        <v/>
      </c>
      <c r="AU543">
        <f>BDP($B543,"CPN_TYP")</f>
        <v/>
      </c>
      <c r="AV543">
        <f>BDP($B543,"CPN")</f>
        <v/>
      </c>
      <c r="AW543" t="inlineStr"/>
      <c r="AX543" t="inlineStr"/>
      <c r="AY543" t="inlineStr"/>
    </row>
    <row r="544">
      <c r="A544" t="inlineStr">
        <is>
          <t>CIEI</t>
        </is>
      </c>
      <c r="B544" t="inlineStr">
        <is>
          <t>91282CNW7 Govt</t>
        </is>
      </c>
      <c r="C544" s="1" t="inlineStr">
        <is>
          <t>91282CNW7</t>
        </is>
      </c>
      <c r="D544" t="inlineStr">
        <is>
          <t>United States Treasury Note/Bo</t>
        </is>
      </c>
      <c r="E544">
        <f>BDP($B544,"LEGAL_ENTITY_IDENTIFIER")</f>
        <v/>
      </c>
      <c r="F544" t="inlineStr">
        <is>
          <t>United States Treasury Note/Bond 3.875% 08/31/2032</t>
        </is>
      </c>
      <c r="G544">
        <f>custodian!D544</f>
        <v/>
      </c>
      <c r="H544">
        <f>BDP($B544,"ID_ISIN")</f>
        <v/>
      </c>
      <c r="I544" s="1" t="inlineStr"/>
      <c r="J544">
        <f>BDP($B544,"CNTRY_OF_DOMICILE")</f>
        <v/>
      </c>
      <c r="K544" t="inlineStr">
        <is>
          <t>DBT</t>
        </is>
      </c>
      <c r="L544" t="inlineStr">
        <is>
          <t>UST</t>
        </is>
      </c>
      <c r="M544" t="inlineStr"/>
      <c r="N544" t="inlineStr"/>
      <c r="O544" s="1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s="1" t="inlineStr"/>
      <c r="AR544" s="1" t="inlineStr"/>
      <c r="AS544" s="1" t="inlineStr"/>
      <c r="AT544">
        <f>TEXT(BDP($B544,"MATURITY"),"yyyy-mm-dd")</f>
        <v/>
      </c>
      <c r="AU544">
        <f>BDP($B544,"CPN_TYP")</f>
        <v/>
      </c>
      <c r="AV544">
        <f>BDP($B544,"CPN")</f>
        <v/>
      </c>
      <c r="AW544" t="inlineStr"/>
      <c r="AX544" t="inlineStr"/>
      <c r="AY544" t="inlineStr"/>
    </row>
    <row r="545">
      <c r="A545" t="inlineStr">
        <is>
          <t>CIEI</t>
        </is>
      </c>
      <c r="B545" t="inlineStr">
        <is>
          <t>91282CNX5 Govt</t>
        </is>
      </c>
      <c r="C545" s="1" t="inlineStr">
        <is>
          <t>91282CNX5</t>
        </is>
      </c>
      <c r="D545" t="inlineStr">
        <is>
          <t>United States Treasury Note/Bo</t>
        </is>
      </c>
      <c r="E545">
        <f>BDP($B545,"LEGAL_ENTITY_IDENTIFIER")</f>
        <v/>
      </c>
      <c r="F545" t="inlineStr">
        <is>
          <t>United States Treasury Note/Bond 3.625% 08/31/2030</t>
        </is>
      </c>
      <c r="G545">
        <f>custodian!D545</f>
        <v/>
      </c>
      <c r="H545">
        <f>BDP($B545,"ID_ISIN")</f>
        <v/>
      </c>
      <c r="I545" s="1" t="inlineStr"/>
      <c r="J545">
        <f>BDP($B545,"CNTRY_OF_DOMICILE")</f>
        <v/>
      </c>
      <c r="K545" t="inlineStr">
        <is>
          <t>DBT</t>
        </is>
      </c>
      <c r="L545" t="inlineStr">
        <is>
          <t>UST</t>
        </is>
      </c>
      <c r="M545" t="inlineStr"/>
      <c r="N545" t="inlineStr"/>
      <c r="O545" s="1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s="1" t="inlineStr"/>
      <c r="AR545" s="1" t="inlineStr"/>
      <c r="AS545" s="1" t="inlineStr"/>
      <c r="AT545">
        <f>TEXT(BDP($B545,"MATURITY"),"yyyy-mm-dd")</f>
        <v/>
      </c>
      <c r="AU545">
        <f>BDP($B545,"CPN_TYP")</f>
        <v/>
      </c>
      <c r="AV545">
        <f>BDP($B545,"CPN")</f>
        <v/>
      </c>
      <c r="AW545" t="inlineStr"/>
      <c r="AX545" t="inlineStr"/>
      <c r="AY545" t="inlineStr"/>
    </row>
    <row r="546">
      <c r="A546" t="inlineStr">
        <is>
          <t>CIEI</t>
        </is>
      </c>
      <c r="B546" t="inlineStr">
        <is>
          <t>91282CNZ0 Govt</t>
        </is>
      </c>
      <c r="C546" s="1" t="inlineStr">
        <is>
          <t>91282CNZ0</t>
        </is>
      </c>
      <c r="D546" t="inlineStr">
        <is>
          <t>United States Treasury Note/Bo</t>
        </is>
      </c>
      <c r="E546">
        <f>BDP($B546,"LEGAL_ENTITY_IDENTIFIER")</f>
        <v/>
      </c>
      <c r="F546" t="inlineStr">
        <is>
          <t>United States Treasury Note/Bond 3.875% 09/30/2032</t>
        </is>
      </c>
      <c r="G546">
        <f>custodian!D546</f>
        <v/>
      </c>
      <c r="H546">
        <f>BDP($B546,"ID_ISIN")</f>
        <v/>
      </c>
      <c r="I546" s="1" t="inlineStr"/>
      <c r="J546">
        <f>BDP($B546,"CNTRY_OF_DOMICILE")</f>
        <v/>
      </c>
      <c r="K546" t="inlineStr">
        <is>
          <t>DBT</t>
        </is>
      </c>
      <c r="L546" t="inlineStr">
        <is>
          <t>UST</t>
        </is>
      </c>
      <c r="M546" t="inlineStr"/>
      <c r="N546" t="inlineStr"/>
      <c r="O546" s="1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s="1" t="inlineStr"/>
      <c r="AR546" s="1" t="inlineStr"/>
      <c r="AS546" s="1" t="inlineStr"/>
      <c r="AT546">
        <f>TEXT(BDP($B546,"MATURITY"),"yyyy-mm-dd")</f>
        <v/>
      </c>
      <c r="AU546">
        <f>BDP($B546,"CPN_TYP")</f>
        <v/>
      </c>
      <c r="AV546">
        <f>BDP($B546,"CPN")</f>
        <v/>
      </c>
      <c r="AW546" t="inlineStr"/>
      <c r="AX546" t="inlineStr"/>
      <c r="AY546" t="inlineStr"/>
    </row>
    <row r="547">
      <c r="A547" t="inlineStr">
        <is>
          <t>CIEI</t>
        </is>
      </c>
      <c r="B547" t="inlineStr">
        <is>
          <t>91282CPA3 Govt</t>
        </is>
      </c>
      <c r="C547" s="1" t="inlineStr">
        <is>
          <t>91282CPA3</t>
        </is>
      </c>
      <c r="D547" t="inlineStr">
        <is>
          <t>United States Treasury Note/Bo</t>
        </is>
      </c>
      <c r="E547">
        <f>BDP($B547,"LEGAL_ENTITY_IDENTIFIER")</f>
        <v/>
      </c>
      <c r="F547" t="inlineStr">
        <is>
          <t>United States Treasury Note/Bond 3.625% 09/30/2030</t>
        </is>
      </c>
      <c r="G547">
        <f>custodian!D547</f>
        <v/>
      </c>
      <c r="H547">
        <f>BDP($B547,"ID_ISIN")</f>
        <v/>
      </c>
      <c r="I547" s="1" t="inlineStr"/>
      <c r="J547">
        <f>BDP($B547,"CNTRY_OF_DOMICILE")</f>
        <v/>
      </c>
      <c r="K547" t="inlineStr">
        <is>
          <t>DBT</t>
        </is>
      </c>
      <c r="L547" t="inlineStr">
        <is>
          <t>UST</t>
        </is>
      </c>
      <c r="M547" t="inlineStr"/>
      <c r="N547" t="inlineStr"/>
      <c r="O547" s="1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s="1" t="inlineStr"/>
      <c r="AR547" s="1" t="inlineStr"/>
      <c r="AS547" s="1" t="inlineStr"/>
      <c r="AT547">
        <f>TEXT(BDP($B547,"MATURITY"),"yyyy-mm-dd")</f>
        <v/>
      </c>
      <c r="AU547">
        <f>BDP($B547,"CPN_TYP")</f>
        <v/>
      </c>
      <c r="AV547">
        <f>BDP($B547,"CPN")</f>
        <v/>
      </c>
      <c r="AW547" t="inlineStr"/>
      <c r="AX547" t="inlineStr"/>
      <c r="AY547" t="inlineStr"/>
    </row>
    <row r="548">
      <c r="A548" t="inlineStr">
        <is>
          <t>CIEI</t>
        </is>
      </c>
      <c r="B548" t="inlineStr">
        <is>
          <t>91282CPD7 Govt</t>
        </is>
      </c>
      <c r="C548" s="1" t="inlineStr">
        <is>
          <t>91282CPD7</t>
        </is>
      </c>
      <c r="D548" t="inlineStr">
        <is>
          <t>United States Treasury Note/Bo</t>
        </is>
      </c>
      <c r="E548">
        <f>BDP($B548,"LEGAL_ENTITY_IDENTIFIER")</f>
        <v/>
      </c>
      <c r="F548" t="inlineStr">
        <is>
          <t>United States Treasury Note/Bond 3.625% 10/31/2030</t>
        </is>
      </c>
      <c r="G548">
        <f>custodian!D548</f>
        <v/>
      </c>
      <c r="H548">
        <f>BDP($B548,"ID_ISIN")</f>
        <v/>
      </c>
      <c r="I548" s="1" t="inlineStr"/>
      <c r="J548">
        <f>BDP($B548,"CNTRY_OF_DOMICILE")</f>
        <v/>
      </c>
      <c r="K548" t="inlineStr">
        <is>
          <t>DBT</t>
        </is>
      </c>
      <c r="L548" t="inlineStr">
        <is>
          <t>UST</t>
        </is>
      </c>
      <c r="M548" t="inlineStr"/>
      <c r="N548" t="inlineStr"/>
      <c r="O548" s="1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s="1" t="inlineStr"/>
      <c r="AR548" s="1" t="inlineStr"/>
      <c r="AS548" s="1" t="inlineStr"/>
      <c r="AT548">
        <f>TEXT(BDP($B548,"MATURITY"),"yyyy-mm-dd")</f>
        <v/>
      </c>
      <c r="AU548">
        <f>BDP($B548,"CPN_TYP")</f>
        <v/>
      </c>
      <c r="AV548">
        <f>BDP($B548,"CPN")</f>
        <v/>
      </c>
      <c r="AW548" t="inlineStr"/>
      <c r="AX548" t="inlineStr"/>
      <c r="AY548" t="inlineStr"/>
    </row>
    <row r="549">
      <c r="A549" t="inlineStr">
        <is>
          <t>CIEI</t>
        </is>
      </c>
      <c r="B549" t="inlineStr">
        <is>
          <t>91282CPF2 Govt</t>
        </is>
      </c>
      <c r="C549" s="1" t="inlineStr">
        <is>
          <t>91282CPF2</t>
        </is>
      </c>
      <c r="D549" t="inlineStr">
        <is>
          <t>United States Treasury Note/Bo</t>
        </is>
      </c>
      <c r="E549">
        <f>BDP($B549,"LEGAL_ENTITY_IDENTIFIER")</f>
        <v/>
      </c>
      <c r="F549" t="inlineStr">
        <is>
          <t>United States Treasury Note/Bond 3.75% 10/31/2032</t>
        </is>
      </c>
      <c r="G549">
        <f>custodian!D549</f>
        <v/>
      </c>
      <c r="H549">
        <f>BDP($B549,"ID_ISIN")</f>
        <v/>
      </c>
      <c r="I549" s="1" t="inlineStr"/>
      <c r="J549">
        <f>BDP($B549,"CNTRY_OF_DOMICILE")</f>
        <v/>
      </c>
      <c r="K549" t="inlineStr">
        <is>
          <t>DBT</t>
        </is>
      </c>
      <c r="L549" t="inlineStr">
        <is>
          <t>UST</t>
        </is>
      </c>
      <c r="M549" t="inlineStr"/>
      <c r="N549" t="inlineStr"/>
      <c r="O549" s="1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s="1" t="inlineStr"/>
      <c r="AR549" s="1" t="inlineStr"/>
      <c r="AS549" s="1" t="inlineStr"/>
      <c r="AT549">
        <f>TEXT(BDP($B549,"MATURITY"),"yyyy-mm-dd")</f>
        <v/>
      </c>
      <c r="AU549">
        <f>BDP($B549,"CPN_TYP")</f>
        <v/>
      </c>
      <c r="AV549">
        <f>BDP($B549,"CPN")</f>
        <v/>
      </c>
      <c r="AW549" t="inlineStr"/>
      <c r="AX549" t="inlineStr"/>
      <c r="AY549" t="inlineStr"/>
    </row>
    <row r="550">
      <c r="A550" t="inlineStr">
        <is>
          <t>CIEI</t>
        </is>
      </c>
      <c r="B550" t="inlineStr">
        <is>
          <t>91282CPM7 Govt</t>
        </is>
      </c>
      <c r="C550" s="1" t="inlineStr">
        <is>
          <t>91282CPM7</t>
        </is>
      </c>
      <c r="D550" t="inlineStr">
        <is>
          <t>United States Treasury Note/Bo</t>
        </is>
      </c>
      <c r="E550">
        <f>BDP($B550,"LEGAL_ENTITY_IDENTIFIER")</f>
        <v/>
      </c>
      <c r="F550" t="inlineStr">
        <is>
          <t>United States Treasury Note/Bond 3.75% 11/30/2032</t>
        </is>
      </c>
      <c r="G550">
        <f>custodian!D550</f>
        <v/>
      </c>
      <c r="H550">
        <f>BDP($B550,"ID_ISIN")</f>
        <v/>
      </c>
      <c r="I550" s="1" t="inlineStr"/>
      <c r="J550">
        <f>BDP($B550,"CNTRY_OF_DOMICILE")</f>
        <v/>
      </c>
      <c r="K550" t="inlineStr">
        <is>
          <t>DBT</t>
        </is>
      </c>
      <c r="L550" t="inlineStr">
        <is>
          <t>UST</t>
        </is>
      </c>
      <c r="M550" t="inlineStr"/>
      <c r="N550" t="inlineStr"/>
      <c r="O550" s="1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s="1" t="inlineStr"/>
      <c r="AR550" s="1" t="inlineStr"/>
      <c r="AS550" s="1" t="inlineStr"/>
      <c r="AT550">
        <f>TEXT(BDP($B550,"MATURITY"),"yyyy-mm-dd")</f>
        <v/>
      </c>
      <c r="AU550">
        <f>BDP($B550,"CPN_TYP")</f>
        <v/>
      </c>
      <c r="AV550">
        <f>BDP($B550,"CPN")</f>
        <v/>
      </c>
      <c r="AW550" t="inlineStr"/>
      <c r="AX550" t="inlineStr"/>
      <c r="AY550" t="inlineStr"/>
    </row>
    <row r="551">
      <c r="A551" t="inlineStr">
        <is>
          <t>CIEI</t>
        </is>
      </c>
      <c r="B551" t="inlineStr">
        <is>
          <t>91282CPN5 Govt</t>
        </is>
      </c>
      <c r="C551" s="1" t="inlineStr">
        <is>
          <t>91282CPN5</t>
        </is>
      </c>
      <c r="D551" t="inlineStr">
        <is>
          <t>United States Treasury Note/Bo</t>
        </is>
      </c>
      <c r="E551">
        <f>BDP($B551,"LEGAL_ENTITY_IDENTIFIER")</f>
        <v/>
      </c>
      <c r="F551" t="inlineStr">
        <is>
          <t>United States Treasury Note/Bond 3.5% 11/30/2030</t>
        </is>
      </c>
      <c r="G551">
        <f>custodian!D551</f>
        <v/>
      </c>
      <c r="H551">
        <f>BDP($B551,"ID_ISIN")</f>
        <v/>
      </c>
      <c r="I551" s="1" t="inlineStr"/>
      <c r="J551">
        <f>BDP($B551,"CNTRY_OF_DOMICILE")</f>
        <v/>
      </c>
      <c r="K551" t="inlineStr">
        <is>
          <t>DBT</t>
        </is>
      </c>
      <c r="L551" t="inlineStr">
        <is>
          <t>UST</t>
        </is>
      </c>
      <c r="M551" t="inlineStr"/>
      <c r="N551" t="inlineStr"/>
      <c r="O551" s="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s="1" t="inlineStr"/>
      <c r="AR551" s="1" t="inlineStr"/>
      <c r="AS551" s="1" t="inlineStr"/>
      <c r="AT551">
        <f>TEXT(BDP($B551,"MATURITY"),"yyyy-mm-dd")</f>
        <v/>
      </c>
      <c r="AU551">
        <f>BDP($B551,"CPN_TYP")</f>
        <v/>
      </c>
      <c r="AV551">
        <f>BDP($B551,"CPN")</f>
        <v/>
      </c>
      <c r="AW551" t="inlineStr"/>
      <c r="AX551" t="inlineStr"/>
      <c r="AY551" t="inlineStr"/>
    </row>
    <row r="552">
      <c r="A552" t="inlineStr">
        <is>
          <t>CIEI</t>
        </is>
      </c>
      <c r="B552" t="inlineStr">
        <is>
          <t>91282CPQ8 Govt</t>
        </is>
      </c>
      <c r="C552" s="1" t="inlineStr">
        <is>
          <t>91282CPQ8</t>
        </is>
      </c>
      <c r="D552" t="inlineStr">
        <is>
          <t>United States Treasury Note/Bo</t>
        </is>
      </c>
      <c r="E552">
        <f>BDP($B552,"LEGAL_ENTITY_IDENTIFIER")</f>
        <v/>
      </c>
      <c r="F552" t="inlineStr">
        <is>
          <t>United States Treasury Note/Bond 3.875% 12/31/2032</t>
        </is>
      </c>
      <c r="G552">
        <f>custodian!D552</f>
        <v/>
      </c>
      <c r="H552">
        <f>BDP($B552,"ID_ISIN")</f>
        <v/>
      </c>
      <c r="I552" s="1" t="inlineStr"/>
      <c r="J552">
        <f>BDP($B552,"CNTRY_OF_DOMICILE")</f>
        <v/>
      </c>
      <c r="K552" t="inlineStr">
        <is>
          <t>DBT</t>
        </is>
      </c>
      <c r="L552" t="inlineStr">
        <is>
          <t>UST</t>
        </is>
      </c>
      <c r="M552" t="inlineStr"/>
      <c r="N552" t="inlineStr"/>
      <c r="O552" s="1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s="1" t="inlineStr"/>
      <c r="AR552" s="1" t="inlineStr"/>
      <c r="AS552" s="1" t="inlineStr"/>
      <c r="AT552">
        <f>TEXT(BDP($B552,"MATURITY"),"yyyy-mm-dd")</f>
        <v/>
      </c>
      <c r="AU552">
        <f>BDP($B552,"CPN_TYP")</f>
        <v/>
      </c>
      <c r="AV552">
        <f>BDP($B552,"CPN")</f>
        <v/>
      </c>
      <c r="AW552" t="inlineStr"/>
      <c r="AX552" t="inlineStr"/>
      <c r="AY552" t="inlineStr"/>
    </row>
    <row r="553">
      <c r="A553" t="inlineStr">
        <is>
          <t>CIEI</t>
        </is>
      </c>
      <c r="B553" t="inlineStr">
        <is>
          <t>91282CPR6 Govt</t>
        </is>
      </c>
      <c r="C553" s="1" t="inlineStr">
        <is>
          <t>91282CPR6</t>
        </is>
      </c>
      <c r="D553" t="inlineStr">
        <is>
          <t>United States Treasury Note/Bo</t>
        </is>
      </c>
      <c r="E553">
        <f>BDP($B553,"LEGAL_ENTITY_IDENTIFIER")</f>
        <v/>
      </c>
      <c r="F553" t="inlineStr">
        <is>
          <t>United States Treasury Note/Bond 3.625% 12/31/2030</t>
        </is>
      </c>
      <c r="G553">
        <f>custodian!D553</f>
        <v/>
      </c>
      <c r="H553">
        <f>BDP($B553,"ID_ISIN")</f>
        <v/>
      </c>
      <c r="I553" s="1" t="inlineStr"/>
      <c r="J553">
        <f>BDP($B553,"CNTRY_OF_DOMICILE")</f>
        <v/>
      </c>
      <c r="K553" t="inlineStr">
        <is>
          <t>DBT</t>
        </is>
      </c>
      <c r="L553" t="inlineStr">
        <is>
          <t>UST</t>
        </is>
      </c>
      <c r="M553" t="inlineStr"/>
      <c r="N553" t="inlineStr"/>
      <c r="O553" s="1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s="1" t="inlineStr"/>
      <c r="AR553" s="1" t="inlineStr"/>
      <c r="AS553" s="1" t="inlineStr"/>
      <c r="AT553">
        <f>TEXT(BDP($B553,"MATURITY"),"yyyy-mm-dd")</f>
        <v/>
      </c>
      <c r="AU553">
        <f>BDP($B553,"CPN_TYP")</f>
        <v/>
      </c>
      <c r="AV553">
        <f>BDP($B553,"CPN")</f>
        <v/>
      </c>
      <c r="AW553" t="inlineStr"/>
      <c r="AX553" t="inlineStr"/>
      <c r="AY553" t="inlineStr"/>
    </row>
    <row r="554">
      <c r="A554" t="inlineStr">
        <is>
          <t>CIEI</t>
        </is>
      </c>
      <c r="B554" t="inlineStr">
        <is>
          <t>91282CPW5 Govt</t>
        </is>
      </c>
      <c r="C554" s="1" t="inlineStr">
        <is>
          <t>91282CPW5</t>
        </is>
      </c>
      <c r="D554" t="inlineStr">
        <is>
          <t>United States Treasury Note/Bo</t>
        </is>
      </c>
      <c r="E554">
        <f>BDP($B554,"LEGAL_ENTITY_IDENTIFIER")</f>
        <v/>
      </c>
      <c r="F554" t="inlineStr">
        <is>
          <t>United States Treasury Note/Bond 3.75% 01/31/2031</t>
        </is>
      </c>
      <c r="G554">
        <f>custodian!D554</f>
        <v/>
      </c>
      <c r="H554">
        <f>BDP($B554,"ID_ISIN")</f>
        <v/>
      </c>
      <c r="I554" s="1" t="inlineStr"/>
      <c r="J554">
        <f>BDP($B554,"CNTRY_OF_DOMICILE")</f>
        <v/>
      </c>
      <c r="K554" t="inlineStr">
        <is>
          <t>DBT</t>
        </is>
      </c>
      <c r="L554" t="inlineStr">
        <is>
          <t>UST</t>
        </is>
      </c>
      <c r="M554" t="inlineStr"/>
      <c r="N554" t="inlineStr"/>
      <c r="O554" s="1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s="1" t="inlineStr"/>
      <c r="AR554" s="1" t="inlineStr"/>
      <c r="AS554" s="1" t="inlineStr"/>
      <c r="AT554">
        <f>TEXT(BDP($B554,"MATURITY"),"yyyy-mm-dd")</f>
        <v/>
      </c>
      <c r="AU554">
        <f>BDP($B554,"CPN_TYP")</f>
        <v/>
      </c>
      <c r="AV554">
        <f>BDP($B554,"CPN")</f>
        <v/>
      </c>
      <c r="AW554" t="inlineStr"/>
      <c r="AX554" t="inlineStr"/>
      <c r="AY554" t="inlineStr"/>
    </row>
    <row r="555">
      <c r="A555" t="inlineStr">
        <is>
          <t>CIEI</t>
        </is>
      </c>
      <c r="B555" t="inlineStr">
        <is>
          <t>91282CPY1 Govt</t>
        </is>
      </c>
      <c r="C555" s="1" t="inlineStr">
        <is>
          <t>91282CPY1</t>
        </is>
      </c>
      <c r="D555" t="inlineStr">
        <is>
          <t>United States Treasury Note/Bo</t>
        </is>
      </c>
      <c r="E555">
        <f>BDP($B555,"LEGAL_ENTITY_IDENTIFIER")</f>
        <v/>
      </c>
      <c r="F555" t="inlineStr">
        <is>
          <t>United States Treasury Note/Bond 4% 01/31/2033</t>
        </is>
      </c>
      <c r="G555">
        <f>custodian!D555</f>
        <v/>
      </c>
      <c r="H555">
        <f>BDP($B555,"ID_ISIN")</f>
        <v/>
      </c>
      <c r="I555" s="1" t="inlineStr"/>
      <c r="J555">
        <f>BDP($B555,"CNTRY_OF_DOMICILE")</f>
        <v/>
      </c>
      <c r="K555" t="inlineStr">
        <is>
          <t>DBT</t>
        </is>
      </c>
      <c r="L555" t="inlineStr">
        <is>
          <t>UST</t>
        </is>
      </c>
      <c r="M555" t="inlineStr"/>
      <c r="N555" t="inlineStr"/>
      <c r="O555" s="1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s="1" t="inlineStr"/>
      <c r="AR555" s="1" t="inlineStr"/>
      <c r="AS555" s="1" t="inlineStr"/>
      <c r="AT555">
        <f>TEXT(BDP($B555,"MATURITY"),"yyyy-mm-dd")</f>
        <v/>
      </c>
      <c r="AU555">
        <f>BDP($B555,"CPN_TYP")</f>
        <v/>
      </c>
      <c r="AV555">
        <f>BDP($B555,"CPN")</f>
        <v/>
      </c>
      <c r="AW555" t="inlineStr"/>
      <c r="AX555" t="inlineStr"/>
      <c r="AY555" t="inlineStr"/>
    </row>
    <row r="556">
      <c r="A556" t="inlineStr">
        <is>
          <t>CIEI</t>
        </is>
      </c>
      <c r="B556" t="inlineStr">
        <is>
          <t>91282CQC8 Govt</t>
        </is>
      </c>
      <c r="C556" s="1" t="inlineStr">
        <is>
          <t>91282CQC8</t>
        </is>
      </c>
      <c r="D556" t="inlineStr">
        <is>
          <t>United States Treasury Note/Bo</t>
        </is>
      </c>
      <c r="E556">
        <f>BDP($B556,"LEGAL_ENTITY_IDENTIFIER")</f>
        <v/>
      </c>
      <c r="F556" t="inlineStr">
        <is>
          <t>United States Treasury Note/Bond 3.75% 02/28/2033</t>
        </is>
      </c>
      <c r="G556">
        <f>custodian!D556</f>
        <v/>
      </c>
      <c r="H556">
        <f>BDP($B556,"ID_ISIN")</f>
        <v/>
      </c>
      <c r="I556" s="1" t="inlineStr"/>
      <c r="J556">
        <f>BDP($B556,"CNTRY_OF_DOMICILE")</f>
        <v/>
      </c>
      <c r="K556" t="inlineStr">
        <is>
          <t>DBT</t>
        </is>
      </c>
      <c r="L556" t="inlineStr">
        <is>
          <t>UST</t>
        </is>
      </c>
      <c r="M556" t="inlineStr"/>
      <c r="N556" t="inlineStr"/>
      <c r="O556" s="1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s="1" t="inlineStr"/>
      <c r="AR556" s="1" t="inlineStr"/>
      <c r="AS556" s="1" t="inlineStr"/>
      <c r="AT556">
        <f>TEXT(BDP($B556,"MATURITY"),"yyyy-mm-dd")</f>
        <v/>
      </c>
      <c r="AU556">
        <f>BDP($B556,"CPN_TYP")</f>
        <v/>
      </c>
      <c r="AV556">
        <f>BDP($B556,"CPN")</f>
        <v/>
      </c>
      <c r="AW556" t="inlineStr"/>
      <c r="AX556" t="inlineStr"/>
      <c r="AY556" t="inlineStr"/>
    </row>
    <row r="557">
      <c r="A557" t="inlineStr">
        <is>
          <t>CIEI</t>
        </is>
      </c>
      <c r="B557" t="inlineStr">
        <is>
          <t>91282CQD6 Govt</t>
        </is>
      </c>
      <c r="C557" s="1" t="inlineStr">
        <is>
          <t>91282CQD6</t>
        </is>
      </c>
      <c r="D557" t="inlineStr">
        <is>
          <t>United States Treasury Note/Bo</t>
        </is>
      </c>
      <c r="E557">
        <f>BDP($B557,"LEGAL_ENTITY_IDENTIFIER")</f>
        <v/>
      </c>
      <c r="F557" t="inlineStr">
        <is>
          <t>United States Treasury Note/Bond 3.5% 02/28/2031</t>
        </is>
      </c>
      <c r="G557">
        <f>custodian!D557</f>
        <v/>
      </c>
      <c r="H557">
        <f>BDP($B557,"ID_ISIN")</f>
        <v/>
      </c>
      <c r="I557" s="1" t="inlineStr"/>
      <c r="J557">
        <f>BDP($B557,"CNTRY_OF_DOMICILE")</f>
        <v/>
      </c>
      <c r="K557" t="inlineStr">
        <is>
          <t>DBT</t>
        </is>
      </c>
      <c r="L557" t="inlineStr">
        <is>
          <t>UST</t>
        </is>
      </c>
      <c r="M557" t="inlineStr"/>
      <c r="N557" t="inlineStr"/>
      <c r="O557" s="1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s="1" t="inlineStr"/>
      <c r="AR557" s="1" t="inlineStr"/>
      <c r="AS557" s="1" t="inlineStr"/>
      <c r="AT557">
        <f>TEXT(BDP($B557,"MATURITY"),"yyyy-mm-dd")</f>
        <v/>
      </c>
      <c r="AU557">
        <f>BDP($B557,"CPN_TYP")</f>
        <v/>
      </c>
      <c r="AV557">
        <f>BDP($B557,"CPN")</f>
        <v/>
      </c>
      <c r="AW557" t="inlineStr"/>
      <c r="AX557" t="inlineStr"/>
      <c r="AY557" t="inlineStr"/>
    </row>
    <row r="558">
      <c r="A558" t="inlineStr">
        <is>
          <t>CIEI</t>
        </is>
      </c>
      <c r="B558" t="inlineStr">
        <is>
          <t>91282CQF1 Govt</t>
        </is>
      </c>
      <c r="C558" s="1" t="inlineStr">
        <is>
          <t>91282CQF1</t>
        </is>
      </c>
      <c r="D558" t="inlineStr">
        <is>
          <t>United States Treasury Note/Bo</t>
        </is>
      </c>
      <c r="E558">
        <f>BDP($B558,"LEGAL_ENTITY_IDENTIFIER")</f>
        <v/>
      </c>
      <c r="F558" t="inlineStr">
        <is>
          <t>United States Treasury Note/Bond 4.25% 03/31/2033</t>
        </is>
      </c>
      <c r="G558">
        <f>custodian!D558</f>
        <v/>
      </c>
      <c r="H558">
        <f>BDP($B558,"ID_ISIN")</f>
        <v/>
      </c>
      <c r="I558" s="1" t="inlineStr"/>
      <c r="J558">
        <f>BDP($B558,"CNTRY_OF_DOMICILE")</f>
        <v/>
      </c>
      <c r="K558" t="inlineStr">
        <is>
          <t>DBT</t>
        </is>
      </c>
      <c r="L558" t="inlineStr">
        <is>
          <t>UST</t>
        </is>
      </c>
      <c r="M558" t="inlineStr"/>
      <c r="N558" t="inlineStr"/>
      <c r="O558" s="1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s="1" t="inlineStr"/>
      <c r="AR558" s="1" t="inlineStr"/>
      <c r="AS558" s="1" t="inlineStr"/>
      <c r="AT558">
        <f>TEXT(BDP($B558,"MATURITY"),"yyyy-mm-dd")</f>
        <v/>
      </c>
      <c r="AU558">
        <f>BDP($B558,"CPN_TYP")</f>
        <v/>
      </c>
      <c r="AV558">
        <f>BDP($B558,"CPN")</f>
        <v/>
      </c>
      <c r="AW558" t="inlineStr"/>
      <c r="AX558" t="inlineStr"/>
      <c r="AY558" t="inlineStr"/>
    </row>
    <row r="559">
      <c r="A559" t="inlineStr">
        <is>
          <t>CIEI</t>
        </is>
      </c>
      <c r="B559" t="inlineStr">
        <is>
          <t>91282CQG9 Govt</t>
        </is>
      </c>
      <c r="C559" s="1" t="inlineStr">
        <is>
          <t>91282CQG9</t>
        </is>
      </c>
      <c r="D559" t="inlineStr">
        <is>
          <t>United States Treasury Note/Bo</t>
        </is>
      </c>
      <c r="E559">
        <f>BDP($B559,"LEGAL_ENTITY_IDENTIFIER")</f>
        <v/>
      </c>
      <c r="F559" t="inlineStr">
        <is>
          <t>United States Treasury Note/Bond 3.875% 03/31/2031</t>
        </is>
      </c>
      <c r="G559">
        <f>custodian!D559</f>
        <v/>
      </c>
      <c r="H559">
        <f>BDP($B559,"ID_ISIN")</f>
        <v/>
      </c>
      <c r="I559" s="1" t="inlineStr"/>
      <c r="J559">
        <f>BDP($B559,"CNTRY_OF_DOMICILE")</f>
        <v/>
      </c>
      <c r="K559" t="inlineStr">
        <is>
          <t>DBT</t>
        </is>
      </c>
      <c r="L559" t="inlineStr">
        <is>
          <t>UST</t>
        </is>
      </c>
      <c r="M559" t="inlineStr"/>
      <c r="N559" t="inlineStr"/>
      <c r="O559" s="1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s="1" t="inlineStr"/>
      <c r="AR559" s="1" t="inlineStr"/>
      <c r="AS559" s="1" t="inlineStr"/>
      <c r="AT559">
        <f>TEXT(BDP($B559,"MATURITY"),"yyyy-mm-dd")</f>
        <v/>
      </c>
      <c r="AU559">
        <f>BDP($B559,"CPN_TYP")</f>
        <v/>
      </c>
      <c r="AV559">
        <f>BDP($B559,"CPN")</f>
        <v/>
      </c>
      <c r="AW559" t="inlineStr"/>
      <c r="AX559" t="inlineStr"/>
      <c r="AY559" t="inlineStr"/>
    </row>
    <row r="560">
      <c r="A560" t="inlineStr">
        <is>
          <t>CIEI</t>
        </is>
      </c>
      <c r="B560" t="inlineStr">
        <is>
          <t>91282CQK0 Govt</t>
        </is>
      </c>
      <c r="C560" s="1" t="inlineStr">
        <is>
          <t>91282CQK0</t>
        </is>
      </c>
      <c r="D560" t="inlineStr">
        <is>
          <t>United States Treasury Note/Bo</t>
        </is>
      </c>
      <c r="E560">
        <f>BDP($B560,"LEGAL_ENTITY_IDENTIFIER")</f>
        <v/>
      </c>
      <c r="F560" t="inlineStr">
        <is>
          <t>United States Treasury Note/Bond 3.875% 04/30/2031</t>
        </is>
      </c>
      <c r="G560">
        <f>custodian!D560</f>
        <v/>
      </c>
      <c r="H560">
        <f>BDP($B560,"ID_ISIN")</f>
        <v/>
      </c>
      <c r="I560" s="1" t="inlineStr"/>
      <c r="J560">
        <f>BDP($B560,"CNTRY_OF_DOMICILE")</f>
        <v/>
      </c>
      <c r="K560" t="inlineStr">
        <is>
          <t>DBT</t>
        </is>
      </c>
      <c r="L560" t="inlineStr">
        <is>
          <t>UST</t>
        </is>
      </c>
      <c r="M560" t="inlineStr"/>
      <c r="N560" t="inlineStr"/>
      <c r="O560" s="1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s="1" t="inlineStr"/>
      <c r="AR560" s="1" t="inlineStr"/>
      <c r="AS560" s="1" t="inlineStr"/>
      <c r="AT560">
        <f>TEXT(BDP($B560,"MATURITY"),"yyyy-mm-dd")</f>
        <v/>
      </c>
      <c r="AU560">
        <f>BDP($B560,"CPN_TYP")</f>
        <v/>
      </c>
      <c r="AV560">
        <f>BDP($B560,"CPN")</f>
        <v/>
      </c>
      <c r="AW560" t="inlineStr"/>
      <c r="AX560" t="inlineStr"/>
      <c r="AY560" t="inlineStr"/>
    </row>
    <row r="561">
      <c r="A561" t="inlineStr">
        <is>
          <t>CIEI</t>
        </is>
      </c>
      <c r="B561" t="inlineStr">
        <is>
          <t>91282CQN4 Govt</t>
        </is>
      </c>
      <c r="C561" s="1" t="inlineStr">
        <is>
          <t>91282CQN4</t>
        </is>
      </c>
      <c r="D561" t="inlineStr">
        <is>
          <t>United States Treasury Note/Bo</t>
        </is>
      </c>
      <c r="E561">
        <f>BDP($B561,"LEGAL_ENTITY_IDENTIFIER")</f>
        <v/>
      </c>
      <c r="F561" t="inlineStr">
        <is>
          <t>United States Treasury Note/Bond 4.125% 04/30/2033</t>
        </is>
      </c>
      <c r="G561">
        <f>custodian!D561</f>
        <v/>
      </c>
      <c r="H561">
        <f>BDP($B561,"ID_ISIN")</f>
        <v/>
      </c>
      <c r="I561" s="1" t="inlineStr"/>
      <c r="J561">
        <f>BDP($B561,"CNTRY_OF_DOMICILE")</f>
        <v/>
      </c>
      <c r="K561" t="inlineStr">
        <is>
          <t>DBT</t>
        </is>
      </c>
      <c r="L561" t="inlineStr">
        <is>
          <t>UST</t>
        </is>
      </c>
      <c r="M561" t="inlineStr"/>
      <c r="N561" t="inlineStr"/>
      <c r="O561" s="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s="1" t="inlineStr"/>
      <c r="AR561" s="1" t="inlineStr"/>
      <c r="AS561" s="1" t="inlineStr"/>
      <c r="AT561">
        <f>TEXT(BDP($B561,"MATURITY"),"yyyy-mm-dd")</f>
        <v/>
      </c>
      <c r="AU561">
        <f>BDP($B561,"CPN_TYP")</f>
        <v/>
      </c>
      <c r="AV561">
        <f>BDP($B561,"CPN")</f>
        <v/>
      </c>
      <c r="AW561" t="inlineStr"/>
      <c r="AX561" t="inlineStr"/>
      <c r="AY561" t="inlineStr"/>
    </row>
    <row r="562">
      <c r="A562" t="inlineStr">
        <is>
          <t>CIEI</t>
        </is>
      </c>
      <c r="B562" t="inlineStr">
        <is>
          <t>FGXXX US Equity</t>
        </is>
      </c>
      <c r="C562" s="1" t="inlineStr">
        <is>
          <t>FGXXX</t>
        </is>
      </c>
      <c r="D562" t="inlineStr">
        <is>
          <t>First American Government Obli</t>
        </is>
      </c>
      <c r="E562">
        <f>BDP($B562,"LEGAL_ENTITY_IDENTIFIER")</f>
        <v/>
      </c>
      <c r="F562" t="inlineStr">
        <is>
          <t>First American Government Obligations Fund</t>
        </is>
      </c>
      <c r="G562">
        <f>custodian!D562</f>
        <v/>
      </c>
      <c r="H562">
        <f>BDP($B562,"ID_ISIN")</f>
        <v/>
      </c>
      <c r="I562" s="1" t="inlineStr">
        <is>
          <t>FGXXX</t>
        </is>
      </c>
      <c r="J562">
        <f>BDP($B562,"CNTRY_OF_DOMICILE")</f>
        <v/>
      </c>
      <c r="K562" t="inlineStr">
        <is>
          <t>STIV</t>
        </is>
      </c>
      <c r="L562" t="inlineStr">
        <is>
          <t>RF</t>
        </is>
      </c>
      <c r="M562" t="inlineStr"/>
      <c r="N562" t="inlineStr"/>
      <c r="O562" s="1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s="1" t="inlineStr"/>
      <c r="AR562" s="1" t="inlineStr"/>
      <c r="AS562" s="1" t="inlineStr"/>
      <c r="AT562" t="inlineStr"/>
      <c r="AU562" t="inlineStr"/>
      <c r="AV562" t="inlineStr"/>
      <c r="AW562" t="inlineStr"/>
      <c r="AX562" t="inlineStr"/>
      <c r="AY562" t="inlineStr"/>
    </row>
    <row r="563">
      <c r="A563" t="inlineStr">
        <is>
          <t>CIEI</t>
        </is>
      </c>
      <c r="B563" t="inlineStr"/>
      <c r="C563" s="1" t="inlineStr">
        <is>
          <t>Cash&amp;Other</t>
        </is>
      </c>
      <c r="D563" t="inlineStr"/>
      <c r="E563" s="1" t="inlineStr"/>
      <c r="F563" t="inlineStr"/>
      <c r="G563">
        <f>custodian!D563</f>
        <v/>
      </c>
      <c r="H563" s="1" t="inlineStr"/>
      <c r="I563" s="1" t="inlineStr"/>
      <c r="J563" t="inlineStr"/>
      <c r="K563" t="inlineStr"/>
      <c r="L563" t="inlineStr"/>
      <c r="M563" t="inlineStr"/>
      <c r="N563" t="inlineStr"/>
      <c r="O563" s="1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s="1" t="inlineStr"/>
      <c r="AR563" s="1" t="inlineStr"/>
      <c r="AS563" s="1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CIVG</t>
        </is>
      </c>
      <c r="B564" t="inlineStr">
        <is>
          <t>00206RKG6 Corp</t>
        </is>
      </c>
      <c r="C564" s="1" t="inlineStr">
        <is>
          <t>00206RKG6</t>
        </is>
      </c>
      <c r="D564" t="inlineStr">
        <is>
          <t>AT&amp;T Inc 1.65% 02/01/2028</t>
        </is>
      </c>
      <c r="E564">
        <f>BDP($B564,"LEGAL_ENTITY_IDENTIFIER")</f>
        <v/>
      </c>
      <c r="F564" t="inlineStr">
        <is>
          <t>AT&amp;T Inc 1.65% 02/01/2028</t>
        </is>
      </c>
      <c r="G564">
        <f>custodian!D564</f>
        <v/>
      </c>
      <c r="H564">
        <f>BDP($B564,"ID_ISIN")</f>
        <v/>
      </c>
      <c r="I564" s="1" t="inlineStr"/>
      <c r="J564">
        <f>BDP($B564,"CNTRY_OF_DOMICILE")</f>
        <v/>
      </c>
      <c r="K564" t="inlineStr">
        <is>
          <t>DBT</t>
        </is>
      </c>
      <c r="L564" t="inlineStr">
        <is>
          <t>CORP</t>
        </is>
      </c>
      <c r="M564" t="inlineStr"/>
      <c r="N564" t="inlineStr"/>
      <c r="O564" s="1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s="1" t="inlineStr"/>
      <c r="AR564" s="1" t="inlineStr"/>
      <c r="AS564" s="1" t="inlineStr"/>
      <c r="AT564">
        <f>TEXT(BDP($B564,"MATURITY"),"yyyy-mm-dd")</f>
        <v/>
      </c>
      <c r="AU564">
        <f>BDP($B564,"CPN_TYP")</f>
        <v/>
      </c>
      <c r="AV564">
        <f>BDP($B564,"CPN")</f>
        <v/>
      </c>
      <c r="AW564" t="inlineStr"/>
      <c r="AX564" t="inlineStr"/>
      <c r="AY564" t="inlineStr"/>
    </row>
    <row r="565">
      <c r="A565" t="inlineStr">
        <is>
          <t>CIVG</t>
        </is>
      </c>
      <c r="B565" t="inlineStr">
        <is>
          <t>002824BS8 Corp</t>
        </is>
      </c>
      <c r="C565" s="1" t="inlineStr">
        <is>
          <t>002824BS8</t>
        </is>
      </c>
      <c r="D565" t="inlineStr">
        <is>
          <t>Abbott Laboratories 4% 03/15/2</t>
        </is>
      </c>
      <c r="E565">
        <f>BDP($B565,"LEGAL_ENTITY_IDENTIFIER")</f>
        <v/>
      </c>
      <c r="F565" t="inlineStr">
        <is>
          <t>Abbott Laboratories 4% 03/15/2031</t>
        </is>
      </c>
      <c r="G565">
        <f>custodian!D565</f>
        <v/>
      </c>
      <c r="H565">
        <f>BDP($B565,"ID_ISIN")</f>
        <v/>
      </c>
      <c r="I565" s="1" t="inlineStr"/>
      <c r="J565">
        <f>BDP($B565,"CNTRY_OF_DOMICILE")</f>
        <v/>
      </c>
      <c r="K565" t="inlineStr">
        <is>
          <t>DBT</t>
        </is>
      </c>
      <c r="L565" t="inlineStr">
        <is>
          <t>CORP</t>
        </is>
      </c>
      <c r="M565" t="inlineStr"/>
      <c r="N565" t="inlineStr"/>
      <c r="O565" s="1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s="1" t="inlineStr"/>
      <c r="AR565" s="1" t="inlineStr"/>
      <c r="AS565" s="1" t="inlineStr"/>
      <c r="AT565">
        <f>TEXT(BDP($B565,"MATURITY"),"yyyy-mm-dd")</f>
        <v/>
      </c>
      <c r="AU565">
        <f>BDP($B565,"CPN_TYP")</f>
        <v/>
      </c>
      <c r="AV565">
        <f>BDP($B565,"CPN")</f>
        <v/>
      </c>
      <c r="AW565" t="inlineStr"/>
      <c r="AX565" t="inlineStr"/>
      <c r="AY565" t="inlineStr"/>
    </row>
    <row r="566">
      <c r="A566" t="inlineStr">
        <is>
          <t>CIVG</t>
        </is>
      </c>
      <c r="B566" t="inlineStr">
        <is>
          <t>00287YBX6 Corp</t>
        </is>
      </c>
      <c r="C566" s="1" t="inlineStr">
        <is>
          <t>00287YBX6</t>
        </is>
      </c>
      <c r="D566" t="inlineStr">
        <is>
          <t>AbbVie Inc 3.2% 11/21/2029</t>
        </is>
      </c>
      <c r="E566">
        <f>BDP($B566,"LEGAL_ENTITY_IDENTIFIER")</f>
        <v/>
      </c>
      <c r="F566" t="inlineStr">
        <is>
          <t>AbbVie Inc 3.2% 11/21/2029</t>
        </is>
      </c>
      <c r="G566">
        <f>custodian!D566</f>
        <v/>
      </c>
      <c r="H566">
        <f>BDP($B566,"ID_ISIN")</f>
        <v/>
      </c>
      <c r="I566" s="1" t="inlineStr"/>
      <c r="J566">
        <f>BDP($B566,"CNTRY_OF_DOMICILE")</f>
        <v/>
      </c>
      <c r="K566" t="inlineStr">
        <is>
          <t>DBT</t>
        </is>
      </c>
      <c r="L566" t="inlineStr">
        <is>
          <t>CORP</t>
        </is>
      </c>
      <c r="M566" t="inlineStr"/>
      <c r="N566" t="inlineStr"/>
      <c r="O566" s="1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s="1" t="inlineStr"/>
      <c r="AR566" s="1" t="inlineStr"/>
      <c r="AS566" s="1" t="inlineStr"/>
      <c r="AT566">
        <f>TEXT(BDP($B566,"MATURITY"),"yyyy-mm-dd")</f>
        <v/>
      </c>
      <c r="AU566">
        <f>BDP($B566,"CPN_TYP")</f>
        <v/>
      </c>
      <c r="AV566">
        <f>BDP($B566,"CPN")</f>
        <v/>
      </c>
      <c r="AW566" t="inlineStr"/>
      <c r="AX566" t="inlineStr"/>
      <c r="AY566" t="inlineStr"/>
    </row>
    <row r="567">
      <c r="A567" t="inlineStr">
        <is>
          <t>CIVG</t>
        </is>
      </c>
      <c r="B567" t="inlineStr">
        <is>
          <t>00724PAD1 Corp</t>
        </is>
      </c>
      <c r="C567" s="1" t="inlineStr">
        <is>
          <t>00724PAD1</t>
        </is>
      </c>
      <c r="D567" t="inlineStr">
        <is>
          <t>Adobe Inc 2.3% 02/01/2030</t>
        </is>
      </c>
      <c r="E567">
        <f>BDP($B567,"LEGAL_ENTITY_IDENTIFIER")</f>
        <v/>
      </c>
      <c r="F567" t="inlineStr">
        <is>
          <t>Adobe Inc 2.3% 02/01/2030</t>
        </is>
      </c>
      <c r="G567">
        <f>custodian!D567</f>
        <v/>
      </c>
      <c r="H567">
        <f>BDP($B567,"ID_ISIN")</f>
        <v/>
      </c>
      <c r="I567" s="1" t="inlineStr"/>
      <c r="J567">
        <f>BDP($B567,"CNTRY_OF_DOMICILE")</f>
        <v/>
      </c>
      <c r="K567" t="inlineStr">
        <is>
          <t>DBT</t>
        </is>
      </c>
      <c r="L567" t="inlineStr">
        <is>
          <t>CORP</t>
        </is>
      </c>
      <c r="M567" t="inlineStr"/>
      <c r="N567" t="inlineStr"/>
      <c r="O567" s="1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s="1" t="inlineStr"/>
      <c r="AR567" s="1" t="inlineStr"/>
      <c r="AS567" s="1" t="inlineStr"/>
      <c r="AT567">
        <f>TEXT(BDP($B567,"MATURITY"),"yyyy-mm-dd")</f>
        <v/>
      </c>
      <c r="AU567">
        <f>BDP($B567,"CPN_TYP")</f>
        <v/>
      </c>
      <c r="AV567">
        <f>BDP($B567,"CPN")</f>
        <v/>
      </c>
      <c r="AW567" t="inlineStr"/>
      <c r="AX567" t="inlineStr"/>
      <c r="AY567" t="inlineStr"/>
    </row>
    <row r="568">
      <c r="A568" t="inlineStr">
        <is>
          <t>CIVG</t>
        </is>
      </c>
      <c r="B568" t="inlineStr">
        <is>
          <t>015271AU3 Corp</t>
        </is>
      </c>
      <c r="C568" s="1" t="inlineStr">
        <is>
          <t>015271AU3</t>
        </is>
      </c>
      <c r="D568" t="inlineStr">
        <is>
          <t>Alexandria Real Estate Equitie</t>
        </is>
      </c>
      <c r="E568">
        <f>BDP($B568,"LEGAL_ENTITY_IDENTIFIER")</f>
        <v/>
      </c>
      <c r="F568" t="inlineStr">
        <is>
          <t>Alexandria Real Estate Equities Inc 4.9% 12/15/2030</t>
        </is>
      </c>
      <c r="G568">
        <f>custodian!D568</f>
        <v/>
      </c>
      <c r="H568">
        <f>BDP($B568,"ID_ISIN")</f>
        <v/>
      </c>
      <c r="I568" s="1" t="inlineStr"/>
      <c r="J568">
        <f>BDP($B568,"CNTRY_OF_DOMICILE")</f>
        <v/>
      </c>
      <c r="K568" t="inlineStr">
        <is>
          <t>DBT</t>
        </is>
      </c>
      <c r="L568" t="inlineStr">
        <is>
          <t>CORP</t>
        </is>
      </c>
      <c r="M568" t="inlineStr"/>
      <c r="N568" t="inlineStr"/>
      <c r="O568" s="1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s="1" t="inlineStr"/>
      <c r="AR568" s="1" t="inlineStr"/>
      <c r="AS568" s="1" t="inlineStr"/>
      <c r="AT568">
        <f>TEXT(BDP($B568,"MATURITY"),"yyyy-mm-dd")</f>
        <v/>
      </c>
      <c r="AU568">
        <f>BDP($B568,"CPN_TYP")</f>
        <v/>
      </c>
      <c r="AV568">
        <f>BDP($B568,"CPN")</f>
        <v/>
      </c>
      <c r="AW568" t="inlineStr"/>
      <c r="AX568" t="inlineStr"/>
      <c r="AY568" t="inlineStr"/>
    </row>
    <row r="569">
      <c r="A569" t="inlineStr">
        <is>
          <t>CIVG</t>
        </is>
      </c>
      <c r="B569" t="inlineStr">
        <is>
          <t>01609WAT9 Corp</t>
        </is>
      </c>
      <c r="C569" s="1" t="inlineStr">
        <is>
          <t>01609WAT9</t>
        </is>
      </c>
      <c r="D569" t="inlineStr">
        <is>
          <t>Alibaba Group Holding Ltd 3.4%</t>
        </is>
      </c>
      <c r="E569">
        <f>BDP($B569,"LEGAL_ENTITY_IDENTIFIER")</f>
        <v/>
      </c>
      <c r="F569" t="inlineStr">
        <is>
          <t>Alibaba Group Holding Ltd 3.4% 12/06/2027</t>
        </is>
      </c>
      <c r="G569">
        <f>custodian!D569</f>
        <v/>
      </c>
      <c r="H569">
        <f>BDP($B569,"ID_ISIN")</f>
        <v/>
      </c>
      <c r="I569" s="1" t="inlineStr"/>
      <c r="J569">
        <f>BDP($B569,"CNTRY_OF_DOMICILE")</f>
        <v/>
      </c>
      <c r="K569" t="inlineStr">
        <is>
          <t>DBT</t>
        </is>
      </c>
      <c r="L569" t="inlineStr">
        <is>
          <t>CORP</t>
        </is>
      </c>
      <c r="M569" t="inlineStr"/>
      <c r="N569" t="inlineStr"/>
      <c r="O569" s="1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s="1" t="inlineStr"/>
      <c r="AR569" s="1" t="inlineStr"/>
      <c r="AS569" s="1" t="inlineStr"/>
      <c r="AT569">
        <f>TEXT(BDP($B569,"MATURITY"),"yyyy-mm-dd")</f>
        <v/>
      </c>
      <c r="AU569">
        <f>BDP($B569,"CPN_TYP")</f>
        <v/>
      </c>
      <c r="AV569">
        <f>BDP($B569,"CPN")</f>
        <v/>
      </c>
      <c r="AW569" t="inlineStr"/>
      <c r="AX569" t="inlineStr"/>
      <c r="AY569" t="inlineStr"/>
    </row>
    <row r="570">
      <c r="A570" t="inlineStr">
        <is>
          <t>CIVG</t>
        </is>
      </c>
      <c r="B570" t="inlineStr">
        <is>
          <t>017175AE0 Corp</t>
        </is>
      </c>
      <c r="C570" s="1" t="inlineStr">
        <is>
          <t>017175AE0</t>
        </is>
      </c>
      <c r="D570" t="inlineStr">
        <is>
          <t>Alleghany Corp 3.625% 05/15/20</t>
        </is>
      </c>
      <c r="E570">
        <f>BDP($B570,"LEGAL_ENTITY_IDENTIFIER")</f>
        <v/>
      </c>
      <c r="F570" t="inlineStr">
        <is>
          <t>Alleghany Corp 3.625% 05/15/2030</t>
        </is>
      </c>
      <c r="G570">
        <f>custodian!D570</f>
        <v/>
      </c>
      <c r="H570">
        <f>BDP($B570,"ID_ISIN")</f>
        <v/>
      </c>
      <c r="I570" s="1" t="inlineStr"/>
      <c r="J570">
        <f>BDP($B570,"CNTRY_OF_DOMICILE")</f>
        <v/>
      </c>
      <c r="K570" t="inlineStr">
        <is>
          <t>DBT</t>
        </is>
      </c>
      <c r="L570" t="inlineStr">
        <is>
          <t>CORP</t>
        </is>
      </c>
      <c r="M570" t="inlineStr"/>
      <c r="N570" t="inlineStr"/>
      <c r="O570" s="1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s="1" t="inlineStr"/>
      <c r="AR570" s="1" t="inlineStr"/>
      <c r="AS570" s="1" t="inlineStr"/>
      <c r="AT570">
        <f>TEXT(BDP($B570,"MATURITY"),"yyyy-mm-dd")</f>
        <v/>
      </c>
      <c r="AU570">
        <f>BDP($B570,"CPN_TYP")</f>
        <v/>
      </c>
      <c r="AV570">
        <f>BDP($B570,"CPN")</f>
        <v/>
      </c>
      <c r="AW570" t="inlineStr"/>
      <c r="AX570" t="inlineStr"/>
      <c r="AY570" t="inlineStr"/>
    </row>
    <row r="571">
      <c r="A571" t="inlineStr">
        <is>
          <t>CIVG</t>
        </is>
      </c>
      <c r="B571" t="inlineStr">
        <is>
          <t>02079KBK2 Corp</t>
        </is>
      </c>
      <c r="C571" s="1" t="inlineStr">
        <is>
          <t>02079KBK2</t>
        </is>
      </c>
      <c r="D571" t="inlineStr">
        <is>
          <t>Alphabet Inc 4.1% 02/15/2031</t>
        </is>
      </c>
      <c r="E571">
        <f>BDP($B571,"LEGAL_ENTITY_IDENTIFIER")</f>
        <v/>
      </c>
      <c r="F571" t="inlineStr">
        <is>
          <t>Alphabet Inc 4.1% 02/15/2031</t>
        </is>
      </c>
      <c r="G571">
        <f>custodian!D571</f>
        <v/>
      </c>
      <c r="H571">
        <f>BDP($B571,"ID_ISIN")</f>
        <v/>
      </c>
      <c r="I571" s="1" t="inlineStr"/>
      <c r="J571">
        <f>BDP($B571,"CNTRY_OF_DOMICILE")</f>
        <v/>
      </c>
      <c r="K571" t="inlineStr">
        <is>
          <t>DBT</t>
        </is>
      </c>
      <c r="L571" t="inlineStr">
        <is>
          <t>CORP</t>
        </is>
      </c>
      <c r="M571" t="inlineStr"/>
      <c r="N571" t="inlineStr"/>
      <c r="O571" s="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s="1" t="inlineStr"/>
      <c r="AR571" s="1" t="inlineStr"/>
      <c r="AS571" s="1" t="inlineStr"/>
      <c r="AT571">
        <f>TEXT(BDP($B571,"MATURITY"),"yyyy-mm-dd")</f>
        <v/>
      </c>
      <c r="AU571">
        <f>BDP($B571,"CPN_TYP")</f>
        <v/>
      </c>
      <c r="AV571">
        <f>BDP($B571,"CPN")</f>
        <v/>
      </c>
      <c r="AW571" t="inlineStr"/>
      <c r="AX571" t="inlineStr"/>
      <c r="AY571" t="inlineStr"/>
    </row>
    <row r="572">
      <c r="A572" t="inlineStr">
        <is>
          <t>CIVG</t>
        </is>
      </c>
      <c r="B572" t="inlineStr">
        <is>
          <t>02209SBD4 Corp</t>
        </is>
      </c>
      <c r="C572" s="1" t="inlineStr">
        <is>
          <t>02209SBD4</t>
        </is>
      </c>
      <c r="D572" t="inlineStr">
        <is>
          <t>Altria Group Inc 4.8% 02/14/20</t>
        </is>
      </c>
      <c r="E572">
        <f>BDP($B572,"LEGAL_ENTITY_IDENTIFIER")</f>
        <v/>
      </c>
      <c r="F572" t="inlineStr">
        <is>
          <t>Altria Group Inc 4.8% 02/14/2029</t>
        </is>
      </c>
      <c r="G572">
        <f>custodian!D572</f>
        <v/>
      </c>
      <c r="H572">
        <f>BDP($B572,"ID_ISIN")</f>
        <v/>
      </c>
      <c r="I572" s="1" t="inlineStr"/>
      <c r="J572">
        <f>BDP($B572,"CNTRY_OF_DOMICILE")</f>
        <v/>
      </c>
      <c r="K572" t="inlineStr">
        <is>
          <t>DBT</t>
        </is>
      </c>
      <c r="L572" t="inlineStr">
        <is>
          <t>CORP</t>
        </is>
      </c>
      <c r="M572" t="inlineStr"/>
      <c r="N572" t="inlineStr"/>
      <c r="O572" s="1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s="1" t="inlineStr"/>
      <c r="AR572" s="1" t="inlineStr"/>
      <c r="AS572" s="1" t="inlineStr"/>
      <c r="AT572">
        <f>TEXT(BDP($B572,"MATURITY"),"yyyy-mm-dd")</f>
        <v/>
      </c>
      <c r="AU572">
        <f>BDP($B572,"CPN_TYP")</f>
        <v/>
      </c>
      <c r="AV572">
        <f>BDP($B572,"CPN")</f>
        <v/>
      </c>
      <c r="AW572" t="inlineStr"/>
      <c r="AX572" t="inlineStr"/>
      <c r="AY572" t="inlineStr"/>
    </row>
    <row r="573">
      <c r="A573" t="inlineStr">
        <is>
          <t>CIVG</t>
        </is>
      </c>
      <c r="B573" t="inlineStr">
        <is>
          <t>023135DD5 Corp</t>
        </is>
      </c>
      <c r="C573" s="1" t="inlineStr">
        <is>
          <t>023135DD5</t>
        </is>
      </c>
      <c r="D573" t="inlineStr">
        <is>
          <t>Amazon.com Inc 4.25% 03/13/203</t>
        </is>
      </c>
      <c r="E573">
        <f>BDP($B573,"LEGAL_ENTITY_IDENTIFIER")</f>
        <v/>
      </c>
      <c r="F573" t="inlineStr">
        <is>
          <t>Amazon.com Inc 4.25% 03/13/2031</t>
        </is>
      </c>
      <c r="G573">
        <f>custodian!D573</f>
        <v/>
      </c>
      <c r="H573">
        <f>BDP($B573,"ID_ISIN")</f>
        <v/>
      </c>
      <c r="I573" s="1" t="inlineStr"/>
      <c r="J573">
        <f>BDP($B573,"CNTRY_OF_DOMICILE")</f>
        <v/>
      </c>
      <c r="K573" t="inlineStr">
        <is>
          <t>DBT</t>
        </is>
      </c>
      <c r="L573" t="inlineStr">
        <is>
          <t>CORP</t>
        </is>
      </c>
      <c r="M573" t="inlineStr"/>
      <c r="N573" t="inlineStr"/>
      <c r="O573" s="1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s="1" t="inlineStr"/>
      <c r="AR573" s="1" t="inlineStr"/>
      <c r="AS573" s="1" t="inlineStr"/>
      <c r="AT573">
        <f>TEXT(BDP($B573,"MATURITY"),"yyyy-mm-dd")</f>
        <v/>
      </c>
      <c r="AU573">
        <f>BDP($B573,"CPN_TYP")</f>
        <v/>
      </c>
      <c r="AV573">
        <f>BDP($B573,"CPN")</f>
        <v/>
      </c>
      <c r="AW573" t="inlineStr"/>
      <c r="AX573" t="inlineStr"/>
      <c r="AY573" t="inlineStr"/>
    </row>
    <row r="574">
      <c r="A574" t="inlineStr">
        <is>
          <t>CIVG</t>
        </is>
      </c>
      <c r="B574" t="inlineStr">
        <is>
          <t>025816ED7 Corp</t>
        </is>
      </c>
      <c r="C574" s="1" t="inlineStr">
        <is>
          <t>025816ED7</t>
        </is>
      </c>
      <c r="D574" t="inlineStr">
        <is>
          <t>American Express Co 4.731% 04/</t>
        </is>
      </c>
      <c r="E574">
        <f>BDP($B574,"LEGAL_ENTITY_IDENTIFIER")</f>
        <v/>
      </c>
      <c r="F574" t="inlineStr">
        <is>
          <t>American Express Co 4.731% 04/25/2029</t>
        </is>
      </c>
      <c r="G574">
        <f>custodian!D574</f>
        <v/>
      </c>
      <c r="H574">
        <f>BDP($B574,"ID_ISIN")</f>
        <v/>
      </c>
      <c r="I574" s="1" t="inlineStr"/>
      <c r="J574">
        <f>BDP($B574,"CNTRY_OF_DOMICILE")</f>
        <v/>
      </c>
      <c r="K574" t="inlineStr">
        <is>
          <t>DBT</t>
        </is>
      </c>
      <c r="L574" t="inlineStr">
        <is>
          <t>CORP</t>
        </is>
      </c>
      <c r="M574" t="inlineStr"/>
      <c r="N574" t="inlineStr"/>
      <c r="O574" s="1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s="1" t="inlineStr"/>
      <c r="AR574" s="1" t="inlineStr"/>
      <c r="AS574" s="1" t="inlineStr"/>
      <c r="AT574">
        <f>TEXT(BDP($B574,"MATURITY"),"yyyy-mm-dd")</f>
        <v/>
      </c>
      <c r="AU574">
        <f>BDP($B574,"CPN_TYP")</f>
        <v/>
      </c>
      <c r="AV574">
        <f>BDP($B574,"CPN")</f>
        <v/>
      </c>
      <c r="AW574" t="inlineStr"/>
      <c r="AX574" t="inlineStr"/>
      <c r="AY574" t="inlineStr"/>
    </row>
    <row r="575">
      <c r="A575" t="inlineStr">
        <is>
          <t>CIVG</t>
        </is>
      </c>
      <c r="B575" t="inlineStr">
        <is>
          <t>03040WAS4 Corp</t>
        </is>
      </c>
      <c r="C575" s="1" t="inlineStr">
        <is>
          <t>03040WAS4</t>
        </is>
      </c>
      <c r="D575" t="inlineStr">
        <is>
          <t>American Water Capital Corp 3.</t>
        </is>
      </c>
      <c r="E575">
        <f>BDP($B575,"LEGAL_ENTITY_IDENTIFIER")</f>
        <v/>
      </c>
      <c r="F575" t="inlineStr">
        <is>
          <t>American Water Capital Corp 3.75% 09/01/2028</t>
        </is>
      </c>
      <c r="G575">
        <f>custodian!D575</f>
        <v/>
      </c>
      <c r="H575">
        <f>BDP($B575,"ID_ISIN")</f>
        <v/>
      </c>
      <c r="I575" s="1" t="inlineStr"/>
      <c r="J575">
        <f>BDP($B575,"CNTRY_OF_DOMICILE")</f>
        <v/>
      </c>
      <c r="K575" t="inlineStr">
        <is>
          <t>DBT</t>
        </is>
      </c>
      <c r="L575" t="inlineStr">
        <is>
          <t>CORP</t>
        </is>
      </c>
      <c r="M575" t="inlineStr"/>
      <c r="N575" t="inlineStr"/>
      <c r="O575" s="1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s="1" t="inlineStr"/>
      <c r="AR575" s="1" t="inlineStr"/>
      <c r="AS575" s="1" t="inlineStr"/>
      <c r="AT575">
        <f>TEXT(BDP($B575,"MATURITY"),"yyyy-mm-dd")</f>
        <v/>
      </c>
      <c r="AU575">
        <f>BDP($B575,"CPN_TYP")</f>
        <v/>
      </c>
      <c r="AV575">
        <f>BDP($B575,"CPN")</f>
        <v/>
      </c>
      <c r="AW575" t="inlineStr"/>
      <c r="AX575" t="inlineStr"/>
      <c r="AY575" t="inlineStr"/>
    </row>
    <row r="576">
      <c r="A576" t="inlineStr">
        <is>
          <t>CIVG</t>
        </is>
      </c>
      <c r="B576" t="inlineStr">
        <is>
          <t>031162DP2 Corp</t>
        </is>
      </c>
      <c r="C576" s="1" t="inlineStr">
        <is>
          <t>031162DP2</t>
        </is>
      </c>
      <c r="D576" t="inlineStr">
        <is>
          <t>Amgen Inc 5.15% 03/02/2028</t>
        </is>
      </c>
      <c r="E576">
        <f>BDP($B576,"LEGAL_ENTITY_IDENTIFIER")</f>
        <v/>
      </c>
      <c r="F576" t="inlineStr">
        <is>
          <t>Amgen Inc 5.15% 03/02/2028</t>
        </is>
      </c>
      <c r="G576">
        <f>custodian!D576</f>
        <v/>
      </c>
      <c r="H576">
        <f>BDP($B576,"ID_ISIN")</f>
        <v/>
      </c>
      <c r="I576" s="1" t="inlineStr"/>
      <c r="J576">
        <f>BDP($B576,"CNTRY_OF_DOMICILE")</f>
        <v/>
      </c>
      <c r="K576" t="inlineStr">
        <is>
          <t>DBT</t>
        </is>
      </c>
      <c r="L576" t="inlineStr">
        <is>
          <t>CORP</t>
        </is>
      </c>
      <c r="M576" t="inlineStr"/>
      <c r="N576" t="inlineStr"/>
      <c r="O576" s="1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s="1" t="inlineStr"/>
      <c r="AR576" s="1" t="inlineStr"/>
      <c r="AS576" s="1" t="inlineStr"/>
      <c r="AT576">
        <f>TEXT(BDP($B576,"MATURITY"),"yyyy-mm-dd")</f>
        <v/>
      </c>
      <c r="AU576">
        <f>BDP($B576,"CPN_TYP")</f>
        <v/>
      </c>
      <c r="AV576">
        <f>BDP($B576,"CPN")</f>
        <v/>
      </c>
      <c r="AW576" t="inlineStr"/>
      <c r="AX576" t="inlineStr"/>
      <c r="AY576" t="inlineStr"/>
    </row>
    <row r="577">
      <c r="A577" t="inlineStr">
        <is>
          <t>CIVG</t>
        </is>
      </c>
      <c r="B577" t="inlineStr">
        <is>
          <t>032095AT8 Corp</t>
        </is>
      </c>
      <c r="C577" s="1" t="inlineStr">
        <is>
          <t>032095AT8</t>
        </is>
      </c>
      <c r="D577" t="inlineStr">
        <is>
          <t>Amphenol Corp 4.375% 06/12/202</t>
        </is>
      </c>
      <c r="E577">
        <f>BDP($B577,"LEGAL_ENTITY_IDENTIFIER")</f>
        <v/>
      </c>
      <c r="F577" t="inlineStr">
        <is>
          <t>Amphenol Corp 4.375% 06/12/2028</t>
        </is>
      </c>
      <c r="G577">
        <f>custodian!D577</f>
        <v/>
      </c>
      <c r="H577">
        <f>BDP($B577,"ID_ISIN")</f>
        <v/>
      </c>
      <c r="I577" s="1" t="inlineStr"/>
      <c r="J577">
        <f>BDP($B577,"CNTRY_OF_DOMICILE")</f>
        <v/>
      </c>
      <c r="K577" t="inlineStr">
        <is>
          <t>DBT</t>
        </is>
      </c>
      <c r="L577" t="inlineStr">
        <is>
          <t>CORP</t>
        </is>
      </c>
      <c r="M577" t="inlineStr"/>
      <c r="N577" t="inlineStr"/>
      <c r="O577" s="1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s="1" t="inlineStr"/>
      <c r="AR577" s="1" t="inlineStr"/>
      <c r="AS577" s="1" t="inlineStr"/>
      <c r="AT577">
        <f>TEXT(BDP($B577,"MATURITY"),"yyyy-mm-dd")</f>
        <v/>
      </c>
      <c r="AU577">
        <f>BDP($B577,"CPN_TYP")</f>
        <v/>
      </c>
      <c r="AV577">
        <f>BDP($B577,"CPN")</f>
        <v/>
      </c>
      <c r="AW577" t="inlineStr"/>
      <c r="AX577" t="inlineStr"/>
      <c r="AY577" t="inlineStr"/>
    </row>
    <row r="578">
      <c r="A578" t="inlineStr">
        <is>
          <t>CIVG</t>
        </is>
      </c>
      <c r="B578" t="inlineStr">
        <is>
          <t>035240AV2 Corp</t>
        </is>
      </c>
      <c r="C578" s="1" t="inlineStr">
        <is>
          <t>035240AV2</t>
        </is>
      </c>
      <c r="D578" t="inlineStr">
        <is>
          <t>Anheuser-Busch InBev Worldwide</t>
        </is>
      </c>
      <c r="E578">
        <f>BDP($B578,"LEGAL_ENTITY_IDENTIFIER")</f>
        <v/>
      </c>
      <c r="F578" t="inlineStr">
        <is>
          <t>Anheuser-Busch InBev Worldwide Inc 3.5% 06/01/2030</t>
        </is>
      </c>
      <c r="G578">
        <f>custodian!D578</f>
        <v/>
      </c>
      <c r="H578">
        <f>BDP($B578,"ID_ISIN")</f>
        <v/>
      </c>
      <c r="I578" s="1" t="inlineStr"/>
      <c r="J578">
        <f>BDP($B578,"CNTRY_OF_DOMICILE")</f>
        <v/>
      </c>
      <c r="K578" t="inlineStr">
        <is>
          <t>DBT</t>
        </is>
      </c>
      <c r="L578" t="inlineStr">
        <is>
          <t>CORP</t>
        </is>
      </c>
      <c r="M578" t="inlineStr"/>
      <c r="N578" t="inlineStr"/>
      <c r="O578" s="1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s="1" t="inlineStr"/>
      <c r="AR578" s="1" t="inlineStr"/>
      <c r="AS578" s="1" t="inlineStr"/>
      <c r="AT578">
        <f>TEXT(BDP($B578,"MATURITY"),"yyyy-mm-dd")</f>
        <v/>
      </c>
      <c r="AU578">
        <f>BDP($B578,"CPN_TYP")</f>
        <v/>
      </c>
      <c r="AV578">
        <f>BDP($B578,"CPN")</f>
        <v/>
      </c>
      <c r="AW578" t="inlineStr"/>
      <c r="AX578" t="inlineStr"/>
      <c r="AY578" t="inlineStr"/>
    </row>
    <row r="579">
      <c r="A579" t="inlineStr">
        <is>
          <t>CIVG</t>
        </is>
      </c>
      <c r="B579" t="inlineStr">
        <is>
          <t>036752AP8 Corp</t>
        </is>
      </c>
      <c r="C579" s="1" t="inlineStr">
        <is>
          <t>036752AP8</t>
        </is>
      </c>
      <c r="D579" t="inlineStr">
        <is>
          <t>Elevance Health Inc 2.55% 03/1</t>
        </is>
      </c>
      <c r="E579">
        <f>BDP($B579,"LEGAL_ENTITY_IDENTIFIER")</f>
        <v/>
      </c>
      <c r="F579" t="inlineStr">
        <is>
          <t>Elevance Health Inc 2.55% 03/15/2031</t>
        </is>
      </c>
      <c r="G579">
        <f>custodian!D579</f>
        <v/>
      </c>
      <c r="H579">
        <f>BDP($B579,"ID_ISIN")</f>
        <v/>
      </c>
      <c r="I579" s="1" t="inlineStr"/>
      <c r="J579">
        <f>BDP($B579,"CNTRY_OF_DOMICILE")</f>
        <v/>
      </c>
      <c r="K579" t="inlineStr">
        <is>
          <t>DBT</t>
        </is>
      </c>
      <c r="L579" t="inlineStr">
        <is>
          <t>CORP</t>
        </is>
      </c>
      <c r="M579" t="inlineStr"/>
      <c r="N579" t="inlineStr"/>
      <c r="O579" s="1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s="1" t="inlineStr"/>
      <c r="AR579" s="1" t="inlineStr"/>
      <c r="AS579" s="1" t="inlineStr"/>
      <c r="AT579">
        <f>TEXT(BDP($B579,"MATURITY"),"yyyy-mm-dd")</f>
        <v/>
      </c>
      <c r="AU579">
        <f>BDP($B579,"CPN_TYP")</f>
        <v/>
      </c>
      <c r="AV579">
        <f>BDP($B579,"CPN")</f>
        <v/>
      </c>
      <c r="AW579" t="inlineStr"/>
      <c r="AX579" t="inlineStr"/>
      <c r="AY579" t="inlineStr"/>
    </row>
    <row r="580">
      <c r="A580" t="inlineStr">
        <is>
          <t>CIVG</t>
        </is>
      </c>
      <c r="B580" t="inlineStr">
        <is>
          <t>037833ED8 Corp</t>
        </is>
      </c>
      <c r="C580" s="1" t="inlineStr">
        <is>
          <t>037833ED8</t>
        </is>
      </c>
      <c r="D580" t="inlineStr">
        <is>
          <t>Apple Inc 1.65% 02/08/2031</t>
        </is>
      </c>
      <c r="E580">
        <f>BDP($B580,"LEGAL_ENTITY_IDENTIFIER")</f>
        <v/>
      </c>
      <c r="F580" t="inlineStr">
        <is>
          <t>Apple Inc 1.65% 02/08/2031</t>
        </is>
      </c>
      <c r="G580">
        <f>custodian!D580</f>
        <v/>
      </c>
      <c r="H580">
        <f>BDP($B580,"ID_ISIN")</f>
        <v/>
      </c>
      <c r="I580" s="1" t="inlineStr"/>
      <c r="J580">
        <f>BDP($B580,"CNTRY_OF_DOMICILE")</f>
        <v/>
      </c>
      <c r="K580" t="inlineStr">
        <is>
          <t>DBT</t>
        </is>
      </c>
      <c r="L580" t="inlineStr">
        <is>
          <t>CORP</t>
        </is>
      </c>
      <c r="M580" t="inlineStr"/>
      <c r="N580" t="inlineStr"/>
      <c r="O580" s="1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s="1" t="inlineStr"/>
      <c r="AR580" s="1" t="inlineStr"/>
      <c r="AS580" s="1" t="inlineStr"/>
      <c r="AT580">
        <f>TEXT(BDP($B580,"MATURITY"),"yyyy-mm-dd")</f>
        <v/>
      </c>
      <c r="AU580">
        <f>BDP($B580,"CPN_TYP")</f>
        <v/>
      </c>
      <c r="AV580">
        <f>BDP($B580,"CPN")</f>
        <v/>
      </c>
      <c r="AW580" t="inlineStr"/>
      <c r="AX580" t="inlineStr"/>
      <c r="AY580" t="inlineStr"/>
    </row>
    <row r="581">
      <c r="A581" t="inlineStr">
        <is>
          <t>CIVG</t>
        </is>
      </c>
      <c r="B581" t="inlineStr">
        <is>
          <t>04010LBB8 Corp</t>
        </is>
      </c>
      <c r="C581" s="1" t="inlineStr">
        <is>
          <t>04010LBB8</t>
        </is>
      </c>
      <c r="D581" t="inlineStr">
        <is>
          <t>Ares Capital Corp 2.875% 06/15</t>
        </is>
      </c>
      <c r="E581">
        <f>BDP($B581,"LEGAL_ENTITY_IDENTIFIER")</f>
        <v/>
      </c>
      <c r="F581" t="inlineStr">
        <is>
          <t>Ares Capital Corp 2.875% 06/15/2028</t>
        </is>
      </c>
      <c r="G581">
        <f>custodian!D581</f>
        <v/>
      </c>
      <c r="H581">
        <f>BDP($B581,"ID_ISIN")</f>
        <v/>
      </c>
      <c r="I581" s="1" t="inlineStr"/>
      <c r="J581">
        <f>BDP($B581,"CNTRY_OF_DOMICILE")</f>
        <v/>
      </c>
      <c r="K581" t="inlineStr">
        <is>
          <t>DBT</t>
        </is>
      </c>
      <c r="L581" t="inlineStr">
        <is>
          <t>CORP</t>
        </is>
      </c>
      <c r="M581" t="inlineStr"/>
      <c r="N581" t="inlineStr"/>
      <c r="O581" s="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s="1" t="inlineStr"/>
      <c r="AR581" s="1" t="inlineStr"/>
      <c r="AS581" s="1" t="inlineStr"/>
      <c r="AT581">
        <f>TEXT(BDP($B581,"MATURITY"),"yyyy-mm-dd")</f>
        <v/>
      </c>
      <c r="AU581">
        <f>BDP($B581,"CPN_TYP")</f>
        <v/>
      </c>
      <c r="AV581">
        <f>BDP($B581,"CPN")</f>
        <v/>
      </c>
      <c r="AW581" t="inlineStr"/>
      <c r="AX581" t="inlineStr"/>
      <c r="AY581" t="inlineStr"/>
    </row>
    <row r="582">
      <c r="A582" t="inlineStr">
        <is>
          <t>CIVG</t>
        </is>
      </c>
      <c r="B582" t="inlineStr">
        <is>
          <t>04010LBF9 Corp</t>
        </is>
      </c>
      <c r="C582" s="1" t="inlineStr">
        <is>
          <t>04010LBF9</t>
        </is>
      </c>
      <c r="D582" t="inlineStr">
        <is>
          <t>Ares Capital Corp 5.875% 03/01</t>
        </is>
      </c>
      <c r="E582">
        <f>BDP($B582,"LEGAL_ENTITY_IDENTIFIER")</f>
        <v/>
      </c>
      <c r="F582" t="inlineStr">
        <is>
          <t>Ares Capital Corp 5.875% 03/01/2029</t>
        </is>
      </c>
      <c r="G582">
        <f>custodian!D582</f>
        <v/>
      </c>
      <c r="H582">
        <f>BDP($B582,"ID_ISIN")</f>
        <v/>
      </c>
      <c r="I582" s="1" t="inlineStr"/>
      <c r="J582">
        <f>BDP($B582,"CNTRY_OF_DOMICILE")</f>
        <v/>
      </c>
      <c r="K582" t="inlineStr">
        <is>
          <t>DBT</t>
        </is>
      </c>
      <c r="L582" t="inlineStr">
        <is>
          <t>CORP</t>
        </is>
      </c>
      <c r="M582" t="inlineStr"/>
      <c r="N582" t="inlineStr"/>
      <c r="O582" s="1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s="1" t="inlineStr"/>
      <c r="AR582" s="1" t="inlineStr"/>
      <c r="AS582" s="1" t="inlineStr"/>
      <c r="AT582">
        <f>TEXT(BDP($B582,"MATURITY"),"yyyy-mm-dd")</f>
        <v/>
      </c>
      <c r="AU582">
        <f>BDP($B582,"CPN_TYP")</f>
        <v/>
      </c>
      <c r="AV582">
        <f>BDP($B582,"CPN")</f>
        <v/>
      </c>
      <c r="AW582" t="inlineStr"/>
      <c r="AX582" t="inlineStr"/>
      <c r="AY582" t="inlineStr"/>
    </row>
    <row r="583">
      <c r="A583" t="inlineStr">
        <is>
          <t>CIVG</t>
        </is>
      </c>
      <c r="B583" t="inlineStr">
        <is>
          <t>04636NAF0 Corp</t>
        </is>
      </c>
      <c r="C583" s="1" t="inlineStr">
        <is>
          <t>04636NAF0</t>
        </is>
      </c>
      <c r="D583" t="inlineStr">
        <is>
          <t>Astrazeneca Finance LLC 4.875%</t>
        </is>
      </c>
      <c r="E583">
        <f>BDP($B583,"LEGAL_ENTITY_IDENTIFIER")</f>
        <v/>
      </c>
      <c r="F583" t="inlineStr">
        <is>
          <t>Astrazeneca Finance LLC 4.875% 03/03/2028</t>
        </is>
      </c>
      <c r="G583">
        <f>custodian!D583</f>
        <v/>
      </c>
      <c r="H583">
        <f>BDP($B583,"ID_ISIN")</f>
        <v/>
      </c>
      <c r="I583" s="1" t="inlineStr"/>
      <c r="J583">
        <f>BDP($B583,"CNTRY_OF_DOMICILE")</f>
        <v/>
      </c>
      <c r="K583" t="inlineStr">
        <is>
          <t>DBT</t>
        </is>
      </c>
      <c r="L583" t="inlineStr">
        <is>
          <t>CORP</t>
        </is>
      </c>
      <c r="M583" t="inlineStr"/>
      <c r="N583" t="inlineStr"/>
      <c r="O583" s="1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s="1" t="inlineStr"/>
      <c r="AR583" s="1" t="inlineStr"/>
      <c r="AS583" s="1" t="inlineStr"/>
      <c r="AT583">
        <f>TEXT(BDP($B583,"MATURITY"),"yyyy-mm-dd")</f>
        <v/>
      </c>
      <c r="AU583">
        <f>BDP($B583,"CPN_TYP")</f>
        <v/>
      </c>
      <c r="AV583">
        <f>BDP($B583,"CPN")</f>
        <v/>
      </c>
      <c r="AW583" t="inlineStr"/>
      <c r="AX583" t="inlineStr"/>
      <c r="AY583" t="inlineStr"/>
    </row>
    <row r="584">
      <c r="A584" t="inlineStr">
        <is>
          <t>CIVG</t>
        </is>
      </c>
      <c r="B584" t="inlineStr">
        <is>
          <t>051473AD8 Corp</t>
        </is>
      </c>
      <c r="C584" s="1" t="inlineStr">
        <is>
          <t>051473AD8</t>
        </is>
      </c>
      <c r="D584" t="inlineStr">
        <is>
          <t>Augusta SpinCo Corp 4.656% 03/</t>
        </is>
      </c>
      <c r="E584">
        <f>BDP($B584,"LEGAL_ENTITY_IDENTIFIER")</f>
        <v/>
      </c>
      <c r="F584" t="inlineStr">
        <is>
          <t>Augusta SpinCo Corp 4.656% 03/23/2031</t>
        </is>
      </c>
      <c r="G584">
        <f>custodian!D584</f>
        <v/>
      </c>
      <c r="H584">
        <f>BDP($B584,"ID_ISIN")</f>
        <v/>
      </c>
      <c r="I584" s="1" t="inlineStr"/>
      <c r="J584">
        <f>BDP($B584,"CNTRY_OF_DOMICILE")</f>
        <v/>
      </c>
      <c r="K584" t="inlineStr">
        <is>
          <t>DBT</t>
        </is>
      </c>
      <c r="L584" t="inlineStr">
        <is>
          <t>CORP</t>
        </is>
      </c>
      <c r="M584" t="inlineStr"/>
      <c r="N584" t="inlineStr"/>
      <c r="O584" s="1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s="1" t="inlineStr"/>
      <c r="AR584" s="1" t="inlineStr"/>
      <c r="AS584" s="1" t="inlineStr"/>
      <c r="AT584">
        <f>TEXT(BDP($B584,"MATURITY"),"yyyy-mm-dd")</f>
        <v/>
      </c>
      <c r="AU584">
        <f>BDP($B584,"CPN_TYP")</f>
        <v/>
      </c>
      <c r="AV584">
        <f>BDP($B584,"CPN")</f>
        <v/>
      </c>
      <c r="AW584" t="inlineStr"/>
      <c r="AX584" t="inlineStr"/>
      <c r="AY584" t="inlineStr"/>
    </row>
    <row r="585">
      <c r="A585" t="inlineStr">
        <is>
          <t>CIVG</t>
        </is>
      </c>
      <c r="B585" t="inlineStr">
        <is>
          <t>05351WAB9 Corp</t>
        </is>
      </c>
      <c r="C585" s="1" t="inlineStr">
        <is>
          <t>05351WAB9</t>
        </is>
      </c>
      <c r="D585" t="inlineStr">
        <is>
          <t>Avangrid Inc 3.8% 06/01/2029</t>
        </is>
      </c>
      <c r="E585">
        <f>BDP($B585,"LEGAL_ENTITY_IDENTIFIER")</f>
        <v/>
      </c>
      <c r="F585" t="inlineStr">
        <is>
          <t>Avangrid Inc 3.8% 06/01/2029</t>
        </is>
      </c>
      <c r="G585">
        <f>custodian!D585</f>
        <v/>
      </c>
      <c r="H585">
        <f>BDP($B585,"ID_ISIN")</f>
        <v/>
      </c>
      <c r="I585" s="1" t="inlineStr"/>
      <c r="J585">
        <f>BDP($B585,"CNTRY_OF_DOMICILE")</f>
        <v/>
      </c>
      <c r="K585" t="inlineStr">
        <is>
          <t>DBT</t>
        </is>
      </c>
      <c r="L585" t="inlineStr">
        <is>
          <t>CORP</t>
        </is>
      </c>
      <c r="M585" t="inlineStr"/>
      <c r="N585" t="inlineStr"/>
      <c r="O585" s="1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s="1" t="inlineStr"/>
      <c r="AR585" s="1" t="inlineStr"/>
      <c r="AS585" s="1" t="inlineStr"/>
      <c r="AT585">
        <f>TEXT(BDP($B585,"MATURITY"),"yyyy-mm-dd")</f>
        <v/>
      </c>
      <c r="AU585">
        <f>BDP($B585,"CPN_TYP")</f>
        <v/>
      </c>
      <c r="AV585">
        <f>BDP($B585,"CPN")</f>
        <v/>
      </c>
      <c r="AW585" t="inlineStr"/>
      <c r="AX585" t="inlineStr"/>
      <c r="AY585" t="inlineStr"/>
    </row>
    <row r="586">
      <c r="A586" t="inlineStr">
        <is>
          <t>CIVG</t>
        </is>
      </c>
      <c r="B586" t="inlineStr">
        <is>
          <t>054989AA6 Corp</t>
        </is>
      </c>
      <c r="C586" s="1" t="inlineStr">
        <is>
          <t>054989AA6</t>
        </is>
      </c>
      <c r="D586" t="inlineStr">
        <is>
          <t>BAT Capital Corp 6.343% 08/02/</t>
        </is>
      </c>
      <c r="E586">
        <f>BDP($B586,"LEGAL_ENTITY_IDENTIFIER")</f>
        <v/>
      </c>
      <c r="F586" t="inlineStr">
        <is>
          <t>BAT Capital Corp 6.343% 08/02/2030</t>
        </is>
      </c>
      <c r="G586">
        <f>custodian!D586</f>
        <v/>
      </c>
      <c r="H586">
        <f>BDP($B586,"ID_ISIN")</f>
        <v/>
      </c>
      <c r="I586" s="1" t="inlineStr"/>
      <c r="J586">
        <f>BDP($B586,"CNTRY_OF_DOMICILE")</f>
        <v/>
      </c>
      <c r="K586" t="inlineStr">
        <is>
          <t>DBT</t>
        </is>
      </c>
      <c r="L586" t="inlineStr">
        <is>
          <t>CORP</t>
        </is>
      </c>
      <c r="M586" t="inlineStr"/>
      <c r="N586" t="inlineStr"/>
      <c r="O586" s="1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s="1" t="inlineStr"/>
      <c r="AR586" s="1" t="inlineStr"/>
      <c r="AS586" s="1" t="inlineStr"/>
      <c r="AT586">
        <f>TEXT(BDP($B586,"MATURITY"),"yyyy-mm-dd")</f>
        <v/>
      </c>
      <c r="AU586">
        <f>BDP($B586,"CPN_TYP")</f>
        <v/>
      </c>
      <c r="AV586">
        <f>BDP($B586,"CPN")</f>
        <v/>
      </c>
      <c r="AW586" t="inlineStr"/>
      <c r="AX586" t="inlineStr"/>
      <c r="AY586" t="inlineStr"/>
    </row>
    <row r="587">
      <c r="A587" t="inlineStr">
        <is>
          <t>CIVG</t>
        </is>
      </c>
      <c r="B587" t="inlineStr">
        <is>
          <t>05555LAD3 Corp</t>
        </is>
      </c>
      <c r="C587" s="1" t="inlineStr">
        <is>
          <t>05555LAD3</t>
        </is>
      </c>
      <c r="D587" t="inlineStr">
        <is>
          <t>BGC Group Inc 6.15% 04/02/2030</t>
        </is>
      </c>
      <c r="E587">
        <f>BDP($B587,"LEGAL_ENTITY_IDENTIFIER")</f>
        <v/>
      </c>
      <c r="F587" t="inlineStr">
        <is>
          <t>BGC Group Inc 6.15% 04/02/2030</t>
        </is>
      </c>
      <c r="G587">
        <f>custodian!D587</f>
        <v/>
      </c>
      <c r="H587">
        <f>BDP($B587,"ID_ISIN")</f>
        <v/>
      </c>
      <c r="I587" s="1" t="inlineStr"/>
      <c r="J587">
        <f>BDP($B587,"CNTRY_OF_DOMICILE")</f>
        <v/>
      </c>
      <c r="K587" t="inlineStr">
        <is>
          <t>DBT</t>
        </is>
      </c>
      <c r="L587" t="inlineStr">
        <is>
          <t>CORP</t>
        </is>
      </c>
      <c r="M587" t="inlineStr"/>
      <c r="N587" t="inlineStr"/>
      <c r="O587" s="1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s="1" t="inlineStr"/>
      <c r="AR587" s="1" t="inlineStr"/>
      <c r="AS587" s="1" t="inlineStr"/>
      <c r="AT587">
        <f>TEXT(BDP($B587,"MATURITY"),"yyyy-mm-dd")</f>
        <v/>
      </c>
      <c r="AU587">
        <f>BDP($B587,"CPN_TYP")</f>
        <v/>
      </c>
      <c r="AV587">
        <f>BDP($B587,"CPN")</f>
        <v/>
      </c>
      <c r="AW587" t="inlineStr"/>
      <c r="AX587" t="inlineStr"/>
      <c r="AY587" t="inlineStr"/>
    </row>
    <row r="588">
      <c r="A588" t="inlineStr">
        <is>
          <t>CIVG</t>
        </is>
      </c>
      <c r="B588" t="inlineStr">
        <is>
          <t>05946KAX9 Corp</t>
        </is>
      </c>
      <c r="C588" s="1" t="inlineStr">
        <is>
          <t>05946KAX9</t>
        </is>
      </c>
      <c r="D588" t="inlineStr">
        <is>
          <t>Banco Bilbao Vizcaya Argentari</t>
        </is>
      </c>
      <c r="E588">
        <f>BDP($B588,"LEGAL_ENTITY_IDENTIFIER")</f>
        <v/>
      </c>
      <c r="F588" t="inlineStr">
        <is>
          <t>Banco Bilbao Vizcaya Argentaria SA 4.968% 05/08/2031</t>
        </is>
      </c>
      <c r="G588">
        <f>custodian!D588</f>
        <v/>
      </c>
      <c r="H588">
        <f>BDP($B588,"ID_ISIN")</f>
        <v/>
      </c>
      <c r="I588" s="1" t="inlineStr"/>
      <c r="J588">
        <f>BDP($B588,"CNTRY_OF_DOMICILE")</f>
        <v/>
      </c>
      <c r="K588" t="inlineStr">
        <is>
          <t>DBT</t>
        </is>
      </c>
      <c r="L588" t="inlineStr">
        <is>
          <t>CORP</t>
        </is>
      </c>
      <c r="M588" t="inlineStr"/>
      <c r="N588" t="inlineStr"/>
      <c r="O588" s="1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s="1" t="inlineStr"/>
      <c r="AR588" s="1" t="inlineStr"/>
      <c r="AS588" s="1" t="inlineStr"/>
      <c r="AT588">
        <f>TEXT(BDP($B588,"MATURITY"),"yyyy-mm-dd")</f>
        <v/>
      </c>
      <c r="AU588">
        <f>BDP($B588,"CPN_TYP")</f>
        <v/>
      </c>
      <c r="AV588">
        <f>BDP($B588,"CPN")</f>
        <v/>
      </c>
      <c r="AW588" t="inlineStr"/>
      <c r="AX588" t="inlineStr"/>
      <c r="AY588" t="inlineStr"/>
    </row>
    <row r="589">
      <c r="A589" t="inlineStr">
        <is>
          <t>CIVG</t>
        </is>
      </c>
      <c r="B589" t="inlineStr">
        <is>
          <t>06051GHD4 Corp</t>
        </is>
      </c>
      <c r="C589" s="1" t="inlineStr">
        <is>
          <t>06051GHD4</t>
        </is>
      </c>
      <c r="D589" t="inlineStr">
        <is>
          <t>Bank of America Corp 3.419% 12</t>
        </is>
      </c>
      <c r="E589">
        <f>BDP($B589,"LEGAL_ENTITY_IDENTIFIER")</f>
        <v/>
      </c>
      <c r="F589" t="inlineStr">
        <is>
          <t>Bank of America Corp 3.419% 12/20/2028</t>
        </is>
      </c>
      <c r="G589">
        <f>custodian!D589</f>
        <v/>
      </c>
      <c r="H589">
        <f>BDP($B589,"ID_ISIN")</f>
        <v/>
      </c>
      <c r="I589" s="1" t="inlineStr"/>
      <c r="J589">
        <f>BDP($B589,"CNTRY_OF_DOMICILE")</f>
        <v/>
      </c>
      <c r="K589" t="inlineStr">
        <is>
          <t>DBT</t>
        </is>
      </c>
      <c r="L589" t="inlineStr">
        <is>
          <t>CORP</t>
        </is>
      </c>
      <c r="M589" t="inlineStr"/>
      <c r="N589" t="inlineStr"/>
      <c r="O589" s="1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s="1" t="inlineStr"/>
      <c r="AR589" s="1" t="inlineStr"/>
      <c r="AS589" s="1" t="inlineStr"/>
      <c r="AT589">
        <f>TEXT(BDP($B589,"MATURITY"),"yyyy-mm-dd")</f>
        <v/>
      </c>
      <c r="AU589">
        <f>BDP($B589,"CPN_TYP")</f>
        <v/>
      </c>
      <c r="AV589">
        <f>BDP($B589,"CPN")</f>
        <v/>
      </c>
      <c r="AW589" t="inlineStr"/>
      <c r="AX589" t="inlineStr"/>
      <c r="AY589" t="inlineStr"/>
    </row>
    <row r="590">
      <c r="A590" t="inlineStr">
        <is>
          <t>CIVG</t>
        </is>
      </c>
      <c r="B590" t="inlineStr">
        <is>
          <t>06051GJT7 Corp</t>
        </is>
      </c>
      <c r="C590" s="1" t="inlineStr">
        <is>
          <t>06051GJT7</t>
        </is>
      </c>
      <c r="D590" t="inlineStr">
        <is>
          <t>Bank of America Corp 2.687% 04</t>
        </is>
      </c>
      <c r="E590">
        <f>BDP($B590,"LEGAL_ENTITY_IDENTIFIER")</f>
        <v/>
      </c>
      <c r="F590" t="inlineStr">
        <is>
          <t>Bank of America Corp 2.687% 04/22/2032</t>
        </is>
      </c>
      <c r="G590">
        <f>custodian!D590</f>
        <v/>
      </c>
      <c r="H590">
        <f>BDP($B590,"ID_ISIN")</f>
        <v/>
      </c>
      <c r="I590" s="1" t="inlineStr"/>
      <c r="J590">
        <f>BDP($B590,"CNTRY_OF_DOMICILE")</f>
        <v/>
      </c>
      <c r="K590" t="inlineStr">
        <is>
          <t>DBT</t>
        </is>
      </c>
      <c r="L590" t="inlineStr">
        <is>
          <t>CORP</t>
        </is>
      </c>
      <c r="M590" t="inlineStr"/>
      <c r="N590" t="inlineStr"/>
      <c r="O590" s="1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s="1" t="inlineStr"/>
      <c r="AR590" s="1" t="inlineStr"/>
      <c r="AS590" s="1" t="inlineStr"/>
      <c r="AT590">
        <f>TEXT(BDP($B590,"MATURITY"),"yyyy-mm-dd")</f>
        <v/>
      </c>
      <c r="AU590">
        <f>BDP($B590,"CPN_TYP")</f>
        <v/>
      </c>
      <c r="AV590">
        <f>BDP($B590,"CPN")</f>
        <v/>
      </c>
      <c r="AW590" t="inlineStr"/>
      <c r="AX590" t="inlineStr"/>
      <c r="AY590" t="inlineStr"/>
    </row>
    <row r="591">
      <c r="A591" t="inlineStr">
        <is>
          <t>CIVG</t>
        </is>
      </c>
      <c r="B591" t="inlineStr">
        <is>
          <t>06368LGV2 Corp</t>
        </is>
      </c>
      <c r="C591" s="1" t="inlineStr">
        <is>
          <t>06368LGV2</t>
        </is>
      </c>
      <c r="D591" t="inlineStr">
        <is>
          <t>Bank of Montreal 5.203% 02/01/</t>
        </is>
      </c>
      <c r="E591">
        <f>BDP($B591,"LEGAL_ENTITY_IDENTIFIER")</f>
        <v/>
      </c>
      <c r="F591" t="inlineStr">
        <is>
          <t>Bank of Montreal 5.203% 02/01/2028</t>
        </is>
      </c>
      <c r="G591">
        <f>custodian!D591</f>
        <v/>
      </c>
      <c r="H591">
        <f>BDP($B591,"ID_ISIN")</f>
        <v/>
      </c>
      <c r="I591" s="1" t="inlineStr"/>
      <c r="J591">
        <f>BDP($B591,"CNTRY_OF_DOMICILE")</f>
        <v/>
      </c>
      <c r="K591" t="inlineStr">
        <is>
          <t>DBT</t>
        </is>
      </c>
      <c r="L591" t="inlineStr">
        <is>
          <t>CORP</t>
        </is>
      </c>
      <c r="M591" t="inlineStr"/>
      <c r="N591" t="inlineStr"/>
      <c r="O591" s="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s="1" t="inlineStr"/>
      <c r="AR591" s="1" t="inlineStr"/>
      <c r="AS591" s="1" t="inlineStr"/>
      <c r="AT591">
        <f>TEXT(BDP($B591,"MATURITY"),"yyyy-mm-dd")</f>
        <v/>
      </c>
      <c r="AU591">
        <f>BDP($B591,"CPN_TYP")</f>
        <v/>
      </c>
      <c r="AV591">
        <f>BDP($B591,"CPN")</f>
        <v/>
      </c>
      <c r="AW591" t="inlineStr"/>
      <c r="AX591" t="inlineStr"/>
      <c r="AY591" t="inlineStr"/>
    </row>
    <row r="592">
      <c r="A592" t="inlineStr">
        <is>
          <t>CIVG</t>
        </is>
      </c>
      <c r="B592" t="inlineStr">
        <is>
          <t>06406RCB1 Corp</t>
        </is>
      </c>
      <c r="C592" s="1" t="inlineStr">
        <is>
          <t>06406RCB1</t>
        </is>
      </c>
      <c r="D592" t="inlineStr">
        <is>
          <t>Bank of New York Mellon Corp/T</t>
        </is>
      </c>
      <c r="E592">
        <f>BDP($B592,"LEGAL_ENTITY_IDENTIFIER")</f>
        <v/>
      </c>
      <c r="F592" t="inlineStr">
        <is>
          <t>Bank of New York Mellon Corp/The 4.942% 02/11/2031</t>
        </is>
      </c>
      <c r="G592">
        <f>custodian!D592</f>
        <v/>
      </c>
      <c r="H592">
        <f>BDP($B592,"ID_ISIN")</f>
        <v/>
      </c>
      <c r="I592" s="1" t="inlineStr"/>
      <c r="J592">
        <f>BDP($B592,"CNTRY_OF_DOMICILE")</f>
        <v/>
      </c>
      <c r="K592" t="inlineStr">
        <is>
          <t>DBT</t>
        </is>
      </c>
      <c r="L592" t="inlineStr">
        <is>
          <t>CORP</t>
        </is>
      </c>
      <c r="M592" t="inlineStr"/>
      <c r="N592" t="inlineStr"/>
      <c r="O592" s="1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s="1" t="inlineStr"/>
      <c r="AR592" s="1" t="inlineStr"/>
      <c r="AS592" s="1" t="inlineStr"/>
      <c r="AT592">
        <f>TEXT(BDP($B592,"MATURITY"),"yyyy-mm-dd")</f>
        <v/>
      </c>
      <c r="AU592">
        <f>BDP($B592,"CPN_TYP")</f>
        <v/>
      </c>
      <c r="AV592">
        <f>BDP($B592,"CPN")</f>
        <v/>
      </c>
      <c r="AW592" t="inlineStr"/>
      <c r="AX592" t="inlineStr"/>
      <c r="AY592" t="inlineStr"/>
    </row>
    <row r="593">
      <c r="A593" t="inlineStr">
        <is>
          <t>CIVG</t>
        </is>
      </c>
      <c r="B593" t="inlineStr">
        <is>
          <t>06418GAQ0 Corp</t>
        </is>
      </c>
      <c r="C593" s="1" t="inlineStr">
        <is>
          <t>06418GAQ0</t>
        </is>
      </c>
      <c r="D593" t="inlineStr">
        <is>
          <t xml:space="preserve">Bank of Nova Scotia/The 5.13% </t>
        </is>
      </c>
      <c r="E593">
        <f>BDP($B593,"LEGAL_ENTITY_IDENTIFIER")</f>
        <v/>
      </c>
      <c r="F593" t="inlineStr">
        <is>
          <t>Bank of Nova Scotia/The 5.13% 02/14/2031</t>
        </is>
      </c>
      <c r="G593">
        <f>custodian!D593</f>
        <v/>
      </c>
      <c r="H593">
        <f>BDP($B593,"ID_ISIN")</f>
        <v/>
      </c>
      <c r="I593" s="1" t="inlineStr"/>
      <c r="J593">
        <f>BDP($B593,"CNTRY_OF_DOMICILE")</f>
        <v/>
      </c>
      <c r="K593" t="inlineStr">
        <is>
          <t>DBT</t>
        </is>
      </c>
      <c r="L593" t="inlineStr">
        <is>
          <t>CORP</t>
        </is>
      </c>
      <c r="M593" t="inlineStr"/>
      <c r="N593" t="inlineStr"/>
      <c r="O593" s="1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s="1" t="inlineStr"/>
      <c r="AR593" s="1" t="inlineStr"/>
      <c r="AS593" s="1" t="inlineStr"/>
      <c r="AT593">
        <f>TEXT(BDP($B593,"MATURITY"),"yyyy-mm-dd")</f>
        <v/>
      </c>
      <c r="AU593">
        <f>BDP($B593,"CPN_TYP")</f>
        <v/>
      </c>
      <c r="AV593">
        <f>BDP($B593,"CPN")</f>
        <v/>
      </c>
      <c r="AW593" t="inlineStr"/>
      <c r="AX593" t="inlineStr"/>
      <c r="AY593" t="inlineStr"/>
    </row>
    <row r="594">
      <c r="A594" t="inlineStr">
        <is>
          <t>CIVG</t>
        </is>
      </c>
      <c r="B594" t="inlineStr">
        <is>
          <t>06738ECY9 Corp</t>
        </is>
      </c>
      <c r="C594" s="1" t="inlineStr">
        <is>
          <t>06738ECY9</t>
        </is>
      </c>
      <c r="D594" t="inlineStr">
        <is>
          <t>Barclays PLC 5.367% 02/25/2031</t>
        </is>
      </c>
      <c r="E594">
        <f>BDP($B594,"LEGAL_ENTITY_IDENTIFIER")</f>
        <v/>
      </c>
      <c r="F594" t="inlineStr">
        <is>
          <t>Barclays PLC 5.367% 02/25/2031</t>
        </is>
      </c>
      <c r="G594">
        <f>custodian!D594</f>
        <v/>
      </c>
      <c r="H594">
        <f>BDP($B594,"ID_ISIN")</f>
        <v/>
      </c>
      <c r="I594" s="1" t="inlineStr"/>
      <c r="J594">
        <f>BDP($B594,"CNTRY_OF_DOMICILE")</f>
        <v/>
      </c>
      <c r="K594" t="inlineStr">
        <is>
          <t>DBT</t>
        </is>
      </c>
      <c r="L594" t="inlineStr">
        <is>
          <t>CORP</t>
        </is>
      </c>
      <c r="M594" t="inlineStr"/>
      <c r="N594" t="inlineStr"/>
      <c r="O594" s="1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s="1" t="inlineStr"/>
      <c r="AR594" s="1" t="inlineStr"/>
      <c r="AS594" s="1" t="inlineStr"/>
      <c r="AT594">
        <f>TEXT(BDP($B594,"MATURITY"),"yyyy-mm-dd")</f>
        <v/>
      </c>
      <c r="AU594">
        <f>BDP($B594,"CPN_TYP")</f>
        <v/>
      </c>
      <c r="AV594">
        <f>BDP($B594,"CPN")</f>
        <v/>
      </c>
      <c r="AW594" t="inlineStr"/>
      <c r="AX594" t="inlineStr"/>
      <c r="AY594" t="inlineStr"/>
    </row>
    <row r="595">
      <c r="A595" t="inlineStr">
        <is>
          <t>CIVG</t>
        </is>
      </c>
      <c r="B595" t="inlineStr">
        <is>
          <t>09247XAQ4 Corp</t>
        </is>
      </c>
      <c r="C595" s="1" t="inlineStr">
        <is>
          <t>09247XAQ4</t>
        </is>
      </c>
      <c r="D595" t="inlineStr">
        <is>
          <t>Blackrock Inc 2.4% 04/30/2030</t>
        </is>
      </c>
      <c r="E595">
        <f>BDP($B595,"LEGAL_ENTITY_IDENTIFIER")</f>
        <v/>
      </c>
      <c r="F595" t="inlineStr">
        <is>
          <t>Blackrock Inc 2.4% 04/30/2030</t>
        </is>
      </c>
      <c r="G595">
        <f>custodian!D595</f>
        <v/>
      </c>
      <c r="H595">
        <f>BDP($B595,"ID_ISIN")</f>
        <v/>
      </c>
      <c r="I595" s="1" t="inlineStr"/>
      <c r="J595">
        <f>BDP($B595,"CNTRY_OF_DOMICILE")</f>
        <v/>
      </c>
      <c r="K595" t="inlineStr">
        <is>
          <t>DBT</t>
        </is>
      </c>
      <c r="L595" t="inlineStr">
        <is>
          <t>CORP</t>
        </is>
      </c>
      <c r="M595" t="inlineStr"/>
      <c r="N595" t="inlineStr"/>
      <c r="O595" s="1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s="1" t="inlineStr"/>
      <c r="AR595" s="1" t="inlineStr"/>
      <c r="AS595" s="1" t="inlineStr"/>
      <c r="AT595">
        <f>TEXT(BDP($B595,"MATURITY"),"yyyy-mm-dd")</f>
        <v/>
      </c>
      <c r="AU595">
        <f>BDP($B595,"CPN_TYP")</f>
        <v/>
      </c>
      <c r="AV595">
        <f>BDP($B595,"CPN")</f>
        <v/>
      </c>
      <c r="AW595" t="inlineStr"/>
      <c r="AX595" t="inlineStr"/>
      <c r="AY595" t="inlineStr"/>
    </row>
    <row r="596">
      <c r="A596" t="inlineStr">
        <is>
          <t>CIVG</t>
        </is>
      </c>
      <c r="B596" t="inlineStr">
        <is>
          <t>09261HCC9 Corp</t>
        </is>
      </c>
      <c r="C596" s="1" t="inlineStr">
        <is>
          <t>09261HCC9</t>
        </is>
      </c>
      <c r="D596" t="inlineStr">
        <is>
          <t>Blackstone Private Credit Fund</t>
        </is>
      </c>
      <c r="E596">
        <f>BDP($B596,"LEGAL_ENTITY_IDENTIFIER")</f>
        <v/>
      </c>
      <c r="F596" t="inlineStr">
        <is>
          <t>Blackstone Private Credit Fund 5.95% 05/15/2031</t>
        </is>
      </c>
      <c r="G596">
        <f>custodian!D596</f>
        <v/>
      </c>
      <c r="H596">
        <f>BDP($B596,"ID_ISIN")</f>
        <v/>
      </c>
      <c r="I596" s="1" t="inlineStr"/>
      <c r="J596">
        <f>BDP($B596,"CNTRY_OF_DOMICILE")</f>
        <v/>
      </c>
      <c r="K596" t="inlineStr">
        <is>
          <t>DBT</t>
        </is>
      </c>
      <c r="L596" t="inlineStr">
        <is>
          <t>CORP</t>
        </is>
      </c>
      <c r="M596" t="inlineStr"/>
      <c r="N596" t="inlineStr"/>
      <c r="O596" s="1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s="1" t="inlineStr"/>
      <c r="AR596" s="1" t="inlineStr"/>
      <c r="AS596" s="1" t="inlineStr"/>
      <c r="AT596">
        <f>TEXT(BDP($B596,"MATURITY"),"yyyy-mm-dd")</f>
        <v/>
      </c>
      <c r="AU596">
        <f>BDP($B596,"CPN_TYP")</f>
        <v/>
      </c>
      <c r="AV596">
        <f>BDP($B596,"CPN")</f>
        <v/>
      </c>
      <c r="AW596" t="inlineStr"/>
      <c r="AX596" t="inlineStr"/>
      <c r="AY596" t="inlineStr"/>
    </row>
    <row r="597">
      <c r="A597" t="inlineStr">
        <is>
          <t>CIVG</t>
        </is>
      </c>
      <c r="B597" t="inlineStr">
        <is>
          <t>09261XAJ1 Corp</t>
        </is>
      </c>
      <c r="C597" s="1" t="inlineStr">
        <is>
          <t>09261XAJ1</t>
        </is>
      </c>
      <c r="D597" t="inlineStr">
        <is>
          <t>Blackstone Secured Lending Fun</t>
        </is>
      </c>
      <c r="E597">
        <f>BDP($B597,"LEGAL_ENTITY_IDENTIFIER")</f>
        <v/>
      </c>
      <c r="F597" t="inlineStr">
        <is>
          <t>Blackstone Secured Lending Fund 5.35% 04/13/2028</t>
        </is>
      </c>
      <c r="G597">
        <f>custodian!D597</f>
        <v/>
      </c>
      <c r="H597">
        <f>BDP($B597,"ID_ISIN")</f>
        <v/>
      </c>
      <c r="I597" s="1" t="inlineStr"/>
      <c r="J597">
        <f>BDP($B597,"CNTRY_OF_DOMICILE")</f>
        <v/>
      </c>
      <c r="K597" t="inlineStr">
        <is>
          <t>DBT</t>
        </is>
      </c>
      <c r="L597" t="inlineStr">
        <is>
          <t>CORP</t>
        </is>
      </c>
      <c r="M597" t="inlineStr"/>
      <c r="N597" t="inlineStr"/>
      <c r="O597" s="1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s="1" t="inlineStr"/>
      <c r="AR597" s="1" t="inlineStr"/>
      <c r="AS597" s="1" t="inlineStr"/>
      <c r="AT597">
        <f>TEXT(BDP($B597,"MATURITY"),"yyyy-mm-dd")</f>
        <v/>
      </c>
      <c r="AU597">
        <f>BDP($B597,"CPN_TYP")</f>
        <v/>
      </c>
      <c r="AV597">
        <f>BDP($B597,"CPN")</f>
        <v/>
      </c>
      <c r="AW597" t="inlineStr"/>
      <c r="AX597" t="inlineStr"/>
      <c r="AY597" t="inlineStr"/>
    </row>
    <row r="598">
      <c r="A598" t="inlineStr">
        <is>
          <t>CIVG</t>
        </is>
      </c>
      <c r="B598" t="inlineStr">
        <is>
          <t>097023CY9 Corp</t>
        </is>
      </c>
      <c r="C598" s="1" t="inlineStr">
        <is>
          <t>097023CY9</t>
        </is>
      </c>
      <c r="D598" t="inlineStr">
        <is>
          <t>Boeing Co/The 5.15% 05/01/2030</t>
        </is>
      </c>
      <c r="E598">
        <f>BDP($B598,"LEGAL_ENTITY_IDENTIFIER")</f>
        <v/>
      </c>
      <c r="F598" t="inlineStr">
        <is>
          <t>Boeing Co/The 5.15% 05/01/2030</t>
        </is>
      </c>
      <c r="G598">
        <f>custodian!D598</f>
        <v/>
      </c>
      <c r="H598">
        <f>BDP($B598,"ID_ISIN")</f>
        <v/>
      </c>
      <c r="I598" s="1" t="inlineStr"/>
      <c r="J598">
        <f>BDP($B598,"CNTRY_OF_DOMICILE")</f>
        <v/>
      </c>
      <c r="K598" t="inlineStr">
        <is>
          <t>DBT</t>
        </is>
      </c>
      <c r="L598" t="inlineStr">
        <is>
          <t>CORP</t>
        </is>
      </c>
      <c r="M598" t="inlineStr"/>
      <c r="N598" t="inlineStr"/>
      <c r="O598" s="1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s="1" t="inlineStr"/>
      <c r="AR598" s="1" t="inlineStr"/>
      <c r="AS598" s="1" t="inlineStr"/>
      <c r="AT598">
        <f>TEXT(BDP($B598,"MATURITY"),"yyyy-mm-dd")</f>
        <v/>
      </c>
      <c r="AU598">
        <f>BDP($B598,"CPN_TYP")</f>
        <v/>
      </c>
      <c r="AV598">
        <f>BDP($B598,"CPN")</f>
        <v/>
      </c>
      <c r="AW598" t="inlineStr"/>
      <c r="AX598" t="inlineStr"/>
      <c r="AY598" t="inlineStr"/>
    </row>
    <row r="599">
      <c r="A599" t="inlineStr">
        <is>
          <t>CIVG</t>
        </is>
      </c>
      <c r="B599" t="inlineStr">
        <is>
          <t>10112RBD5 Corp</t>
        </is>
      </c>
      <c r="C599" s="1" t="inlineStr">
        <is>
          <t>10112RBD5</t>
        </is>
      </c>
      <c r="D599" t="inlineStr">
        <is>
          <t>Boston Properties LP 3.25% 01/</t>
        </is>
      </c>
      <c r="E599">
        <f>BDP($B599,"LEGAL_ENTITY_IDENTIFIER")</f>
        <v/>
      </c>
      <c r="F599" t="inlineStr">
        <is>
          <t>Boston Properties LP 3.25% 01/30/2031</t>
        </is>
      </c>
      <c r="G599">
        <f>custodian!D599</f>
        <v/>
      </c>
      <c r="H599">
        <f>BDP($B599,"ID_ISIN")</f>
        <v/>
      </c>
      <c r="I599" s="1" t="inlineStr"/>
      <c r="J599">
        <f>BDP($B599,"CNTRY_OF_DOMICILE")</f>
        <v/>
      </c>
      <c r="K599" t="inlineStr">
        <is>
          <t>DBT</t>
        </is>
      </c>
      <c r="L599" t="inlineStr">
        <is>
          <t>CORP</t>
        </is>
      </c>
      <c r="M599" t="inlineStr"/>
      <c r="N599" t="inlineStr"/>
      <c r="O599" s="1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s="1" t="inlineStr"/>
      <c r="AR599" s="1" t="inlineStr"/>
      <c r="AS599" s="1" t="inlineStr"/>
      <c r="AT599">
        <f>TEXT(BDP($B599,"MATURITY"),"yyyy-mm-dd")</f>
        <v/>
      </c>
      <c r="AU599">
        <f>BDP($B599,"CPN_TYP")</f>
        <v/>
      </c>
      <c r="AV599">
        <f>BDP($B599,"CPN")</f>
        <v/>
      </c>
      <c r="AW599" t="inlineStr"/>
      <c r="AX599" t="inlineStr"/>
      <c r="AY599" t="inlineStr"/>
    </row>
    <row r="600">
      <c r="A600" t="inlineStr">
        <is>
          <t>CIVG</t>
        </is>
      </c>
      <c r="B600" t="inlineStr">
        <is>
          <t>10373QAE0 Corp</t>
        </is>
      </c>
      <c r="C600" s="1" t="inlineStr">
        <is>
          <t>10373QAE0</t>
        </is>
      </c>
      <c r="D600" t="inlineStr">
        <is>
          <t>BP Capital Markets America Inc</t>
        </is>
      </c>
      <c r="E600">
        <f>BDP($B600,"LEGAL_ENTITY_IDENTIFIER")</f>
        <v/>
      </c>
      <c r="F600" t="inlineStr">
        <is>
          <t>BP Capital Markets America Inc 4.234% 11/06/2028</t>
        </is>
      </c>
      <c r="G600">
        <f>custodian!D600</f>
        <v/>
      </c>
      <c r="H600">
        <f>BDP($B600,"ID_ISIN")</f>
        <v/>
      </c>
      <c r="I600" s="1" t="inlineStr"/>
      <c r="J600">
        <f>BDP($B600,"CNTRY_OF_DOMICILE")</f>
        <v/>
      </c>
      <c r="K600" t="inlineStr">
        <is>
          <t>DBT</t>
        </is>
      </c>
      <c r="L600" t="inlineStr">
        <is>
          <t>CORP</t>
        </is>
      </c>
      <c r="M600" t="inlineStr"/>
      <c r="N600" t="inlineStr"/>
      <c r="O600" s="1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s="1" t="inlineStr"/>
      <c r="AR600" s="1" t="inlineStr"/>
      <c r="AS600" s="1" t="inlineStr"/>
      <c r="AT600">
        <f>TEXT(BDP($B600,"MATURITY"),"yyyy-mm-dd")</f>
        <v/>
      </c>
      <c r="AU600">
        <f>BDP($B600,"CPN_TYP")</f>
        <v/>
      </c>
      <c r="AV600">
        <f>BDP($B600,"CPN")</f>
        <v/>
      </c>
      <c r="AW600" t="inlineStr"/>
      <c r="AX600" t="inlineStr"/>
      <c r="AY600" t="inlineStr"/>
    </row>
    <row r="601">
      <c r="A601" t="inlineStr">
        <is>
          <t>CIVG</t>
        </is>
      </c>
      <c r="B601" t="inlineStr">
        <is>
          <t>111021AE1 Corp</t>
        </is>
      </c>
      <c r="C601" s="1" t="inlineStr">
        <is>
          <t>111021AE1</t>
        </is>
      </c>
      <c r="D601" t="inlineStr">
        <is>
          <t>British Telecommunications PLC</t>
        </is>
      </c>
      <c r="E601">
        <f>BDP($B601,"LEGAL_ENTITY_IDENTIFIER")</f>
        <v/>
      </c>
      <c r="F601" t="inlineStr">
        <is>
          <t>British Telecommunications PLC 9.625% 12/15/2030</t>
        </is>
      </c>
      <c r="G601">
        <f>custodian!D601</f>
        <v/>
      </c>
      <c r="H601">
        <f>BDP($B601,"ID_ISIN")</f>
        <v/>
      </c>
      <c r="I601" s="1" t="inlineStr"/>
      <c r="J601">
        <f>BDP($B601,"CNTRY_OF_DOMICILE")</f>
        <v/>
      </c>
      <c r="K601" t="inlineStr">
        <is>
          <t>DBT</t>
        </is>
      </c>
      <c r="L601" t="inlineStr">
        <is>
          <t>CORP</t>
        </is>
      </c>
      <c r="M601" t="inlineStr"/>
      <c r="N601" t="inlineStr"/>
      <c r="O601" s="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s="1" t="inlineStr"/>
      <c r="AR601" s="1" t="inlineStr"/>
      <c r="AS601" s="1" t="inlineStr"/>
      <c r="AT601">
        <f>TEXT(BDP($B601,"MATURITY"),"yyyy-mm-dd")</f>
        <v/>
      </c>
      <c r="AU601">
        <f>BDP($B601,"CPN_TYP")</f>
        <v/>
      </c>
      <c r="AV601">
        <f>BDP($B601,"CPN")</f>
        <v/>
      </c>
      <c r="AW601" t="inlineStr"/>
      <c r="AX601" t="inlineStr"/>
      <c r="AY601" t="inlineStr"/>
    </row>
    <row r="602">
      <c r="A602" t="inlineStr">
        <is>
          <t>CIVG</t>
        </is>
      </c>
      <c r="B602" t="inlineStr">
        <is>
          <t>11120VAH6 Corp</t>
        </is>
      </c>
      <c r="C602" s="1" t="inlineStr">
        <is>
          <t>11120VAH6</t>
        </is>
      </c>
      <c r="D602" t="inlineStr">
        <is>
          <t xml:space="preserve">Brixmor Operating Partnership </t>
        </is>
      </c>
      <c r="E602">
        <f>BDP($B602,"LEGAL_ENTITY_IDENTIFIER")</f>
        <v/>
      </c>
      <c r="F602" t="inlineStr">
        <is>
          <t>Brixmor Operating Partnership LP 4.125% 05/15/2029</t>
        </is>
      </c>
      <c r="G602">
        <f>custodian!D602</f>
        <v/>
      </c>
      <c r="H602">
        <f>BDP($B602,"ID_ISIN")</f>
        <v/>
      </c>
      <c r="I602" s="1" t="inlineStr"/>
      <c r="J602">
        <f>BDP($B602,"CNTRY_OF_DOMICILE")</f>
        <v/>
      </c>
      <c r="K602" t="inlineStr">
        <is>
          <t>DBT</t>
        </is>
      </c>
      <c r="L602" t="inlineStr">
        <is>
          <t>CORP</t>
        </is>
      </c>
      <c r="M602" t="inlineStr"/>
      <c r="N602" t="inlineStr"/>
      <c r="O602" s="1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s="1" t="inlineStr"/>
      <c r="AR602" s="1" t="inlineStr"/>
      <c r="AS602" s="1" t="inlineStr"/>
      <c r="AT602">
        <f>TEXT(BDP($B602,"MATURITY"),"yyyy-mm-dd")</f>
        <v/>
      </c>
      <c r="AU602">
        <f>BDP($B602,"CPN_TYP")</f>
        <v/>
      </c>
      <c r="AV602">
        <f>BDP($B602,"CPN")</f>
        <v/>
      </c>
      <c r="AW602" t="inlineStr"/>
      <c r="AX602" t="inlineStr"/>
      <c r="AY602" t="inlineStr"/>
    </row>
    <row r="603">
      <c r="A603" t="inlineStr">
        <is>
          <t>CIVG</t>
        </is>
      </c>
      <c r="B603" t="inlineStr">
        <is>
          <t>11135FCB5 Corp</t>
        </is>
      </c>
      <c r="C603" s="1" t="inlineStr">
        <is>
          <t>11135FCB5</t>
        </is>
      </c>
      <c r="D603" t="inlineStr">
        <is>
          <t>Broadcom Inc 4.35% 02/15/2030</t>
        </is>
      </c>
      <c r="E603">
        <f>BDP($B603,"LEGAL_ENTITY_IDENTIFIER")</f>
        <v/>
      </c>
      <c r="F603" t="inlineStr">
        <is>
          <t>Broadcom Inc 4.35% 02/15/2030</t>
        </is>
      </c>
      <c r="G603">
        <f>custodian!D603</f>
        <v/>
      </c>
      <c r="H603">
        <f>BDP($B603,"ID_ISIN")</f>
        <v/>
      </c>
      <c r="I603" s="1" t="inlineStr"/>
      <c r="J603">
        <f>BDP($B603,"CNTRY_OF_DOMICILE")</f>
        <v/>
      </c>
      <c r="K603" t="inlineStr">
        <is>
          <t>DBT</t>
        </is>
      </c>
      <c r="L603" t="inlineStr">
        <is>
          <t>CORP</t>
        </is>
      </c>
      <c r="M603" t="inlineStr"/>
      <c r="N603" t="inlineStr"/>
      <c r="O603" s="1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s="1" t="inlineStr"/>
      <c r="AR603" s="1" t="inlineStr"/>
      <c r="AS603" s="1" t="inlineStr"/>
      <c r="AT603">
        <f>TEXT(BDP($B603,"MATURITY"),"yyyy-mm-dd")</f>
        <v/>
      </c>
      <c r="AU603">
        <f>BDP($B603,"CPN_TYP")</f>
        <v/>
      </c>
      <c r="AV603">
        <f>BDP($B603,"CPN")</f>
        <v/>
      </c>
      <c r="AW603" t="inlineStr"/>
      <c r="AX603" t="inlineStr"/>
      <c r="AY603" t="inlineStr"/>
    </row>
    <row r="604">
      <c r="A604" t="inlineStr">
        <is>
          <t>CIVG</t>
        </is>
      </c>
      <c r="B604" t="inlineStr">
        <is>
          <t>12541WAA8 Corp</t>
        </is>
      </c>
      <c r="C604" s="1" t="inlineStr">
        <is>
          <t>12541WAA8</t>
        </is>
      </c>
      <c r="D604" t="inlineStr">
        <is>
          <t>CH Robinson Worldwide Inc 4.2%</t>
        </is>
      </c>
      <c r="E604">
        <f>BDP($B604,"LEGAL_ENTITY_IDENTIFIER")</f>
        <v/>
      </c>
      <c r="F604" t="inlineStr">
        <is>
          <t>CH Robinson Worldwide Inc 4.2% 04/15/2028</t>
        </is>
      </c>
      <c r="G604">
        <f>custodian!D604</f>
        <v/>
      </c>
      <c r="H604">
        <f>BDP($B604,"ID_ISIN")</f>
        <v/>
      </c>
      <c r="I604" s="1" t="inlineStr"/>
      <c r="J604">
        <f>BDP($B604,"CNTRY_OF_DOMICILE")</f>
        <v/>
      </c>
      <c r="K604" t="inlineStr">
        <is>
          <t>DBT</t>
        </is>
      </c>
      <c r="L604" t="inlineStr">
        <is>
          <t>CORP</t>
        </is>
      </c>
      <c r="M604" t="inlineStr"/>
      <c r="N604" t="inlineStr"/>
      <c r="O604" s="1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s="1" t="inlineStr"/>
      <c r="AR604" s="1" t="inlineStr"/>
      <c r="AS604" s="1" t="inlineStr"/>
      <c r="AT604">
        <f>TEXT(BDP($B604,"MATURITY"),"yyyy-mm-dd")</f>
        <v/>
      </c>
      <c r="AU604">
        <f>BDP($B604,"CPN_TYP")</f>
        <v/>
      </c>
      <c r="AV604">
        <f>BDP($B604,"CPN")</f>
        <v/>
      </c>
      <c r="AW604" t="inlineStr"/>
      <c r="AX604" t="inlineStr"/>
      <c r="AY604" t="inlineStr"/>
    </row>
    <row r="605">
      <c r="A605" t="inlineStr">
        <is>
          <t>CIVG</t>
        </is>
      </c>
      <c r="B605" t="inlineStr">
        <is>
          <t>125523AH3 Corp</t>
        </is>
      </c>
      <c r="C605" s="1" t="inlineStr">
        <is>
          <t>125523AH3</t>
        </is>
      </c>
      <c r="D605" t="inlineStr">
        <is>
          <t>Cigna Group/The 4.375% 10/15/2</t>
        </is>
      </c>
      <c r="E605">
        <f>BDP($B605,"LEGAL_ENTITY_IDENTIFIER")</f>
        <v/>
      </c>
      <c r="F605" t="inlineStr">
        <is>
          <t>Cigna Group/The 4.375% 10/15/2028</t>
        </is>
      </c>
      <c r="G605">
        <f>custodian!D605</f>
        <v/>
      </c>
      <c r="H605">
        <f>BDP($B605,"ID_ISIN")</f>
        <v/>
      </c>
      <c r="I605" s="1" t="inlineStr"/>
      <c r="J605">
        <f>BDP($B605,"CNTRY_OF_DOMICILE")</f>
        <v/>
      </c>
      <c r="K605" t="inlineStr">
        <is>
          <t>DBT</t>
        </is>
      </c>
      <c r="L605" t="inlineStr">
        <is>
          <t>CORP</t>
        </is>
      </c>
      <c r="M605" t="inlineStr"/>
      <c r="N605" t="inlineStr"/>
      <c r="O605" s="1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s="1" t="inlineStr"/>
      <c r="AR605" s="1" t="inlineStr"/>
      <c r="AS605" s="1" t="inlineStr"/>
      <c r="AT605">
        <f>TEXT(BDP($B605,"MATURITY"),"yyyy-mm-dd")</f>
        <v/>
      </c>
      <c r="AU605">
        <f>BDP($B605,"CPN_TYP")</f>
        <v/>
      </c>
      <c r="AV605">
        <f>BDP($B605,"CPN")</f>
        <v/>
      </c>
      <c r="AW605" t="inlineStr"/>
      <c r="AX605" t="inlineStr"/>
      <c r="AY605" t="inlineStr"/>
    </row>
    <row r="606">
      <c r="A606" t="inlineStr">
        <is>
          <t>CIVG</t>
        </is>
      </c>
      <c r="B606" t="inlineStr">
        <is>
          <t>125896BU3 Corp</t>
        </is>
      </c>
      <c r="C606" s="1" t="inlineStr">
        <is>
          <t>125896BU3</t>
        </is>
      </c>
      <c r="D606" t="inlineStr">
        <is>
          <t>CMS Energy Corp 4.75% 06/01/20</t>
        </is>
      </c>
      <c r="E606">
        <f>BDP($B606,"LEGAL_ENTITY_IDENTIFIER")</f>
        <v/>
      </c>
      <c r="F606" t="inlineStr">
        <is>
          <t>CMS Energy Corp 4.75% 06/01/2050</t>
        </is>
      </c>
      <c r="G606">
        <f>custodian!D606</f>
        <v/>
      </c>
      <c r="H606">
        <f>BDP($B606,"ID_ISIN")</f>
        <v/>
      </c>
      <c r="I606" s="1" t="inlineStr"/>
      <c r="J606">
        <f>BDP($B606,"CNTRY_OF_DOMICILE")</f>
        <v/>
      </c>
      <c r="K606" t="inlineStr">
        <is>
          <t>DBT</t>
        </is>
      </c>
      <c r="L606" t="inlineStr">
        <is>
          <t>CORP</t>
        </is>
      </c>
      <c r="M606" t="inlineStr"/>
      <c r="N606" t="inlineStr"/>
      <c r="O606" s="1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s="1" t="inlineStr"/>
      <c r="AR606" s="1" t="inlineStr"/>
      <c r="AS606" s="1" t="inlineStr"/>
      <c r="AT606">
        <f>TEXT(BDP($B606,"MATURITY"),"yyyy-mm-dd")</f>
        <v/>
      </c>
      <c r="AU606">
        <f>BDP($B606,"CPN_TYP")</f>
        <v/>
      </c>
      <c r="AV606">
        <f>BDP($B606,"CPN")</f>
        <v/>
      </c>
      <c r="AW606" t="inlineStr"/>
      <c r="AX606" t="inlineStr"/>
      <c r="AY606" t="inlineStr"/>
    </row>
    <row r="607">
      <c r="A607" t="inlineStr">
        <is>
          <t>CIVG</t>
        </is>
      </c>
      <c r="B607" t="inlineStr">
        <is>
          <t>126650CX6 Corp</t>
        </is>
      </c>
      <c r="C607" s="1" t="inlineStr">
        <is>
          <t>126650CX6</t>
        </is>
      </c>
      <c r="D607" t="inlineStr">
        <is>
          <t>CVS Health Corp 4.3% 03/25/202</t>
        </is>
      </c>
      <c r="E607">
        <f>BDP($B607,"LEGAL_ENTITY_IDENTIFIER")</f>
        <v/>
      </c>
      <c r="F607" t="inlineStr">
        <is>
          <t>CVS Health Corp 4.3% 03/25/2028</t>
        </is>
      </c>
      <c r="G607">
        <f>custodian!D607</f>
        <v/>
      </c>
      <c r="H607">
        <f>BDP($B607,"ID_ISIN")</f>
        <v/>
      </c>
      <c r="I607" s="1" t="inlineStr"/>
      <c r="J607">
        <f>BDP($B607,"CNTRY_OF_DOMICILE")</f>
        <v/>
      </c>
      <c r="K607" t="inlineStr">
        <is>
          <t>DBT</t>
        </is>
      </c>
      <c r="L607" t="inlineStr">
        <is>
          <t>CORP</t>
        </is>
      </c>
      <c r="M607" t="inlineStr"/>
      <c r="N607" t="inlineStr"/>
      <c r="O607" s="1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s="1" t="inlineStr"/>
      <c r="AR607" s="1" t="inlineStr"/>
      <c r="AS607" s="1" t="inlineStr"/>
      <c r="AT607">
        <f>TEXT(BDP($B607,"MATURITY"),"yyyy-mm-dd")</f>
        <v/>
      </c>
      <c r="AU607">
        <f>BDP($B607,"CPN_TYP")</f>
        <v/>
      </c>
      <c r="AV607">
        <f>BDP($B607,"CPN")</f>
        <v/>
      </c>
      <c r="AW607" t="inlineStr"/>
      <c r="AX607" t="inlineStr"/>
      <c r="AY607" t="inlineStr"/>
    </row>
    <row r="608">
      <c r="A608" t="inlineStr">
        <is>
          <t>CIVG</t>
        </is>
      </c>
      <c r="B608" t="inlineStr">
        <is>
          <t>13607LNG4 Corp</t>
        </is>
      </c>
      <c r="C608" s="1" t="inlineStr">
        <is>
          <t>13607LNG4</t>
        </is>
      </c>
      <c r="D608" t="inlineStr">
        <is>
          <t>Canadian Imperial Bank of Comm</t>
        </is>
      </c>
      <c r="E608">
        <f>BDP($B608,"LEGAL_ENTITY_IDENTIFIER")</f>
        <v/>
      </c>
      <c r="F608" t="inlineStr">
        <is>
          <t>Canadian Imperial Bank of Commerce 5.001% 04/28/2028</t>
        </is>
      </c>
      <c r="G608">
        <f>custodian!D608</f>
        <v/>
      </c>
      <c r="H608">
        <f>BDP($B608,"ID_ISIN")</f>
        <v/>
      </c>
      <c r="I608" s="1" t="inlineStr"/>
      <c r="J608">
        <f>BDP($B608,"CNTRY_OF_DOMICILE")</f>
        <v/>
      </c>
      <c r="K608" t="inlineStr">
        <is>
          <t>DBT</t>
        </is>
      </c>
      <c r="L608" t="inlineStr">
        <is>
          <t>CORP</t>
        </is>
      </c>
      <c r="M608" t="inlineStr"/>
      <c r="N608" t="inlineStr"/>
      <c r="O608" s="1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s="1" t="inlineStr"/>
      <c r="AR608" s="1" t="inlineStr"/>
      <c r="AS608" s="1" t="inlineStr"/>
      <c r="AT608">
        <f>TEXT(BDP($B608,"MATURITY"),"yyyy-mm-dd")</f>
        <v/>
      </c>
      <c r="AU608">
        <f>BDP($B608,"CPN_TYP")</f>
        <v/>
      </c>
      <c r="AV608">
        <f>BDP($B608,"CPN")</f>
        <v/>
      </c>
      <c r="AW608" t="inlineStr"/>
      <c r="AX608" t="inlineStr"/>
      <c r="AY608" t="inlineStr"/>
    </row>
    <row r="609">
      <c r="A609" t="inlineStr">
        <is>
          <t>CIVG</t>
        </is>
      </c>
      <c r="B609" t="inlineStr">
        <is>
          <t>13607QWB4 Corp</t>
        </is>
      </c>
      <c r="C609" s="1" t="inlineStr">
        <is>
          <t>13607QWB4</t>
        </is>
      </c>
      <c r="D609" t="inlineStr">
        <is>
          <t>Canadian Imperial Bank of Comm</t>
        </is>
      </c>
      <c r="E609">
        <f>BDP($B609,"LEGAL_ENTITY_IDENTIFIER")</f>
        <v/>
      </c>
      <c r="F609" t="inlineStr">
        <is>
          <t>Canadian Imperial Bank of Commerce 4.283% 01/29/2030</t>
        </is>
      </c>
      <c r="G609">
        <f>custodian!D609</f>
        <v/>
      </c>
      <c r="H609">
        <f>BDP($B609,"ID_ISIN")</f>
        <v/>
      </c>
      <c r="I609" s="1" t="inlineStr"/>
      <c r="J609">
        <f>BDP($B609,"CNTRY_OF_DOMICILE")</f>
        <v/>
      </c>
      <c r="K609" t="inlineStr">
        <is>
          <t>DBT</t>
        </is>
      </c>
      <c r="L609" t="inlineStr">
        <is>
          <t>CORP</t>
        </is>
      </c>
      <c r="M609" t="inlineStr"/>
      <c r="N609" t="inlineStr"/>
      <c r="O609" s="1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s="1" t="inlineStr"/>
      <c r="AR609" s="1" t="inlineStr"/>
      <c r="AS609" s="1" t="inlineStr"/>
      <c r="AT609">
        <f>TEXT(BDP($B609,"MATURITY"),"yyyy-mm-dd")</f>
        <v/>
      </c>
      <c r="AU609">
        <f>BDP($B609,"CPN_TYP")</f>
        <v/>
      </c>
      <c r="AV609">
        <f>BDP($B609,"CPN")</f>
        <v/>
      </c>
      <c r="AW609" t="inlineStr"/>
      <c r="AX609" t="inlineStr"/>
      <c r="AY609" t="inlineStr"/>
    </row>
    <row r="610">
      <c r="A610" t="inlineStr">
        <is>
          <t>CIVG</t>
        </is>
      </c>
      <c r="B610" t="inlineStr">
        <is>
          <t>14040HCN3 Corp</t>
        </is>
      </c>
      <c r="C610" s="1" t="inlineStr">
        <is>
          <t>14040HCN3</t>
        </is>
      </c>
      <c r="D610" t="inlineStr">
        <is>
          <t>Capital One Financial Corp 3.2</t>
        </is>
      </c>
      <c r="E610">
        <f>BDP($B610,"LEGAL_ENTITY_IDENTIFIER")</f>
        <v/>
      </c>
      <c r="F610" t="inlineStr">
        <is>
          <t>Capital One Financial Corp 3.273% 03/01/2030</t>
        </is>
      </c>
      <c r="G610">
        <f>custodian!D610</f>
        <v/>
      </c>
      <c r="H610">
        <f>BDP($B610,"ID_ISIN")</f>
        <v/>
      </c>
      <c r="I610" s="1" t="inlineStr"/>
      <c r="J610">
        <f>BDP($B610,"CNTRY_OF_DOMICILE")</f>
        <v/>
      </c>
      <c r="K610" t="inlineStr">
        <is>
          <t>DBT</t>
        </is>
      </c>
      <c r="L610" t="inlineStr">
        <is>
          <t>CORP</t>
        </is>
      </c>
      <c r="M610" t="inlineStr"/>
      <c r="N610" t="inlineStr"/>
      <c r="O610" s="1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s="1" t="inlineStr"/>
      <c r="AR610" s="1" t="inlineStr"/>
      <c r="AS610" s="1" t="inlineStr"/>
      <c r="AT610">
        <f>TEXT(BDP($B610,"MATURITY"),"yyyy-mm-dd")</f>
        <v/>
      </c>
      <c r="AU610">
        <f>BDP($B610,"CPN_TYP")</f>
        <v/>
      </c>
      <c r="AV610">
        <f>BDP($B610,"CPN")</f>
        <v/>
      </c>
      <c r="AW610" t="inlineStr"/>
      <c r="AX610" t="inlineStr"/>
      <c r="AY610" t="inlineStr"/>
    </row>
    <row r="611">
      <c r="A611" t="inlineStr">
        <is>
          <t>CIVG</t>
        </is>
      </c>
      <c r="B611" t="inlineStr">
        <is>
          <t>14040HCZ6 Corp</t>
        </is>
      </c>
      <c r="C611" s="1" t="inlineStr">
        <is>
          <t>14040HCZ6</t>
        </is>
      </c>
      <c r="D611" t="inlineStr">
        <is>
          <t>Capital One Financial Corp 6.3</t>
        </is>
      </c>
      <c r="E611">
        <f>BDP($B611,"LEGAL_ENTITY_IDENTIFIER")</f>
        <v/>
      </c>
      <c r="F611" t="inlineStr">
        <is>
          <t>Capital One Financial Corp 6.312% 06/08/2029</t>
        </is>
      </c>
      <c r="G611">
        <f>custodian!D611</f>
        <v/>
      </c>
      <c r="H611">
        <f>BDP($B611,"ID_ISIN")</f>
        <v/>
      </c>
      <c r="I611" s="1" t="inlineStr"/>
      <c r="J611">
        <f>BDP($B611,"CNTRY_OF_DOMICILE")</f>
        <v/>
      </c>
      <c r="K611" t="inlineStr">
        <is>
          <t>DBT</t>
        </is>
      </c>
      <c r="L611" t="inlineStr">
        <is>
          <t>CORP</t>
        </is>
      </c>
      <c r="M611" t="inlineStr"/>
      <c r="N611" t="inlineStr"/>
      <c r="O611" s="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s="1" t="inlineStr"/>
      <c r="AR611" s="1" t="inlineStr"/>
      <c r="AS611" s="1" t="inlineStr"/>
      <c r="AT611">
        <f>TEXT(BDP($B611,"MATURITY"),"yyyy-mm-dd")</f>
        <v/>
      </c>
      <c r="AU611">
        <f>BDP($B611,"CPN_TYP")</f>
        <v/>
      </c>
      <c r="AV611">
        <f>BDP($B611,"CPN")</f>
        <v/>
      </c>
      <c r="AW611" t="inlineStr"/>
      <c r="AX611" t="inlineStr"/>
      <c r="AY611" t="inlineStr"/>
    </row>
    <row r="612">
      <c r="A612" t="inlineStr">
        <is>
          <t>CIVG</t>
        </is>
      </c>
      <c r="B612" t="inlineStr">
        <is>
          <t>14149YBN7 Corp</t>
        </is>
      </c>
      <c r="C612" s="1" t="inlineStr">
        <is>
          <t>14149YBN7</t>
        </is>
      </c>
      <c r="D612" t="inlineStr">
        <is>
          <t>Cardinal Health Inc 5.125% 02/</t>
        </is>
      </c>
      <c r="E612">
        <f>BDP($B612,"LEGAL_ENTITY_IDENTIFIER")</f>
        <v/>
      </c>
      <c r="F612" t="inlineStr">
        <is>
          <t>Cardinal Health Inc 5.125% 02/15/2029</t>
        </is>
      </c>
      <c r="G612">
        <f>custodian!D612</f>
        <v/>
      </c>
      <c r="H612">
        <f>BDP($B612,"ID_ISIN")</f>
        <v/>
      </c>
      <c r="I612" s="1" t="inlineStr"/>
      <c r="J612">
        <f>BDP($B612,"CNTRY_OF_DOMICILE")</f>
        <v/>
      </c>
      <c r="K612" t="inlineStr">
        <is>
          <t>DBT</t>
        </is>
      </c>
      <c r="L612" t="inlineStr">
        <is>
          <t>CORP</t>
        </is>
      </c>
      <c r="M612" t="inlineStr"/>
      <c r="N612" t="inlineStr"/>
      <c r="O612" s="1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s="1" t="inlineStr"/>
      <c r="AR612" s="1" t="inlineStr"/>
      <c r="AS612" s="1" t="inlineStr"/>
      <c r="AT612">
        <f>TEXT(BDP($B612,"MATURITY"),"yyyy-mm-dd")</f>
        <v/>
      </c>
      <c r="AU612">
        <f>BDP($B612,"CPN_TYP")</f>
        <v/>
      </c>
      <c r="AV612">
        <f>BDP($B612,"CPN")</f>
        <v/>
      </c>
      <c r="AW612" t="inlineStr"/>
      <c r="AX612" t="inlineStr"/>
      <c r="AY612" t="inlineStr"/>
    </row>
    <row r="613">
      <c r="A613" t="inlineStr">
        <is>
          <t>CIVG</t>
        </is>
      </c>
      <c r="B613" t="inlineStr">
        <is>
          <t>14913V2D9 Corp</t>
        </is>
      </c>
      <c r="C613" s="1" t="inlineStr">
        <is>
          <t>14913V2D9</t>
        </is>
      </c>
      <c r="D613" t="inlineStr">
        <is>
          <t>Caterpillar Financial Services</t>
        </is>
      </c>
      <c r="E613">
        <f>BDP($B613,"LEGAL_ENTITY_IDENTIFIER")</f>
        <v/>
      </c>
      <c r="F613" t="inlineStr">
        <is>
          <t>Caterpillar Financial Services Corp 4.5% 05/15/2031</t>
        </is>
      </c>
      <c r="G613">
        <f>custodian!D613</f>
        <v/>
      </c>
      <c r="H613">
        <f>BDP($B613,"ID_ISIN")</f>
        <v/>
      </c>
      <c r="I613" s="1" t="inlineStr"/>
      <c r="J613">
        <f>BDP($B613,"CNTRY_OF_DOMICILE")</f>
        <v/>
      </c>
      <c r="K613" t="inlineStr">
        <is>
          <t>DBT</t>
        </is>
      </c>
      <c r="L613" t="inlineStr">
        <is>
          <t>CORP</t>
        </is>
      </c>
      <c r="M613" t="inlineStr"/>
      <c r="N613" t="inlineStr"/>
      <c r="O613" s="1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s="1" t="inlineStr"/>
      <c r="AR613" s="1" t="inlineStr"/>
      <c r="AS613" s="1" t="inlineStr"/>
      <c r="AT613">
        <f>TEXT(BDP($B613,"MATURITY"),"yyyy-mm-dd")</f>
        <v/>
      </c>
      <c r="AU613">
        <f>BDP($B613,"CPN_TYP")</f>
        <v/>
      </c>
      <c r="AV613">
        <f>BDP($B613,"CPN")</f>
        <v/>
      </c>
      <c r="AW613" t="inlineStr"/>
      <c r="AX613" t="inlineStr"/>
      <c r="AY613" t="inlineStr"/>
    </row>
    <row r="614">
      <c r="A614" t="inlineStr">
        <is>
          <t>CIVG</t>
        </is>
      </c>
      <c r="B614" t="inlineStr">
        <is>
          <t>166764BY5 Corp</t>
        </is>
      </c>
      <c r="C614" s="1" t="inlineStr">
        <is>
          <t>166764BY5</t>
        </is>
      </c>
      <c r="D614" t="inlineStr">
        <is>
          <t>Chevron Corp 2.236% 05/11/2030</t>
        </is>
      </c>
      <c r="E614">
        <f>BDP($B614,"LEGAL_ENTITY_IDENTIFIER")</f>
        <v/>
      </c>
      <c r="F614" t="inlineStr">
        <is>
          <t>Chevron Corp 2.236% 05/11/2030</t>
        </is>
      </c>
      <c r="G614">
        <f>custodian!D614</f>
        <v/>
      </c>
      <c r="H614">
        <f>BDP($B614,"ID_ISIN")</f>
        <v/>
      </c>
      <c r="I614" s="1" t="inlineStr"/>
      <c r="J614">
        <f>BDP($B614,"CNTRY_OF_DOMICILE")</f>
        <v/>
      </c>
      <c r="K614" t="inlineStr">
        <is>
          <t>DBT</t>
        </is>
      </c>
      <c r="L614" t="inlineStr">
        <is>
          <t>CORP</t>
        </is>
      </c>
      <c r="M614" t="inlineStr"/>
      <c r="N614" t="inlineStr"/>
      <c r="O614" s="1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s="1" t="inlineStr"/>
      <c r="AR614" s="1" t="inlineStr"/>
      <c r="AS614" s="1" t="inlineStr"/>
      <c r="AT614">
        <f>TEXT(BDP($B614,"MATURITY"),"yyyy-mm-dd")</f>
        <v/>
      </c>
      <c r="AU614">
        <f>BDP($B614,"CPN_TYP")</f>
        <v/>
      </c>
      <c r="AV614">
        <f>BDP($B614,"CPN")</f>
        <v/>
      </c>
      <c r="AW614" t="inlineStr"/>
      <c r="AX614" t="inlineStr"/>
      <c r="AY614" t="inlineStr"/>
    </row>
    <row r="615">
      <c r="A615" t="inlineStr">
        <is>
          <t>CIVG</t>
        </is>
      </c>
      <c r="B615" t="inlineStr">
        <is>
          <t>17275RBR2 Corp</t>
        </is>
      </c>
      <c r="C615" s="1" t="inlineStr">
        <is>
          <t>17275RBR2</t>
        </is>
      </c>
      <c r="D615" t="inlineStr">
        <is>
          <t>Cisco Systems Inc 4.85% 02/26/</t>
        </is>
      </c>
      <c r="E615">
        <f>BDP($B615,"LEGAL_ENTITY_IDENTIFIER")</f>
        <v/>
      </c>
      <c r="F615" t="inlineStr">
        <is>
          <t>Cisco Systems Inc 4.85% 02/26/2029</t>
        </is>
      </c>
      <c r="G615">
        <f>custodian!D615</f>
        <v/>
      </c>
      <c r="H615">
        <f>BDP($B615,"ID_ISIN")</f>
        <v/>
      </c>
      <c r="I615" s="1" t="inlineStr"/>
      <c r="J615">
        <f>BDP($B615,"CNTRY_OF_DOMICILE")</f>
        <v/>
      </c>
      <c r="K615" t="inlineStr">
        <is>
          <t>DBT</t>
        </is>
      </c>
      <c r="L615" t="inlineStr">
        <is>
          <t>CORP</t>
        </is>
      </c>
      <c r="M615" t="inlineStr"/>
      <c r="N615" t="inlineStr"/>
      <c r="O615" s="1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s="1" t="inlineStr"/>
      <c r="AR615" s="1" t="inlineStr"/>
      <c r="AS615" s="1" t="inlineStr"/>
      <c r="AT615">
        <f>TEXT(BDP($B615,"MATURITY"),"yyyy-mm-dd")</f>
        <v/>
      </c>
      <c r="AU615">
        <f>BDP($B615,"CPN_TYP")</f>
        <v/>
      </c>
      <c r="AV615">
        <f>BDP($B615,"CPN")</f>
        <v/>
      </c>
      <c r="AW615" t="inlineStr"/>
      <c r="AX615" t="inlineStr"/>
      <c r="AY615" t="inlineStr"/>
    </row>
    <row r="616">
      <c r="A616" t="inlineStr">
        <is>
          <t>CIVG</t>
        </is>
      </c>
      <c r="B616" t="inlineStr">
        <is>
          <t>17275RBS0 Corp</t>
        </is>
      </c>
      <c r="C616" s="1" t="inlineStr">
        <is>
          <t>17275RBS0</t>
        </is>
      </c>
      <c r="D616" t="inlineStr">
        <is>
          <t>Cisco Systems Inc 4.95% 02/26/</t>
        </is>
      </c>
      <c r="E616">
        <f>BDP($B616,"LEGAL_ENTITY_IDENTIFIER")</f>
        <v/>
      </c>
      <c r="F616" t="inlineStr">
        <is>
          <t>Cisco Systems Inc 4.95% 02/26/2031</t>
        </is>
      </c>
      <c r="G616">
        <f>custodian!D616</f>
        <v/>
      </c>
      <c r="H616">
        <f>BDP($B616,"ID_ISIN")</f>
        <v/>
      </c>
      <c r="I616" s="1" t="inlineStr"/>
      <c r="J616">
        <f>BDP($B616,"CNTRY_OF_DOMICILE")</f>
        <v/>
      </c>
      <c r="K616" t="inlineStr">
        <is>
          <t>DBT</t>
        </is>
      </c>
      <c r="L616" t="inlineStr">
        <is>
          <t>CORP</t>
        </is>
      </c>
      <c r="M616" t="inlineStr"/>
      <c r="N616" t="inlineStr"/>
      <c r="O616" s="1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s="1" t="inlineStr"/>
      <c r="AR616" s="1" t="inlineStr"/>
      <c r="AS616" s="1" t="inlineStr"/>
      <c r="AT616">
        <f>TEXT(BDP($B616,"MATURITY"),"yyyy-mm-dd")</f>
        <v/>
      </c>
      <c r="AU616">
        <f>BDP($B616,"CPN_TYP")</f>
        <v/>
      </c>
      <c r="AV616">
        <f>BDP($B616,"CPN")</f>
        <v/>
      </c>
      <c r="AW616" t="inlineStr"/>
      <c r="AX616" t="inlineStr"/>
      <c r="AY616" t="inlineStr"/>
    </row>
    <row r="617">
      <c r="A617" t="inlineStr">
        <is>
          <t>CIVG</t>
        </is>
      </c>
      <c r="B617" t="inlineStr">
        <is>
          <t>172967KA8 Corp</t>
        </is>
      </c>
      <c r="C617" s="1" t="inlineStr">
        <is>
          <t>172967KA8</t>
        </is>
      </c>
      <c r="D617" t="inlineStr">
        <is>
          <t>Citigroup Inc 4.45% 09/29/2027</t>
        </is>
      </c>
      <c r="E617">
        <f>BDP($B617,"LEGAL_ENTITY_IDENTIFIER")</f>
        <v/>
      </c>
      <c r="F617" t="inlineStr">
        <is>
          <t>Citigroup Inc 4.45% 09/29/2027</t>
        </is>
      </c>
      <c r="G617">
        <f>custodian!D617</f>
        <v/>
      </c>
      <c r="H617">
        <f>BDP($B617,"ID_ISIN")</f>
        <v/>
      </c>
      <c r="I617" s="1" t="inlineStr"/>
      <c r="J617">
        <f>BDP($B617,"CNTRY_OF_DOMICILE")</f>
        <v/>
      </c>
      <c r="K617" t="inlineStr">
        <is>
          <t>DBT</t>
        </is>
      </c>
      <c r="L617" t="inlineStr">
        <is>
          <t>CORP</t>
        </is>
      </c>
      <c r="M617" t="inlineStr"/>
      <c r="N617" t="inlineStr"/>
      <c r="O617" s="1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s="1" t="inlineStr"/>
      <c r="AR617" s="1" t="inlineStr"/>
      <c r="AS617" s="1" t="inlineStr"/>
      <c r="AT617">
        <f>TEXT(BDP($B617,"MATURITY"),"yyyy-mm-dd")</f>
        <v/>
      </c>
      <c r="AU617">
        <f>BDP($B617,"CPN_TYP")</f>
        <v/>
      </c>
      <c r="AV617">
        <f>BDP($B617,"CPN")</f>
        <v/>
      </c>
      <c r="AW617" t="inlineStr"/>
      <c r="AX617" t="inlineStr"/>
      <c r="AY617" t="inlineStr"/>
    </row>
    <row r="618">
      <c r="A618" t="inlineStr">
        <is>
          <t>CIVG</t>
        </is>
      </c>
      <c r="B618" t="inlineStr">
        <is>
          <t>172967MP3 Corp</t>
        </is>
      </c>
      <c r="C618" s="1" t="inlineStr">
        <is>
          <t>172967MP3</t>
        </is>
      </c>
      <c r="D618" t="inlineStr">
        <is>
          <t>Citigroup Inc 4.412% 03/31/203</t>
        </is>
      </c>
      <c r="E618">
        <f>BDP($B618,"LEGAL_ENTITY_IDENTIFIER")</f>
        <v/>
      </c>
      <c r="F618" t="inlineStr">
        <is>
          <t>Citigroup Inc 4.412% 03/31/2031</t>
        </is>
      </c>
      <c r="G618">
        <f>custodian!D618</f>
        <v/>
      </c>
      <c r="H618">
        <f>BDP($B618,"ID_ISIN")</f>
        <v/>
      </c>
      <c r="I618" s="1" t="inlineStr"/>
      <c r="J618">
        <f>BDP($B618,"CNTRY_OF_DOMICILE")</f>
        <v/>
      </c>
      <c r="K618" t="inlineStr">
        <is>
          <t>DBT</t>
        </is>
      </c>
      <c r="L618" t="inlineStr">
        <is>
          <t>CORP</t>
        </is>
      </c>
      <c r="M618" t="inlineStr"/>
      <c r="N618" t="inlineStr"/>
      <c r="O618" s="1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s="1" t="inlineStr"/>
      <c r="AR618" s="1" t="inlineStr"/>
      <c r="AS618" s="1" t="inlineStr"/>
      <c r="AT618">
        <f>TEXT(BDP($B618,"MATURITY"),"yyyy-mm-dd")</f>
        <v/>
      </c>
      <c r="AU618">
        <f>BDP($B618,"CPN_TYP")</f>
        <v/>
      </c>
      <c r="AV618">
        <f>BDP($B618,"CPN")</f>
        <v/>
      </c>
      <c r="AW618" t="inlineStr"/>
      <c r="AX618" t="inlineStr"/>
      <c r="AY618" t="inlineStr"/>
    </row>
    <row r="619">
      <c r="A619" t="inlineStr">
        <is>
          <t>CIVG</t>
        </is>
      </c>
      <c r="B619" t="inlineStr">
        <is>
          <t>174610BF1 Corp</t>
        </is>
      </c>
      <c r="C619" s="1" t="inlineStr">
        <is>
          <t>174610BF1</t>
        </is>
      </c>
      <c r="D619" t="inlineStr">
        <is>
          <t>Citizens Financial Group Inc 5</t>
        </is>
      </c>
      <c r="E619">
        <f>BDP($B619,"LEGAL_ENTITY_IDENTIFIER")</f>
        <v/>
      </c>
      <c r="F619" t="inlineStr">
        <is>
          <t>Citizens Financial Group Inc 5.841% 01/23/2030</t>
        </is>
      </c>
      <c r="G619">
        <f>custodian!D619</f>
        <v/>
      </c>
      <c r="H619">
        <f>BDP($B619,"ID_ISIN")</f>
        <v/>
      </c>
      <c r="I619" s="1" t="inlineStr"/>
      <c r="J619">
        <f>BDP($B619,"CNTRY_OF_DOMICILE")</f>
        <v/>
      </c>
      <c r="K619" t="inlineStr">
        <is>
          <t>DBT</t>
        </is>
      </c>
      <c r="L619" t="inlineStr">
        <is>
          <t>CORP</t>
        </is>
      </c>
      <c r="M619" t="inlineStr"/>
      <c r="N619" t="inlineStr"/>
      <c r="O619" s="1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s="1" t="inlineStr"/>
      <c r="AR619" s="1" t="inlineStr"/>
      <c r="AS619" s="1" t="inlineStr"/>
      <c r="AT619">
        <f>TEXT(BDP($B619,"MATURITY"),"yyyy-mm-dd")</f>
        <v/>
      </c>
      <c r="AU619">
        <f>BDP($B619,"CPN_TYP")</f>
        <v/>
      </c>
      <c r="AV619">
        <f>BDP($B619,"CPN")</f>
        <v/>
      </c>
      <c r="AW619" t="inlineStr"/>
      <c r="AX619" t="inlineStr"/>
      <c r="AY619" t="inlineStr"/>
    </row>
    <row r="620">
      <c r="A620" t="inlineStr">
        <is>
          <t>CIVG</t>
        </is>
      </c>
      <c r="B620" t="inlineStr">
        <is>
          <t>200340AT4 Corp</t>
        </is>
      </c>
      <c r="C620" s="1" t="inlineStr">
        <is>
          <t>200340AT4</t>
        </is>
      </c>
      <c r="D620" t="inlineStr">
        <is>
          <t xml:space="preserve">Fifth Third Financial Corp 4% </t>
        </is>
      </c>
      <c r="E620">
        <f>BDP($B620,"LEGAL_ENTITY_IDENTIFIER")</f>
        <v/>
      </c>
      <c r="F620" t="inlineStr">
        <is>
          <t>Fifth Third Financial Corp 4% 02/01/2029</t>
        </is>
      </c>
      <c r="G620">
        <f>custodian!D620</f>
        <v/>
      </c>
      <c r="H620">
        <f>BDP($B620,"ID_ISIN")</f>
        <v/>
      </c>
      <c r="I620" s="1" t="inlineStr"/>
      <c r="J620">
        <f>BDP($B620,"CNTRY_OF_DOMICILE")</f>
        <v/>
      </c>
      <c r="K620" t="inlineStr">
        <is>
          <t>DBT</t>
        </is>
      </c>
      <c r="L620" t="inlineStr">
        <is>
          <t>CORP</t>
        </is>
      </c>
      <c r="M620" t="inlineStr"/>
      <c r="N620" t="inlineStr"/>
      <c r="O620" s="1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s="1" t="inlineStr"/>
      <c r="AR620" s="1" t="inlineStr"/>
      <c r="AS620" s="1" t="inlineStr"/>
      <c r="AT620">
        <f>TEXT(BDP($B620,"MATURITY"),"yyyy-mm-dd")</f>
        <v/>
      </c>
      <c r="AU620">
        <f>BDP($B620,"CPN_TYP")</f>
        <v/>
      </c>
      <c r="AV620">
        <f>BDP($B620,"CPN")</f>
        <v/>
      </c>
      <c r="AW620" t="inlineStr"/>
      <c r="AX620" t="inlineStr"/>
      <c r="AY620" t="inlineStr"/>
    </row>
    <row r="621">
      <c r="A621" t="inlineStr">
        <is>
          <t>CIVG</t>
        </is>
      </c>
      <c r="B621" t="inlineStr">
        <is>
          <t>205887CC4 Corp</t>
        </is>
      </c>
      <c r="C621" s="1" t="inlineStr">
        <is>
          <t>205887CC4</t>
        </is>
      </c>
      <c r="D621" t="inlineStr">
        <is>
          <t>Conagra Brands Inc 4.85% 11/01</t>
        </is>
      </c>
      <c r="E621">
        <f>BDP($B621,"LEGAL_ENTITY_IDENTIFIER")</f>
        <v/>
      </c>
      <c r="F621" t="inlineStr">
        <is>
          <t>Conagra Brands Inc 4.85% 11/01/2028</t>
        </is>
      </c>
      <c r="G621">
        <f>custodian!D621</f>
        <v/>
      </c>
      <c r="H621">
        <f>BDP($B621,"ID_ISIN")</f>
        <v/>
      </c>
      <c r="I621" s="1" t="inlineStr"/>
      <c r="J621">
        <f>BDP($B621,"CNTRY_OF_DOMICILE")</f>
        <v/>
      </c>
      <c r="K621" t="inlineStr">
        <is>
          <t>DBT</t>
        </is>
      </c>
      <c r="L621" t="inlineStr">
        <is>
          <t>CORP</t>
        </is>
      </c>
      <c r="M621" t="inlineStr"/>
      <c r="N621" t="inlineStr"/>
      <c r="O621" s="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s="1" t="inlineStr"/>
      <c r="AR621" s="1" t="inlineStr"/>
      <c r="AS621" s="1" t="inlineStr"/>
      <c r="AT621">
        <f>TEXT(BDP($B621,"MATURITY"),"yyyy-mm-dd")</f>
        <v/>
      </c>
      <c r="AU621">
        <f>BDP($B621,"CPN_TYP")</f>
        <v/>
      </c>
      <c r="AV621">
        <f>BDP($B621,"CPN")</f>
        <v/>
      </c>
      <c r="AW621" t="inlineStr"/>
      <c r="AX621" t="inlineStr"/>
      <c r="AY621" t="inlineStr"/>
    </row>
    <row r="622">
      <c r="A622" t="inlineStr">
        <is>
          <t>CIVG</t>
        </is>
      </c>
      <c r="B622" t="inlineStr">
        <is>
          <t>225401AP3 Corp</t>
        </is>
      </c>
      <c r="C622" s="1" t="inlineStr">
        <is>
          <t>225401AP3</t>
        </is>
      </c>
      <c r="D622" t="inlineStr">
        <is>
          <t>UBS Group AG 4.194% 04/01/2031</t>
        </is>
      </c>
      <c r="E622">
        <f>BDP($B622,"LEGAL_ENTITY_IDENTIFIER")</f>
        <v/>
      </c>
      <c r="F622" t="inlineStr">
        <is>
          <t>UBS Group AG 4.194% 04/01/2031</t>
        </is>
      </c>
      <c r="G622">
        <f>custodian!D622</f>
        <v/>
      </c>
      <c r="H622">
        <f>BDP($B622,"ID_ISIN")</f>
        <v/>
      </c>
      <c r="I622" s="1" t="inlineStr"/>
      <c r="J622">
        <f>BDP($B622,"CNTRY_OF_DOMICILE")</f>
        <v/>
      </c>
      <c r="K622" t="inlineStr">
        <is>
          <t>DBT</t>
        </is>
      </c>
      <c r="L622" t="inlineStr">
        <is>
          <t>CORP</t>
        </is>
      </c>
      <c r="M622" t="inlineStr"/>
      <c r="N622" t="inlineStr"/>
      <c r="O622" s="1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s="1" t="inlineStr"/>
      <c r="AR622" s="1" t="inlineStr"/>
      <c r="AS622" s="1" t="inlineStr"/>
      <c r="AT622">
        <f>TEXT(BDP($B622,"MATURITY"),"yyyy-mm-dd")</f>
        <v/>
      </c>
      <c r="AU622">
        <f>BDP($B622,"CPN_TYP")</f>
        <v/>
      </c>
      <c r="AV622">
        <f>BDP($B622,"CPN")</f>
        <v/>
      </c>
      <c r="AW622" t="inlineStr"/>
      <c r="AX622" t="inlineStr"/>
      <c r="AY622" t="inlineStr"/>
    </row>
    <row r="623">
      <c r="A623" t="inlineStr">
        <is>
          <t>CIVG</t>
        </is>
      </c>
      <c r="B623" t="inlineStr">
        <is>
          <t>22822VAK7 Corp</t>
        </is>
      </c>
      <c r="C623" s="1" t="inlineStr">
        <is>
          <t>22822VAK7</t>
        </is>
      </c>
      <c r="D623" t="inlineStr">
        <is>
          <t>Crown Castle Inc 3.8% 02/15/20</t>
        </is>
      </c>
      <c r="E623">
        <f>BDP($B623,"LEGAL_ENTITY_IDENTIFIER")</f>
        <v/>
      </c>
      <c r="F623" t="inlineStr">
        <is>
          <t>Crown Castle Inc 3.8% 02/15/2028</t>
        </is>
      </c>
      <c r="G623">
        <f>custodian!D623</f>
        <v/>
      </c>
      <c r="H623">
        <f>BDP($B623,"ID_ISIN")</f>
        <v/>
      </c>
      <c r="I623" s="1" t="inlineStr"/>
      <c r="J623">
        <f>BDP($B623,"CNTRY_OF_DOMICILE")</f>
        <v/>
      </c>
      <c r="K623" t="inlineStr">
        <is>
          <t>DBT</t>
        </is>
      </c>
      <c r="L623" t="inlineStr">
        <is>
          <t>CORP</t>
        </is>
      </c>
      <c r="M623" t="inlineStr"/>
      <c r="N623" t="inlineStr"/>
      <c r="O623" s="1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s="1" t="inlineStr"/>
      <c r="AR623" s="1" t="inlineStr"/>
      <c r="AS623" s="1" t="inlineStr"/>
      <c r="AT623">
        <f>TEXT(BDP($B623,"MATURITY"),"yyyy-mm-dd")</f>
        <v/>
      </c>
      <c r="AU623">
        <f>BDP($B623,"CPN_TYP")</f>
        <v/>
      </c>
      <c r="AV623">
        <f>BDP($B623,"CPN")</f>
        <v/>
      </c>
      <c r="AW623" t="inlineStr"/>
      <c r="AX623" t="inlineStr"/>
      <c r="AY623" t="inlineStr"/>
    </row>
    <row r="624">
      <c r="A624" t="inlineStr">
        <is>
          <t>CIVG</t>
        </is>
      </c>
      <c r="B624" t="inlineStr">
        <is>
          <t>233331BK2 Corp</t>
        </is>
      </c>
      <c r="C624" s="1" t="inlineStr">
        <is>
          <t>233331BK2</t>
        </is>
      </c>
      <c r="D624" t="inlineStr">
        <is>
          <t>DTE Energy Co 5.1% 03/01/2029</t>
        </is>
      </c>
      <c r="E624">
        <f>BDP($B624,"LEGAL_ENTITY_IDENTIFIER")</f>
        <v/>
      </c>
      <c r="F624" t="inlineStr">
        <is>
          <t>DTE Energy Co 5.1% 03/01/2029</t>
        </is>
      </c>
      <c r="G624">
        <f>custodian!D624</f>
        <v/>
      </c>
      <c r="H624">
        <f>BDP($B624,"ID_ISIN")</f>
        <v/>
      </c>
      <c r="I624" s="1" t="inlineStr"/>
      <c r="J624">
        <f>BDP($B624,"CNTRY_OF_DOMICILE")</f>
        <v/>
      </c>
      <c r="K624" t="inlineStr">
        <is>
          <t>DBT</t>
        </is>
      </c>
      <c r="L624" t="inlineStr">
        <is>
          <t>CORP</t>
        </is>
      </c>
      <c r="M624" t="inlineStr"/>
      <c r="N624" t="inlineStr"/>
      <c r="O624" s="1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s="1" t="inlineStr"/>
      <c r="AR624" s="1" t="inlineStr"/>
      <c r="AS624" s="1" t="inlineStr"/>
      <c r="AT624">
        <f>TEXT(BDP($B624,"MATURITY"),"yyyy-mm-dd")</f>
        <v/>
      </c>
      <c r="AU624">
        <f>BDP($B624,"CPN_TYP")</f>
        <v/>
      </c>
      <c r="AV624">
        <f>BDP($B624,"CPN")</f>
        <v/>
      </c>
      <c r="AW624" t="inlineStr"/>
      <c r="AX624" t="inlineStr"/>
      <c r="AY624" t="inlineStr"/>
    </row>
    <row r="625">
      <c r="A625" t="inlineStr">
        <is>
          <t>CIVG</t>
        </is>
      </c>
      <c r="B625" t="inlineStr">
        <is>
          <t>24422EWR6 Corp</t>
        </is>
      </c>
      <c r="C625" s="1" t="inlineStr">
        <is>
          <t>24422EWR6</t>
        </is>
      </c>
      <c r="D625" t="inlineStr">
        <is>
          <t xml:space="preserve">John Deere Capital Corp 4.75% </t>
        </is>
      </c>
      <c r="E625">
        <f>BDP($B625,"LEGAL_ENTITY_IDENTIFIER")</f>
        <v/>
      </c>
      <c r="F625" t="inlineStr">
        <is>
          <t>John Deere Capital Corp 4.75% 01/20/2028</t>
        </is>
      </c>
      <c r="G625">
        <f>custodian!D625</f>
        <v/>
      </c>
      <c r="H625">
        <f>BDP($B625,"ID_ISIN")</f>
        <v/>
      </c>
      <c r="I625" s="1" t="inlineStr"/>
      <c r="J625">
        <f>BDP($B625,"CNTRY_OF_DOMICILE")</f>
        <v/>
      </c>
      <c r="K625" t="inlineStr">
        <is>
          <t>DBT</t>
        </is>
      </c>
      <c r="L625" t="inlineStr">
        <is>
          <t>CORP</t>
        </is>
      </c>
      <c r="M625" t="inlineStr"/>
      <c r="N625" t="inlineStr"/>
      <c r="O625" s="1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s="1" t="inlineStr"/>
      <c r="AR625" s="1" t="inlineStr"/>
      <c r="AS625" s="1" t="inlineStr"/>
      <c r="AT625">
        <f>TEXT(BDP($B625,"MATURITY"),"yyyy-mm-dd")</f>
        <v/>
      </c>
      <c r="AU625">
        <f>BDP($B625,"CPN_TYP")</f>
        <v/>
      </c>
      <c r="AV625">
        <f>BDP($B625,"CPN")</f>
        <v/>
      </c>
      <c r="AW625" t="inlineStr"/>
      <c r="AX625" t="inlineStr"/>
      <c r="AY625" t="inlineStr"/>
    </row>
    <row r="626">
      <c r="A626" t="inlineStr">
        <is>
          <t>CIVG</t>
        </is>
      </c>
      <c r="B626" t="inlineStr">
        <is>
          <t>251526CU1 Corp</t>
        </is>
      </c>
      <c r="C626" s="1" t="inlineStr">
        <is>
          <t>251526CU1</t>
        </is>
      </c>
      <c r="D626" t="inlineStr">
        <is>
          <t>Deutsche Bank AG/New York NY 6</t>
        </is>
      </c>
      <c r="E626">
        <f>BDP($B626,"LEGAL_ENTITY_IDENTIFIER")</f>
        <v/>
      </c>
      <c r="F626" t="inlineStr">
        <is>
          <t>Deutsche Bank AG/New York NY 6.819% 11/20/2029</t>
        </is>
      </c>
      <c r="G626">
        <f>custodian!D626</f>
        <v/>
      </c>
      <c r="H626">
        <f>BDP($B626,"ID_ISIN")</f>
        <v/>
      </c>
      <c r="I626" s="1" t="inlineStr"/>
      <c r="J626">
        <f>BDP($B626,"CNTRY_OF_DOMICILE")</f>
        <v/>
      </c>
      <c r="K626" t="inlineStr">
        <is>
          <t>DBT</t>
        </is>
      </c>
      <c r="L626" t="inlineStr">
        <is>
          <t>CORP</t>
        </is>
      </c>
      <c r="M626" t="inlineStr"/>
      <c r="N626" t="inlineStr"/>
      <c r="O626" s="1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s="1" t="inlineStr"/>
      <c r="AR626" s="1" t="inlineStr"/>
      <c r="AS626" s="1" t="inlineStr"/>
      <c r="AT626">
        <f>TEXT(BDP($B626,"MATURITY"),"yyyy-mm-dd")</f>
        <v/>
      </c>
      <c r="AU626">
        <f>BDP($B626,"CPN_TYP")</f>
        <v/>
      </c>
      <c r="AV626">
        <f>BDP($B626,"CPN")</f>
        <v/>
      </c>
      <c r="AW626" t="inlineStr"/>
      <c r="AX626" t="inlineStr"/>
      <c r="AY626" t="inlineStr"/>
    </row>
    <row r="627">
      <c r="A627" t="inlineStr">
        <is>
          <t>CIVG</t>
        </is>
      </c>
      <c r="B627" t="inlineStr">
        <is>
          <t>254687FX9 Corp</t>
        </is>
      </c>
      <c r="C627" s="1" t="inlineStr">
        <is>
          <t>254687FX9</t>
        </is>
      </c>
      <c r="D627" t="inlineStr">
        <is>
          <t>Walt Disney Co/The 2.65% 01/13</t>
        </is>
      </c>
      <c r="E627">
        <f>BDP($B627,"LEGAL_ENTITY_IDENTIFIER")</f>
        <v/>
      </c>
      <c r="F627" t="inlineStr">
        <is>
          <t>Walt Disney Co/The 2.65% 01/13/2031</t>
        </is>
      </c>
      <c r="G627">
        <f>custodian!D627</f>
        <v/>
      </c>
      <c r="H627">
        <f>BDP($B627,"ID_ISIN")</f>
        <v/>
      </c>
      <c r="I627" s="1" t="inlineStr"/>
      <c r="J627">
        <f>BDP($B627,"CNTRY_OF_DOMICILE")</f>
        <v/>
      </c>
      <c r="K627" t="inlineStr">
        <is>
          <t>DBT</t>
        </is>
      </c>
      <c r="L627" t="inlineStr">
        <is>
          <t>CORP</t>
        </is>
      </c>
      <c r="M627" t="inlineStr"/>
      <c r="N627" t="inlineStr"/>
      <c r="O627" s="1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s="1" t="inlineStr"/>
      <c r="AR627" s="1" t="inlineStr"/>
      <c r="AS627" s="1" t="inlineStr"/>
      <c r="AT627">
        <f>TEXT(BDP($B627,"MATURITY"),"yyyy-mm-dd")</f>
        <v/>
      </c>
      <c r="AU627">
        <f>BDP($B627,"CPN_TYP")</f>
        <v/>
      </c>
      <c r="AV627">
        <f>BDP($B627,"CPN")</f>
        <v/>
      </c>
      <c r="AW627" t="inlineStr"/>
      <c r="AX627" t="inlineStr"/>
      <c r="AY627" t="inlineStr"/>
    </row>
    <row r="628">
      <c r="A628" t="inlineStr">
        <is>
          <t>CIVG</t>
        </is>
      </c>
      <c r="B628" t="inlineStr">
        <is>
          <t>256677AG0 Corp</t>
        </is>
      </c>
      <c r="C628" s="1" t="inlineStr">
        <is>
          <t>256677AG0</t>
        </is>
      </c>
      <c r="D628" t="inlineStr">
        <is>
          <t>Dollar General Corp 3.5% 04/03</t>
        </is>
      </c>
      <c r="E628">
        <f>BDP($B628,"LEGAL_ENTITY_IDENTIFIER")</f>
        <v/>
      </c>
      <c r="F628" t="inlineStr">
        <is>
          <t>Dollar General Corp 3.5% 04/03/2030</t>
        </is>
      </c>
      <c r="G628">
        <f>custodian!D628</f>
        <v/>
      </c>
      <c r="H628">
        <f>BDP($B628,"ID_ISIN")</f>
        <v/>
      </c>
      <c r="I628" s="1" t="inlineStr"/>
      <c r="J628">
        <f>BDP($B628,"CNTRY_OF_DOMICILE")</f>
        <v/>
      </c>
      <c r="K628" t="inlineStr">
        <is>
          <t>DBT</t>
        </is>
      </c>
      <c r="L628" t="inlineStr">
        <is>
          <t>CORP</t>
        </is>
      </c>
      <c r="M628" t="inlineStr"/>
      <c r="N628" t="inlineStr"/>
      <c r="O628" s="1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s="1" t="inlineStr"/>
      <c r="AR628" s="1" t="inlineStr"/>
      <c r="AS628" s="1" t="inlineStr"/>
      <c r="AT628">
        <f>TEXT(BDP($B628,"MATURITY"),"yyyy-mm-dd")</f>
        <v/>
      </c>
      <c r="AU628">
        <f>BDP($B628,"CPN_TYP")</f>
        <v/>
      </c>
      <c r="AV628">
        <f>BDP($B628,"CPN")</f>
        <v/>
      </c>
      <c r="AW628" t="inlineStr"/>
      <c r="AX628" t="inlineStr"/>
      <c r="AY628" t="inlineStr"/>
    </row>
    <row r="629">
      <c r="A629" t="inlineStr">
        <is>
          <t>CIVG</t>
        </is>
      </c>
      <c r="B629" t="inlineStr">
        <is>
          <t>256746AH1 Corp</t>
        </is>
      </c>
      <c r="C629" s="1" t="inlineStr">
        <is>
          <t>256746AH1</t>
        </is>
      </c>
      <c r="D629" t="inlineStr">
        <is>
          <t>Dollar Tree Inc 4.2% 05/15/202</t>
        </is>
      </c>
      <c r="E629">
        <f>BDP($B629,"LEGAL_ENTITY_IDENTIFIER")</f>
        <v/>
      </c>
      <c r="F629" t="inlineStr">
        <is>
          <t>Dollar Tree Inc 4.2% 05/15/2028</t>
        </is>
      </c>
      <c r="G629">
        <f>custodian!D629</f>
        <v/>
      </c>
      <c r="H629">
        <f>BDP($B629,"ID_ISIN")</f>
        <v/>
      </c>
      <c r="I629" s="1" t="inlineStr"/>
      <c r="J629">
        <f>BDP($B629,"CNTRY_OF_DOMICILE")</f>
        <v/>
      </c>
      <c r="K629" t="inlineStr">
        <is>
          <t>DBT</t>
        </is>
      </c>
      <c r="L629" t="inlineStr">
        <is>
          <t>CORP</t>
        </is>
      </c>
      <c r="M629" t="inlineStr"/>
      <c r="N629" t="inlineStr"/>
      <c r="O629" s="1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s="1" t="inlineStr"/>
      <c r="AR629" s="1" t="inlineStr"/>
      <c r="AS629" s="1" t="inlineStr"/>
      <c r="AT629">
        <f>TEXT(BDP($B629,"MATURITY"),"yyyy-mm-dd")</f>
        <v/>
      </c>
      <c r="AU629">
        <f>BDP($B629,"CPN_TYP")</f>
        <v/>
      </c>
      <c r="AV629">
        <f>BDP($B629,"CPN")</f>
        <v/>
      </c>
      <c r="AW629" t="inlineStr"/>
      <c r="AX629" t="inlineStr"/>
      <c r="AY629" t="inlineStr"/>
    </row>
    <row r="630">
      <c r="A630" t="inlineStr">
        <is>
          <t>CIVG</t>
        </is>
      </c>
      <c r="B630" t="inlineStr">
        <is>
          <t>26442CAX2 Corp</t>
        </is>
      </c>
      <c r="C630" s="1" t="inlineStr">
        <is>
          <t>26442CAX2</t>
        </is>
      </c>
      <c r="D630" t="inlineStr">
        <is>
          <t>Duke Energy Carolinas LLC 3.95</t>
        </is>
      </c>
      <c r="E630">
        <f>BDP($B630,"LEGAL_ENTITY_IDENTIFIER")</f>
        <v/>
      </c>
      <c r="F630" t="inlineStr">
        <is>
          <t>Duke Energy Carolinas LLC 3.95% 11/15/2028</t>
        </is>
      </c>
      <c r="G630">
        <f>custodian!D630</f>
        <v/>
      </c>
      <c r="H630">
        <f>BDP($B630,"ID_ISIN")</f>
        <v/>
      </c>
      <c r="I630" s="1" t="inlineStr"/>
      <c r="J630">
        <f>BDP($B630,"CNTRY_OF_DOMICILE")</f>
        <v/>
      </c>
      <c r="K630" t="inlineStr">
        <is>
          <t>DBT</t>
        </is>
      </c>
      <c r="L630" t="inlineStr">
        <is>
          <t>CORP</t>
        </is>
      </c>
      <c r="M630" t="inlineStr"/>
      <c r="N630" t="inlineStr"/>
      <c r="O630" s="1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s="1" t="inlineStr"/>
      <c r="AR630" s="1" t="inlineStr"/>
      <c r="AS630" s="1" t="inlineStr"/>
      <c r="AT630">
        <f>TEXT(BDP($B630,"MATURITY"),"yyyy-mm-dd")</f>
        <v/>
      </c>
      <c r="AU630">
        <f>BDP($B630,"CPN_TYP")</f>
        <v/>
      </c>
      <c r="AV630">
        <f>BDP($B630,"CPN")</f>
        <v/>
      </c>
      <c r="AW630" t="inlineStr"/>
      <c r="AX630" t="inlineStr"/>
      <c r="AY630" t="inlineStr"/>
    </row>
    <row r="631">
      <c r="A631" t="inlineStr">
        <is>
          <t>CIVG</t>
        </is>
      </c>
      <c r="B631" t="inlineStr">
        <is>
          <t>26884LBD0 Corp</t>
        </is>
      </c>
      <c r="C631" s="1" t="inlineStr">
        <is>
          <t>26884LBD0</t>
        </is>
      </c>
      <c r="D631" t="inlineStr">
        <is>
          <t>EQT Corp 4.75% 01/15/2031</t>
        </is>
      </c>
      <c r="E631">
        <f>BDP($B631,"LEGAL_ENTITY_IDENTIFIER")</f>
        <v/>
      </c>
      <c r="F631" t="inlineStr">
        <is>
          <t>EQT Corp 4.75% 01/15/2031</t>
        </is>
      </c>
      <c r="G631">
        <f>custodian!D631</f>
        <v/>
      </c>
      <c r="H631">
        <f>BDP($B631,"ID_ISIN")</f>
        <v/>
      </c>
      <c r="I631" s="1" t="inlineStr"/>
      <c r="J631">
        <f>BDP($B631,"CNTRY_OF_DOMICILE")</f>
        <v/>
      </c>
      <c r="K631" t="inlineStr">
        <is>
          <t>DBT</t>
        </is>
      </c>
      <c r="L631" t="inlineStr">
        <is>
          <t>CORP</t>
        </is>
      </c>
      <c r="M631" t="inlineStr"/>
      <c r="N631" t="inlineStr"/>
      <c r="O631" s="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s="1" t="inlineStr"/>
      <c r="AR631" s="1" t="inlineStr"/>
      <c r="AS631" s="1" t="inlineStr"/>
      <c r="AT631">
        <f>TEXT(BDP($B631,"MATURITY"),"yyyy-mm-dd")</f>
        <v/>
      </c>
      <c r="AU631">
        <f>BDP($B631,"CPN_TYP")</f>
        <v/>
      </c>
      <c r="AV631">
        <f>BDP($B631,"CPN")</f>
        <v/>
      </c>
      <c r="AW631" t="inlineStr"/>
      <c r="AX631" t="inlineStr"/>
      <c r="AY631" t="inlineStr"/>
    </row>
    <row r="632">
      <c r="A632" t="inlineStr">
        <is>
          <t>CIVG</t>
        </is>
      </c>
      <c r="B632" t="inlineStr">
        <is>
          <t>277432AZ3 Corp</t>
        </is>
      </c>
      <c r="C632" s="1" t="inlineStr">
        <is>
          <t>277432AZ3</t>
        </is>
      </c>
      <c r="D632" t="inlineStr">
        <is>
          <t>Eastman Chemical Co 5% 08/01/2</t>
        </is>
      </c>
      <c r="E632">
        <f>BDP($B632,"LEGAL_ENTITY_IDENTIFIER")</f>
        <v/>
      </c>
      <c r="F632" t="inlineStr">
        <is>
          <t>Eastman Chemical Co 5% 08/01/2029</t>
        </is>
      </c>
      <c r="G632">
        <f>custodian!D632</f>
        <v/>
      </c>
      <c r="H632">
        <f>BDP($B632,"ID_ISIN")</f>
        <v/>
      </c>
      <c r="I632" s="1" t="inlineStr"/>
      <c r="J632">
        <f>BDP($B632,"CNTRY_OF_DOMICILE")</f>
        <v/>
      </c>
      <c r="K632" t="inlineStr">
        <is>
          <t>DBT</t>
        </is>
      </c>
      <c r="L632" t="inlineStr">
        <is>
          <t>CORP</t>
        </is>
      </c>
      <c r="M632" t="inlineStr"/>
      <c r="N632" t="inlineStr"/>
      <c r="O632" s="1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s="1" t="inlineStr"/>
      <c r="AR632" s="1" t="inlineStr"/>
      <c r="AS632" s="1" t="inlineStr"/>
      <c r="AT632">
        <f>TEXT(BDP($B632,"MATURITY"),"yyyy-mm-dd")</f>
        <v/>
      </c>
      <c r="AU632">
        <f>BDP($B632,"CPN_TYP")</f>
        <v/>
      </c>
      <c r="AV632">
        <f>BDP($B632,"CPN")</f>
        <v/>
      </c>
      <c r="AW632" t="inlineStr"/>
      <c r="AX632" t="inlineStr"/>
      <c r="AY632" t="inlineStr"/>
    </row>
    <row r="633">
      <c r="A633" t="inlineStr">
        <is>
          <t>CIVG</t>
        </is>
      </c>
      <c r="B633" t="inlineStr">
        <is>
          <t>278058DW9 Corp</t>
        </is>
      </c>
      <c r="C633" s="1" t="inlineStr">
        <is>
          <t>278058DW9</t>
        </is>
      </c>
      <c r="D633" t="inlineStr">
        <is>
          <t>Eaton Corp 3.95% 03/06/2029</t>
        </is>
      </c>
      <c r="E633">
        <f>BDP($B633,"LEGAL_ENTITY_IDENTIFIER")</f>
        <v/>
      </c>
      <c r="F633" t="inlineStr">
        <is>
          <t>Eaton Corp 3.95% 03/06/2029</t>
        </is>
      </c>
      <c r="G633">
        <f>custodian!D633</f>
        <v/>
      </c>
      <c r="H633">
        <f>BDP($B633,"ID_ISIN")</f>
        <v/>
      </c>
      <c r="I633" s="1" t="inlineStr"/>
      <c r="J633">
        <f>BDP($B633,"CNTRY_OF_DOMICILE")</f>
        <v/>
      </c>
      <c r="K633" t="inlineStr">
        <is>
          <t>DBT</t>
        </is>
      </c>
      <c r="L633" t="inlineStr">
        <is>
          <t>CORP</t>
        </is>
      </c>
      <c r="M633" t="inlineStr"/>
      <c r="N633" t="inlineStr"/>
      <c r="O633" s="1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s="1" t="inlineStr"/>
      <c r="AR633" s="1" t="inlineStr"/>
      <c r="AS633" s="1" t="inlineStr"/>
      <c r="AT633">
        <f>TEXT(BDP($B633,"MATURITY"),"yyyy-mm-dd")</f>
        <v/>
      </c>
      <c r="AU633">
        <f>BDP($B633,"CPN_TYP")</f>
        <v/>
      </c>
      <c r="AV633">
        <f>BDP($B633,"CPN")</f>
        <v/>
      </c>
      <c r="AW633" t="inlineStr"/>
      <c r="AX633" t="inlineStr"/>
      <c r="AY633" t="inlineStr"/>
    </row>
    <row r="634">
      <c r="A634" t="inlineStr">
        <is>
          <t>CIVG</t>
        </is>
      </c>
      <c r="B634" t="inlineStr">
        <is>
          <t>278642AW3 Corp</t>
        </is>
      </c>
      <c r="C634" s="1" t="inlineStr">
        <is>
          <t>278642AW3</t>
        </is>
      </c>
      <c r="D634" t="inlineStr">
        <is>
          <t>eBay Inc 2.7% 03/11/2030</t>
        </is>
      </c>
      <c r="E634">
        <f>BDP($B634,"LEGAL_ENTITY_IDENTIFIER")</f>
        <v/>
      </c>
      <c r="F634" t="inlineStr">
        <is>
          <t>eBay Inc 2.7% 03/11/2030</t>
        </is>
      </c>
      <c r="G634">
        <f>custodian!D634</f>
        <v/>
      </c>
      <c r="H634">
        <f>BDP($B634,"ID_ISIN")</f>
        <v/>
      </c>
      <c r="I634" s="1" t="inlineStr"/>
      <c r="J634">
        <f>BDP($B634,"CNTRY_OF_DOMICILE")</f>
        <v/>
      </c>
      <c r="K634" t="inlineStr">
        <is>
          <t>DBT</t>
        </is>
      </c>
      <c r="L634" t="inlineStr">
        <is>
          <t>CORP</t>
        </is>
      </c>
      <c r="M634" t="inlineStr"/>
      <c r="N634" t="inlineStr"/>
      <c r="O634" s="1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s="1" t="inlineStr"/>
      <c r="AR634" s="1" t="inlineStr"/>
      <c r="AS634" s="1" t="inlineStr"/>
      <c r="AT634">
        <f>TEXT(BDP($B634,"MATURITY"),"yyyy-mm-dd")</f>
        <v/>
      </c>
      <c r="AU634">
        <f>BDP($B634,"CPN_TYP")</f>
        <v/>
      </c>
      <c r="AV634">
        <f>BDP($B634,"CPN")</f>
        <v/>
      </c>
      <c r="AW634" t="inlineStr"/>
      <c r="AX634" t="inlineStr"/>
      <c r="AY634" t="inlineStr"/>
    </row>
    <row r="635">
      <c r="A635" t="inlineStr">
        <is>
          <t>CIVG</t>
        </is>
      </c>
      <c r="B635" t="inlineStr">
        <is>
          <t>29249EAA7 Corp</t>
        </is>
      </c>
      <c r="C635" s="1" t="inlineStr">
        <is>
          <t>29249EAA7</t>
        </is>
      </c>
      <c r="D635" t="inlineStr">
        <is>
          <t>Enact Holdings Inc 6.25% 05/28</t>
        </is>
      </c>
      <c r="E635">
        <f>BDP($B635,"LEGAL_ENTITY_IDENTIFIER")</f>
        <v/>
      </c>
      <c r="F635" t="inlineStr">
        <is>
          <t>Enact Holdings Inc 6.25% 05/28/2029</t>
        </is>
      </c>
      <c r="G635">
        <f>custodian!D635</f>
        <v/>
      </c>
      <c r="H635">
        <f>BDP($B635,"ID_ISIN")</f>
        <v/>
      </c>
      <c r="I635" s="1" t="inlineStr"/>
      <c r="J635">
        <f>BDP($B635,"CNTRY_OF_DOMICILE")</f>
        <v/>
      </c>
      <c r="K635" t="inlineStr">
        <is>
          <t>DBT</t>
        </is>
      </c>
      <c r="L635" t="inlineStr">
        <is>
          <t>CORP</t>
        </is>
      </c>
      <c r="M635" t="inlineStr"/>
      <c r="N635" t="inlineStr"/>
      <c r="O635" s="1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s="1" t="inlineStr"/>
      <c r="AR635" s="1" t="inlineStr"/>
      <c r="AS635" s="1" t="inlineStr"/>
      <c r="AT635">
        <f>TEXT(BDP($B635,"MATURITY"),"yyyy-mm-dd")</f>
        <v/>
      </c>
      <c r="AU635">
        <f>BDP($B635,"CPN_TYP")</f>
        <v/>
      </c>
      <c r="AV635">
        <f>BDP($B635,"CPN")</f>
        <v/>
      </c>
      <c r="AW635" t="inlineStr"/>
      <c r="AX635" t="inlineStr"/>
      <c r="AY635" t="inlineStr"/>
    </row>
    <row r="636">
      <c r="A636" t="inlineStr">
        <is>
          <t>CIVG</t>
        </is>
      </c>
      <c r="B636" t="inlineStr">
        <is>
          <t>29278DAA3 Corp</t>
        </is>
      </c>
      <c r="C636" s="1" t="inlineStr">
        <is>
          <t>29278DAA3</t>
        </is>
      </c>
      <c r="D636" t="inlineStr">
        <is>
          <t>Enel Chile SA 4.875% 06/12/202</t>
        </is>
      </c>
      <c r="E636">
        <f>BDP($B636,"LEGAL_ENTITY_IDENTIFIER")</f>
        <v/>
      </c>
      <c r="F636" t="inlineStr">
        <is>
          <t>Enel Chile SA 4.875% 06/12/2028</t>
        </is>
      </c>
      <c r="G636">
        <f>custodian!D636</f>
        <v/>
      </c>
      <c r="H636">
        <f>BDP($B636,"ID_ISIN")</f>
        <v/>
      </c>
      <c r="I636" s="1" t="inlineStr"/>
      <c r="J636">
        <f>BDP($B636,"CNTRY_OF_DOMICILE")</f>
        <v/>
      </c>
      <c r="K636" t="inlineStr">
        <is>
          <t>DBT</t>
        </is>
      </c>
      <c r="L636" t="inlineStr">
        <is>
          <t>CORP</t>
        </is>
      </c>
      <c r="M636" t="inlineStr"/>
      <c r="N636" t="inlineStr"/>
      <c r="O636" s="1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s="1" t="inlineStr"/>
      <c r="AR636" s="1" t="inlineStr"/>
      <c r="AS636" s="1" t="inlineStr"/>
      <c r="AT636">
        <f>TEXT(BDP($B636,"MATURITY"),"yyyy-mm-dd")</f>
        <v/>
      </c>
      <c r="AU636">
        <f>BDP($B636,"CPN_TYP")</f>
        <v/>
      </c>
      <c r="AV636">
        <f>BDP($B636,"CPN")</f>
        <v/>
      </c>
      <c r="AW636" t="inlineStr"/>
      <c r="AX636" t="inlineStr"/>
      <c r="AY636" t="inlineStr"/>
    </row>
    <row r="637">
      <c r="A637" t="inlineStr">
        <is>
          <t>CIVG</t>
        </is>
      </c>
      <c r="B637" t="inlineStr">
        <is>
          <t>29278NAG8 Corp</t>
        </is>
      </c>
      <c r="C637" s="1" t="inlineStr">
        <is>
          <t>29278NAG8</t>
        </is>
      </c>
      <c r="D637" t="inlineStr">
        <is>
          <t>Energy Transfer LP 5.25% 04/15</t>
        </is>
      </c>
      <c r="E637">
        <f>BDP($B637,"LEGAL_ENTITY_IDENTIFIER")</f>
        <v/>
      </c>
      <c r="F637" t="inlineStr">
        <is>
          <t>Energy Transfer LP 5.25% 04/15/2029</t>
        </is>
      </c>
      <c r="G637">
        <f>custodian!D637</f>
        <v/>
      </c>
      <c r="H637">
        <f>BDP($B637,"ID_ISIN")</f>
        <v/>
      </c>
      <c r="I637" s="1" t="inlineStr"/>
      <c r="J637">
        <f>BDP($B637,"CNTRY_OF_DOMICILE")</f>
        <v/>
      </c>
      <c r="K637" t="inlineStr">
        <is>
          <t>DBT</t>
        </is>
      </c>
      <c r="L637" t="inlineStr">
        <is>
          <t>CORP</t>
        </is>
      </c>
      <c r="M637" t="inlineStr"/>
      <c r="N637" t="inlineStr"/>
      <c r="O637" s="1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s="1" t="inlineStr"/>
      <c r="AR637" s="1" t="inlineStr"/>
      <c r="AS637" s="1" t="inlineStr"/>
      <c r="AT637">
        <f>TEXT(BDP($B637,"MATURITY"),"yyyy-mm-dd")</f>
        <v/>
      </c>
      <c r="AU637">
        <f>BDP($B637,"CPN_TYP")</f>
        <v/>
      </c>
      <c r="AV637">
        <f>BDP($B637,"CPN")</f>
        <v/>
      </c>
      <c r="AW637" t="inlineStr"/>
      <c r="AX637" t="inlineStr"/>
      <c r="AY637" t="inlineStr"/>
    </row>
    <row r="638">
      <c r="A638" t="inlineStr">
        <is>
          <t>CIVG</t>
        </is>
      </c>
      <c r="B638" t="inlineStr">
        <is>
          <t>29379VBV4 Corp</t>
        </is>
      </c>
      <c r="C638" s="1" t="inlineStr">
        <is>
          <t>29379VBV4</t>
        </is>
      </c>
      <c r="D638" t="inlineStr">
        <is>
          <t xml:space="preserve">Enterprise Products Operating </t>
        </is>
      </c>
      <c r="E638">
        <f>BDP($B638,"LEGAL_ENTITY_IDENTIFIER")</f>
        <v/>
      </c>
      <c r="F638" t="inlineStr">
        <is>
          <t>Enterprise Products Operating LLC 3.125% 07/31/2029</t>
        </is>
      </c>
      <c r="G638">
        <f>custodian!D638</f>
        <v/>
      </c>
      <c r="H638">
        <f>BDP($B638,"ID_ISIN")</f>
        <v/>
      </c>
      <c r="I638" s="1" t="inlineStr"/>
      <c r="J638">
        <f>BDP($B638,"CNTRY_OF_DOMICILE")</f>
        <v/>
      </c>
      <c r="K638" t="inlineStr">
        <is>
          <t>DBT</t>
        </is>
      </c>
      <c r="L638" t="inlineStr">
        <is>
          <t>CORP</t>
        </is>
      </c>
      <c r="M638" t="inlineStr"/>
      <c r="N638" t="inlineStr"/>
      <c r="O638" s="1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s="1" t="inlineStr"/>
      <c r="AR638" s="1" t="inlineStr"/>
      <c r="AS638" s="1" t="inlineStr"/>
      <c r="AT638">
        <f>TEXT(BDP($B638,"MATURITY"),"yyyy-mm-dd")</f>
        <v/>
      </c>
      <c r="AU638">
        <f>BDP($B638,"CPN_TYP")</f>
        <v/>
      </c>
      <c r="AV638">
        <f>BDP($B638,"CPN")</f>
        <v/>
      </c>
      <c r="AW638" t="inlineStr"/>
      <c r="AX638" t="inlineStr"/>
      <c r="AY638" t="inlineStr"/>
    </row>
    <row r="639">
      <c r="A639" t="inlineStr">
        <is>
          <t>CIVG</t>
        </is>
      </c>
      <c r="B639" t="inlineStr">
        <is>
          <t>30040WAT5 Corp</t>
        </is>
      </c>
      <c r="C639" s="1" t="inlineStr">
        <is>
          <t>30040WAT5</t>
        </is>
      </c>
      <c r="D639" t="inlineStr">
        <is>
          <t>Eversource Energy 5.45% 03/01/</t>
        </is>
      </c>
      <c r="E639">
        <f>BDP($B639,"LEGAL_ENTITY_IDENTIFIER")</f>
        <v/>
      </c>
      <c r="F639" t="inlineStr">
        <is>
          <t>Eversource Energy 5.45% 03/01/2028</t>
        </is>
      </c>
      <c r="G639">
        <f>custodian!D639</f>
        <v/>
      </c>
      <c r="H639">
        <f>BDP($B639,"ID_ISIN")</f>
        <v/>
      </c>
      <c r="I639" s="1" t="inlineStr"/>
      <c r="J639">
        <f>BDP($B639,"CNTRY_OF_DOMICILE")</f>
        <v/>
      </c>
      <c r="K639" t="inlineStr">
        <is>
          <t>DBT</t>
        </is>
      </c>
      <c r="L639" t="inlineStr">
        <is>
          <t>CORP</t>
        </is>
      </c>
      <c r="M639" t="inlineStr"/>
      <c r="N639" t="inlineStr"/>
      <c r="O639" s="1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s="1" t="inlineStr"/>
      <c r="AR639" s="1" t="inlineStr"/>
      <c r="AS639" s="1" t="inlineStr"/>
      <c r="AT639">
        <f>TEXT(BDP($B639,"MATURITY"),"yyyy-mm-dd")</f>
        <v/>
      </c>
      <c r="AU639">
        <f>BDP($B639,"CPN_TYP")</f>
        <v/>
      </c>
      <c r="AV639">
        <f>BDP($B639,"CPN")</f>
        <v/>
      </c>
      <c r="AW639" t="inlineStr"/>
      <c r="AX639" t="inlineStr"/>
      <c r="AY639" t="inlineStr"/>
    </row>
    <row r="640">
      <c r="A640" t="inlineStr">
        <is>
          <t>CIVG</t>
        </is>
      </c>
      <c r="B640" t="inlineStr">
        <is>
          <t>30225VAK3 Corp</t>
        </is>
      </c>
      <c r="C640" s="1" t="inlineStr">
        <is>
          <t>30225VAK3</t>
        </is>
      </c>
      <c r="D640" t="inlineStr">
        <is>
          <t>Extra Space Storage LP 5.5% 07</t>
        </is>
      </c>
      <c r="E640">
        <f>BDP($B640,"LEGAL_ENTITY_IDENTIFIER")</f>
        <v/>
      </c>
      <c r="F640" t="inlineStr">
        <is>
          <t>Extra Space Storage LP 5.5% 07/01/2030</t>
        </is>
      </c>
      <c r="G640">
        <f>custodian!D640</f>
        <v/>
      </c>
      <c r="H640">
        <f>BDP($B640,"ID_ISIN")</f>
        <v/>
      </c>
      <c r="I640" s="1" t="inlineStr"/>
      <c r="J640">
        <f>BDP($B640,"CNTRY_OF_DOMICILE")</f>
        <v/>
      </c>
      <c r="K640" t="inlineStr">
        <is>
          <t>DBT</t>
        </is>
      </c>
      <c r="L640" t="inlineStr">
        <is>
          <t>CORP</t>
        </is>
      </c>
      <c r="M640" t="inlineStr"/>
      <c r="N640" t="inlineStr"/>
      <c r="O640" s="1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s="1" t="inlineStr"/>
      <c r="AR640" s="1" t="inlineStr"/>
      <c r="AS640" s="1" t="inlineStr"/>
      <c r="AT640">
        <f>TEXT(BDP($B640,"MATURITY"),"yyyy-mm-dd")</f>
        <v/>
      </c>
      <c r="AU640">
        <f>BDP($B640,"CPN_TYP")</f>
        <v/>
      </c>
      <c r="AV640">
        <f>BDP($B640,"CPN")</f>
        <v/>
      </c>
      <c r="AW640" t="inlineStr"/>
      <c r="AX640" t="inlineStr"/>
      <c r="AY640" t="inlineStr"/>
    </row>
    <row r="641">
      <c r="A641" t="inlineStr">
        <is>
          <t>CIVG</t>
        </is>
      </c>
      <c r="B641" t="inlineStr">
        <is>
          <t>30231GBK7 Corp</t>
        </is>
      </c>
      <c r="C641" s="1" t="inlineStr">
        <is>
          <t>30231GBK7</t>
        </is>
      </c>
      <c r="D641" t="inlineStr">
        <is>
          <t>Exxon Mobil Corp 3.482% 03/19/</t>
        </is>
      </c>
      <c r="E641">
        <f>BDP($B641,"LEGAL_ENTITY_IDENTIFIER")</f>
        <v/>
      </c>
      <c r="F641" t="inlineStr">
        <is>
          <t>Exxon Mobil Corp 3.482% 03/19/2030</t>
        </is>
      </c>
      <c r="G641">
        <f>custodian!D641</f>
        <v/>
      </c>
      <c r="H641">
        <f>BDP($B641,"ID_ISIN")</f>
        <v/>
      </c>
      <c r="I641" s="1" t="inlineStr"/>
      <c r="J641">
        <f>BDP($B641,"CNTRY_OF_DOMICILE")</f>
        <v/>
      </c>
      <c r="K641" t="inlineStr">
        <is>
          <t>DBT</t>
        </is>
      </c>
      <c r="L641" t="inlineStr">
        <is>
          <t>CORP</t>
        </is>
      </c>
      <c r="M641" t="inlineStr"/>
      <c r="N641" t="inlineStr"/>
      <c r="O641" s="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s="1" t="inlineStr"/>
      <c r="AR641" s="1" t="inlineStr"/>
      <c r="AS641" s="1" t="inlineStr"/>
      <c r="AT641">
        <f>TEXT(BDP($B641,"MATURITY"),"yyyy-mm-dd")</f>
        <v/>
      </c>
      <c r="AU641">
        <f>BDP($B641,"CPN_TYP")</f>
        <v/>
      </c>
      <c r="AV641">
        <f>BDP($B641,"CPN")</f>
        <v/>
      </c>
      <c r="AW641" t="inlineStr"/>
      <c r="AX641" t="inlineStr"/>
      <c r="AY641" t="inlineStr"/>
    </row>
    <row r="642">
      <c r="A642" t="inlineStr">
        <is>
          <t>CIVG</t>
        </is>
      </c>
      <c r="B642" t="inlineStr">
        <is>
          <t>30303M8L9 Corp</t>
        </is>
      </c>
      <c r="C642" s="1" t="inlineStr">
        <is>
          <t>30303M8L9</t>
        </is>
      </c>
      <c r="D642" t="inlineStr">
        <is>
          <t>Meta Platforms Inc 4.6% 05/15/</t>
        </is>
      </c>
      <c r="E642">
        <f>BDP($B642,"LEGAL_ENTITY_IDENTIFIER")</f>
        <v/>
      </c>
      <c r="F642" t="inlineStr">
        <is>
          <t>Meta Platforms Inc 4.6% 05/15/2028</t>
        </is>
      </c>
      <c r="G642">
        <f>custodian!D642</f>
        <v/>
      </c>
      <c r="H642">
        <f>BDP($B642,"ID_ISIN")</f>
        <v/>
      </c>
      <c r="I642" s="1" t="inlineStr"/>
      <c r="J642">
        <f>BDP($B642,"CNTRY_OF_DOMICILE")</f>
        <v/>
      </c>
      <c r="K642" t="inlineStr">
        <is>
          <t>DBT</t>
        </is>
      </c>
      <c r="L642" t="inlineStr">
        <is>
          <t>CORP</t>
        </is>
      </c>
      <c r="M642" t="inlineStr"/>
      <c r="N642" t="inlineStr"/>
      <c r="O642" s="1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s="1" t="inlineStr"/>
      <c r="AR642" s="1" t="inlineStr"/>
      <c r="AS642" s="1" t="inlineStr"/>
      <c r="AT642">
        <f>TEXT(BDP($B642,"MATURITY"),"yyyy-mm-dd")</f>
        <v/>
      </c>
      <c r="AU642">
        <f>BDP($B642,"CPN_TYP")</f>
        <v/>
      </c>
      <c r="AV642">
        <f>BDP($B642,"CPN")</f>
        <v/>
      </c>
      <c r="AW642" t="inlineStr"/>
      <c r="AX642" t="inlineStr"/>
      <c r="AY642" t="inlineStr"/>
    </row>
    <row r="643">
      <c r="A643" t="inlineStr">
        <is>
          <t>CIVG</t>
        </is>
      </c>
      <c r="B643" t="inlineStr">
        <is>
          <t>30303MAB8 Corp</t>
        </is>
      </c>
      <c r="C643" s="1" t="inlineStr">
        <is>
          <t>30303MAB8</t>
        </is>
      </c>
      <c r="D643" t="inlineStr">
        <is>
          <t>Meta Platforms Inc 4.2% 11/15/</t>
        </is>
      </c>
      <c r="E643">
        <f>BDP($B643,"LEGAL_ENTITY_IDENTIFIER")</f>
        <v/>
      </c>
      <c r="F643" t="inlineStr">
        <is>
          <t>Meta Platforms Inc 4.2% 11/15/2030</t>
        </is>
      </c>
      <c r="G643">
        <f>custodian!D643</f>
        <v/>
      </c>
      <c r="H643">
        <f>BDP($B643,"ID_ISIN")</f>
        <v/>
      </c>
      <c r="I643" s="1" t="inlineStr"/>
      <c r="J643">
        <f>BDP($B643,"CNTRY_OF_DOMICILE")</f>
        <v/>
      </c>
      <c r="K643" t="inlineStr">
        <is>
          <t>DBT</t>
        </is>
      </c>
      <c r="L643" t="inlineStr">
        <is>
          <t>CORP</t>
        </is>
      </c>
      <c r="M643" t="inlineStr"/>
      <c r="N643" t="inlineStr"/>
      <c r="O643" s="1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s="1" t="inlineStr"/>
      <c r="AR643" s="1" t="inlineStr"/>
      <c r="AS643" s="1" t="inlineStr"/>
      <c r="AT643">
        <f>TEXT(BDP($B643,"MATURITY"),"yyyy-mm-dd")</f>
        <v/>
      </c>
      <c r="AU643">
        <f>BDP($B643,"CPN_TYP")</f>
        <v/>
      </c>
      <c r="AV643">
        <f>BDP($B643,"CPN")</f>
        <v/>
      </c>
      <c r="AW643" t="inlineStr"/>
      <c r="AX643" t="inlineStr"/>
      <c r="AY643" t="inlineStr"/>
    </row>
    <row r="644">
      <c r="A644" t="inlineStr">
        <is>
          <t>CIVG</t>
        </is>
      </c>
      <c r="B644" t="inlineStr">
        <is>
          <t>31488VAB3 Corp</t>
        </is>
      </c>
      <c r="C644" s="1" t="inlineStr">
        <is>
          <t>31488VAB3</t>
        </is>
      </c>
      <c r="D644" t="inlineStr">
        <is>
          <t>Ferguson Enterprises Inc 4.35%</t>
        </is>
      </c>
      <c r="E644">
        <f>BDP($B644,"LEGAL_ENTITY_IDENTIFIER")</f>
        <v/>
      </c>
      <c r="F644" t="inlineStr">
        <is>
          <t>Ferguson Enterprises Inc 4.35% 03/15/2031</t>
        </is>
      </c>
      <c r="G644">
        <f>custodian!D644</f>
        <v/>
      </c>
      <c r="H644">
        <f>BDP($B644,"ID_ISIN")</f>
        <v/>
      </c>
      <c r="I644" s="1" t="inlineStr"/>
      <c r="J644">
        <f>BDP($B644,"CNTRY_OF_DOMICILE")</f>
        <v/>
      </c>
      <c r="K644" t="inlineStr">
        <is>
          <t>DBT</t>
        </is>
      </c>
      <c r="L644" t="inlineStr">
        <is>
          <t>CORP</t>
        </is>
      </c>
      <c r="M644" t="inlineStr"/>
      <c r="N644" t="inlineStr"/>
      <c r="O644" s="1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s="1" t="inlineStr"/>
      <c r="AR644" s="1" t="inlineStr"/>
      <c r="AS644" s="1" t="inlineStr"/>
      <c r="AT644">
        <f>TEXT(BDP($B644,"MATURITY"),"yyyy-mm-dd")</f>
        <v/>
      </c>
      <c r="AU644">
        <f>BDP($B644,"CPN_TYP")</f>
        <v/>
      </c>
      <c r="AV644">
        <f>BDP($B644,"CPN")</f>
        <v/>
      </c>
      <c r="AW644" t="inlineStr"/>
      <c r="AX644" t="inlineStr"/>
      <c r="AY644" t="inlineStr"/>
    </row>
    <row r="645">
      <c r="A645" t="inlineStr">
        <is>
          <t>CIVG</t>
        </is>
      </c>
      <c r="B645" t="inlineStr">
        <is>
          <t>31620MCA2 Corp</t>
        </is>
      </c>
      <c r="C645" s="1" t="inlineStr">
        <is>
          <t>31620MCA2</t>
        </is>
      </c>
      <c r="D645" t="inlineStr">
        <is>
          <t xml:space="preserve">Fidelity National Information </t>
        </is>
      </c>
      <c r="E645">
        <f>BDP($B645,"LEGAL_ENTITY_IDENTIFIER")</f>
        <v/>
      </c>
      <c r="F645" t="inlineStr">
        <is>
          <t>Fidelity National Information Services Inc 4.45% 03/10/2028</t>
        </is>
      </c>
      <c r="G645">
        <f>custodian!D645</f>
        <v/>
      </c>
      <c r="H645">
        <f>BDP($B645,"ID_ISIN")</f>
        <v/>
      </c>
      <c r="I645" s="1" t="inlineStr"/>
      <c r="J645">
        <f>BDP($B645,"CNTRY_OF_DOMICILE")</f>
        <v/>
      </c>
      <c r="K645" t="inlineStr">
        <is>
          <t>DBT</t>
        </is>
      </c>
      <c r="L645" t="inlineStr">
        <is>
          <t>CORP</t>
        </is>
      </c>
      <c r="M645" t="inlineStr"/>
      <c r="N645" t="inlineStr"/>
      <c r="O645" s="1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s="1" t="inlineStr"/>
      <c r="AR645" s="1" t="inlineStr"/>
      <c r="AS645" s="1" t="inlineStr"/>
      <c r="AT645">
        <f>TEXT(BDP($B645,"MATURITY"),"yyyy-mm-dd")</f>
        <v/>
      </c>
      <c r="AU645">
        <f>BDP($B645,"CPN_TYP")</f>
        <v/>
      </c>
      <c r="AV645">
        <f>BDP($B645,"CPN")</f>
        <v/>
      </c>
      <c r="AW645" t="inlineStr"/>
      <c r="AX645" t="inlineStr"/>
      <c r="AY645" t="inlineStr"/>
    </row>
    <row r="646">
      <c r="A646" t="inlineStr">
        <is>
          <t>CIVG</t>
        </is>
      </c>
      <c r="B646" t="inlineStr">
        <is>
          <t>31620MCD6 Corp</t>
        </is>
      </c>
      <c r="C646" s="1" t="inlineStr">
        <is>
          <t>31620MCD6</t>
        </is>
      </c>
      <c r="D646" t="inlineStr">
        <is>
          <t xml:space="preserve">Fidelity National Information </t>
        </is>
      </c>
      <c r="E646">
        <f>BDP($B646,"LEGAL_ENTITY_IDENTIFIER")</f>
        <v/>
      </c>
      <c r="F646" t="inlineStr">
        <is>
          <t>Fidelity National Information Services Inc 4.55% 03/10/2029</t>
        </is>
      </c>
      <c r="G646">
        <f>custodian!D646</f>
        <v/>
      </c>
      <c r="H646">
        <f>BDP($B646,"ID_ISIN")</f>
        <v/>
      </c>
      <c r="I646" s="1" t="inlineStr"/>
      <c r="J646">
        <f>BDP($B646,"CNTRY_OF_DOMICILE")</f>
        <v/>
      </c>
      <c r="K646" t="inlineStr">
        <is>
          <t>DBT</t>
        </is>
      </c>
      <c r="L646" t="inlineStr">
        <is>
          <t>CORP</t>
        </is>
      </c>
      <c r="M646" t="inlineStr"/>
      <c r="N646" t="inlineStr"/>
      <c r="O646" s="1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s="1" t="inlineStr"/>
      <c r="AR646" s="1" t="inlineStr"/>
      <c r="AS646" s="1" t="inlineStr"/>
      <c r="AT646">
        <f>TEXT(BDP($B646,"MATURITY"),"yyyy-mm-dd")</f>
        <v/>
      </c>
      <c r="AU646">
        <f>BDP($B646,"CPN_TYP")</f>
        <v/>
      </c>
      <c r="AV646">
        <f>BDP($B646,"CPN")</f>
        <v/>
      </c>
      <c r="AW646" t="inlineStr"/>
      <c r="AX646" t="inlineStr"/>
      <c r="AY646" t="inlineStr"/>
    </row>
    <row r="647">
      <c r="A647" t="inlineStr">
        <is>
          <t>CIVG</t>
        </is>
      </c>
      <c r="B647" t="inlineStr">
        <is>
          <t>320517AE5 Corp</t>
        </is>
      </c>
      <c r="C647" s="1" t="inlineStr">
        <is>
          <t>320517AE5</t>
        </is>
      </c>
      <c r="D647" t="inlineStr">
        <is>
          <t>First Horizon Corp 5.514% 03/0</t>
        </is>
      </c>
      <c r="E647">
        <f>BDP($B647,"LEGAL_ENTITY_IDENTIFIER")</f>
        <v/>
      </c>
      <c r="F647" t="inlineStr">
        <is>
          <t>First Horizon Corp 5.514% 03/07/2031</t>
        </is>
      </c>
      <c r="G647">
        <f>custodian!D647</f>
        <v/>
      </c>
      <c r="H647">
        <f>BDP($B647,"ID_ISIN")</f>
        <v/>
      </c>
      <c r="I647" s="1" t="inlineStr"/>
      <c r="J647">
        <f>BDP($B647,"CNTRY_OF_DOMICILE")</f>
        <v/>
      </c>
      <c r="K647" t="inlineStr">
        <is>
          <t>DBT</t>
        </is>
      </c>
      <c r="L647" t="inlineStr">
        <is>
          <t>CORP</t>
        </is>
      </c>
      <c r="M647" t="inlineStr"/>
      <c r="N647" t="inlineStr"/>
      <c r="O647" s="1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s="1" t="inlineStr"/>
      <c r="AR647" s="1" t="inlineStr"/>
      <c r="AS647" s="1" t="inlineStr"/>
      <c r="AT647">
        <f>TEXT(BDP($B647,"MATURITY"),"yyyy-mm-dd")</f>
        <v/>
      </c>
      <c r="AU647">
        <f>BDP($B647,"CPN_TYP")</f>
        <v/>
      </c>
      <c r="AV647">
        <f>BDP($B647,"CPN")</f>
        <v/>
      </c>
      <c r="AW647" t="inlineStr"/>
      <c r="AX647" t="inlineStr"/>
      <c r="AY647" t="inlineStr"/>
    </row>
    <row r="648">
      <c r="A648" t="inlineStr">
        <is>
          <t>CIVG</t>
        </is>
      </c>
      <c r="B648" t="inlineStr">
        <is>
          <t>337738AU2 Corp</t>
        </is>
      </c>
      <c r="C648" s="1" t="inlineStr">
        <is>
          <t>337738AU2</t>
        </is>
      </c>
      <c r="D648" t="inlineStr">
        <is>
          <t>Fiserv Inc 3.5% 07/01/2029</t>
        </is>
      </c>
      <c r="E648">
        <f>BDP($B648,"LEGAL_ENTITY_IDENTIFIER")</f>
        <v/>
      </c>
      <c r="F648" t="inlineStr">
        <is>
          <t>Fiserv Inc 3.5% 07/01/2029</t>
        </is>
      </c>
      <c r="G648">
        <f>custodian!D648</f>
        <v/>
      </c>
      <c r="H648">
        <f>BDP($B648,"ID_ISIN")</f>
        <v/>
      </c>
      <c r="I648" s="1" t="inlineStr"/>
      <c r="J648">
        <f>BDP($B648,"CNTRY_OF_DOMICILE")</f>
        <v/>
      </c>
      <c r="K648" t="inlineStr">
        <is>
          <t>DBT</t>
        </is>
      </c>
      <c r="L648" t="inlineStr">
        <is>
          <t>CORP</t>
        </is>
      </c>
      <c r="M648" t="inlineStr"/>
      <c r="N648" t="inlineStr"/>
      <c r="O648" s="1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s="1" t="inlineStr"/>
      <c r="AR648" s="1" t="inlineStr"/>
      <c r="AS648" s="1" t="inlineStr"/>
      <c r="AT648">
        <f>TEXT(BDP($B648,"MATURITY"),"yyyy-mm-dd")</f>
        <v/>
      </c>
      <c r="AU648">
        <f>BDP($B648,"CPN_TYP")</f>
        <v/>
      </c>
      <c r="AV648">
        <f>BDP($B648,"CPN")</f>
        <v/>
      </c>
      <c r="AW648" t="inlineStr"/>
      <c r="AX648" t="inlineStr"/>
      <c r="AY648" t="inlineStr"/>
    </row>
    <row r="649">
      <c r="A649" t="inlineStr">
        <is>
          <t>CIVG</t>
        </is>
      </c>
      <c r="B649" t="inlineStr">
        <is>
          <t>345397ZR7 Corp</t>
        </is>
      </c>
      <c r="C649" s="1" t="inlineStr">
        <is>
          <t>345397ZR7</t>
        </is>
      </c>
      <c r="D649" t="inlineStr">
        <is>
          <t>Ford Motor Credit Co LLC 5.113</t>
        </is>
      </c>
      <c r="E649">
        <f>BDP($B649,"LEGAL_ENTITY_IDENTIFIER")</f>
        <v/>
      </c>
      <c r="F649" t="inlineStr">
        <is>
          <t>Ford Motor Credit Co LLC 5.113% 05/03/2029</t>
        </is>
      </c>
      <c r="G649">
        <f>custodian!D649</f>
        <v/>
      </c>
      <c r="H649">
        <f>BDP($B649,"ID_ISIN")</f>
        <v/>
      </c>
      <c r="I649" s="1" t="inlineStr"/>
      <c r="J649">
        <f>BDP($B649,"CNTRY_OF_DOMICILE")</f>
        <v/>
      </c>
      <c r="K649" t="inlineStr">
        <is>
          <t>DBT</t>
        </is>
      </c>
      <c r="L649" t="inlineStr">
        <is>
          <t>CORP</t>
        </is>
      </c>
      <c r="M649" t="inlineStr"/>
      <c r="N649" t="inlineStr"/>
      <c r="O649" s="1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s="1" t="inlineStr"/>
      <c r="AR649" s="1" t="inlineStr"/>
      <c r="AS649" s="1" t="inlineStr"/>
      <c r="AT649">
        <f>TEXT(BDP($B649,"MATURITY"),"yyyy-mm-dd")</f>
        <v/>
      </c>
      <c r="AU649">
        <f>BDP($B649,"CPN_TYP")</f>
        <v/>
      </c>
      <c r="AV649">
        <f>BDP($B649,"CPN")</f>
        <v/>
      </c>
      <c r="AW649" t="inlineStr"/>
      <c r="AX649" t="inlineStr"/>
      <c r="AY649" t="inlineStr"/>
    </row>
    <row r="650">
      <c r="A650" t="inlineStr">
        <is>
          <t>CIVG</t>
        </is>
      </c>
      <c r="B650" t="inlineStr">
        <is>
          <t>369604BZ5 Corp</t>
        </is>
      </c>
      <c r="C650" s="1" t="inlineStr">
        <is>
          <t>369604BZ5</t>
        </is>
      </c>
      <c r="D650" t="inlineStr">
        <is>
          <t>General Electric Co 4.3% 07/29</t>
        </is>
      </c>
      <c r="E650">
        <f>BDP($B650,"LEGAL_ENTITY_IDENTIFIER")</f>
        <v/>
      </c>
      <c r="F650" t="inlineStr">
        <is>
          <t>General Electric Co 4.3% 07/29/2030</t>
        </is>
      </c>
      <c r="G650">
        <f>custodian!D650</f>
        <v/>
      </c>
      <c r="H650">
        <f>BDP($B650,"ID_ISIN")</f>
        <v/>
      </c>
      <c r="I650" s="1" t="inlineStr"/>
      <c r="J650">
        <f>BDP($B650,"CNTRY_OF_DOMICILE")</f>
        <v/>
      </c>
      <c r="K650" t="inlineStr">
        <is>
          <t>DBT</t>
        </is>
      </c>
      <c r="L650" t="inlineStr">
        <is>
          <t>CORP</t>
        </is>
      </c>
      <c r="M650" t="inlineStr"/>
      <c r="N650" t="inlineStr"/>
      <c r="O650" s="1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s="1" t="inlineStr"/>
      <c r="AR650" s="1" t="inlineStr"/>
      <c r="AS650" s="1" t="inlineStr"/>
      <c r="AT650">
        <f>TEXT(BDP($B650,"MATURITY"),"yyyy-mm-dd")</f>
        <v/>
      </c>
      <c r="AU650">
        <f>BDP($B650,"CPN_TYP")</f>
        <v/>
      </c>
      <c r="AV650">
        <f>BDP($B650,"CPN")</f>
        <v/>
      </c>
      <c r="AW650" t="inlineStr"/>
      <c r="AX650" t="inlineStr"/>
      <c r="AY650" t="inlineStr"/>
    </row>
    <row r="651">
      <c r="A651" t="inlineStr">
        <is>
          <t>CIVG</t>
        </is>
      </c>
      <c r="B651" t="inlineStr">
        <is>
          <t>370334CG7 Corp</t>
        </is>
      </c>
      <c r="C651" s="1" t="inlineStr">
        <is>
          <t>370334CG7</t>
        </is>
      </c>
      <c r="D651" t="inlineStr">
        <is>
          <t>General Mills Inc 4.2% 04/17/2</t>
        </is>
      </c>
      <c r="E651">
        <f>BDP($B651,"LEGAL_ENTITY_IDENTIFIER")</f>
        <v/>
      </c>
      <c r="F651" t="inlineStr">
        <is>
          <t>General Mills Inc 4.2% 04/17/2028</t>
        </is>
      </c>
      <c r="G651">
        <f>custodian!D651</f>
        <v/>
      </c>
      <c r="H651">
        <f>BDP($B651,"ID_ISIN")</f>
        <v/>
      </c>
      <c r="I651" s="1" t="inlineStr"/>
      <c r="J651">
        <f>BDP($B651,"CNTRY_OF_DOMICILE")</f>
        <v/>
      </c>
      <c r="K651" t="inlineStr">
        <is>
          <t>DBT</t>
        </is>
      </c>
      <c r="L651" t="inlineStr">
        <is>
          <t>CORP</t>
        </is>
      </c>
      <c r="M651" t="inlineStr"/>
      <c r="N651" t="inlineStr"/>
      <c r="O651" s="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s="1" t="inlineStr"/>
      <c r="AR651" s="1" t="inlineStr"/>
      <c r="AS651" s="1" t="inlineStr"/>
      <c r="AT651">
        <f>TEXT(BDP($B651,"MATURITY"),"yyyy-mm-dd")</f>
        <v/>
      </c>
      <c r="AU651">
        <f>BDP($B651,"CPN_TYP")</f>
        <v/>
      </c>
      <c r="AV651">
        <f>BDP($B651,"CPN")</f>
        <v/>
      </c>
      <c r="AW651" t="inlineStr"/>
      <c r="AX651" t="inlineStr"/>
      <c r="AY651" t="inlineStr"/>
    </row>
    <row r="652">
      <c r="A652" t="inlineStr">
        <is>
          <t>CIVG</t>
        </is>
      </c>
      <c r="B652" t="inlineStr">
        <is>
          <t>37045XEB8 Corp</t>
        </is>
      </c>
      <c r="C652" s="1" t="inlineStr">
        <is>
          <t>37045XEB8</t>
        </is>
      </c>
      <c r="D652" t="inlineStr">
        <is>
          <t>General Motors Financial Co In</t>
        </is>
      </c>
      <c r="E652">
        <f>BDP($B652,"LEGAL_ENTITY_IDENTIFIER")</f>
        <v/>
      </c>
      <c r="F652" t="inlineStr">
        <is>
          <t>General Motors Financial Co Inc 6% 01/09/2028</t>
        </is>
      </c>
      <c r="G652">
        <f>custodian!D652</f>
        <v/>
      </c>
      <c r="H652">
        <f>BDP($B652,"ID_ISIN")</f>
        <v/>
      </c>
      <c r="I652" s="1" t="inlineStr"/>
      <c r="J652">
        <f>BDP($B652,"CNTRY_OF_DOMICILE")</f>
        <v/>
      </c>
      <c r="K652" t="inlineStr">
        <is>
          <t>DBT</t>
        </is>
      </c>
      <c r="L652" t="inlineStr">
        <is>
          <t>CORP</t>
        </is>
      </c>
      <c r="M652" t="inlineStr"/>
      <c r="N652" t="inlineStr"/>
      <c r="O652" s="1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s="1" t="inlineStr"/>
      <c r="AR652" s="1" t="inlineStr"/>
      <c r="AS652" s="1" t="inlineStr"/>
      <c r="AT652">
        <f>TEXT(BDP($B652,"MATURITY"),"yyyy-mm-dd")</f>
        <v/>
      </c>
      <c r="AU652">
        <f>BDP($B652,"CPN_TYP")</f>
        <v/>
      </c>
      <c r="AV652">
        <f>BDP($B652,"CPN")</f>
        <v/>
      </c>
      <c r="AW652" t="inlineStr"/>
      <c r="AX652" t="inlineStr"/>
      <c r="AY652" t="inlineStr"/>
    </row>
    <row r="653">
      <c r="A653" t="inlineStr">
        <is>
          <t>CIVG</t>
        </is>
      </c>
      <c r="B653" t="inlineStr">
        <is>
          <t>373334KY6 Corp</t>
        </is>
      </c>
      <c r="C653" s="1" t="inlineStr">
        <is>
          <t>373334KY6</t>
        </is>
      </c>
      <c r="D653" t="inlineStr">
        <is>
          <t>Georgia Power Co 4.55% 03/15/2</t>
        </is>
      </c>
      <c r="E653">
        <f>BDP($B653,"LEGAL_ENTITY_IDENTIFIER")</f>
        <v/>
      </c>
      <c r="F653" t="inlineStr">
        <is>
          <t>Georgia Power Co 4.55% 03/15/2030</t>
        </is>
      </c>
      <c r="G653">
        <f>custodian!D653</f>
        <v/>
      </c>
      <c r="H653">
        <f>BDP($B653,"ID_ISIN")</f>
        <v/>
      </c>
      <c r="I653" s="1" t="inlineStr"/>
      <c r="J653">
        <f>BDP($B653,"CNTRY_OF_DOMICILE")</f>
        <v/>
      </c>
      <c r="K653" t="inlineStr">
        <is>
          <t>DBT</t>
        </is>
      </c>
      <c r="L653" t="inlineStr">
        <is>
          <t>CORP</t>
        </is>
      </c>
      <c r="M653" t="inlineStr"/>
      <c r="N653" t="inlineStr"/>
      <c r="O653" s="1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s="1" t="inlineStr"/>
      <c r="AR653" s="1" t="inlineStr"/>
      <c r="AS653" s="1" t="inlineStr"/>
      <c r="AT653">
        <f>TEXT(BDP($B653,"MATURITY"),"yyyy-mm-dd")</f>
        <v/>
      </c>
      <c r="AU653">
        <f>BDP($B653,"CPN_TYP")</f>
        <v/>
      </c>
      <c r="AV653">
        <f>BDP($B653,"CPN")</f>
        <v/>
      </c>
      <c r="AW653" t="inlineStr"/>
      <c r="AX653" t="inlineStr"/>
      <c r="AY653" t="inlineStr"/>
    </row>
    <row r="654">
      <c r="A654" t="inlineStr">
        <is>
          <t>CIVG</t>
        </is>
      </c>
      <c r="B654" t="inlineStr">
        <is>
          <t>377372AN7 Corp</t>
        </is>
      </c>
      <c r="C654" s="1" t="inlineStr">
        <is>
          <t>377372AN7</t>
        </is>
      </c>
      <c r="D654" t="inlineStr">
        <is>
          <t>GlaxoSmithKline Capital Inc 3.</t>
        </is>
      </c>
      <c r="E654">
        <f>BDP($B654,"LEGAL_ENTITY_IDENTIFIER")</f>
        <v/>
      </c>
      <c r="F654" t="inlineStr">
        <is>
          <t>GlaxoSmithKline Capital Inc 3.875% 05/15/2028</t>
        </is>
      </c>
      <c r="G654">
        <f>custodian!D654</f>
        <v/>
      </c>
      <c r="H654">
        <f>BDP($B654,"ID_ISIN")</f>
        <v/>
      </c>
      <c r="I654" s="1" t="inlineStr"/>
      <c r="J654">
        <f>BDP($B654,"CNTRY_OF_DOMICILE")</f>
        <v/>
      </c>
      <c r="K654" t="inlineStr">
        <is>
          <t>DBT</t>
        </is>
      </c>
      <c r="L654" t="inlineStr">
        <is>
          <t>CORP</t>
        </is>
      </c>
      <c r="M654" t="inlineStr"/>
      <c r="N654" t="inlineStr"/>
      <c r="O654" s="1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s="1" t="inlineStr"/>
      <c r="AR654" s="1" t="inlineStr"/>
      <c r="AS654" s="1" t="inlineStr"/>
      <c r="AT654">
        <f>TEXT(BDP($B654,"MATURITY"),"yyyy-mm-dd")</f>
        <v/>
      </c>
      <c r="AU654">
        <f>BDP($B654,"CPN_TYP")</f>
        <v/>
      </c>
      <c r="AV654">
        <f>BDP($B654,"CPN")</f>
        <v/>
      </c>
      <c r="AW654" t="inlineStr"/>
      <c r="AX654" t="inlineStr"/>
      <c r="AY654" t="inlineStr"/>
    </row>
    <row r="655">
      <c r="A655" t="inlineStr">
        <is>
          <t>CIVG</t>
        </is>
      </c>
      <c r="B655" t="inlineStr">
        <is>
          <t>38141GA87 Corp</t>
        </is>
      </c>
      <c r="C655" s="1" t="inlineStr">
        <is>
          <t>38141GA87</t>
        </is>
      </c>
      <c r="D655" t="inlineStr">
        <is>
          <t>Goldman Sachs Group Inc/The 5.</t>
        </is>
      </c>
      <c r="E655">
        <f>BDP($B655,"LEGAL_ENTITY_IDENTIFIER")</f>
        <v/>
      </c>
      <c r="F655" t="inlineStr">
        <is>
          <t>Goldman Sachs Group Inc/The 5.727% 04/25/2030</t>
        </is>
      </c>
      <c r="G655">
        <f>custodian!D655</f>
        <v/>
      </c>
      <c r="H655">
        <f>BDP($B655,"ID_ISIN")</f>
        <v/>
      </c>
      <c r="I655" s="1" t="inlineStr"/>
      <c r="J655">
        <f>BDP($B655,"CNTRY_OF_DOMICILE")</f>
        <v/>
      </c>
      <c r="K655" t="inlineStr">
        <is>
          <t>DBT</t>
        </is>
      </c>
      <c r="L655" t="inlineStr">
        <is>
          <t>CORP</t>
        </is>
      </c>
      <c r="M655" t="inlineStr"/>
      <c r="N655" t="inlineStr"/>
      <c r="O655" s="1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s="1" t="inlineStr"/>
      <c r="AR655" s="1" t="inlineStr"/>
      <c r="AS655" s="1" t="inlineStr"/>
      <c r="AT655">
        <f>TEXT(BDP($B655,"MATURITY"),"yyyy-mm-dd")</f>
        <v/>
      </c>
      <c r="AU655">
        <f>BDP($B655,"CPN_TYP")</f>
        <v/>
      </c>
      <c r="AV655">
        <f>BDP($B655,"CPN")</f>
        <v/>
      </c>
      <c r="AW655" t="inlineStr"/>
      <c r="AX655" t="inlineStr"/>
      <c r="AY655" t="inlineStr"/>
    </row>
    <row r="656">
      <c r="A656" t="inlineStr">
        <is>
          <t>CIVG</t>
        </is>
      </c>
      <c r="B656" t="inlineStr">
        <is>
          <t>38145GAP5 Corp</t>
        </is>
      </c>
      <c r="C656" s="1" t="inlineStr">
        <is>
          <t>38145GAP5</t>
        </is>
      </c>
      <c r="D656" t="inlineStr">
        <is>
          <t>Goldman Sachs Group Inc/The 4.</t>
        </is>
      </c>
      <c r="E656">
        <f>BDP($B656,"LEGAL_ENTITY_IDENTIFIER")</f>
        <v/>
      </c>
      <c r="F656" t="inlineStr">
        <is>
          <t>Goldman Sachs Group Inc/The 4.148% 01/21/2029</t>
        </is>
      </c>
      <c r="G656">
        <f>custodian!D656</f>
        <v/>
      </c>
      <c r="H656">
        <f>BDP($B656,"ID_ISIN")</f>
        <v/>
      </c>
      <c r="I656" s="1" t="inlineStr"/>
      <c r="J656">
        <f>BDP($B656,"CNTRY_OF_DOMICILE")</f>
        <v/>
      </c>
      <c r="K656" t="inlineStr">
        <is>
          <t>DBT</t>
        </is>
      </c>
      <c r="L656" t="inlineStr">
        <is>
          <t>CORP</t>
        </is>
      </c>
      <c r="M656" t="inlineStr"/>
      <c r="N656" t="inlineStr"/>
      <c r="O656" s="1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s="1" t="inlineStr"/>
      <c r="AR656" s="1" t="inlineStr"/>
      <c r="AS656" s="1" t="inlineStr"/>
      <c r="AT656">
        <f>TEXT(BDP($B656,"MATURITY"),"yyyy-mm-dd")</f>
        <v/>
      </c>
      <c r="AU656">
        <f>BDP($B656,"CPN_TYP")</f>
        <v/>
      </c>
      <c r="AV656">
        <f>BDP($B656,"CPN")</f>
        <v/>
      </c>
      <c r="AW656" t="inlineStr"/>
      <c r="AX656" t="inlineStr"/>
      <c r="AY656" t="inlineStr"/>
    </row>
    <row r="657">
      <c r="A657" t="inlineStr">
        <is>
          <t>CIVG</t>
        </is>
      </c>
      <c r="B657" t="inlineStr">
        <is>
          <t>38152BAH4 Corp</t>
        </is>
      </c>
      <c r="C657" s="1" t="inlineStr">
        <is>
          <t>38152BAH4</t>
        </is>
      </c>
      <c r="D657" t="inlineStr">
        <is>
          <t>Goldman Sachs Private Credit C</t>
        </is>
      </c>
      <c r="E657">
        <f>BDP($B657,"LEGAL_ENTITY_IDENTIFIER")</f>
        <v/>
      </c>
      <c r="F657" t="inlineStr">
        <is>
          <t>Goldman Sachs Private Credit Corp 5.875% 01/31/2031</t>
        </is>
      </c>
      <c r="G657">
        <f>custodian!D657</f>
        <v/>
      </c>
      <c r="H657">
        <f>BDP($B657,"ID_ISIN")</f>
        <v/>
      </c>
      <c r="I657" s="1" t="inlineStr"/>
      <c r="J657">
        <f>BDP($B657,"CNTRY_OF_DOMICILE")</f>
        <v/>
      </c>
      <c r="K657" t="inlineStr">
        <is>
          <t>DBT</t>
        </is>
      </c>
      <c r="L657" t="inlineStr">
        <is>
          <t>CORP</t>
        </is>
      </c>
      <c r="M657" t="inlineStr"/>
      <c r="N657" t="inlineStr"/>
      <c r="O657" s="1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s="1" t="inlineStr"/>
      <c r="AR657" s="1" t="inlineStr"/>
      <c r="AS657" s="1" t="inlineStr"/>
      <c r="AT657">
        <f>TEXT(BDP($B657,"MATURITY"),"yyyy-mm-dd")</f>
        <v/>
      </c>
      <c r="AU657">
        <f>BDP($B657,"CPN_TYP")</f>
        <v/>
      </c>
      <c r="AV657">
        <f>BDP($B657,"CPN")</f>
        <v/>
      </c>
      <c r="AW657" t="inlineStr"/>
      <c r="AX657" t="inlineStr"/>
      <c r="AY657" t="inlineStr"/>
    </row>
    <row r="658">
      <c r="A658" t="inlineStr">
        <is>
          <t>CIVG</t>
        </is>
      </c>
      <c r="B658" t="inlineStr">
        <is>
          <t>404119CA5 Corp</t>
        </is>
      </c>
      <c r="C658" s="1" t="inlineStr">
        <is>
          <t>404119CA5</t>
        </is>
      </c>
      <c r="D658" t="inlineStr">
        <is>
          <t>HCA Inc 3.5% 09/01/2030</t>
        </is>
      </c>
      <c r="E658">
        <f>BDP($B658,"LEGAL_ENTITY_IDENTIFIER")</f>
        <v/>
      </c>
      <c r="F658" t="inlineStr">
        <is>
          <t>HCA Inc 3.5% 09/01/2030</t>
        </is>
      </c>
      <c r="G658">
        <f>custodian!D658</f>
        <v/>
      </c>
      <c r="H658">
        <f>BDP($B658,"ID_ISIN")</f>
        <v/>
      </c>
      <c r="I658" s="1" t="inlineStr"/>
      <c r="J658">
        <f>BDP($B658,"CNTRY_OF_DOMICILE")</f>
        <v/>
      </c>
      <c r="K658" t="inlineStr">
        <is>
          <t>DBT</t>
        </is>
      </c>
      <c r="L658" t="inlineStr">
        <is>
          <t>CORP</t>
        </is>
      </c>
      <c r="M658" t="inlineStr"/>
      <c r="N658" t="inlineStr"/>
      <c r="O658" s="1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s="1" t="inlineStr"/>
      <c r="AR658" s="1" t="inlineStr"/>
      <c r="AS658" s="1" t="inlineStr"/>
      <c r="AT658">
        <f>TEXT(BDP($B658,"MATURITY"),"yyyy-mm-dd")</f>
        <v/>
      </c>
      <c r="AU658">
        <f>BDP($B658,"CPN_TYP")</f>
        <v/>
      </c>
      <c r="AV658">
        <f>BDP($B658,"CPN")</f>
        <v/>
      </c>
      <c r="AW658" t="inlineStr"/>
      <c r="AX658" t="inlineStr"/>
      <c r="AY658" t="inlineStr"/>
    </row>
    <row r="659">
      <c r="A659" t="inlineStr">
        <is>
          <t>CIVG</t>
        </is>
      </c>
      <c r="B659" t="inlineStr">
        <is>
          <t>404280CC1 Corp</t>
        </is>
      </c>
      <c r="C659" s="1" t="inlineStr">
        <is>
          <t>404280CC1</t>
        </is>
      </c>
      <c r="D659" t="inlineStr">
        <is>
          <t>HSBC Holdings PLC 3.973% 05/22</t>
        </is>
      </c>
      <c r="E659">
        <f>BDP($B659,"LEGAL_ENTITY_IDENTIFIER")</f>
        <v/>
      </c>
      <c r="F659" t="inlineStr">
        <is>
          <t>HSBC Holdings PLC 3.973% 05/22/2030</t>
        </is>
      </c>
      <c r="G659">
        <f>custodian!D659</f>
        <v/>
      </c>
      <c r="H659">
        <f>BDP($B659,"ID_ISIN")</f>
        <v/>
      </c>
      <c r="I659" s="1" t="inlineStr"/>
      <c r="J659">
        <f>BDP($B659,"CNTRY_OF_DOMICILE")</f>
        <v/>
      </c>
      <c r="K659" t="inlineStr">
        <is>
          <t>DBT</t>
        </is>
      </c>
      <c r="L659" t="inlineStr">
        <is>
          <t>CORP</t>
        </is>
      </c>
      <c r="M659" t="inlineStr"/>
      <c r="N659" t="inlineStr"/>
      <c r="O659" s="1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s="1" t="inlineStr"/>
      <c r="AR659" s="1" t="inlineStr"/>
      <c r="AS659" s="1" t="inlineStr"/>
      <c r="AT659">
        <f>TEXT(BDP($B659,"MATURITY"),"yyyy-mm-dd")</f>
        <v/>
      </c>
      <c r="AU659">
        <f>BDP($B659,"CPN_TYP")</f>
        <v/>
      </c>
      <c r="AV659">
        <f>BDP($B659,"CPN")</f>
        <v/>
      </c>
      <c r="AW659" t="inlineStr"/>
      <c r="AX659" t="inlineStr"/>
      <c r="AY659" t="inlineStr"/>
    </row>
    <row r="660">
      <c r="A660" t="inlineStr">
        <is>
          <t>CIVG</t>
        </is>
      </c>
      <c r="B660" t="inlineStr">
        <is>
          <t>404280CL1 Corp</t>
        </is>
      </c>
      <c r="C660" s="1" t="inlineStr">
        <is>
          <t>404280CL1</t>
        </is>
      </c>
      <c r="D660" t="inlineStr">
        <is>
          <t>HSBC Holdings PLC 2.013% 09/22</t>
        </is>
      </c>
      <c r="E660">
        <f>BDP($B660,"LEGAL_ENTITY_IDENTIFIER")</f>
        <v/>
      </c>
      <c r="F660" t="inlineStr">
        <is>
          <t>HSBC Holdings PLC 2.013% 09/22/2028</t>
        </is>
      </c>
      <c r="G660">
        <f>custodian!D660</f>
        <v/>
      </c>
      <c r="H660">
        <f>BDP($B660,"ID_ISIN")</f>
        <v/>
      </c>
      <c r="I660" s="1" t="inlineStr"/>
      <c r="J660">
        <f>BDP($B660,"CNTRY_OF_DOMICILE")</f>
        <v/>
      </c>
      <c r="K660" t="inlineStr">
        <is>
          <t>DBT</t>
        </is>
      </c>
      <c r="L660" t="inlineStr">
        <is>
          <t>CORP</t>
        </is>
      </c>
      <c r="M660" t="inlineStr"/>
      <c r="N660" t="inlineStr"/>
      <c r="O660" s="1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s="1" t="inlineStr"/>
      <c r="AR660" s="1" t="inlineStr"/>
      <c r="AS660" s="1" t="inlineStr"/>
      <c r="AT660">
        <f>TEXT(BDP($B660,"MATURITY"),"yyyy-mm-dd")</f>
        <v/>
      </c>
      <c r="AU660">
        <f>BDP($B660,"CPN_TYP")</f>
        <v/>
      </c>
      <c r="AV660">
        <f>BDP($B660,"CPN")</f>
        <v/>
      </c>
      <c r="AW660" t="inlineStr"/>
      <c r="AX660" t="inlineStr"/>
      <c r="AY660" t="inlineStr"/>
    </row>
    <row r="661">
      <c r="A661" t="inlineStr">
        <is>
          <t>CIVG</t>
        </is>
      </c>
      <c r="B661" t="inlineStr">
        <is>
          <t>413875AW5 Corp</t>
        </is>
      </c>
      <c r="C661" s="1" t="inlineStr">
        <is>
          <t>413875AW5</t>
        </is>
      </c>
      <c r="D661" t="inlineStr">
        <is>
          <t>L3Harris Technologies Inc 4.4%</t>
        </is>
      </c>
      <c r="E661">
        <f>BDP($B661,"LEGAL_ENTITY_IDENTIFIER")</f>
        <v/>
      </c>
      <c r="F661" t="inlineStr">
        <is>
          <t>L3Harris Technologies Inc 4.4% 06/15/2028</t>
        </is>
      </c>
      <c r="G661">
        <f>custodian!D661</f>
        <v/>
      </c>
      <c r="H661">
        <f>BDP($B661,"ID_ISIN")</f>
        <v/>
      </c>
      <c r="I661" s="1" t="inlineStr"/>
      <c r="J661">
        <f>BDP($B661,"CNTRY_OF_DOMICILE")</f>
        <v/>
      </c>
      <c r="K661" t="inlineStr">
        <is>
          <t>DBT</t>
        </is>
      </c>
      <c r="L661" t="inlineStr">
        <is>
          <t>CORP</t>
        </is>
      </c>
      <c r="M661" t="inlineStr"/>
      <c r="N661" t="inlineStr"/>
      <c r="O661" s="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s="1" t="inlineStr"/>
      <c r="AR661" s="1" t="inlineStr"/>
      <c r="AS661" s="1" t="inlineStr"/>
      <c r="AT661">
        <f>TEXT(BDP($B661,"MATURITY"),"yyyy-mm-dd")</f>
        <v/>
      </c>
      <c r="AU661">
        <f>BDP($B661,"CPN_TYP")</f>
        <v/>
      </c>
      <c r="AV661">
        <f>BDP($B661,"CPN")</f>
        <v/>
      </c>
      <c r="AW661" t="inlineStr"/>
      <c r="AX661" t="inlineStr"/>
      <c r="AY661" t="inlineStr"/>
    </row>
    <row r="662">
      <c r="A662" t="inlineStr">
        <is>
          <t>CIVG</t>
        </is>
      </c>
      <c r="B662" t="inlineStr">
        <is>
          <t>42824CBT5 Corp</t>
        </is>
      </c>
      <c r="C662" s="1" t="inlineStr">
        <is>
          <t>42824CBT5</t>
        </is>
      </c>
      <c r="D662" t="inlineStr">
        <is>
          <t xml:space="preserve">Hewlett Packard Enterprise Co </t>
        </is>
      </c>
      <c r="E662">
        <f>BDP($B662,"LEGAL_ENTITY_IDENTIFIER")</f>
        <v/>
      </c>
      <c r="F662" t="inlineStr">
        <is>
          <t>Hewlett Packard Enterprise Co 4.55% 10/15/2029</t>
        </is>
      </c>
      <c r="G662">
        <f>custodian!D662</f>
        <v/>
      </c>
      <c r="H662">
        <f>BDP($B662,"ID_ISIN")</f>
        <v/>
      </c>
      <c r="I662" s="1" t="inlineStr"/>
      <c r="J662">
        <f>BDP($B662,"CNTRY_OF_DOMICILE")</f>
        <v/>
      </c>
      <c r="K662" t="inlineStr">
        <is>
          <t>DBT</t>
        </is>
      </c>
      <c r="L662" t="inlineStr">
        <is>
          <t>CORP</t>
        </is>
      </c>
      <c r="M662" t="inlineStr"/>
      <c r="N662" t="inlineStr"/>
      <c r="O662" s="1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s="1" t="inlineStr"/>
      <c r="AR662" s="1" t="inlineStr"/>
      <c r="AS662" s="1" t="inlineStr"/>
      <c r="AT662">
        <f>TEXT(BDP($B662,"MATURITY"),"yyyy-mm-dd")</f>
        <v/>
      </c>
      <c r="AU662">
        <f>BDP($B662,"CPN_TYP")</f>
        <v/>
      </c>
      <c r="AV662">
        <f>BDP($B662,"CPN")</f>
        <v/>
      </c>
      <c r="AW662" t="inlineStr"/>
      <c r="AX662" t="inlineStr"/>
      <c r="AY662" t="inlineStr"/>
    </row>
    <row r="663">
      <c r="A663" t="inlineStr">
        <is>
          <t>CIVG</t>
        </is>
      </c>
      <c r="B663" t="inlineStr">
        <is>
          <t>437076BY7 Corp</t>
        </is>
      </c>
      <c r="C663" s="1" t="inlineStr">
        <is>
          <t>437076BY7</t>
        </is>
      </c>
      <c r="D663" t="inlineStr">
        <is>
          <t>Home Depot Inc/The 2.95% 06/15</t>
        </is>
      </c>
      <c r="E663">
        <f>BDP($B663,"LEGAL_ENTITY_IDENTIFIER")</f>
        <v/>
      </c>
      <c r="F663" t="inlineStr">
        <is>
          <t>Home Depot Inc/The 2.95% 06/15/2029</t>
        </is>
      </c>
      <c r="G663">
        <f>custodian!D663</f>
        <v/>
      </c>
      <c r="H663">
        <f>BDP($B663,"ID_ISIN")</f>
        <v/>
      </c>
      <c r="I663" s="1" t="inlineStr"/>
      <c r="J663">
        <f>BDP($B663,"CNTRY_OF_DOMICILE")</f>
        <v/>
      </c>
      <c r="K663" t="inlineStr">
        <is>
          <t>DBT</t>
        </is>
      </c>
      <c r="L663" t="inlineStr">
        <is>
          <t>CORP</t>
        </is>
      </c>
      <c r="M663" t="inlineStr"/>
      <c r="N663" t="inlineStr"/>
      <c r="O663" s="1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s="1" t="inlineStr"/>
      <c r="AR663" s="1" t="inlineStr"/>
      <c r="AS663" s="1" t="inlineStr"/>
      <c r="AT663">
        <f>TEXT(BDP($B663,"MATURITY"),"yyyy-mm-dd")</f>
        <v/>
      </c>
      <c r="AU663">
        <f>BDP($B663,"CPN_TYP")</f>
        <v/>
      </c>
      <c r="AV663">
        <f>BDP($B663,"CPN")</f>
        <v/>
      </c>
      <c r="AW663" t="inlineStr"/>
      <c r="AX663" t="inlineStr"/>
      <c r="AY663" t="inlineStr"/>
    </row>
    <row r="664">
      <c r="A664" t="inlineStr">
        <is>
          <t>CIVG</t>
        </is>
      </c>
      <c r="B664" t="inlineStr">
        <is>
          <t>437076CF7 Corp</t>
        </is>
      </c>
      <c r="C664" s="1" t="inlineStr">
        <is>
          <t>437076CF7</t>
        </is>
      </c>
      <c r="D664" t="inlineStr">
        <is>
          <t>Home Depot Inc/The 1.375% 03/1</t>
        </is>
      </c>
      <c r="E664">
        <f>BDP($B664,"LEGAL_ENTITY_IDENTIFIER")</f>
        <v/>
      </c>
      <c r="F664" t="inlineStr">
        <is>
          <t>Home Depot Inc/The 1.375% 03/15/2031</t>
        </is>
      </c>
      <c r="G664">
        <f>custodian!D664</f>
        <v/>
      </c>
      <c r="H664">
        <f>BDP($B664,"ID_ISIN")</f>
        <v/>
      </c>
      <c r="I664" s="1" t="inlineStr"/>
      <c r="J664">
        <f>BDP($B664,"CNTRY_OF_DOMICILE")</f>
        <v/>
      </c>
      <c r="K664" t="inlineStr">
        <is>
          <t>DBT</t>
        </is>
      </c>
      <c r="L664" t="inlineStr">
        <is>
          <t>CORP</t>
        </is>
      </c>
      <c r="M664" t="inlineStr"/>
      <c r="N664" t="inlineStr"/>
      <c r="O664" s="1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s="1" t="inlineStr"/>
      <c r="AR664" s="1" t="inlineStr"/>
      <c r="AS664" s="1" t="inlineStr"/>
      <c r="AT664">
        <f>TEXT(BDP($B664,"MATURITY"),"yyyy-mm-dd")</f>
        <v/>
      </c>
      <c r="AU664">
        <f>BDP($B664,"CPN_TYP")</f>
        <v/>
      </c>
      <c r="AV664">
        <f>BDP($B664,"CPN")</f>
        <v/>
      </c>
      <c r="AW664" t="inlineStr"/>
      <c r="AX664" t="inlineStr"/>
      <c r="AY664" t="inlineStr"/>
    </row>
    <row r="665">
      <c r="A665" t="inlineStr">
        <is>
          <t>CIVG</t>
        </is>
      </c>
      <c r="B665" t="inlineStr">
        <is>
          <t>43849RAE5 Corp</t>
        </is>
      </c>
      <c r="C665" s="1" t="inlineStr">
        <is>
          <t>43849RAE5</t>
        </is>
      </c>
      <c r="D665" t="inlineStr">
        <is>
          <t>Honeywell Aerospace Inc 4.3% 0</t>
        </is>
      </c>
      <c r="E665">
        <f>BDP($B665,"LEGAL_ENTITY_IDENTIFIER")</f>
        <v/>
      </c>
      <c r="F665" t="inlineStr">
        <is>
          <t>Honeywell Aerospace Inc 4.3% 03/16/2031</t>
        </is>
      </c>
      <c r="G665">
        <f>custodian!D665</f>
        <v/>
      </c>
      <c r="H665">
        <f>BDP($B665,"ID_ISIN")</f>
        <v/>
      </c>
      <c r="I665" s="1" t="inlineStr"/>
      <c r="J665">
        <f>BDP($B665,"CNTRY_OF_DOMICILE")</f>
        <v/>
      </c>
      <c r="K665" t="inlineStr">
        <is>
          <t>DBT</t>
        </is>
      </c>
      <c r="L665" t="inlineStr">
        <is>
          <t>CORP</t>
        </is>
      </c>
      <c r="M665" t="inlineStr"/>
      <c r="N665" t="inlineStr"/>
      <c r="O665" s="1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s="1" t="inlineStr"/>
      <c r="AR665" s="1" t="inlineStr"/>
      <c r="AS665" s="1" t="inlineStr"/>
      <c r="AT665">
        <f>TEXT(BDP($B665,"MATURITY"),"yyyy-mm-dd")</f>
        <v/>
      </c>
      <c r="AU665">
        <f>BDP($B665,"CPN_TYP")</f>
        <v/>
      </c>
      <c r="AV665">
        <f>BDP($B665,"CPN")</f>
        <v/>
      </c>
      <c r="AW665" t="inlineStr"/>
      <c r="AX665" t="inlineStr"/>
      <c r="AY665" t="inlineStr"/>
    </row>
    <row r="666">
      <c r="A666" t="inlineStr">
        <is>
          <t>CIVG</t>
        </is>
      </c>
      <c r="B666" t="inlineStr">
        <is>
          <t>443201AB4 Corp</t>
        </is>
      </c>
      <c r="C666" s="1" t="inlineStr">
        <is>
          <t>443201AB4</t>
        </is>
      </c>
      <c r="D666" t="inlineStr">
        <is>
          <t>Howmet Aerospace Inc 3% 01/15/</t>
        </is>
      </c>
      <c r="E666">
        <f>BDP($B666,"LEGAL_ENTITY_IDENTIFIER")</f>
        <v/>
      </c>
      <c r="F666" t="inlineStr">
        <is>
          <t>Howmet Aerospace Inc 3% 01/15/2029</t>
        </is>
      </c>
      <c r="G666">
        <f>custodian!D666</f>
        <v/>
      </c>
      <c r="H666">
        <f>BDP($B666,"ID_ISIN")</f>
        <v/>
      </c>
      <c r="I666" s="1" t="inlineStr"/>
      <c r="J666">
        <f>BDP($B666,"CNTRY_OF_DOMICILE")</f>
        <v/>
      </c>
      <c r="K666" t="inlineStr">
        <is>
          <t>DBT</t>
        </is>
      </c>
      <c r="L666" t="inlineStr">
        <is>
          <t>CORP</t>
        </is>
      </c>
      <c r="M666" t="inlineStr"/>
      <c r="N666" t="inlineStr"/>
      <c r="O666" s="1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s="1" t="inlineStr"/>
      <c r="AR666" s="1" t="inlineStr"/>
      <c r="AS666" s="1" t="inlineStr"/>
      <c r="AT666">
        <f>TEXT(BDP($B666,"MATURITY"),"yyyy-mm-dd")</f>
        <v/>
      </c>
      <c r="AU666">
        <f>BDP($B666,"CPN_TYP")</f>
        <v/>
      </c>
      <c r="AV666">
        <f>BDP($B666,"CPN")</f>
        <v/>
      </c>
      <c r="AW666" t="inlineStr"/>
      <c r="AX666" t="inlineStr"/>
      <c r="AY666" t="inlineStr"/>
    </row>
    <row r="667">
      <c r="A667" t="inlineStr">
        <is>
          <t>CIVG</t>
        </is>
      </c>
      <c r="B667" t="inlineStr">
        <is>
          <t>446150BC7 Corp</t>
        </is>
      </c>
      <c r="C667" s="1" t="inlineStr">
        <is>
          <t>446150BC7</t>
        </is>
      </c>
      <c r="D667" t="inlineStr">
        <is>
          <t>Huntington Bancshares Inc/OH 6</t>
        </is>
      </c>
      <c r="E667">
        <f>BDP($B667,"LEGAL_ENTITY_IDENTIFIER")</f>
        <v/>
      </c>
      <c r="F667" t="inlineStr">
        <is>
          <t>Huntington Bancshares Inc/OH 6.208% 08/21/2029</t>
        </is>
      </c>
      <c r="G667">
        <f>custodian!D667</f>
        <v/>
      </c>
      <c r="H667">
        <f>BDP($B667,"ID_ISIN")</f>
        <v/>
      </c>
      <c r="I667" s="1" t="inlineStr"/>
      <c r="J667">
        <f>BDP($B667,"CNTRY_OF_DOMICILE")</f>
        <v/>
      </c>
      <c r="K667" t="inlineStr">
        <is>
          <t>DBT</t>
        </is>
      </c>
      <c r="L667" t="inlineStr">
        <is>
          <t>CORP</t>
        </is>
      </c>
      <c r="M667" t="inlineStr"/>
      <c r="N667" t="inlineStr"/>
      <c r="O667" s="1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s="1" t="inlineStr"/>
      <c r="AR667" s="1" t="inlineStr"/>
      <c r="AS667" s="1" t="inlineStr"/>
      <c r="AT667">
        <f>TEXT(BDP($B667,"MATURITY"),"yyyy-mm-dd")</f>
        <v/>
      </c>
      <c r="AU667">
        <f>BDP($B667,"CPN_TYP")</f>
        <v/>
      </c>
      <c r="AV667">
        <f>BDP($B667,"CPN")</f>
        <v/>
      </c>
      <c r="AW667" t="inlineStr"/>
      <c r="AX667" t="inlineStr"/>
      <c r="AY667" t="inlineStr"/>
    </row>
    <row r="668">
      <c r="A668" t="inlineStr">
        <is>
          <t>CIVG</t>
        </is>
      </c>
      <c r="B668" t="inlineStr">
        <is>
          <t>456837BU6 Corp</t>
        </is>
      </c>
      <c r="C668" s="1" t="inlineStr">
        <is>
          <t>456837BU6</t>
        </is>
      </c>
      <c r="D668" t="inlineStr">
        <is>
          <t>ING Groep NV 4.803% 03/23/2032</t>
        </is>
      </c>
      <c r="E668">
        <f>BDP($B668,"LEGAL_ENTITY_IDENTIFIER")</f>
        <v/>
      </c>
      <c r="F668" t="inlineStr">
        <is>
          <t>ING Groep NV 4.803% 03/23/2032</t>
        </is>
      </c>
      <c r="G668">
        <f>custodian!D668</f>
        <v/>
      </c>
      <c r="H668">
        <f>BDP($B668,"ID_ISIN")</f>
        <v/>
      </c>
      <c r="I668" s="1" t="inlineStr"/>
      <c r="J668">
        <f>BDP($B668,"CNTRY_OF_DOMICILE")</f>
        <v/>
      </c>
      <c r="K668" t="inlineStr">
        <is>
          <t>DBT</t>
        </is>
      </c>
      <c r="L668" t="inlineStr">
        <is>
          <t>CORP</t>
        </is>
      </c>
      <c r="M668" t="inlineStr"/>
      <c r="N668" t="inlineStr"/>
      <c r="O668" s="1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s="1" t="inlineStr"/>
      <c r="AR668" s="1" t="inlineStr"/>
      <c r="AS668" s="1" t="inlineStr"/>
      <c r="AT668">
        <f>TEXT(BDP($B668,"MATURITY"),"yyyy-mm-dd")</f>
        <v/>
      </c>
      <c r="AU668">
        <f>BDP($B668,"CPN_TYP")</f>
        <v/>
      </c>
      <c r="AV668">
        <f>BDP($B668,"CPN")</f>
        <v/>
      </c>
      <c r="AW668" t="inlineStr"/>
      <c r="AX668" t="inlineStr"/>
      <c r="AY668" t="inlineStr"/>
    </row>
    <row r="669">
      <c r="A669" t="inlineStr">
        <is>
          <t>CIVG</t>
        </is>
      </c>
      <c r="B669" t="inlineStr">
        <is>
          <t>45866FAV6 Corp</t>
        </is>
      </c>
      <c r="C669" s="1" t="inlineStr">
        <is>
          <t>45866FAV6</t>
        </is>
      </c>
      <c r="D669" t="inlineStr">
        <is>
          <t xml:space="preserve">Intercontinental Exchange Inc </t>
        </is>
      </c>
      <c r="E669">
        <f>BDP($B669,"LEGAL_ENTITY_IDENTIFIER")</f>
        <v/>
      </c>
      <c r="F669" t="inlineStr">
        <is>
          <t>Intercontinental Exchange Inc 4.35% 06/15/2029</t>
        </is>
      </c>
      <c r="G669">
        <f>custodian!D669</f>
        <v/>
      </c>
      <c r="H669">
        <f>BDP($B669,"ID_ISIN")</f>
        <v/>
      </c>
      <c r="I669" s="1" t="inlineStr"/>
      <c r="J669">
        <f>BDP($B669,"CNTRY_OF_DOMICILE")</f>
        <v/>
      </c>
      <c r="K669" t="inlineStr">
        <is>
          <t>DBT</t>
        </is>
      </c>
      <c r="L669" t="inlineStr">
        <is>
          <t>CORP</t>
        </is>
      </c>
      <c r="M669" t="inlineStr"/>
      <c r="N669" t="inlineStr"/>
      <c r="O669" s="1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s="1" t="inlineStr"/>
      <c r="AR669" s="1" t="inlineStr"/>
      <c r="AS669" s="1" t="inlineStr"/>
      <c r="AT669">
        <f>TEXT(BDP($B669,"MATURITY"),"yyyy-mm-dd")</f>
        <v/>
      </c>
      <c r="AU669">
        <f>BDP($B669,"CPN_TYP")</f>
        <v/>
      </c>
      <c r="AV669">
        <f>BDP($B669,"CPN")</f>
        <v/>
      </c>
      <c r="AW669" t="inlineStr"/>
      <c r="AX669" t="inlineStr"/>
      <c r="AY669" t="inlineStr"/>
    </row>
    <row r="670">
      <c r="A670" t="inlineStr">
        <is>
          <t>CIVG</t>
        </is>
      </c>
      <c r="B670" t="inlineStr">
        <is>
          <t>459200KA8 Corp</t>
        </is>
      </c>
      <c r="C670" s="1" t="inlineStr">
        <is>
          <t>459200KA8</t>
        </is>
      </c>
      <c r="D670" t="inlineStr">
        <is>
          <t>International Business Machine</t>
        </is>
      </c>
      <c r="E670">
        <f>BDP($B670,"LEGAL_ENTITY_IDENTIFIER")</f>
        <v/>
      </c>
      <c r="F670" t="inlineStr">
        <is>
          <t>International Business Machines Corp 3.5% 05/15/2029</t>
        </is>
      </c>
      <c r="G670">
        <f>custodian!D670</f>
        <v/>
      </c>
      <c r="H670">
        <f>BDP($B670,"ID_ISIN")</f>
        <v/>
      </c>
      <c r="I670" s="1" t="inlineStr"/>
      <c r="J670">
        <f>BDP($B670,"CNTRY_OF_DOMICILE")</f>
        <v/>
      </c>
      <c r="K670" t="inlineStr">
        <is>
          <t>DBT</t>
        </is>
      </c>
      <c r="L670" t="inlineStr">
        <is>
          <t>CORP</t>
        </is>
      </c>
      <c r="M670" t="inlineStr"/>
      <c r="N670" t="inlineStr"/>
      <c r="O670" s="1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s="1" t="inlineStr"/>
      <c r="AR670" s="1" t="inlineStr"/>
      <c r="AS670" s="1" t="inlineStr"/>
      <c r="AT670">
        <f>TEXT(BDP($B670,"MATURITY"),"yyyy-mm-dd")</f>
        <v/>
      </c>
      <c r="AU670">
        <f>BDP($B670,"CPN_TYP")</f>
        <v/>
      </c>
      <c r="AV670">
        <f>BDP($B670,"CPN")</f>
        <v/>
      </c>
      <c r="AW670" t="inlineStr"/>
      <c r="AX670" t="inlineStr"/>
      <c r="AY670" t="inlineStr"/>
    </row>
    <row r="671">
      <c r="A671" t="inlineStr">
        <is>
          <t>CIVG</t>
        </is>
      </c>
      <c r="B671" t="inlineStr">
        <is>
          <t>46647PDG8 Corp</t>
        </is>
      </c>
      <c r="C671" s="1" t="inlineStr">
        <is>
          <t>46647PDG8</t>
        </is>
      </c>
      <c r="D671" t="inlineStr">
        <is>
          <t>JPMorgan Chase &amp; Co 4.851% 07/</t>
        </is>
      </c>
      <c r="E671">
        <f>BDP($B671,"LEGAL_ENTITY_IDENTIFIER")</f>
        <v/>
      </c>
      <c r="F671" t="inlineStr">
        <is>
          <t>JPMorgan Chase &amp; Co 4.851% 07/25/2028</t>
        </is>
      </c>
      <c r="G671">
        <f>custodian!D671</f>
        <v/>
      </c>
      <c r="H671">
        <f>BDP($B671,"ID_ISIN")</f>
        <v/>
      </c>
      <c r="I671" s="1" t="inlineStr"/>
      <c r="J671">
        <f>BDP($B671,"CNTRY_OF_DOMICILE")</f>
        <v/>
      </c>
      <c r="K671" t="inlineStr">
        <is>
          <t>DBT</t>
        </is>
      </c>
      <c r="L671" t="inlineStr">
        <is>
          <t>CORP</t>
        </is>
      </c>
      <c r="M671" t="inlineStr"/>
      <c r="N671" t="inlineStr"/>
      <c r="O671" s="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s="1" t="inlineStr"/>
      <c r="AR671" s="1" t="inlineStr"/>
      <c r="AS671" s="1" t="inlineStr"/>
      <c r="AT671">
        <f>TEXT(BDP($B671,"MATURITY"),"yyyy-mm-dd")</f>
        <v/>
      </c>
      <c r="AU671">
        <f>BDP($B671,"CPN_TYP")</f>
        <v/>
      </c>
      <c r="AV671">
        <f>BDP($B671,"CPN")</f>
        <v/>
      </c>
      <c r="AW671" t="inlineStr"/>
      <c r="AX671" t="inlineStr"/>
      <c r="AY671" t="inlineStr"/>
    </row>
    <row r="672">
      <c r="A672" t="inlineStr">
        <is>
          <t>CIVG</t>
        </is>
      </c>
      <c r="B672" t="inlineStr">
        <is>
          <t>49271VAF7 Corp</t>
        </is>
      </c>
      <c r="C672" s="1" t="inlineStr">
        <is>
          <t>49271VAF7</t>
        </is>
      </c>
      <c r="D672" t="inlineStr">
        <is>
          <t>Keurig Dr Pepper Inc 4.597% 05</t>
        </is>
      </c>
      <c r="E672">
        <f>BDP($B672,"LEGAL_ENTITY_IDENTIFIER")</f>
        <v/>
      </c>
      <c r="F672" t="inlineStr">
        <is>
          <t>Keurig Dr Pepper Inc 4.597% 05/25/2028</t>
        </is>
      </c>
      <c r="G672">
        <f>custodian!D672</f>
        <v/>
      </c>
      <c r="H672">
        <f>BDP($B672,"ID_ISIN")</f>
        <v/>
      </c>
      <c r="I672" s="1" t="inlineStr"/>
      <c r="J672">
        <f>BDP($B672,"CNTRY_OF_DOMICILE")</f>
        <v/>
      </c>
      <c r="K672" t="inlineStr">
        <is>
          <t>DBT</t>
        </is>
      </c>
      <c r="L672" t="inlineStr">
        <is>
          <t>CORP</t>
        </is>
      </c>
      <c r="M672" t="inlineStr"/>
      <c r="N672" t="inlineStr"/>
      <c r="O672" s="1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s="1" t="inlineStr"/>
      <c r="AR672" s="1" t="inlineStr"/>
      <c r="AS672" s="1" t="inlineStr"/>
      <c r="AT672">
        <f>TEXT(BDP($B672,"MATURITY"),"yyyy-mm-dd")</f>
        <v/>
      </c>
      <c r="AU672">
        <f>BDP($B672,"CPN_TYP")</f>
        <v/>
      </c>
      <c r="AV672">
        <f>BDP($B672,"CPN")</f>
        <v/>
      </c>
      <c r="AW672" t="inlineStr"/>
      <c r="AX672" t="inlineStr"/>
      <c r="AY672" t="inlineStr"/>
    </row>
    <row r="673">
      <c r="A673" t="inlineStr">
        <is>
          <t>CIVG</t>
        </is>
      </c>
      <c r="B673" t="inlineStr">
        <is>
          <t>49271VAU4 Corp</t>
        </is>
      </c>
      <c r="C673" s="1" t="inlineStr">
        <is>
          <t>49271VAU4</t>
        </is>
      </c>
      <c r="D673" t="inlineStr">
        <is>
          <t>Keurig Dr Pepper Inc 5.2% 03/1</t>
        </is>
      </c>
      <c r="E673">
        <f>BDP($B673,"LEGAL_ENTITY_IDENTIFIER")</f>
        <v/>
      </c>
      <c r="F673" t="inlineStr">
        <is>
          <t>Keurig Dr Pepper Inc 5.2% 03/15/2031</t>
        </is>
      </c>
      <c r="G673">
        <f>custodian!D673</f>
        <v/>
      </c>
      <c r="H673">
        <f>BDP($B673,"ID_ISIN")</f>
        <v/>
      </c>
      <c r="I673" s="1" t="inlineStr"/>
      <c r="J673">
        <f>BDP($B673,"CNTRY_OF_DOMICILE")</f>
        <v/>
      </c>
      <c r="K673" t="inlineStr">
        <is>
          <t>DBT</t>
        </is>
      </c>
      <c r="L673" t="inlineStr">
        <is>
          <t>CORP</t>
        </is>
      </c>
      <c r="M673" t="inlineStr"/>
      <c r="N673" t="inlineStr"/>
      <c r="O673" s="1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s="1" t="inlineStr"/>
      <c r="AR673" s="1" t="inlineStr"/>
      <c r="AS673" s="1" t="inlineStr"/>
      <c r="AT673">
        <f>TEXT(BDP($B673,"MATURITY"),"yyyy-mm-dd")</f>
        <v/>
      </c>
      <c r="AU673">
        <f>BDP($B673,"CPN_TYP")</f>
        <v/>
      </c>
      <c r="AV673">
        <f>BDP($B673,"CPN")</f>
        <v/>
      </c>
      <c r="AW673" t="inlineStr"/>
      <c r="AX673" t="inlineStr"/>
      <c r="AY673" t="inlineStr"/>
    </row>
    <row r="674">
      <c r="A674" t="inlineStr">
        <is>
          <t>CIVG</t>
        </is>
      </c>
      <c r="B674" t="inlineStr">
        <is>
          <t>49326EEQ2 Corp</t>
        </is>
      </c>
      <c r="C674" s="1" t="inlineStr">
        <is>
          <t>49326EEQ2</t>
        </is>
      </c>
      <c r="D674" t="inlineStr">
        <is>
          <t>KeyCorp 5.121% 04/04/2031</t>
        </is>
      </c>
      <c r="E674">
        <f>BDP($B674,"LEGAL_ENTITY_IDENTIFIER")</f>
        <v/>
      </c>
      <c r="F674" t="inlineStr">
        <is>
          <t>KeyCorp 5.121% 04/04/2031</t>
        </is>
      </c>
      <c r="G674">
        <f>custodian!D674</f>
        <v/>
      </c>
      <c r="H674">
        <f>BDP($B674,"ID_ISIN")</f>
        <v/>
      </c>
      <c r="I674" s="1" t="inlineStr"/>
      <c r="J674">
        <f>BDP($B674,"CNTRY_OF_DOMICILE")</f>
        <v/>
      </c>
      <c r="K674" t="inlineStr">
        <is>
          <t>DBT</t>
        </is>
      </c>
      <c r="L674" t="inlineStr">
        <is>
          <t>CORP</t>
        </is>
      </c>
      <c r="M674" t="inlineStr"/>
      <c r="N674" t="inlineStr"/>
      <c r="O674" s="1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s="1" t="inlineStr"/>
      <c r="AR674" s="1" t="inlineStr"/>
      <c r="AS674" s="1" t="inlineStr"/>
      <c r="AT674">
        <f>TEXT(BDP($B674,"MATURITY"),"yyyy-mm-dd")</f>
        <v/>
      </c>
      <c r="AU674">
        <f>BDP($B674,"CPN_TYP")</f>
        <v/>
      </c>
      <c r="AV674">
        <f>BDP($B674,"CPN")</f>
        <v/>
      </c>
      <c r="AW674" t="inlineStr"/>
      <c r="AX674" t="inlineStr"/>
      <c r="AY674" t="inlineStr"/>
    </row>
    <row r="675">
      <c r="A675" t="inlineStr">
        <is>
          <t>CIVG</t>
        </is>
      </c>
      <c r="B675" t="inlineStr">
        <is>
          <t>52532XAH8 Corp</t>
        </is>
      </c>
      <c r="C675" s="1" t="inlineStr">
        <is>
          <t>52532XAH8</t>
        </is>
      </c>
      <c r="D675" t="inlineStr">
        <is>
          <t>Leidos Inc 2.3% 02/15/2031</t>
        </is>
      </c>
      <c r="E675">
        <f>BDP($B675,"LEGAL_ENTITY_IDENTIFIER")</f>
        <v/>
      </c>
      <c r="F675" t="inlineStr">
        <is>
          <t>Leidos Inc 2.3% 02/15/2031</t>
        </is>
      </c>
      <c r="G675">
        <f>custodian!D675</f>
        <v/>
      </c>
      <c r="H675">
        <f>BDP($B675,"ID_ISIN")</f>
        <v/>
      </c>
      <c r="I675" s="1" t="inlineStr"/>
      <c r="J675">
        <f>BDP($B675,"CNTRY_OF_DOMICILE")</f>
        <v/>
      </c>
      <c r="K675" t="inlineStr">
        <is>
          <t>DBT</t>
        </is>
      </c>
      <c r="L675" t="inlineStr">
        <is>
          <t>CORP</t>
        </is>
      </c>
      <c r="M675" t="inlineStr"/>
      <c r="N675" t="inlineStr"/>
      <c r="O675" s="1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s="1" t="inlineStr"/>
      <c r="AR675" s="1" t="inlineStr"/>
      <c r="AS675" s="1" t="inlineStr"/>
      <c r="AT675">
        <f>TEXT(BDP($B675,"MATURITY"),"yyyy-mm-dd")</f>
        <v/>
      </c>
      <c r="AU675">
        <f>BDP($B675,"CPN_TYP")</f>
        <v/>
      </c>
      <c r="AV675">
        <f>BDP($B675,"CPN")</f>
        <v/>
      </c>
      <c r="AW675" t="inlineStr"/>
      <c r="AX675" t="inlineStr"/>
      <c r="AY675" t="inlineStr"/>
    </row>
    <row r="676">
      <c r="A676" t="inlineStr">
        <is>
          <t>CIVG</t>
        </is>
      </c>
      <c r="B676" t="inlineStr">
        <is>
          <t>539439AQ2 Corp</t>
        </is>
      </c>
      <c r="C676" s="1" t="inlineStr">
        <is>
          <t>539439AQ2</t>
        </is>
      </c>
      <c r="D676" t="inlineStr">
        <is>
          <t>Lloyds Banking Group PLC 3.574</t>
        </is>
      </c>
      <c r="E676">
        <f>BDP($B676,"LEGAL_ENTITY_IDENTIFIER")</f>
        <v/>
      </c>
      <c r="F676" t="inlineStr">
        <is>
          <t>Lloyds Banking Group PLC 3.574% 11/07/2028</t>
        </is>
      </c>
      <c r="G676">
        <f>custodian!D676</f>
        <v/>
      </c>
      <c r="H676">
        <f>BDP($B676,"ID_ISIN")</f>
        <v/>
      </c>
      <c r="I676" s="1" t="inlineStr"/>
      <c r="J676">
        <f>BDP($B676,"CNTRY_OF_DOMICILE")</f>
        <v/>
      </c>
      <c r="K676" t="inlineStr">
        <is>
          <t>DBT</t>
        </is>
      </c>
      <c r="L676" t="inlineStr">
        <is>
          <t>CORP</t>
        </is>
      </c>
      <c r="M676" t="inlineStr"/>
      <c r="N676" t="inlineStr"/>
      <c r="O676" s="1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s="1" t="inlineStr"/>
      <c r="AR676" s="1" t="inlineStr"/>
      <c r="AS676" s="1" t="inlineStr"/>
      <c r="AT676">
        <f>TEXT(BDP($B676,"MATURITY"),"yyyy-mm-dd")</f>
        <v/>
      </c>
      <c r="AU676">
        <f>BDP($B676,"CPN_TYP")</f>
        <v/>
      </c>
      <c r="AV676">
        <f>BDP($B676,"CPN")</f>
        <v/>
      </c>
      <c r="AW676" t="inlineStr"/>
      <c r="AX676" t="inlineStr"/>
      <c r="AY676" t="inlineStr"/>
    </row>
    <row r="677">
      <c r="A677" t="inlineStr">
        <is>
          <t>CIVG</t>
        </is>
      </c>
      <c r="B677" t="inlineStr">
        <is>
          <t>548661EA1 Corp</t>
        </is>
      </c>
      <c r="C677" s="1" t="inlineStr">
        <is>
          <t>548661EA1</t>
        </is>
      </c>
      <c r="D677" t="inlineStr">
        <is>
          <t>Lowe's Cos Inc 2.625% 04/01/20</t>
        </is>
      </c>
      <c r="E677">
        <f>BDP($B677,"LEGAL_ENTITY_IDENTIFIER")</f>
        <v/>
      </c>
      <c r="F677" t="inlineStr">
        <is>
          <t>Lowe's Cos Inc 2.625% 04/01/2031</t>
        </is>
      </c>
      <c r="G677">
        <f>custodian!D677</f>
        <v/>
      </c>
      <c r="H677">
        <f>BDP($B677,"ID_ISIN")</f>
        <v/>
      </c>
      <c r="I677" s="1" t="inlineStr"/>
      <c r="J677">
        <f>BDP($B677,"CNTRY_OF_DOMICILE")</f>
        <v/>
      </c>
      <c r="K677" t="inlineStr">
        <is>
          <t>DBT</t>
        </is>
      </c>
      <c r="L677" t="inlineStr">
        <is>
          <t>CORP</t>
        </is>
      </c>
      <c r="M677" t="inlineStr"/>
      <c r="N677" t="inlineStr"/>
      <c r="O677" s="1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s="1" t="inlineStr"/>
      <c r="AR677" s="1" t="inlineStr"/>
      <c r="AS677" s="1" t="inlineStr"/>
      <c r="AT677">
        <f>TEXT(BDP($B677,"MATURITY"),"yyyy-mm-dd")</f>
        <v/>
      </c>
      <c r="AU677">
        <f>BDP($B677,"CPN_TYP")</f>
        <v/>
      </c>
      <c r="AV677">
        <f>BDP($B677,"CPN")</f>
        <v/>
      </c>
      <c r="AW677" t="inlineStr"/>
      <c r="AX677" t="inlineStr"/>
      <c r="AY677" t="inlineStr"/>
    </row>
    <row r="678">
      <c r="A678" t="inlineStr">
        <is>
          <t>CIVG</t>
        </is>
      </c>
      <c r="B678" t="inlineStr">
        <is>
          <t>55261FAS3 Corp</t>
        </is>
      </c>
      <c r="C678" s="1" t="inlineStr">
        <is>
          <t>55261FAS3</t>
        </is>
      </c>
      <c r="D678" t="inlineStr">
        <is>
          <t>M&amp;T Bank Corp 7.413% 10/30/202</t>
        </is>
      </c>
      <c r="E678">
        <f>BDP($B678,"LEGAL_ENTITY_IDENTIFIER")</f>
        <v/>
      </c>
      <c r="F678" t="inlineStr">
        <is>
          <t>M&amp;T Bank Corp 7.413% 10/30/2029</t>
        </is>
      </c>
      <c r="G678">
        <f>custodian!D678</f>
        <v/>
      </c>
      <c r="H678">
        <f>BDP($B678,"ID_ISIN")</f>
        <v/>
      </c>
      <c r="I678" s="1" t="inlineStr"/>
      <c r="J678">
        <f>BDP($B678,"CNTRY_OF_DOMICILE")</f>
        <v/>
      </c>
      <c r="K678" t="inlineStr">
        <is>
          <t>DBT</t>
        </is>
      </c>
      <c r="L678" t="inlineStr">
        <is>
          <t>CORP</t>
        </is>
      </c>
      <c r="M678" t="inlineStr"/>
      <c r="N678" t="inlineStr"/>
      <c r="O678" s="1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s="1" t="inlineStr"/>
      <c r="AR678" s="1" t="inlineStr"/>
      <c r="AS678" s="1" t="inlineStr"/>
      <c r="AT678">
        <f>TEXT(BDP($B678,"MATURITY"),"yyyy-mm-dd")</f>
        <v/>
      </c>
      <c r="AU678">
        <f>BDP($B678,"CPN_TYP")</f>
        <v/>
      </c>
      <c r="AV678">
        <f>BDP($B678,"CPN")</f>
        <v/>
      </c>
      <c r="AW678" t="inlineStr"/>
      <c r="AX678" t="inlineStr"/>
      <c r="AY678" t="inlineStr"/>
    </row>
    <row r="679">
      <c r="A679" t="inlineStr">
        <is>
          <t>CIVG</t>
        </is>
      </c>
      <c r="B679" t="inlineStr">
        <is>
          <t>55261FAT1 Corp</t>
        </is>
      </c>
      <c r="C679" s="1" t="inlineStr">
        <is>
          <t>55261FAT1</t>
        </is>
      </c>
      <c r="D679" t="inlineStr">
        <is>
          <t>M&amp;T Bank Corp 6.082% 03/13/203</t>
        </is>
      </c>
      <c r="E679">
        <f>BDP($B679,"LEGAL_ENTITY_IDENTIFIER")</f>
        <v/>
      </c>
      <c r="F679" t="inlineStr">
        <is>
          <t>M&amp;T Bank Corp 6.082% 03/13/2032</t>
        </is>
      </c>
      <c r="G679">
        <f>custodian!D679</f>
        <v/>
      </c>
      <c r="H679">
        <f>BDP($B679,"ID_ISIN")</f>
        <v/>
      </c>
      <c r="I679" s="1" t="inlineStr"/>
      <c r="J679">
        <f>BDP($B679,"CNTRY_OF_DOMICILE")</f>
        <v/>
      </c>
      <c r="K679" t="inlineStr">
        <is>
          <t>DBT</t>
        </is>
      </c>
      <c r="L679" t="inlineStr">
        <is>
          <t>CORP</t>
        </is>
      </c>
      <c r="M679" t="inlineStr"/>
      <c r="N679" t="inlineStr"/>
      <c r="O679" s="1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s="1" t="inlineStr"/>
      <c r="AR679" s="1" t="inlineStr"/>
      <c r="AS679" s="1" t="inlineStr"/>
      <c r="AT679">
        <f>TEXT(BDP($B679,"MATURITY"),"yyyy-mm-dd")</f>
        <v/>
      </c>
      <c r="AU679">
        <f>BDP($B679,"CPN_TYP")</f>
        <v/>
      </c>
      <c r="AV679">
        <f>BDP($B679,"CPN")</f>
        <v/>
      </c>
      <c r="AW679" t="inlineStr"/>
      <c r="AX679" t="inlineStr"/>
      <c r="AY679" t="inlineStr"/>
    </row>
    <row r="680">
      <c r="A680" t="inlineStr">
        <is>
          <t>CIVG</t>
        </is>
      </c>
      <c r="B680" t="inlineStr">
        <is>
          <t>55336VCA6 Corp</t>
        </is>
      </c>
      <c r="C680" s="1" t="inlineStr">
        <is>
          <t>55336VCA6</t>
        </is>
      </c>
      <c r="D680" t="inlineStr">
        <is>
          <t>MPLX LP 4.8% 02/15/2031</t>
        </is>
      </c>
      <c r="E680">
        <f>BDP($B680,"LEGAL_ENTITY_IDENTIFIER")</f>
        <v/>
      </c>
      <c r="F680" t="inlineStr">
        <is>
          <t>MPLX LP 4.8% 02/15/2031</t>
        </is>
      </c>
      <c r="G680">
        <f>custodian!D680</f>
        <v/>
      </c>
      <c r="H680">
        <f>BDP($B680,"ID_ISIN")</f>
        <v/>
      </c>
      <c r="I680" s="1" t="inlineStr"/>
      <c r="J680">
        <f>BDP($B680,"CNTRY_OF_DOMICILE")</f>
        <v/>
      </c>
      <c r="K680" t="inlineStr">
        <is>
          <t>DBT</t>
        </is>
      </c>
      <c r="L680" t="inlineStr">
        <is>
          <t>CORP</t>
        </is>
      </c>
      <c r="M680" t="inlineStr"/>
      <c r="N680" t="inlineStr"/>
      <c r="O680" s="1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s="1" t="inlineStr"/>
      <c r="AR680" s="1" t="inlineStr"/>
      <c r="AS680" s="1" t="inlineStr"/>
      <c r="AT680">
        <f>TEXT(BDP($B680,"MATURITY"),"yyyy-mm-dd")</f>
        <v/>
      </c>
      <c r="AU680">
        <f>BDP($B680,"CPN_TYP")</f>
        <v/>
      </c>
      <c r="AV680">
        <f>BDP($B680,"CPN")</f>
        <v/>
      </c>
      <c r="AW680" t="inlineStr"/>
      <c r="AX680" t="inlineStr"/>
      <c r="AY680" t="inlineStr"/>
    </row>
    <row r="681">
      <c r="A681" t="inlineStr">
        <is>
          <t>CIVG</t>
        </is>
      </c>
      <c r="B681" t="inlineStr">
        <is>
          <t>571748BG6 Corp</t>
        </is>
      </c>
      <c r="C681" s="1" t="inlineStr">
        <is>
          <t>571748BG6</t>
        </is>
      </c>
      <c r="D681" t="inlineStr">
        <is>
          <t>Marsh &amp; McLennan Cos Inc 4.375</t>
        </is>
      </c>
      <c r="E681">
        <f>BDP($B681,"LEGAL_ENTITY_IDENTIFIER")</f>
        <v/>
      </c>
      <c r="F681" t="inlineStr">
        <is>
          <t>Marsh &amp; McLennan Cos Inc 4.375% 03/15/2029</t>
        </is>
      </c>
      <c r="G681">
        <f>custodian!D681</f>
        <v/>
      </c>
      <c r="H681">
        <f>BDP($B681,"ID_ISIN")</f>
        <v/>
      </c>
      <c r="I681" s="1" t="inlineStr"/>
      <c r="J681">
        <f>BDP($B681,"CNTRY_OF_DOMICILE")</f>
        <v/>
      </c>
      <c r="K681" t="inlineStr">
        <is>
          <t>DBT</t>
        </is>
      </c>
      <c r="L681" t="inlineStr">
        <is>
          <t>CORP</t>
        </is>
      </c>
      <c r="M681" t="inlineStr"/>
      <c r="N681" t="inlineStr"/>
      <c r="O681" s="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s="1" t="inlineStr"/>
      <c r="AR681" s="1" t="inlineStr"/>
      <c r="AS681" s="1" t="inlineStr"/>
      <c r="AT681">
        <f>TEXT(BDP($B681,"MATURITY"),"yyyy-mm-dd")</f>
        <v/>
      </c>
      <c r="AU681">
        <f>BDP($B681,"CPN_TYP")</f>
        <v/>
      </c>
      <c r="AV681">
        <f>BDP($B681,"CPN")</f>
        <v/>
      </c>
      <c r="AW681" t="inlineStr"/>
      <c r="AX681" t="inlineStr"/>
      <c r="AY681" t="inlineStr"/>
    </row>
    <row r="682">
      <c r="A682" t="inlineStr">
        <is>
          <t>CIVG</t>
        </is>
      </c>
      <c r="B682" t="inlineStr">
        <is>
          <t>571903BE2 Corp</t>
        </is>
      </c>
      <c r="C682" s="1" t="inlineStr">
        <is>
          <t>571903BE2</t>
        </is>
      </c>
      <c r="D682" t="inlineStr">
        <is>
          <t xml:space="preserve">Marriott International Inc/MD </t>
        </is>
      </c>
      <c r="E682">
        <f>BDP($B682,"LEGAL_ENTITY_IDENTIFIER")</f>
        <v/>
      </c>
      <c r="F682" t="inlineStr">
        <is>
          <t>Marriott International Inc/MD 4.625% 06/15/2030</t>
        </is>
      </c>
      <c r="G682">
        <f>custodian!D682</f>
        <v/>
      </c>
      <c r="H682">
        <f>BDP($B682,"ID_ISIN")</f>
        <v/>
      </c>
      <c r="I682" s="1" t="inlineStr"/>
      <c r="J682">
        <f>BDP($B682,"CNTRY_OF_DOMICILE")</f>
        <v/>
      </c>
      <c r="K682" t="inlineStr">
        <is>
          <t>DBT</t>
        </is>
      </c>
      <c r="L682" t="inlineStr">
        <is>
          <t>CORP</t>
        </is>
      </c>
      <c r="M682" t="inlineStr"/>
      <c r="N682" t="inlineStr"/>
      <c r="O682" s="1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s="1" t="inlineStr"/>
      <c r="AR682" s="1" t="inlineStr"/>
      <c r="AS682" s="1" t="inlineStr"/>
      <c r="AT682">
        <f>TEXT(BDP($B682,"MATURITY"),"yyyy-mm-dd")</f>
        <v/>
      </c>
      <c r="AU682">
        <f>BDP($B682,"CPN_TYP")</f>
        <v/>
      </c>
      <c r="AV682">
        <f>BDP($B682,"CPN")</f>
        <v/>
      </c>
      <c r="AW682" t="inlineStr"/>
      <c r="AX682" t="inlineStr"/>
      <c r="AY682" t="inlineStr"/>
    </row>
    <row r="683">
      <c r="A683" t="inlineStr">
        <is>
          <t>CIVG</t>
        </is>
      </c>
      <c r="B683" t="inlineStr">
        <is>
          <t>57636QAM6 Corp</t>
        </is>
      </c>
      <c r="C683" s="1" t="inlineStr">
        <is>
          <t>57636QAM6</t>
        </is>
      </c>
      <c r="D683" t="inlineStr">
        <is>
          <t>Mastercard Inc 2.95% 06/01/202</t>
        </is>
      </c>
      <c r="E683">
        <f>BDP($B683,"LEGAL_ENTITY_IDENTIFIER")</f>
        <v/>
      </c>
      <c r="F683" t="inlineStr">
        <is>
          <t>Mastercard Inc 2.95% 06/01/2029</t>
        </is>
      </c>
      <c r="G683">
        <f>custodian!D683</f>
        <v/>
      </c>
      <c r="H683">
        <f>BDP($B683,"ID_ISIN")</f>
        <v/>
      </c>
      <c r="I683" s="1" t="inlineStr"/>
      <c r="J683">
        <f>BDP($B683,"CNTRY_OF_DOMICILE")</f>
        <v/>
      </c>
      <c r="K683" t="inlineStr">
        <is>
          <t>DBT</t>
        </is>
      </c>
      <c r="L683" t="inlineStr">
        <is>
          <t>CORP</t>
        </is>
      </c>
      <c r="M683" t="inlineStr"/>
      <c r="N683" t="inlineStr"/>
      <c r="O683" s="1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s="1" t="inlineStr"/>
      <c r="AR683" s="1" t="inlineStr"/>
      <c r="AS683" s="1" t="inlineStr"/>
      <c r="AT683">
        <f>TEXT(BDP($B683,"MATURITY"),"yyyy-mm-dd")</f>
        <v/>
      </c>
      <c r="AU683">
        <f>BDP($B683,"CPN_TYP")</f>
        <v/>
      </c>
      <c r="AV683">
        <f>BDP($B683,"CPN")</f>
        <v/>
      </c>
      <c r="AW683" t="inlineStr"/>
      <c r="AX683" t="inlineStr"/>
      <c r="AY683" t="inlineStr"/>
    </row>
    <row r="684">
      <c r="A684" t="inlineStr">
        <is>
          <t>CIVG</t>
        </is>
      </c>
      <c r="B684" t="inlineStr">
        <is>
          <t>58933YAX3 Corp</t>
        </is>
      </c>
      <c r="C684" s="1" t="inlineStr">
        <is>
          <t>58933YAX3</t>
        </is>
      </c>
      <c r="D684" t="inlineStr">
        <is>
          <t>Merck &amp; Co Inc 3.4% 03/07/2029</t>
        </is>
      </c>
      <c r="E684">
        <f>BDP($B684,"LEGAL_ENTITY_IDENTIFIER")</f>
        <v/>
      </c>
      <c r="F684" t="inlineStr">
        <is>
          <t>Merck &amp; Co Inc 3.4% 03/07/2029</t>
        </is>
      </c>
      <c r="G684">
        <f>custodian!D684</f>
        <v/>
      </c>
      <c r="H684">
        <f>BDP($B684,"ID_ISIN")</f>
        <v/>
      </c>
      <c r="I684" s="1" t="inlineStr"/>
      <c r="J684">
        <f>BDP($B684,"CNTRY_OF_DOMICILE")</f>
        <v/>
      </c>
      <c r="K684" t="inlineStr">
        <is>
          <t>DBT</t>
        </is>
      </c>
      <c r="L684" t="inlineStr">
        <is>
          <t>CORP</t>
        </is>
      </c>
      <c r="M684" t="inlineStr"/>
      <c r="N684" t="inlineStr"/>
      <c r="O684" s="1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s="1" t="inlineStr"/>
      <c r="AR684" s="1" t="inlineStr"/>
      <c r="AS684" s="1" t="inlineStr"/>
      <c r="AT684">
        <f>TEXT(BDP($B684,"MATURITY"),"yyyy-mm-dd")</f>
        <v/>
      </c>
      <c r="AU684">
        <f>BDP($B684,"CPN_TYP")</f>
        <v/>
      </c>
      <c r="AV684">
        <f>BDP($B684,"CPN")</f>
        <v/>
      </c>
      <c r="AW684" t="inlineStr"/>
      <c r="AX684" t="inlineStr"/>
      <c r="AY684" t="inlineStr"/>
    </row>
    <row r="685">
      <c r="A685" t="inlineStr">
        <is>
          <t>CIVG</t>
        </is>
      </c>
      <c r="B685" t="inlineStr">
        <is>
          <t>595017BE3 Corp</t>
        </is>
      </c>
      <c r="C685" s="1" t="inlineStr">
        <is>
          <t>595017BE3</t>
        </is>
      </c>
      <c r="D685" t="inlineStr">
        <is>
          <t>Microchip Technology Inc 5.05%</t>
        </is>
      </c>
      <c r="E685">
        <f>BDP($B685,"LEGAL_ENTITY_IDENTIFIER")</f>
        <v/>
      </c>
      <c r="F685" t="inlineStr">
        <is>
          <t>Microchip Technology Inc 5.05% 03/15/2029</t>
        </is>
      </c>
      <c r="G685">
        <f>custodian!D685</f>
        <v/>
      </c>
      <c r="H685">
        <f>BDP($B685,"ID_ISIN")</f>
        <v/>
      </c>
      <c r="I685" s="1" t="inlineStr"/>
      <c r="J685">
        <f>BDP($B685,"CNTRY_OF_DOMICILE")</f>
        <v/>
      </c>
      <c r="K685" t="inlineStr">
        <is>
          <t>DBT</t>
        </is>
      </c>
      <c r="L685" t="inlineStr">
        <is>
          <t>CORP</t>
        </is>
      </c>
      <c r="M685" t="inlineStr"/>
      <c r="N685" t="inlineStr"/>
      <c r="O685" s="1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s="1" t="inlineStr"/>
      <c r="AR685" s="1" t="inlineStr"/>
      <c r="AS685" s="1" t="inlineStr"/>
      <c r="AT685">
        <f>TEXT(BDP($B685,"MATURITY"),"yyyy-mm-dd")</f>
        <v/>
      </c>
      <c r="AU685">
        <f>BDP($B685,"CPN_TYP")</f>
        <v/>
      </c>
      <c r="AV685">
        <f>BDP($B685,"CPN")</f>
        <v/>
      </c>
      <c r="AW685" t="inlineStr"/>
      <c r="AX685" t="inlineStr"/>
      <c r="AY685" t="inlineStr"/>
    </row>
    <row r="686">
      <c r="A686" t="inlineStr">
        <is>
          <t>CIVG</t>
        </is>
      </c>
      <c r="B686" t="inlineStr">
        <is>
          <t>595620AT2 Corp</t>
        </is>
      </c>
      <c r="C686" s="1" t="inlineStr">
        <is>
          <t>595620AT2</t>
        </is>
      </c>
      <c r="D686" t="inlineStr">
        <is>
          <t>MidAmerican Energy Co 3.65% 04</t>
        </is>
      </c>
      <c r="E686">
        <f>BDP($B686,"LEGAL_ENTITY_IDENTIFIER")</f>
        <v/>
      </c>
      <c r="F686" t="inlineStr">
        <is>
          <t>MidAmerican Energy Co 3.65% 04/15/2029</t>
        </is>
      </c>
      <c r="G686">
        <f>custodian!D686</f>
        <v/>
      </c>
      <c r="H686">
        <f>BDP($B686,"ID_ISIN")</f>
        <v/>
      </c>
      <c r="I686" s="1" t="inlineStr"/>
      <c r="J686">
        <f>BDP($B686,"CNTRY_OF_DOMICILE")</f>
        <v/>
      </c>
      <c r="K686" t="inlineStr">
        <is>
          <t>DBT</t>
        </is>
      </c>
      <c r="L686" t="inlineStr">
        <is>
          <t>CORP</t>
        </is>
      </c>
      <c r="M686" t="inlineStr"/>
      <c r="N686" t="inlineStr"/>
      <c r="O686" s="1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s="1" t="inlineStr"/>
      <c r="AR686" s="1" t="inlineStr"/>
      <c r="AS686" s="1" t="inlineStr"/>
      <c r="AT686">
        <f>TEXT(BDP($B686,"MATURITY"),"yyyy-mm-dd")</f>
        <v/>
      </c>
      <c r="AU686">
        <f>BDP($B686,"CPN_TYP")</f>
        <v/>
      </c>
      <c r="AV686">
        <f>BDP($B686,"CPN")</f>
        <v/>
      </c>
      <c r="AW686" t="inlineStr"/>
      <c r="AX686" t="inlineStr"/>
      <c r="AY686" t="inlineStr"/>
    </row>
    <row r="687">
      <c r="A687" t="inlineStr">
        <is>
          <t>CIVG</t>
        </is>
      </c>
      <c r="B687" t="inlineStr">
        <is>
          <t>606822BM5 Corp</t>
        </is>
      </c>
      <c r="C687" s="1" t="inlineStr">
        <is>
          <t>606822BM5</t>
        </is>
      </c>
      <c r="D687" t="inlineStr">
        <is>
          <t>Mitsubishi UFJ Financial Group</t>
        </is>
      </c>
      <c r="E687">
        <f>BDP($B687,"LEGAL_ENTITY_IDENTIFIER")</f>
        <v/>
      </c>
      <c r="F687" t="inlineStr">
        <is>
          <t>Mitsubishi UFJ Financial Group Inc 3.195% 07/18/2029</t>
        </is>
      </c>
      <c r="G687">
        <f>custodian!D687</f>
        <v/>
      </c>
      <c r="H687">
        <f>BDP($B687,"ID_ISIN")</f>
        <v/>
      </c>
      <c r="I687" s="1" t="inlineStr"/>
      <c r="J687">
        <f>BDP($B687,"CNTRY_OF_DOMICILE")</f>
        <v/>
      </c>
      <c r="K687" t="inlineStr">
        <is>
          <t>DBT</t>
        </is>
      </c>
      <c r="L687" t="inlineStr">
        <is>
          <t>CORP</t>
        </is>
      </c>
      <c r="M687" t="inlineStr"/>
      <c r="N687" t="inlineStr"/>
      <c r="O687" s="1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s="1" t="inlineStr"/>
      <c r="AR687" s="1" t="inlineStr"/>
      <c r="AS687" s="1" t="inlineStr"/>
      <c r="AT687">
        <f>TEXT(BDP($B687,"MATURITY"),"yyyy-mm-dd")</f>
        <v/>
      </c>
      <c r="AU687">
        <f>BDP($B687,"CPN_TYP")</f>
        <v/>
      </c>
      <c r="AV687">
        <f>BDP($B687,"CPN")</f>
        <v/>
      </c>
      <c r="AW687" t="inlineStr"/>
      <c r="AX687" t="inlineStr"/>
      <c r="AY687" t="inlineStr"/>
    </row>
    <row r="688">
      <c r="A688" t="inlineStr">
        <is>
          <t>CIVG</t>
        </is>
      </c>
      <c r="B688" t="inlineStr">
        <is>
          <t>606822DW1 Corp</t>
        </is>
      </c>
      <c r="C688" s="1" t="inlineStr">
        <is>
          <t>606822DW1</t>
        </is>
      </c>
      <c r="D688" t="inlineStr">
        <is>
          <t>Mitsubishi UFJ Financial Group</t>
        </is>
      </c>
      <c r="E688">
        <f>BDP($B688,"LEGAL_ENTITY_IDENTIFIER")</f>
        <v/>
      </c>
      <c r="F688" t="inlineStr">
        <is>
          <t>Mitsubishi UFJ Financial Group Inc 4.847% 04/21/2032</t>
        </is>
      </c>
      <c r="G688">
        <f>custodian!D688</f>
        <v/>
      </c>
      <c r="H688">
        <f>BDP($B688,"ID_ISIN")</f>
        <v/>
      </c>
      <c r="I688" s="1" t="inlineStr"/>
      <c r="J688">
        <f>BDP($B688,"CNTRY_OF_DOMICILE")</f>
        <v/>
      </c>
      <c r="K688" t="inlineStr">
        <is>
          <t>DBT</t>
        </is>
      </c>
      <c r="L688" t="inlineStr">
        <is>
          <t>CORP</t>
        </is>
      </c>
      <c r="M688" t="inlineStr"/>
      <c r="N688" t="inlineStr"/>
      <c r="O688" s="1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s="1" t="inlineStr"/>
      <c r="AR688" s="1" t="inlineStr"/>
      <c r="AS688" s="1" t="inlineStr"/>
      <c r="AT688">
        <f>TEXT(BDP($B688,"MATURITY"),"yyyy-mm-dd")</f>
        <v/>
      </c>
      <c r="AU688">
        <f>BDP($B688,"CPN_TYP")</f>
        <v/>
      </c>
      <c r="AV688">
        <f>BDP($B688,"CPN")</f>
        <v/>
      </c>
      <c r="AW688" t="inlineStr"/>
      <c r="AX688" t="inlineStr"/>
      <c r="AY688" t="inlineStr"/>
    </row>
    <row r="689">
      <c r="A689" t="inlineStr">
        <is>
          <t>CIVG</t>
        </is>
      </c>
      <c r="B689" t="inlineStr">
        <is>
          <t>60687YCR8 Corp</t>
        </is>
      </c>
      <c r="C689" s="1" t="inlineStr">
        <is>
          <t>60687YCR8</t>
        </is>
      </c>
      <c r="D689" t="inlineStr">
        <is>
          <t>Mizuho Financial Group Inc 5.7</t>
        </is>
      </c>
      <c r="E689">
        <f>BDP($B689,"LEGAL_ENTITY_IDENTIFIER")</f>
        <v/>
      </c>
      <c r="F689" t="inlineStr">
        <is>
          <t>Mizuho Financial Group Inc 5.739% 05/27/2031</t>
        </is>
      </c>
      <c r="G689">
        <f>custodian!D689</f>
        <v/>
      </c>
      <c r="H689">
        <f>BDP($B689,"ID_ISIN")</f>
        <v/>
      </c>
      <c r="I689" s="1" t="inlineStr"/>
      <c r="J689">
        <f>BDP($B689,"CNTRY_OF_DOMICILE")</f>
        <v/>
      </c>
      <c r="K689" t="inlineStr">
        <is>
          <t>DBT</t>
        </is>
      </c>
      <c r="L689" t="inlineStr">
        <is>
          <t>CORP</t>
        </is>
      </c>
      <c r="M689" t="inlineStr"/>
      <c r="N689" t="inlineStr"/>
      <c r="O689" s="1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s="1" t="inlineStr"/>
      <c r="AR689" s="1" t="inlineStr"/>
      <c r="AS689" s="1" t="inlineStr"/>
      <c r="AT689">
        <f>TEXT(BDP($B689,"MATURITY"),"yyyy-mm-dd")</f>
        <v/>
      </c>
      <c r="AU689">
        <f>BDP($B689,"CPN_TYP")</f>
        <v/>
      </c>
      <c r="AV689">
        <f>BDP($B689,"CPN")</f>
        <v/>
      </c>
      <c r="AW689" t="inlineStr"/>
      <c r="AX689" t="inlineStr"/>
      <c r="AY689" t="inlineStr"/>
    </row>
    <row r="690">
      <c r="A690" t="inlineStr">
        <is>
          <t>CIVG</t>
        </is>
      </c>
      <c r="B690" t="inlineStr">
        <is>
          <t>6174468G7 Corp</t>
        </is>
      </c>
      <c r="C690" s="1" t="inlineStr">
        <is>
          <t>6174468G7</t>
        </is>
      </c>
      <c r="D690" t="inlineStr">
        <is>
          <t>Morgan Stanley 4.431% 01/23/20</t>
        </is>
      </c>
      <c r="E690">
        <f>BDP($B690,"LEGAL_ENTITY_IDENTIFIER")</f>
        <v/>
      </c>
      <c r="F690" t="inlineStr">
        <is>
          <t>Morgan Stanley 4.431% 01/23/2030</t>
        </is>
      </c>
      <c r="G690">
        <f>custodian!D690</f>
        <v/>
      </c>
      <c r="H690">
        <f>BDP($B690,"ID_ISIN")</f>
        <v/>
      </c>
      <c r="I690" s="1" t="inlineStr"/>
      <c r="J690">
        <f>BDP($B690,"CNTRY_OF_DOMICILE")</f>
        <v/>
      </c>
      <c r="K690" t="inlineStr">
        <is>
          <t>DBT</t>
        </is>
      </c>
      <c r="L690" t="inlineStr">
        <is>
          <t>CORP</t>
        </is>
      </c>
      <c r="M690" t="inlineStr"/>
      <c r="N690" t="inlineStr"/>
      <c r="O690" s="1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s="1" t="inlineStr"/>
      <c r="AR690" s="1" t="inlineStr"/>
      <c r="AS690" s="1" t="inlineStr"/>
      <c r="AT690">
        <f>TEXT(BDP($B690,"MATURITY"),"yyyy-mm-dd")</f>
        <v/>
      </c>
      <c r="AU690">
        <f>BDP($B690,"CPN_TYP")</f>
        <v/>
      </c>
      <c r="AV690">
        <f>BDP($B690,"CPN")</f>
        <v/>
      </c>
      <c r="AW690" t="inlineStr"/>
      <c r="AX690" t="inlineStr"/>
      <c r="AY690" t="inlineStr"/>
    </row>
    <row r="691">
      <c r="A691" t="inlineStr">
        <is>
          <t>CIVG</t>
        </is>
      </c>
      <c r="B691" t="inlineStr">
        <is>
          <t>61744YAP3 Corp</t>
        </is>
      </c>
      <c r="C691" s="1" t="inlineStr">
        <is>
          <t>61744YAP3</t>
        </is>
      </c>
      <c r="D691" t="inlineStr">
        <is>
          <t>Morgan Stanley 3.772% 01/24/20</t>
        </is>
      </c>
      <c r="E691">
        <f>BDP($B691,"LEGAL_ENTITY_IDENTIFIER")</f>
        <v/>
      </c>
      <c r="F691" t="inlineStr">
        <is>
          <t>Morgan Stanley 3.772% 01/24/2029</t>
        </is>
      </c>
      <c r="G691">
        <f>custodian!D691</f>
        <v/>
      </c>
      <c r="H691">
        <f>BDP($B691,"ID_ISIN")</f>
        <v/>
      </c>
      <c r="I691" s="1" t="inlineStr"/>
      <c r="J691">
        <f>BDP($B691,"CNTRY_OF_DOMICILE")</f>
        <v/>
      </c>
      <c r="K691" t="inlineStr">
        <is>
          <t>DBT</t>
        </is>
      </c>
      <c r="L691" t="inlineStr">
        <is>
          <t>CORP</t>
        </is>
      </c>
      <c r="M691" t="inlineStr"/>
      <c r="N691" t="inlineStr"/>
      <c r="O691" s="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s="1" t="inlineStr"/>
      <c r="AR691" s="1" t="inlineStr"/>
      <c r="AS691" s="1" t="inlineStr"/>
      <c r="AT691">
        <f>TEXT(BDP($B691,"MATURITY"),"yyyy-mm-dd")</f>
        <v/>
      </c>
      <c r="AU691">
        <f>BDP($B691,"CPN_TYP")</f>
        <v/>
      </c>
      <c r="AV691">
        <f>BDP($B691,"CPN")</f>
        <v/>
      </c>
      <c r="AW691" t="inlineStr"/>
      <c r="AX691" t="inlineStr"/>
      <c r="AY691" t="inlineStr"/>
    </row>
    <row r="692">
      <c r="A692" t="inlineStr">
        <is>
          <t>CIVG</t>
        </is>
      </c>
      <c r="B692" t="inlineStr">
        <is>
          <t>62954HBA5 Corp</t>
        </is>
      </c>
      <c r="C692" s="1" t="inlineStr">
        <is>
          <t>62954HBA5</t>
        </is>
      </c>
      <c r="D692" t="inlineStr">
        <is>
          <t>NXP BV / NXP Funding LLC / NXP</t>
        </is>
      </c>
      <c r="E692">
        <f>BDP($B692,"LEGAL_ENTITY_IDENTIFIER")</f>
        <v/>
      </c>
      <c r="F692" t="inlineStr">
        <is>
          <t>NXP BV / NXP Funding LLC / NXP USA Inc 2.5% 05/11/2031</t>
        </is>
      </c>
      <c r="G692">
        <f>custodian!D692</f>
        <v/>
      </c>
      <c r="H692">
        <f>BDP($B692,"ID_ISIN")</f>
        <v/>
      </c>
      <c r="I692" s="1" t="inlineStr"/>
      <c r="J692">
        <f>BDP($B692,"CNTRY_OF_DOMICILE")</f>
        <v/>
      </c>
      <c r="K692" t="inlineStr">
        <is>
          <t>DBT</t>
        </is>
      </c>
      <c r="L692" t="inlineStr">
        <is>
          <t>CORP</t>
        </is>
      </c>
      <c r="M692" t="inlineStr"/>
      <c r="N692" t="inlineStr"/>
      <c r="O692" s="1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s="1" t="inlineStr"/>
      <c r="AR692" s="1" t="inlineStr"/>
      <c r="AS692" s="1" t="inlineStr"/>
      <c r="AT692">
        <f>TEXT(BDP($B692,"MATURITY"),"yyyy-mm-dd")</f>
        <v/>
      </c>
      <c r="AU692">
        <f>BDP($B692,"CPN_TYP")</f>
        <v/>
      </c>
      <c r="AV692">
        <f>BDP($B692,"CPN")</f>
        <v/>
      </c>
      <c r="AW692" t="inlineStr"/>
      <c r="AX692" t="inlineStr"/>
      <c r="AY692" t="inlineStr"/>
    </row>
    <row r="693">
      <c r="A693" t="inlineStr">
        <is>
          <t>CIVG</t>
        </is>
      </c>
      <c r="B693" t="inlineStr">
        <is>
          <t>637432NP6 Corp</t>
        </is>
      </c>
      <c r="C693" s="1" t="inlineStr">
        <is>
          <t>637432NP6</t>
        </is>
      </c>
      <c r="D693" t="inlineStr">
        <is>
          <t>National Rural Utilities Coope</t>
        </is>
      </c>
      <c r="E693">
        <f>BDP($B693,"LEGAL_ENTITY_IDENTIFIER")</f>
        <v/>
      </c>
      <c r="F693" t="inlineStr">
        <is>
          <t>National Rural Utilities Cooperative Finance Corp 3.4% 02/07/2028</t>
        </is>
      </c>
      <c r="G693">
        <f>custodian!D693</f>
        <v/>
      </c>
      <c r="H693">
        <f>BDP($B693,"ID_ISIN")</f>
        <v/>
      </c>
      <c r="I693" s="1" t="inlineStr"/>
      <c r="J693">
        <f>BDP($B693,"CNTRY_OF_DOMICILE")</f>
        <v/>
      </c>
      <c r="K693" t="inlineStr">
        <is>
          <t>DBT</t>
        </is>
      </c>
      <c r="L693" t="inlineStr">
        <is>
          <t>CORP</t>
        </is>
      </c>
      <c r="M693" t="inlineStr"/>
      <c r="N693" t="inlineStr"/>
      <c r="O693" s="1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s="1" t="inlineStr"/>
      <c r="AR693" s="1" t="inlineStr"/>
      <c r="AS693" s="1" t="inlineStr"/>
      <c r="AT693">
        <f>TEXT(BDP($B693,"MATURITY"),"yyyy-mm-dd")</f>
        <v/>
      </c>
      <c r="AU693">
        <f>BDP($B693,"CPN_TYP")</f>
        <v/>
      </c>
      <c r="AV693">
        <f>BDP($B693,"CPN")</f>
        <v/>
      </c>
      <c r="AW693" t="inlineStr"/>
      <c r="AX693" t="inlineStr"/>
      <c r="AY693" t="inlineStr"/>
    </row>
    <row r="694">
      <c r="A694" t="inlineStr">
        <is>
          <t>CIVG</t>
        </is>
      </c>
      <c r="B694" t="inlineStr">
        <is>
          <t>639057AK4 Corp</t>
        </is>
      </c>
      <c r="C694" s="1" t="inlineStr">
        <is>
          <t>639057AK4</t>
        </is>
      </c>
      <c r="D694" t="inlineStr">
        <is>
          <t>NatWest Group PLC 5.808% 09/13</t>
        </is>
      </c>
      <c r="E694">
        <f>BDP($B694,"LEGAL_ENTITY_IDENTIFIER")</f>
        <v/>
      </c>
      <c r="F694" t="inlineStr">
        <is>
          <t>NatWest Group PLC 5.808% 09/13/2029</t>
        </is>
      </c>
      <c r="G694">
        <f>custodian!D694</f>
        <v/>
      </c>
      <c r="H694">
        <f>BDP($B694,"ID_ISIN")</f>
        <v/>
      </c>
      <c r="I694" s="1" t="inlineStr"/>
      <c r="J694">
        <f>BDP($B694,"CNTRY_OF_DOMICILE")</f>
        <v/>
      </c>
      <c r="K694" t="inlineStr">
        <is>
          <t>DBT</t>
        </is>
      </c>
      <c r="L694" t="inlineStr">
        <is>
          <t>CORP</t>
        </is>
      </c>
      <c r="M694" t="inlineStr"/>
      <c r="N694" t="inlineStr"/>
      <c r="O694" s="1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s="1" t="inlineStr"/>
      <c r="AR694" s="1" t="inlineStr"/>
      <c r="AS694" s="1" t="inlineStr"/>
      <c r="AT694">
        <f>TEXT(BDP($B694,"MATURITY"),"yyyy-mm-dd")</f>
        <v/>
      </c>
      <c r="AU694">
        <f>BDP($B694,"CPN_TYP")</f>
        <v/>
      </c>
      <c r="AV694">
        <f>BDP($B694,"CPN")</f>
        <v/>
      </c>
      <c r="AW694" t="inlineStr"/>
      <c r="AX694" t="inlineStr"/>
      <c r="AY694" t="inlineStr"/>
    </row>
    <row r="695">
      <c r="A695" t="inlineStr">
        <is>
          <t>CIVG</t>
        </is>
      </c>
      <c r="B695" t="inlineStr">
        <is>
          <t>65339KBR0 Corp</t>
        </is>
      </c>
      <c r="C695" s="1" t="inlineStr">
        <is>
          <t>65339KBR0</t>
        </is>
      </c>
      <c r="D695" t="inlineStr">
        <is>
          <t>NextEra Energy Capital Holding</t>
        </is>
      </c>
      <c r="E695">
        <f>BDP($B695,"LEGAL_ENTITY_IDENTIFIER")</f>
        <v/>
      </c>
      <c r="F695" t="inlineStr">
        <is>
          <t>NextEra Energy Capital Holdings Inc 2.25% 06/01/2030</t>
        </is>
      </c>
      <c r="G695">
        <f>custodian!D695</f>
        <v/>
      </c>
      <c r="H695">
        <f>BDP($B695,"ID_ISIN")</f>
        <v/>
      </c>
      <c r="I695" s="1" t="inlineStr"/>
      <c r="J695">
        <f>BDP($B695,"CNTRY_OF_DOMICILE")</f>
        <v/>
      </c>
      <c r="K695" t="inlineStr">
        <is>
          <t>DBT</t>
        </is>
      </c>
      <c r="L695" t="inlineStr">
        <is>
          <t>CORP</t>
        </is>
      </c>
      <c r="M695" t="inlineStr"/>
      <c r="N695" t="inlineStr"/>
      <c r="O695" s="1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s="1" t="inlineStr"/>
      <c r="AR695" s="1" t="inlineStr"/>
      <c r="AS695" s="1" t="inlineStr"/>
      <c r="AT695">
        <f>TEXT(BDP($B695,"MATURITY"),"yyyy-mm-dd")</f>
        <v/>
      </c>
      <c r="AU695">
        <f>BDP($B695,"CPN_TYP")</f>
        <v/>
      </c>
      <c r="AV695">
        <f>BDP($B695,"CPN")</f>
        <v/>
      </c>
      <c r="AW695" t="inlineStr"/>
      <c r="AX695" t="inlineStr"/>
      <c r="AY695" t="inlineStr"/>
    </row>
    <row r="696">
      <c r="A696" t="inlineStr">
        <is>
          <t>CIVG</t>
        </is>
      </c>
      <c r="B696" t="inlineStr">
        <is>
          <t>654106AK9 Corp</t>
        </is>
      </c>
      <c r="C696" s="1" t="inlineStr">
        <is>
          <t>654106AK9</t>
        </is>
      </c>
      <c r="D696" t="inlineStr">
        <is>
          <t>NIKE Inc 2.85% 03/27/2030</t>
        </is>
      </c>
      <c r="E696">
        <f>BDP($B696,"LEGAL_ENTITY_IDENTIFIER")</f>
        <v/>
      </c>
      <c r="F696" t="inlineStr">
        <is>
          <t>NIKE Inc 2.85% 03/27/2030</t>
        </is>
      </c>
      <c r="G696">
        <f>custodian!D696</f>
        <v/>
      </c>
      <c r="H696">
        <f>BDP($B696,"ID_ISIN")</f>
        <v/>
      </c>
      <c r="I696" s="1" t="inlineStr"/>
      <c r="J696">
        <f>BDP($B696,"CNTRY_OF_DOMICILE")</f>
        <v/>
      </c>
      <c r="K696" t="inlineStr">
        <is>
          <t>DBT</t>
        </is>
      </c>
      <c r="L696" t="inlineStr">
        <is>
          <t>CORP</t>
        </is>
      </c>
      <c r="M696" t="inlineStr"/>
      <c r="N696" t="inlineStr"/>
      <c r="O696" s="1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s="1" t="inlineStr"/>
      <c r="AR696" s="1" t="inlineStr"/>
      <c r="AS696" s="1" t="inlineStr"/>
      <c r="AT696">
        <f>TEXT(BDP($B696,"MATURITY"),"yyyy-mm-dd")</f>
        <v/>
      </c>
      <c r="AU696">
        <f>BDP($B696,"CPN_TYP")</f>
        <v/>
      </c>
      <c r="AV696">
        <f>BDP($B696,"CPN")</f>
        <v/>
      </c>
      <c r="AW696" t="inlineStr"/>
      <c r="AX696" t="inlineStr"/>
      <c r="AY696" t="inlineStr"/>
    </row>
    <row r="697">
      <c r="A697" t="inlineStr">
        <is>
          <t>CIVG</t>
        </is>
      </c>
      <c r="B697" t="inlineStr">
        <is>
          <t>665859AU8 Corp</t>
        </is>
      </c>
      <c r="C697" s="1" t="inlineStr">
        <is>
          <t>665859AU8</t>
        </is>
      </c>
      <c r="D697" t="inlineStr">
        <is>
          <t>Northern Trust Corp 3.15% 05/0</t>
        </is>
      </c>
      <c r="E697">
        <f>BDP($B697,"LEGAL_ENTITY_IDENTIFIER")</f>
        <v/>
      </c>
      <c r="F697" t="inlineStr">
        <is>
          <t>Northern Trust Corp 3.15% 05/03/2029</t>
        </is>
      </c>
      <c r="G697">
        <f>custodian!D697</f>
        <v/>
      </c>
      <c r="H697">
        <f>BDP($B697,"ID_ISIN")</f>
        <v/>
      </c>
      <c r="I697" s="1" t="inlineStr"/>
      <c r="J697">
        <f>BDP($B697,"CNTRY_OF_DOMICILE")</f>
        <v/>
      </c>
      <c r="K697" t="inlineStr">
        <is>
          <t>DBT</t>
        </is>
      </c>
      <c r="L697" t="inlineStr">
        <is>
          <t>CORP</t>
        </is>
      </c>
      <c r="M697" t="inlineStr"/>
      <c r="N697" t="inlineStr"/>
      <c r="O697" s="1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s="1" t="inlineStr"/>
      <c r="AR697" s="1" t="inlineStr"/>
      <c r="AS697" s="1" t="inlineStr"/>
      <c r="AT697">
        <f>TEXT(BDP($B697,"MATURITY"),"yyyy-mm-dd")</f>
        <v/>
      </c>
      <c r="AU697">
        <f>BDP($B697,"CPN_TYP")</f>
        <v/>
      </c>
      <c r="AV697">
        <f>BDP($B697,"CPN")</f>
        <v/>
      </c>
      <c r="AW697" t="inlineStr"/>
      <c r="AX697" t="inlineStr"/>
      <c r="AY697" t="inlineStr"/>
    </row>
    <row r="698">
      <c r="A698" t="inlineStr">
        <is>
          <t>CIVG</t>
        </is>
      </c>
      <c r="B698" t="inlineStr">
        <is>
          <t>666807BN1 Corp</t>
        </is>
      </c>
      <c r="C698" s="1" t="inlineStr">
        <is>
          <t>666807BN1</t>
        </is>
      </c>
      <c r="D698" t="inlineStr">
        <is>
          <t>Northrop Grumman Corp 3.25% 01</t>
        </is>
      </c>
      <c r="E698">
        <f>BDP($B698,"LEGAL_ENTITY_IDENTIFIER")</f>
        <v/>
      </c>
      <c r="F698" t="inlineStr">
        <is>
          <t>Northrop Grumman Corp 3.25% 01/15/2028</t>
        </is>
      </c>
      <c r="G698">
        <f>custodian!D698</f>
        <v/>
      </c>
      <c r="H698">
        <f>BDP($B698,"ID_ISIN")</f>
        <v/>
      </c>
      <c r="I698" s="1" t="inlineStr"/>
      <c r="J698">
        <f>BDP($B698,"CNTRY_OF_DOMICILE")</f>
        <v/>
      </c>
      <c r="K698" t="inlineStr">
        <is>
          <t>DBT</t>
        </is>
      </c>
      <c r="L698" t="inlineStr">
        <is>
          <t>CORP</t>
        </is>
      </c>
      <c r="M698" t="inlineStr"/>
      <c r="N698" t="inlineStr"/>
      <c r="O698" s="1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s="1" t="inlineStr"/>
      <c r="AR698" s="1" t="inlineStr"/>
      <c r="AS698" s="1" t="inlineStr"/>
      <c r="AT698">
        <f>TEXT(BDP($B698,"MATURITY"),"yyyy-mm-dd")</f>
        <v/>
      </c>
      <c r="AU698">
        <f>BDP($B698,"CPN_TYP")</f>
        <v/>
      </c>
      <c r="AV698">
        <f>BDP($B698,"CPN")</f>
        <v/>
      </c>
      <c r="AW698" t="inlineStr"/>
      <c r="AX698" t="inlineStr"/>
      <c r="AY698" t="inlineStr"/>
    </row>
    <row r="699">
      <c r="A699" t="inlineStr">
        <is>
          <t>CIVG</t>
        </is>
      </c>
      <c r="B699" t="inlineStr">
        <is>
          <t>66989HBF4 Corp</t>
        </is>
      </c>
      <c r="C699" s="1" t="inlineStr">
        <is>
          <t>66989HBF4</t>
        </is>
      </c>
      <c r="D699" t="inlineStr">
        <is>
          <t>Novartis Capital Corp 4.1% 03/</t>
        </is>
      </c>
      <c r="E699">
        <f>BDP($B699,"LEGAL_ENTITY_IDENTIFIER")</f>
        <v/>
      </c>
      <c r="F699" t="inlineStr">
        <is>
          <t>Novartis Capital Corp 4.1% 03/16/2029</t>
        </is>
      </c>
      <c r="G699">
        <f>custodian!D699</f>
        <v/>
      </c>
      <c r="H699">
        <f>BDP($B699,"ID_ISIN")</f>
        <v/>
      </c>
      <c r="I699" s="1" t="inlineStr"/>
      <c r="J699">
        <f>BDP($B699,"CNTRY_OF_DOMICILE")</f>
        <v/>
      </c>
      <c r="K699" t="inlineStr">
        <is>
          <t>DBT</t>
        </is>
      </c>
      <c r="L699" t="inlineStr">
        <is>
          <t>CORP</t>
        </is>
      </c>
      <c r="M699" t="inlineStr"/>
      <c r="N699" t="inlineStr"/>
      <c r="O699" s="1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s="1" t="inlineStr"/>
      <c r="AR699" s="1" t="inlineStr"/>
      <c r="AS699" s="1" t="inlineStr"/>
      <c r="AT699">
        <f>TEXT(BDP($B699,"MATURITY"),"yyyy-mm-dd")</f>
        <v/>
      </c>
      <c r="AU699">
        <f>BDP($B699,"CPN_TYP")</f>
        <v/>
      </c>
      <c r="AV699">
        <f>BDP($B699,"CPN")</f>
        <v/>
      </c>
      <c r="AW699" t="inlineStr"/>
      <c r="AX699" t="inlineStr"/>
      <c r="AY699" t="inlineStr"/>
    </row>
    <row r="700">
      <c r="A700" t="inlineStr">
        <is>
          <t>CIVG</t>
        </is>
      </c>
      <c r="B700" t="inlineStr">
        <is>
          <t>682680CB7 Corp</t>
        </is>
      </c>
      <c r="C700" s="1" t="inlineStr">
        <is>
          <t>682680CB7</t>
        </is>
      </c>
      <c r="D700" t="inlineStr">
        <is>
          <t>ONEOK Inc 4.25% 09/24/2027</t>
        </is>
      </c>
      <c r="E700">
        <f>BDP($B700,"LEGAL_ENTITY_IDENTIFIER")</f>
        <v/>
      </c>
      <c r="F700" t="inlineStr">
        <is>
          <t>ONEOK Inc 4.25% 09/24/2027</t>
        </is>
      </c>
      <c r="G700">
        <f>custodian!D700</f>
        <v/>
      </c>
      <c r="H700">
        <f>BDP($B700,"ID_ISIN")</f>
        <v/>
      </c>
      <c r="I700" s="1" t="inlineStr"/>
      <c r="J700">
        <f>BDP($B700,"CNTRY_OF_DOMICILE")</f>
        <v/>
      </c>
      <c r="K700" t="inlineStr">
        <is>
          <t>DBT</t>
        </is>
      </c>
      <c r="L700" t="inlineStr">
        <is>
          <t>CORP</t>
        </is>
      </c>
      <c r="M700" t="inlineStr"/>
      <c r="N700" t="inlineStr"/>
      <c r="O700" s="1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s="1" t="inlineStr"/>
      <c r="AR700" s="1" t="inlineStr"/>
      <c r="AS700" s="1" t="inlineStr"/>
      <c r="AT700">
        <f>TEXT(BDP($B700,"MATURITY"),"yyyy-mm-dd")</f>
        <v/>
      </c>
      <c r="AU700">
        <f>BDP($B700,"CPN_TYP")</f>
        <v/>
      </c>
      <c r="AV700">
        <f>BDP($B700,"CPN")</f>
        <v/>
      </c>
      <c r="AW700" t="inlineStr"/>
      <c r="AX700" t="inlineStr"/>
      <c r="AY700" t="inlineStr"/>
    </row>
    <row r="701">
      <c r="A701" t="inlineStr">
        <is>
          <t>CIVG</t>
        </is>
      </c>
      <c r="B701" t="inlineStr">
        <is>
          <t>68389XCE3 Corp</t>
        </is>
      </c>
      <c r="C701" s="1" t="inlineStr">
        <is>
          <t>68389XCE3</t>
        </is>
      </c>
      <c r="D701" t="inlineStr">
        <is>
          <t>Oracle Corp 2.875% 03/25/2031</t>
        </is>
      </c>
      <c r="E701">
        <f>BDP($B701,"LEGAL_ENTITY_IDENTIFIER")</f>
        <v/>
      </c>
      <c r="F701" t="inlineStr">
        <is>
          <t>Oracle Corp 2.875% 03/25/2031</t>
        </is>
      </c>
      <c r="G701">
        <f>custodian!D701</f>
        <v/>
      </c>
      <c r="H701">
        <f>BDP($B701,"ID_ISIN")</f>
        <v/>
      </c>
      <c r="I701" s="1" t="inlineStr"/>
      <c r="J701">
        <f>BDP($B701,"CNTRY_OF_DOMICILE")</f>
        <v/>
      </c>
      <c r="K701" t="inlineStr">
        <is>
          <t>DBT</t>
        </is>
      </c>
      <c r="L701" t="inlineStr">
        <is>
          <t>CORP</t>
        </is>
      </c>
      <c r="M701" t="inlineStr"/>
      <c r="N701" t="inlineStr"/>
      <c r="O701" s="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s="1" t="inlineStr"/>
      <c r="AR701" s="1" t="inlineStr"/>
      <c r="AS701" s="1" t="inlineStr"/>
      <c r="AT701">
        <f>TEXT(BDP($B701,"MATURITY"),"yyyy-mm-dd")</f>
        <v/>
      </c>
      <c r="AU701">
        <f>BDP($B701,"CPN_TYP")</f>
        <v/>
      </c>
      <c r="AV701">
        <f>BDP($B701,"CPN")</f>
        <v/>
      </c>
      <c r="AW701" t="inlineStr"/>
      <c r="AX701" t="inlineStr"/>
      <c r="AY701" t="inlineStr"/>
    </row>
    <row r="702">
      <c r="A702" t="inlineStr">
        <is>
          <t>CIVG</t>
        </is>
      </c>
      <c r="B702" t="inlineStr">
        <is>
          <t>69121KAH7 Corp</t>
        </is>
      </c>
      <c r="C702" s="1" t="inlineStr">
        <is>
          <t>69121KAH7</t>
        </is>
      </c>
      <c r="D702" t="inlineStr">
        <is>
          <t>Blue Owl Capital Corp 5.95% 03</t>
        </is>
      </c>
      <c r="E702">
        <f>BDP($B702,"LEGAL_ENTITY_IDENTIFIER")</f>
        <v/>
      </c>
      <c r="F702" t="inlineStr">
        <is>
          <t>Blue Owl Capital Corp 5.95% 03/15/2029</t>
        </is>
      </c>
      <c r="G702">
        <f>custodian!D702</f>
        <v/>
      </c>
      <c r="H702">
        <f>BDP($B702,"ID_ISIN")</f>
        <v/>
      </c>
      <c r="I702" s="1" t="inlineStr"/>
      <c r="J702">
        <f>BDP($B702,"CNTRY_OF_DOMICILE")</f>
        <v/>
      </c>
      <c r="K702" t="inlineStr">
        <is>
          <t>DBT</t>
        </is>
      </c>
      <c r="L702" t="inlineStr">
        <is>
          <t>CORP</t>
        </is>
      </c>
      <c r="M702" t="inlineStr"/>
      <c r="N702" t="inlineStr"/>
      <c r="O702" s="1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s="1" t="inlineStr"/>
      <c r="AR702" s="1" t="inlineStr"/>
      <c r="AS702" s="1" t="inlineStr"/>
      <c r="AT702">
        <f>TEXT(BDP($B702,"MATURITY"),"yyyy-mm-dd")</f>
        <v/>
      </c>
      <c r="AU702">
        <f>BDP($B702,"CPN_TYP")</f>
        <v/>
      </c>
      <c r="AV702">
        <f>BDP($B702,"CPN")</f>
        <v/>
      </c>
      <c r="AW702" t="inlineStr"/>
      <c r="AX702" t="inlineStr"/>
      <c r="AY702" t="inlineStr"/>
    </row>
    <row r="703">
      <c r="A703" t="inlineStr">
        <is>
          <t>CIVG</t>
        </is>
      </c>
      <c r="B703" t="inlineStr">
        <is>
          <t>693475BX2 Corp</t>
        </is>
      </c>
      <c r="C703" s="1" t="inlineStr">
        <is>
          <t>693475BX2</t>
        </is>
      </c>
      <c r="D703" t="inlineStr">
        <is>
          <t>PNC Financial Services Group I</t>
        </is>
      </c>
      <c r="E703">
        <f>BDP($B703,"LEGAL_ENTITY_IDENTIFIER")</f>
        <v/>
      </c>
      <c r="F703" t="inlineStr">
        <is>
          <t>PNC Financial Services Group Inc/The 5.492% 05/14/2030</t>
        </is>
      </c>
      <c r="G703">
        <f>custodian!D703</f>
        <v/>
      </c>
      <c r="H703">
        <f>BDP($B703,"ID_ISIN")</f>
        <v/>
      </c>
      <c r="I703" s="1" t="inlineStr"/>
      <c r="J703">
        <f>BDP($B703,"CNTRY_OF_DOMICILE")</f>
        <v/>
      </c>
      <c r="K703" t="inlineStr">
        <is>
          <t>DBT</t>
        </is>
      </c>
      <c r="L703" t="inlineStr">
        <is>
          <t>CORP</t>
        </is>
      </c>
      <c r="M703" t="inlineStr"/>
      <c r="N703" t="inlineStr"/>
      <c r="O703" s="1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s="1" t="inlineStr"/>
      <c r="AR703" s="1" t="inlineStr"/>
      <c r="AS703" s="1" t="inlineStr"/>
      <c r="AT703">
        <f>TEXT(BDP($B703,"MATURITY"),"yyyy-mm-dd")</f>
        <v/>
      </c>
      <c r="AU703">
        <f>BDP($B703,"CPN_TYP")</f>
        <v/>
      </c>
      <c r="AV703">
        <f>BDP($B703,"CPN")</f>
        <v/>
      </c>
      <c r="AW703" t="inlineStr"/>
      <c r="AX703" t="inlineStr"/>
      <c r="AY703" t="inlineStr"/>
    </row>
    <row r="704">
      <c r="A704" t="inlineStr">
        <is>
          <t>CIVG</t>
        </is>
      </c>
      <c r="B704" t="inlineStr">
        <is>
          <t>693475CD5 Corp</t>
        </is>
      </c>
      <c r="C704" s="1" t="inlineStr">
        <is>
          <t>693475CD5</t>
        </is>
      </c>
      <c r="D704" t="inlineStr">
        <is>
          <t>PNC Financial Services Group I</t>
        </is>
      </c>
      <c r="E704">
        <f>BDP($B704,"LEGAL_ENTITY_IDENTIFIER")</f>
        <v/>
      </c>
      <c r="F704" t="inlineStr">
        <is>
          <t>PNC Financial Services Group Inc/The 4.899% 05/13/2031</t>
        </is>
      </c>
      <c r="G704">
        <f>custodian!D704</f>
        <v/>
      </c>
      <c r="H704">
        <f>BDP($B704,"ID_ISIN")</f>
        <v/>
      </c>
      <c r="I704" s="1" t="inlineStr"/>
      <c r="J704">
        <f>BDP($B704,"CNTRY_OF_DOMICILE")</f>
        <v/>
      </c>
      <c r="K704" t="inlineStr">
        <is>
          <t>DBT</t>
        </is>
      </c>
      <c r="L704" t="inlineStr">
        <is>
          <t>CORP</t>
        </is>
      </c>
      <c r="M704" t="inlineStr"/>
      <c r="N704" t="inlineStr"/>
      <c r="O704" s="1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s="1" t="inlineStr"/>
      <c r="AR704" s="1" t="inlineStr"/>
      <c r="AS704" s="1" t="inlineStr"/>
      <c r="AT704">
        <f>TEXT(BDP($B704,"MATURITY"),"yyyy-mm-dd")</f>
        <v/>
      </c>
      <c r="AU704">
        <f>BDP($B704,"CPN_TYP")</f>
        <v/>
      </c>
      <c r="AV704">
        <f>BDP($B704,"CPN")</f>
        <v/>
      </c>
      <c r="AW704" t="inlineStr"/>
      <c r="AX704" t="inlineStr"/>
      <c r="AY704" t="inlineStr"/>
    </row>
    <row r="705">
      <c r="A705" t="inlineStr">
        <is>
          <t>CIVG</t>
        </is>
      </c>
      <c r="B705" t="inlineStr">
        <is>
          <t>694308JM0 Corp</t>
        </is>
      </c>
      <c r="C705" s="1" t="inlineStr">
        <is>
          <t>694308JM0</t>
        </is>
      </c>
      <c r="D705" t="inlineStr">
        <is>
          <t>Pacific Gas and Electric Co 4.</t>
        </is>
      </c>
      <c r="E705">
        <f>BDP($B705,"LEGAL_ENTITY_IDENTIFIER")</f>
        <v/>
      </c>
      <c r="F705" t="inlineStr">
        <is>
          <t>Pacific Gas and Electric Co 4.55% 07/01/2030</t>
        </is>
      </c>
      <c r="G705">
        <f>custodian!D705</f>
        <v/>
      </c>
      <c r="H705">
        <f>BDP($B705,"ID_ISIN")</f>
        <v/>
      </c>
      <c r="I705" s="1" t="inlineStr"/>
      <c r="J705">
        <f>BDP($B705,"CNTRY_OF_DOMICILE")</f>
        <v/>
      </c>
      <c r="K705" t="inlineStr">
        <is>
          <t>DBT</t>
        </is>
      </c>
      <c r="L705" t="inlineStr">
        <is>
          <t>CORP</t>
        </is>
      </c>
      <c r="M705" t="inlineStr"/>
      <c r="N705" t="inlineStr"/>
      <c r="O705" s="1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s="1" t="inlineStr"/>
      <c r="AR705" s="1" t="inlineStr"/>
      <c r="AS705" s="1" t="inlineStr"/>
      <c r="AT705">
        <f>TEXT(BDP($B705,"MATURITY"),"yyyy-mm-dd")</f>
        <v/>
      </c>
      <c r="AU705">
        <f>BDP($B705,"CPN_TYP")</f>
        <v/>
      </c>
      <c r="AV705">
        <f>BDP($B705,"CPN")</f>
        <v/>
      </c>
      <c r="AW705" t="inlineStr"/>
      <c r="AX705" t="inlineStr"/>
      <c r="AY705" t="inlineStr"/>
    </row>
    <row r="706">
      <c r="A706" t="inlineStr">
        <is>
          <t>CIVG</t>
        </is>
      </c>
      <c r="B706" t="inlineStr">
        <is>
          <t>713448GA0 Corp</t>
        </is>
      </c>
      <c r="C706" s="1" t="inlineStr">
        <is>
          <t>713448GA0</t>
        </is>
      </c>
      <c r="D706" t="inlineStr">
        <is>
          <t>PepsiCo Inc 4.45% 02/07/2028</t>
        </is>
      </c>
      <c r="E706">
        <f>BDP($B706,"LEGAL_ENTITY_IDENTIFIER")</f>
        <v/>
      </c>
      <c r="F706" t="inlineStr">
        <is>
          <t>PepsiCo Inc 4.45% 02/07/2028</t>
        </is>
      </c>
      <c r="G706">
        <f>custodian!D706</f>
        <v/>
      </c>
      <c r="H706">
        <f>BDP($B706,"ID_ISIN")</f>
        <v/>
      </c>
      <c r="I706" s="1" t="inlineStr"/>
      <c r="J706">
        <f>BDP($B706,"CNTRY_OF_DOMICILE")</f>
        <v/>
      </c>
      <c r="K706" t="inlineStr">
        <is>
          <t>DBT</t>
        </is>
      </c>
      <c r="L706" t="inlineStr">
        <is>
          <t>CORP</t>
        </is>
      </c>
      <c r="M706" t="inlineStr"/>
      <c r="N706" t="inlineStr"/>
      <c r="O706" s="1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s="1" t="inlineStr"/>
      <c r="AR706" s="1" t="inlineStr"/>
      <c r="AS706" s="1" t="inlineStr"/>
      <c r="AT706">
        <f>TEXT(BDP($B706,"MATURITY"),"yyyy-mm-dd")</f>
        <v/>
      </c>
      <c r="AU706">
        <f>BDP($B706,"CPN_TYP")</f>
        <v/>
      </c>
      <c r="AV706">
        <f>BDP($B706,"CPN")</f>
        <v/>
      </c>
      <c r="AW706" t="inlineStr"/>
      <c r="AX706" t="inlineStr"/>
      <c r="AY706" t="inlineStr"/>
    </row>
    <row r="707">
      <c r="A707" t="inlineStr">
        <is>
          <t>CIVG</t>
        </is>
      </c>
      <c r="B707" t="inlineStr">
        <is>
          <t>716973AD4 Corp</t>
        </is>
      </c>
      <c r="C707" s="1" t="inlineStr">
        <is>
          <t>716973AD4</t>
        </is>
      </c>
      <c r="D707" t="inlineStr">
        <is>
          <t xml:space="preserve">Pfizer Investment Enterprises </t>
        </is>
      </c>
      <c r="E707">
        <f>BDP($B707,"LEGAL_ENTITY_IDENTIFIER")</f>
        <v/>
      </c>
      <c r="F707" t="inlineStr">
        <is>
          <t>Pfizer Investment Enterprises Pte Ltd 4.65% 05/19/2030</t>
        </is>
      </c>
      <c r="G707">
        <f>custodian!D707</f>
        <v/>
      </c>
      <c r="H707">
        <f>BDP($B707,"ID_ISIN")</f>
        <v/>
      </c>
      <c r="I707" s="1" t="inlineStr"/>
      <c r="J707">
        <f>BDP($B707,"CNTRY_OF_DOMICILE")</f>
        <v/>
      </c>
      <c r="K707" t="inlineStr">
        <is>
          <t>DBT</t>
        </is>
      </c>
      <c r="L707" t="inlineStr">
        <is>
          <t>CORP</t>
        </is>
      </c>
      <c r="M707" t="inlineStr"/>
      <c r="N707" t="inlineStr"/>
      <c r="O707" s="1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s="1" t="inlineStr"/>
      <c r="AR707" s="1" t="inlineStr"/>
      <c r="AS707" s="1" t="inlineStr"/>
      <c r="AT707">
        <f>TEXT(BDP($B707,"MATURITY"),"yyyy-mm-dd")</f>
        <v/>
      </c>
      <c r="AU707">
        <f>BDP($B707,"CPN_TYP")</f>
        <v/>
      </c>
      <c r="AV707">
        <f>BDP($B707,"CPN")</f>
        <v/>
      </c>
      <c r="AW707" t="inlineStr"/>
      <c r="AX707" t="inlineStr"/>
      <c r="AY707" t="inlineStr"/>
    </row>
    <row r="708">
      <c r="A708" t="inlineStr">
        <is>
          <t>CIVG</t>
        </is>
      </c>
      <c r="B708" t="inlineStr">
        <is>
          <t>717081EW9 Corp</t>
        </is>
      </c>
      <c r="C708" s="1" t="inlineStr">
        <is>
          <t>717081EW9</t>
        </is>
      </c>
      <c r="D708" t="inlineStr">
        <is>
          <t>Pfizer Inc 2.625% 04/01/2030</t>
        </is>
      </c>
      <c r="E708">
        <f>BDP($B708,"LEGAL_ENTITY_IDENTIFIER")</f>
        <v/>
      </c>
      <c r="F708" t="inlineStr">
        <is>
          <t>Pfizer Inc 2.625% 04/01/2030</t>
        </is>
      </c>
      <c r="G708">
        <f>custodian!D708</f>
        <v/>
      </c>
      <c r="H708">
        <f>BDP($B708,"ID_ISIN")</f>
        <v/>
      </c>
      <c r="I708" s="1" t="inlineStr"/>
      <c r="J708">
        <f>BDP($B708,"CNTRY_OF_DOMICILE")</f>
        <v/>
      </c>
      <c r="K708" t="inlineStr">
        <is>
          <t>DBT</t>
        </is>
      </c>
      <c r="L708" t="inlineStr">
        <is>
          <t>CORP</t>
        </is>
      </c>
      <c r="M708" t="inlineStr"/>
      <c r="N708" t="inlineStr"/>
      <c r="O708" s="1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s="1" t="inlineStr"/>
      <c r="AR708" s="1" t="inlineStr"/>
      <c r="AS708" s="1" t="inlineStr"/>
      <c r="AT708">
        <f>TEXT(BDP($B708,"MATURITY"),"yyyy-mm-dd")</f>
        <v/>
      </c>
      <c r="AU708">
        <f>BDP($B708,"CPN_TYP")</f>
        <v/>
      </c>
      <c r="AV708">
        <f>BDP($B708,"CPN")</f>
        <v/>
      </c>
      <c r="AW708" t="inlineStr"/>
      <c r="AX708" t="inlineStr"/>
      <c r="AY708" t="inlineStr"/>
    </row>
    <row r="709">
      <c r="A709" t="inlineStr">
        <is>
          <t>CIVG</t>
        </is>
      </c>
      <c r="B709" t="inlineStr">
        <is>
          <t>718172DA4 Corp</t>
        </is>
      </c>
      <c r="C709" s="1" t="inlineStr">
        <is>
          <t>718172DA4</t>
        </is>
      </c>
      <c r="D709" t="inlineStr">
        <is>
          <t>Philip Morris International In</t>
        </is>
      </c>
      <c r="E709">
        <f>BDP($B709,"LEGAL_ENTITY_IDENTIFIER")</f>
        <v/>
      </c>
      <c r="F709" t="inlineStr">
        <is>
          <t>Philip Morris International Inc 5.125% 02/15/2030</t>
        </is>
      </c>
      <c r="G709">
        <f>custodian!D709</f>
        <v/>
      </c>
      <c r="H709">
        <f>BDP($B709,"ID_ISIN")</f>
        <v/>
      </c>
      <c r="I709" s="1" t="inlineStr"/>
      <c r="J709">
        <f>BDP($B709,"CNTRY_OF_DOMICILE")</f>
        <v/>
      </c>
      <c r="K709" t="inlineStr">
        <is>
          <t>DBT</t>
        </is>
      </c>
      <c r="L709" t="inlineStr">
        <is>
          <t>CORP</t>
        </is>
      </c>
      <c r="M709" t="inlineStr"/>
      <c r="N709" t="inlineStr"/>
      <c r="O709" s="1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s="1" t="inlineStr"/>
      <c r="AR709" s="1" t="inlineStr"/>
      <c r="AS709" s="1" t="inlineStr"/>
      <c r="AT709">
        <f>TEXT(BDP($B709,"MATURITY"),"yyyy-mm-dd")</f>
        <v/>
      </c>
      <c r="AU709">
        <f>BDP($B709,"CPN_TYP")</f>
        <v/>
      </c>
      <c r="AV709">
        <f>BDP($B709,"CPN")</f>
        <v/>
      </c>
      <c r="AW709" t="inlineStr"/>
      <c r="AX709" t="inlineStr"/>
      <c r="AY709" t="inlineStr"/>
    </row>
    <row r="710">
      <c r="A710" t="inlineStr">
        <is>
          <t>CIVG</t>
        </is>
      </c>
      <c r="B710" t="inlineStr">
        <is>
          <t>72348NAA7 Corp</t>
        </is>
      </c>
      <c r="C710" s="1" t="inlineStr">
        <is>
          <t>72348NAA7</t>
        </is>
      </c>
      <c r="D710" t="inlineStr">
        <is>
          <t>Pinnacle Financial Partners In</t>
        </is>
      </c>
      <c r="E710">
        <f>BDP($B710,"LEGAL_ENTITY_IDENTIFIER")</f>
        <v/>
      </c>
      <c r="F710" t="inlineStr">
        <is>
          <t>Pinnacle Financial Partners Inc 5.596% 05/19/2032</t>
        </is>
      </c>
      <c r="G710">
        <f>custodian!D710</f>
        <v/>
      </c>
      <c r="H710">
        <f>BDP($B710,"ID_ISIN")</f>
        <v/>
      </c>
      <c r="I710" s="1" t="inlineStr"/>
      <c r="J710">
        <f>BDP($B710,"CNTRY_OF_DOMICILE")</f>
        <v/>
      </c>
      <c r="K710" t="inlineStr">
        <is>
          <t>DBT</t>
        </is>
      </c>
      <c r="L710" t="inlineStr">
        <is>
          <t>CORP</t>
        </is>
      </c>
      <c r="M710" t="inlineStr"/>
      <c r="N710" t="inlineStr"/>
      <c r="O710" s="1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s="1" t="inlineStr"/>
      <c r="AR710" s="1" t="inlineStr"/>
      <c r="AS710" s="1" t="inlineStr"/>
      <c r="AT710">
        <f>TEXT(BDP($B710,"MATURITY"),"yyyy-mm-dd")</f>
        <v/>
      </c>
      <c r="AU710">
        <f>BDP($B710,"CPN_TYP")</f>
        <v/>
      </c>
      <c r="AV710">
        <f>BDP($B710,"CPN")</f>
        <v/>
      </c>
      <c r="AW710" t="inlineStr"/>
      <c r="AX710" t="inlineStr"/>
      <c r="AY710" t="inlineStr"/>
    </row>
    <row r="711">
      <c r="A711" t="inlineStr">
        <is>
          <t>CIVG</t>
        </is>
      </c>
      <c r="B711" t="inlineStr">
        <is>
          <t>742718FH7 Corp</t>
        </is>
      </c>
      <c r="C711" s="1" t="inlineStr">
        <is>
          <t>742718FH7</t>
        </is>
      </c>
      <c r="D711" t="inlineStr">
        <is>
          <t>Procter &amp; Gamble Co/The 3% 03/</t>
        </is>
      </c>
      <c r="E711">
        <f>BDP($B711,"LEGAL_ENTITY_IDENTIFIER")</f>
        <v/>
      </c>
      <c r="F711" t="inlineStr">
        <is>
          <t>Procter &amp; Gamble Co/The 3% 03/25/2030</t>
        </is>
      </c>
      <c r="G711">
        <f>custodian!D711</f>
        <v/>
      </c>
      <c r="H711">
        <f>BDP($B711,"ID_ISIN")</f>
        <v/>
      </c>
      <c r="I711" s="1" t="inlineStr"/>
      <c r="J711">
        <f>BDP($B711,"CNTRY_OF_DOMICILE")</f>
        <v/>
      </c>
      <c r="K711" t="inlineStr">
        <is>
          <t>DBT</t>
        </is>
      </c>
      <c r="L711" t="inlineStr">
        <is>
          <t>CORP</t>
        </is>
      </c>
      <c r="M711" t="inlineStr"/>
      <c r="N711" t="inlineStr"/>
      <c r="O711" s="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s="1" t="inlineStr"/>
      <c r="AR711" s="1" t="inlineStr"/>
      <c r="AS711" s="1" t="inlineStr"/>
      <c r="AT711">
        <f>TEXT(BDP($B711,"MATURITY"),"yyyy-mm-dd")</f>
        <v/>
      </c>
      <c r="AU711">
        <f>BDP($B711,"CPN_TYP")</f>
        <v/>
      </c>
      <c r="AV711">
        <f>BDP($B711,"CPN")</f>
        <v/>
      </c>
      <c r="AW711" t="inlineStr"/>
      <c r="AX711" t="inlineStr"/>
      <c r="AY711" t="inlineStr"/>
    </row>
    <row r="712">
      <c r="A712" t="inlineStr">
        <is>
          <t>CIVG</t>
        </is>
      </c>
      <c r="B712" t="inlineStr">
        <is>
          <t>74340XBM2 Corp</t>
        </is>
      </c>
      <c r="C712" s="1" t="inlineStr">
        <is>
          <t>74340XBM2</t>
        </is>
      </c>
      <c r="D712" t="inlineStr">
        <is>
          <t>Prologis LP 2.25% 04/15/2030</t>
        </is>
      </c>
      <c r="E712">
        <f>BDP($B712,"LEGAL_ENTITY_IDENTIFIER")</f>
        <v/>
      </c>
      <c r="F712" t="inlineStr">
        <is>
          <t>Prologis LP 2.25% 04/15/2030</t>
        </is>
      </c>
      <c r="G712">
        <f>custodian!D712</f>
        <v/>
      </c>
      <c r="H712">
        <f>BDP($B712,"ID_ISIN")</f>
        <v/>
      </c>
      <c r="I712" s="1" t="inlineStr"/>
      <c r="J712">
        <f>BDP($B712,"CNTRY_OF_DOMICILE")</f>
        <v/>
      </c>
      <c r="K712" t="inlineStr">
        <is>
          <t>DBT</t>
        </is>
      </c>
      <c r="L712" t="inlineStr">
        <is>
          <t>CORP</t>
        </is>
      </c>
      <c r="M712" t="inlineStr"/>
      <c r="N712" t="inlineStr"/>
      <c r="O712" s="1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s="1" t="inlineStr"/>
      <c r="AR712" s="1" t="inlineStr"/>
      <c r="AS712" s="1" t="inlineStr"/>
      <c r="AT712">
        <f>TEXT(BDP($B712,"MATURITY"),"yyyy-mm-dd")</f>
        <v/>
      </c>
      <c r="AU712">
        <f>BDP($B712,"CPN_TYP")</f>
        <v/>
      </c>
      <c r="AV712">
        <f>BDP($B712,"CPN")</f>
        <v/>
      </c>
      <c r="AW712" t="inlineStr"/>
      <c r="AX712" t="inlineStr"/>
      <c r="AY712" t="inlineStr"/>
    </row>
    <row r="713">
      <c r="A713" t="inlineStr">
        <is>
          <t>CIVG</t>
        </is>
      </c>
      <c r="B713" t="inlineStr">
        <is>
          <t>74949LAC6 Corp</t>
        </is>
      </c>
      <c r="C713" s="1" t="inlineStr">
        <is>
          <t>74949LAC6</t>
        </is>
      </c>
      <c r="D713" t="inlineStr">
        <is>
          <t>RELX Capital Inc 4% 03/18/2029</t>
        </is>
      </c>
      <c r="E713">
        <f>BDP($B713,"LEGAL_ENTITY_IDENTIFIER")</f>
        <v/>
      </c>
      <c r="F713" t="inlineStr">
        <is>
          <t>RELX Capital Inc 4% 03/18/2029</t>
        </is>
      </c>
      <c r="G713">
        <f>custodian!D713</f>
        <v/>
      </c>
      <c r="H713">
        <f>BDP($B713,"ID_ISIN")</f>
        <v/>
      </c>
      <c r="I713" s="1" t="inlineStr"/>
      <c r="J713">
        <f>BDP($B713,"CNTRY_OF_DOMICILE")</f>
        <v/>
      </c>
      <c r="K713" t="inlineStr">
        <is>
          <t>DBT</t>
        </is>
      </c>
      <c r="L713" t="inlineStr">
        <is>
          <t>CORP</t>
        </is>
      </c>
      <c r="M713" t="inlineStr"/>
      <c r="N713" t="inlineStr"/>
      <c r="O713" s="1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s="1" t="inlineStr"/>
      <c r="AR713" s="1" t="inlineStr"/>
      <c r="AS713" s="1" t="inlineStr"/>
      <c r="AT713">
        <f>TEXT(BDP($B713,"MATURITY"),"yyyy-mm-dd")</f>
        <v/>
      </c>
      <c r="AU713">
        <f>BDP($B713,"CPN_TYP")</f>
        <v/>
      </c>
      <c r="AV713">
        <f>BDP($B713,"CPN")</f>
        <v/>
      </c>
      <c r="AW713" t="inlineStr"/>
      <c r="AX713" t="inlineStr"/>
      <c r="AY713" t="inlineStr"/>
    </row>
    <row r="714">
      <c r="A714" t="inlineStr">
        <is>
          <t>CIVG</t>
        </is>
      </c>
      <c r="B714" t="inlineStr">
        <is>
          <t>756109BR4 Corp</t>
        </is>
      </c>
      <c r="C714" s="1" t="inlineStr">
        <is>
          <t>756109BR4</t>
        </is>
      </c>
      <c r="D714" t="inlineStr">
        <is>
          <t>Realty Income Corp 4.85% 03/15</t>
        </is>
      </c>
      <c r="E714">
        <f>BDP($B714,"LEGAL_ENTITY_IDENTIFIER")</f>
        <v/>
      </c>
      <c r="F714" t="inlineStr">
        <is>
          <t>Realty Income Corp 4.85% 03/15/2030</t>
        </is>
      </c>
      <c r="G714">
        <f>custodian!D714</f>
        <v/>
      </c>
      <c r="H714">
        <f>BDP($B714,"ID_ISIN")</f>
        <v/>
      </c>
      <c r="I714" s="1" t="inlineStr"/>
      <c r="J714">
        <f>BDP($B714,"CNTRY_OF_DOMICILE")</f>
        <v/>
      </c>
      <c r="K714" t="inlineStr">
        <is>
          <t>DBT</t>
        </is>
      </c>
      <c r="L714" t="inlineStr">
        <is>
          <t>CORP</t>
        </is>
      </c>
      <c r="M714" t="inlineStr"/>
      <c r="N714" t="inlineStr"/>
      <c r="O714" s="1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s="1" t="inlineStr"/>
      <c r="AR714" s="1" t="inlineStr"/>
      <c r="AS714" s="1" t="inlineStr"/>
      <c r="AT714">
        <f>TEXT(BDP($B714,"MATURITY"),"yyyy-mm-dd")</f>
        <v/>
      </c>
      <c r="AU714">
        <f>BDP($B714,"CPN_TYP")</f>
        <v/>
      </c>
      <c r="AV714">
        <f>BDP($B714,"CPN")</f>
        <v/>
      </c>
      <c r="AW714" t="inlineStr"/>
      <c r="AX714" t="inlineStr"/>
      <c r="AY714" t="inlineStr"/>
    </row>
    <row r="715">
      <c r="A715" t="inlineStr">
        <is>
          <t>CIVG</t>
        </is>
      </c>
      <c r="B715" t="inlineStr">
        <is>
          <t>75886FAE7 Corp</t>
        </is>
      </c>
      <c r="C715" s="1" t="inlineStr">
        <is>
          <t>75886FAE7</t>
        </is>
      </c>
      <c r="D715" t="inlineStr">
        <is>
          <t xml:space="preserve">Regeneron Pharmaceuticals Inc </t>
        </is>
      </c>
      <c r="E715">
        <f>BDP($B715,"LEGAL_ENTITY_IDENTIFIER")</f>
        <v/>
      </c>
      <c r="F715" t="inlineStr">
        <is>
          <t>Regeneron Pharmaceuticals Inc 1.75% 09/15/2030</t>
        </is>
      </c>
      <c r="G715">
        <f>custodian!D715</f>
        <v/>
      </c>
      <c r="H715">
        <f>BDP($B715,"ID_ISIN")</f>
        <v/>
      </c>
      <c r="I715" s="1" t="inlineStr"/>
      <c r="J715">
        <f>BDP($B715,"CNTRY_OF_DOMICILE")</f>
        <v/>
      </c>
      <c r="K715" t="inlineStr">
        <is>
          <t>DBT</t>
        </is>
      </c>
      <c r="L715" t="inlineStr">
        <is>
          <t>CORP</t>
        </is>
      </c>
      <c r="M715" t="inlineStr"/>
      <c r="N715" t="inlineStr"/>
      <c r="O715" s="1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s="1" t="inlineStr"/>
      <c r="AR715" s="1" t="inlineStr"/>
      <c r="AS715" s="1" t="inlineStr"/>
      <c r="AT715">
        <f>TEXT(BDP($B715,"MATURITY"),"yyyy-mm-dd")</f>
        <v/>
      </c>
      <c r="AU715">
        <f>BDP($B715,"CPN_TYP")</f>
        <v/>
      </c>
      <c r="AV715">
        <f>BDP($B715,"CPN")</f>
        <v/>
      </c>
      <c r="AW715" t="inlineStr"/>
      <c r="AX715" t="inlineStr"/>
      <c r="AY715" t="inlineStr"/>
    </row>
    <row r="716">
      <c r="A716" t="inlineStr">
        <is>
          <t>CIVG</t>
        </is>
      </c>
      <c r="B716" t="inlineStr">
        <is>
          <t>76720AAS5 Corp</t>
        </is>
      </c>
      <c r="C716" s="1" t="inlineStr">
        <is>
          <t>76720AAS5</t>
        </is>
      </c>
      <c r="D716" t="inlineStr">
        <is>
          <t>Rio Tinto Finance USA PLC 4.87</t>
        </is>
      </c>
      <c r="E716">
        <f>BDP($B716,"LEGAL_ENTITY_IDENTIFIER")</f>
        <v/>
      </c>
      <c r="F716" t="inlineStr">
        <is>
          <t>Rio Tinto Finance USA PLC 4.875% 03/14/2030</t>
        </is>
      </c>
      <c r="G716">
        <f>custodian!D716</f>
        <v/>
      </c>
      <c r="H716">
        <f>BDP($B716,"ID_ISIN")</f>
        <v/>
      </c>
      <c r="I716" s="1" t="inlineStr"/>
      <c r="J716">
        <f>BDP($B716,"CNTRY_OF_DOMICILE")</f>
        <v/>
      </c>
      <c r="K716" t="inlineStr">
        <is>
          <t>DBT</t>
        </is>
      </c>
      <c r="L716" t="inlineStr">
        <is>
          <t>CORP</t>
        </is>
      </c>
      <c r="M716" t="inlineStr"/>
      <c r="N716" t="inlineStr"/>
      <c r="O716" s="1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s="1" t="inlineStr"/>
      <c r="AR716" s="1" t="inlineStr"/>
      <c r="AS716" s="1" t="inlineStr"/>
      <c r="AT716">
        <f>TEXT(BDP($B716,"MATURITY"),"yyyy-mm-dd")</f>
        <v/>
      </c>
      <c r="AU716">
        <f>BDP($B716,"CPN_TYP")</f>
        <v/>
      </c>
      <c r="AV716">
        <f>BDP($B716,"CPN")</f>
        <v/>
      </c>
      <c r="AW716" t="inlineStr"/>
      <c r="AX716" t="inlineStr"/>
      <c r="AY716" t="inlineStr"/>
    </row>
    <row r="717">
      <c r="A717" t="inlineStr">
        <is>
          <t>CIVG</t>
        </is>
      </c>
      <c r="B717" t="inlineStr">
        <is>
          <t>775109DE8 Corp</t>
        </is>
      </c>
      <c r="C717" s="1" t="inlineStr">
        <is>
          <t>775109DE8</t>
        </is>
      </c>
      <c r="D717" t="inlineStr">
        <is>
          <t>Rogers Communications Inc 5% 0</t>
        </is>
      </c>
      <c r="E717">
        <f>BDP($B717,"LEGAL_ENTITY_IDENTIFIER")</f>
        <v/>
      </c>
      <c r="F717" t="inlineStr">
        <is>
          <t>Rogers Communications Inc 5% 02/15/2029</t>
        </is>
      </c>
      <c r="G717">
        <f>custodian!D717</f>
        <v/>
      </c>
      <c r="H717">
        <f>BDP($B717,"ID_ISIN")</f>
        <v/>
      </c>
      <c r="I717" s="1" t="inlineStr"/>
      <c r="J717">
        <f>BDP($B717,"CNTRY_OF_DOMICILE")</f>
        <v/>
      </c>
      <c r="K717" t="inlineStr">
        <is>
          <t>DBT</t>
        </is>
      </c>
      <c r="L717" t="inlineStr">
        <is>
          <t>CORP</t>
        </is>
      </c>
      <c r="M717" t="inlineStr"/>
      <c r="N717" t="inlineStr"/>
      <c r="O717" s="1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s="1" t="inlineStr"/>
      <c r="AR717" s="1" t="inlineStr"/>
      <c r="AS717" s="1" t="inlineStr"/>
      <c r="AT717">
        <f>TEXT(BDP($B717,"MATURITY"),"yyyy-mm-dd")</f>
        <v/>
      </c>
      <c r="AU717">
        <f>BDP($B717,"CPN_TYP")</f>
        <v/>
      </c>
      <c r="AV717">
        <f>BDP($B717,"CPN")</f>
        <v/>
      </c>
      <c r="AW717" t="inlineStr"/>
      <c r="AX717" t="inlineStr"/>
      <c r="AY717" t="inlineStr"/>
    </row>
    <row r="718">
      <c r="A718" t="inlineStr">
        <is>
          <t>CIVG</t>
        </is>
      </c>
      <c r="B718" t="inlineStr">
        <is>
          <t>776743AF3 Corp</t>
        </is>
      </c>
      <c r="C718" s="1" t="inlineStr">
        <is>
          <t>776743AF3</t>
        </is>
      </c>
      <c r="D718" t="inlineStr">
        <is>
          <t>Roper Technologies Inc 4.2% 09</t>
        </is>
      </c>
      <c r="E718">
        <f>BDP($B718,"LEGAL_ENTITY_IDENTIFIER")</f>
        <v/>
      </c>
      <c r="F718" t="inlineStr">
        <is>
          <t>Roper Technologies Inc 4.2% 09/15/2028</t>
        </is>
      </c>
      <c r="G718">
        <f>custodian!D718</f>
        <v/>
      </c>
      <c r="H718">
        <f>BDP($B718,"ID_ISIN")</f>
        <v/>
      </c>
      <c r="I718" s="1" t="inlineStr"/>
      <c r="J718">
        <f>BDP($B718,"CNTRY_OF_DOMICILE")</f>
        <v/>
      </c>
      <c r="K718" t="inlineStr">
        <is>
          <t>DBT</t>
        </is>
      </c>
      <c r="L718" t="inlineStr">
        <is>
          <t>CORP</t>
        </is>
      </c>
      <c r="M718" t="inlineStr"/>
      <c r="N718" t="inlineStr"/>
      <c r="O718" s="1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s="1" t="inlineStr"/>
      <c r="AR718" s="1" t="inlineStr"/>
      <c r="AS718" s="1" t="inlineStr"/>
      <c r="AT718">
        <f>TEXT(BDP($B718,"MATURITY"),"yyyy-mm-dd")</f>
        <v/>
      </c>
      <c r="AU718">
        <f>BDP($B718,"CPN_TYP")</f>
        <v/>
      </c>
      <c r="AV718">
        <f>BDP($B718,"CPN")</f>
        <v/>
      </c>
      <c r="AW718" t="inlineStr"/>
      <c r="AX718" t="inlineStr"/>
      <c r="AY718" t="inlineStr"/>
    </row>
    <row r="719">
      <c r="A719" t="inlineStr">
        <is>
          <t>CIVG</t>
        </is>
      </c>
      <c r="B719" t="inlineStr">
        <is>
          <t>78017DAC2 Corp</t>
        </is>
      </c>
      <c r="C719" s="1" t="inlineStr">
        <is>
          <t>78017DAC2</t>
        </is>
      </c>
      <c r="D719" t="inlineStr">
        <is>
          <t>Royal Bank of Canada 5.153% 02</t>
        </is>
      </c>
      <c r="E719">
        <f>BDP($B719,"LEGAL_ENTITY_IDENTIFIER")</f>
        <v/>
      </c>
      <c r="F719" t="inlineStr">
        <is>
          <t>Royal Bank of Canada 5.153% 02/04/2031</t>
        </is>
      </c>
      <c r="G719">
        <f>custodian!D719</f>
        <v/>
      </c>
      <c r="H719">
        <f>BDP($B719,"ID_ISIN")</f>
        <v/>
      </c>
      <c r="I719" s="1" t="inlineStr"/>
      <c r="J719">
        <f>BDP($B719,"CNTRY_OF_DOMICILE")</f>
        <v/>
      </c>
      <c r="K719" t="inlineStr">
        <is>
          <t>DBT</t>
        </is>
      </c>
      <c r="L719" t="inlineStr">
        <is>
          <t>CORP</t>
        </is>
      </c>
      <c r="M719" t="inlineStr"/>
      <c r="N719" t="inlineStr"/>
      <c r="O719" s="1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s="1" t="inlineStr"/>
      <c r="AR719" s="1" t="inlineStr"/>
      <c r="AS719" s="1" t="inlineStr"/>
      <c r="AT719">
        <f>TEXT(BDP($B719,"MATURITY"),"yyyy-mm-dd")</f>
        <v/>
      </c>
      <c r="AU719">
        <f>BDP($B719,"CPN_TYP")</f>
        <v/>
      </c>
      <c r="AV719">
        <f>BDP($B719,"CPN")</f>
        <v/>
      </c>
      <c r="AW719" t="inlineStr"/>
      <c r="AX719" t="inlineStr"/>
      <c r="AY719" t="inlineStr"/>
    </row>
    <row r="720">
      <c r="A720" t="inlineStr">
        <is>
          <t>CIVG</t>
        </is>
      </c>
      <c r="B720" t="inlineStr">
        <is>
          <t>78017DAN8 Corp</t>
        </is>
      </c>
      <c r="C720" s="1" t="inlineStr">
        <is>
          <t>78017DAN8</t>
        </is>
      </c>
      <c r="D720" t="inlineStr">
        <is>
          <t>Royal Bank of Canada 3.995% 11</t>
        </is>
      </c>
      <c r="E720">
        <f>BDP($B720,"LEGAL_ENTITY_IDENTIFIER")</f>
        <v/>
      </c>
      <c r="F720" t="inlineStr">
        <is>
          <t>Royal Bank of Canada 3.995% 11/03/2028</t>
        </is>
      </c>
      <c r="G720">
        <f>custodian!D720</f>
        <v/>
      </c>
      <c r="H720">
        <f>BDP($B720,"ID_ISIN")</f>
        <v/>
      </c>
      <c r="I720" s="1" t="inlineStr"/>
      <c r="J720">
        <f>BDP($B720,"CNTRY_OF_DOMICILE")</f>
        <v/>
      </c>
      <c r="K720" t="inlineStr">
        <is>
          <t>DBT</t>
        </is>
      </c>
      <c r="L720" t="inlineStr">
        <is>
          <t>CORP</t>
        </is>
      </c>
      <c r="M720" t="inlineStr"/>
      <c r="N720" t="inlineStr"/>
      <c r="O720" s="1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s="1" t="inlineStr"/>
      <c r="AR720" s="1" t="inlineStr"/>
      <c r="AS720" s="1" t="inlineStr"/>
      <c r="AT720">
        <f>TEXT(BDP($B720,"MATURITY"),"yyyy-mm-dd")</f>
        <v/>
      </c>
      <c r="AU720">
        <f>BDP($B720,"CPN_TYP")</f>
        <v/>
      </c>
      <c r="AV720">
        <f>BDP($B720,"CPN")</f>
        <v/>
      </c>
      <c r="AW720" t="inlineStr"/>
      <c r="AX720" t="inlineStr"/>
      <c r="AY720" t="inlineStr"/>
    </row>
    <row r="721">
      <c r="A721" t="inlineStr">
        <is>
          <t>CIVG</t>
        </is>
      </c>
      <c r="B721" t="inlineStr">
        <is>
          <t>785592AX4 Corp</t>
        </is>
      </c>
      <c r="C721" s="1" t="inlineStr">
        <is>
          <t>785592AX4</t>
        </is>
      </c>
      <c r="D721" t="inlineStr">
        <is>
          <t>Sabine Pass Liquefaction LLC 4</t>
        </is>
      </c>
      <c r="E721">
        <f>BDP($B721,"LEGAL_ENTITY_IDENTIFIER")</f>
        <v/>
      </c>
      <c r="F721" t="inlineStr">
        <is>
          <t>Sabine Pass Liquefaction LLC 4.5% 05/15/2030</t>
        </is>
      </c>
      <c r="G721">
        <f>custodian!D721</f>
        <v/>
      </c>
      <c r="H721">
        <f>BDP($B721,"ID_ISIN")</f>
        <v/>
      </c>
      <c r="I721" s="1" t="inlineStr"/>
      <c r="J721">
        <f>BDP($B721,"CNTRY_OF_DOMICILE")</f>
        <v/>
      </c>
      <c r="K721" t="inlineStr">
        <is>
          <t>DBT</t>
        </is>
      </c>
      <c r="L721" t="inlineStr">
        <is>
          <t>CORP</t>
        </is>
      </c>
      <c r="M721" t="inlineStr"/>
      <c r="N721" t="inlineStr"/>
      <c r="O721" s="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s="1" t="inlineStr"/>
      <c r="AR721" s="1" t="inlineStr"/>
      <c r="AS721" s="1" t="inlineStr"/>
      <c r="AT721">
        <f>TEXT(BDP($B721,"MATURITY"),"yyyy-mm-dd")</f>
        <v/>
      </c>
      <c r="AU721">
        <f>BDP($B721,"CPN_TYP")</f>
        <v/>
      </c>
      <c r="AV721">
        <f>BDP($B721,"CPN")</f>
        <v/>
      </c>
      <c r="AW721" t="inlineStr"/>
      <c r="AX721" t="inlineStr"/>
      <c r="AY721" t="inlineStr"/>
    </row>
    <row r="722">
      <c r="A722" t="inlineStr">
        <is>
          <t>CIVG</t>
        </is>
      </c>
      <c r="B722" t="inlineStr">
        <is>
          <t>79466LAQ7 Corp</t>
        </is>
      </c>
      <c r="C722" s="1" t="inlineStr">
        <is>
          <t>79466LAQ7</t>
        </is>
      </c>
      <c r="D722" t="inlineStr">
        <is>
          <t>Salesforce Inc 4.5% 03/15/2028</t>
        </is>
      </c>
      <c r="E722">
        <f>BDP($B722,"LEGAL_ENTITY_IDENTIFIER")</f>
        <v/>
      </c>
      <c r="F722" t="inlineStr">
        <is>
          <t>Salesforce Inc 4.5% 03/15/2028</t>
        </is>
      </c>
      <c r="G722">
        <f>custodian!D722</f>
        <v/>
      </c>
      <c r="H722">
        <f>BDP($B722,"ID_ISIN")</f>
        <v/>
      </c>
      <c r="I722" s="1" t="inlineStr"/>
      <c r="J722">
        <f>BDP($B722,"CNTRY_OF_DOMICILE")</f>
        <v/>
      </c>
      <c r="K722" t="inlineStr">
        <is>
          <t>DBT</t>
        </is>
      </c>
      <c r="L722" t="inlineStr">
        <is>
          <t>CORP</t>
        </is>
      </c>
      <c r="M722" t="inlineStr"/>
      <c r="N722" t="inlineStr"/>
      <c r="O722" s="1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s="1" t="inlineStr"/>
      <c r="AR722" s="1" t="inlineStr"/>
      <c r="AS722" s="1" t="inlineStr"/>
      <c r="AT722">
        <f>TEXT(BDP($B722,"MATURITY"),"yyyy-mm-dd")</f>
        <v/>
      </c>
      <c r="AU722">
        <f>BDP($B722,"CPN_TYP")</f>
        <v/>
      </c>
      <c r="AV722">
        <f>BDP($B722,"CPN")</f>
        <v/>
      </c>
      <c r="AW722" t="inlineStr"/>
      <c r="AX722" t="inlineStr"/>
      <c r="AY722" t="inlineStr"/>
    </row>
    <row r="723">
      <c r="A723" t="inlineStr">
        <is>
          <t>CIVG</t>
        </is>
      </c>
      <c r="B723" t="inlineStr">
        <is>
          <t>79466LAR5 Corp</t>
        </is>
      </c>
      <c r="C723" s="1" t="inlineStr">
        <is>
          <t>79466LAR5</t>
        </is>
      </c>
      <c r="D723" t="inlineStr">
        <is>
          <t>Salesforce Inc 4.65% 03/15/202</t>
        </is>
      </c>
      <c r="E723">
        <f>BDP($B723,"LEGAL_ENTITY_IDENTIFIER")</f>
        <v/>
      </c>
      <c r="F723" t="inlineStr">
        <is>
          <t>Salesforce Inc 4.65% 03/15/2029</t>
        </is>
      </c>
      <c r="G723">
        <f>custodian!D723</f>
        <v/>
      </c>
      <c r="H723">
        <f>BDP($B723,"ID_ISIN")</f>
        <v/>
      </c>
      <c r="I723" s="1" t="inlineStr"/>
      <c r="J723">
        <f>BDP($B723,"CNTRY_OF_DOMICILE")</f>
        <v/>
      </c>
      <c r="K723" t="inlineStr">
        <is>
          <t>DBT</t>
        </is>
      </c>
      <c r="L723" t="inlineStr">
        <is>
          <t>CORP</t>
        </is>
      </c>
      <c r="M723" t="inlineStr"/>
      <c r="N723" t="inlineStr"/>
      <c r="O723" s="1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s="1" t="inlineStr"/>
      <c r="AR723" s="1" t="inlineStr"/>
      <c r="AS723" s="1" t="inlineStr"/>
      <c r="AT723">
        <f>TEXT(BDP($B723,"MATURITY"),"yyyy-mm-dd")</f>
        <v/>
      </c>
      <c r="AU723">
        <f>BDP($B723,"CPN_TYP")</f>
        <v/>
      </c>
      <c r="AV723">
        <f>BDP($B723,"CPN")</f>
        <v/>
      </c>
      <c r="AW723" t="inlineStr"/>
      <c r="AX723" t="inlineStr"/>
      <c r="AY723" t="inlineStr"/>
    </row>
    <row r="724">
      <c r="A724" t="inlineStr">
        <is>
          <t>CIVG</t>
        </is>
      </c>
      <c r="B724" t="inlineStr">
        <is>
          <t>80282KBF2 Corp</t>
        </is>
      </c>
      <c r="C724" s="1" t="inlineStr">
        <is>
          <t>80282KBF2</t>
        </is>
      </c>
      <c r="D724" t="inlineStr">
        <is>
          <t>Santander Holdings USA Inc 6.4</t>
        </is>
      </c>
      <c r="E724">
        <f>BDP($B724,"LEGAL_ENTITY_IDENTIFIER")</f>
        <v/>
      </c>
      <c r="F724" t="inlineStr">
        <is>
          <t>Santander Holdings USA Inc 6.499% 03/09/2029</t>
        </is>
      </c>
      <c r="G724">
        <f>custodian!D724</f>
        <v/>
      </c>
      <c r="H724">
        <f>BDP($B724,"ID_ISIN")</f>
        <v/>
      </c>
      <c r="I724" s="1" t="inlineStr"/>
      <c r="J724">
        <f>BDP($B724,"CNTRY_OF_DOMICILE")</f>
        <v/>
      </c>
      <c r="K724" t="inlineStr">
        <is>
          <t>DBT</t>
        </is>
      </c>
      <c r="L724" t="inlineStr">
        <is>
          <t>CORP</t>
        </is>
      </c>
      <c r="M724" t="inlineStr"/>
      <c r="N724" t="inlineStr"/>
      <c r="O724" s="1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s="1" t="inlineStr"/>
      <c r="AR724" s="1" t="inlineStr"/>
      <c r="AS724" s="1" t="inlineStr"/>
      <c r="AT724">
        <f>TEXT(BDP($B724,"MATURITY"),"yyyy-mm-dd")</f>
        <v/>
      </c>
      <c r="AU724">
        <f>BDP($B724,"CPN_TYP")</f>
        <v/>
      </c>
      <c r="AV724">
        <f>BDP($B724,"CPN")</f>
        <v/>
      </c>
      <c r="AW724" t="inlineStr"/>
      <c r="AX724" t="inlineStr"/>
      <c r="AY724" t="inlineStr"/>
    </row>
    <row r="725">
      <c r="A725" t="inlineStr">
        <is>
          <t>CIVG</t>
        </is>
      </c>
      <c r="B725" t="inlineStr">
        <is>
          <t>808513CJ2 Corp</t>
        </is>
      </c>
      <c r="C725" s="1" t="inlineStr">
        <is>
          <t>808513CJ2</t>
        </is>
      </c>
      <c r="D725" t="inlineStr">
        <is>
          <t>Charles Schwab Corp/The 6.196%</t>
        </is>
      </c>
      <c r="E725">
        <f>BDP($B725,"LEGAL_ENTITY_IDENTIFIER")</f>
        <v/>
      </c>
      <c r="F725" t="inlineStr">
        <is>
          <t>Charles Schwab Corp/The 6.196% 11/17/2029</t>
        </is>
      </c>
      <c r="G725">
        <f>custodian!D725</f>
        <v/>
      </c>
      <c r="H725">
        <f>BDP($B725,"ID_ISIN")</f>
        <v/>
      </c>
      <c r="I725" s="1" t="inlineStr"/>
      <c r="J725">
        <f>BDP($B725,"CNTRY_OF_DOMICILE")</f>
        <v/>
      </c>
      <c r="K725" t="inlineStr">
        <is>
          <t>DBT</t>
        </is>
      </c>
      <c r="L725" t="inlineStr">
        <is>
          <t>CORP</t>
        </is>
      </c>
      <c r="M725" t="inlineStr"/>
      <c r="N725" t="inlineStr"/>
      <c r="O725" s="1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s="1" t="inlineStr"/>
      <c r="AR725" s="1" t="inlineStr"/>
      <c r="AS725" s="1" t="inlineStr"/>
      <c r="AT725">
        <f>TEXT(BDP($B725,"MATURITY"),"yyyy-mm-dd")</f>
        <v/>
      </c>
      <c r="AU725">
        <f>BDP($B725,"CPN_TYP")</f>
        <v/>
      </c>
      <c r="AV725">
        <f>BDP($B725,"CPN")</f>
        <v/>
      </c>
      <c r="AW725" t="inlineStr"/>
      <c r="AX725" t="inlineStr"/>
      <c r="AY725" t="inlineStr"/>
    </row>
    <row r="726">
      <c r="A726" t="inlineStr">
        <is>
          <t>CIVG</t>
        </is>
      </c>
      <c r="B726" t="inlineStr">
        <is>
          <t>816851BG3 Corp</t>
        </is>
      </c>
      <c r="C726" s="1" t="inlineStr">
        <is>
          <t>816851BG3</t>
        </is>
      </c>
      <c r="D726" t="inlineStr">
        <is>
          <t>Sempra 3.4% 02/01/2028</t>
        </is>
      </c>
      <c r="E726">
        <f>BDP($B726,"LEGAL_ENTITY_IDENTIFIER")</f>
        <v/>
      </c>
      <c r="F726" t="inlineStr">
        <is>
          <t>Sempra 3.4% 02/01/2028</t>
        </is>
      </c>
      <c r="G726">
        <f>custodian!D726</f>
        <v/>
      </c>
      <c r="H726">
        <f>BDP($B726,"ID_ISIN")</f>
        <v/>
      </c>
      <c r="I726" s="1" t="inlineStr"/>
      <c r="J726">
        <f>BDP($B726,"CNTRY_OF_DOMICILE")</f>
        <v/>
      </c>
      <c r="K726" t="inlineStr">
        <is>
          <t>DBT</t>
        </is>
      </c>
      <c r="L726" t="inlineStr">
        <is>
          <t>CORP</t>
        </is>
      </c>
      <c r="M726" t="inlineStr"/>
      <c r="N726" t="inlineStr"/>
      <c r="O726" s="1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s="1" t="inlineStr"/>
      <c r="AR726" s="1" t="inlineStr"/>
      <c r="AS726" s="1" t="inlineStr"/>
      <c r="AT726">
        <f>TEXT(BDP($B726,"MATURITY"),"yyyy-mm-dd")</f>
        <v/>
      </c>
      <c r="AU726">
        <f>BDP($B726,"CPN_TYP")</f>
        <v/>
      </c>
      <c r="AV726">
        <f>BDP($B726,"CPN")</f>
        <v/>
      </c>
      <c r="AW726" t="inlineStr"/>
      <c r="AX726" t="inlineStr"/>
      <c r="AY726" t="inlineStr"/>
    </row>
    <row r="727">
      <c r="A727" t="inlineStr">
        <is>
          <t>CIVG</t>
        </is>
      </c>
      <c r="B727" t="inlineStr">
        <is>
          <t>824348BJ4 Corp</t>
        </is>
      </c>
      <c r="C727" s="1" t="inlineStr">
        <is>
          <t>824348BJ4</t>
        </is>
      </c>
      <c r="D727" t="inlineStr">
        <is>
          <t xml:space="preserve">Sherwin-Williams Co/The 2.95% </t>
        </is>
      </c>
      <c r="E727">
        <f>BDP($B727,"LEGAL_ENTITY_IDENTIFIER")</f>
        <v/>
      </c>
      <c r="F727" t="inlineStr">
        <is>
          <t>Sherwin-Williams Co/The 2.95% 08/15/2029</t>
        </is>
      </c>
      <c r="G727">
        <f>custodian!D727</f>
        <v/>
      </c>
      <c r="H727">
        <f>BDP($B727,"ID_ISIN")</f>
        <v/>
      </c>
      <c r="I727" s="1" t="inlineStr"/>
      <c r="J727">
        <f>BDP($B727,"CNTRY_OF_DOMICILE")</f>
        <v/>
      </c>
      <c r="K727" t="inlineStr">
        <is>
          <t>DBT</t>
        </is>
      </c>
      <c r="L727" t="inlineStr">
        <is>
          <t>CORP</t>
        </is>
      </c>
      <c r="M727" t="inlineStr"/>
      <c r="N727" t="inlineStr"/>
      <c r="O727" s="1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s="1" t="inlineStr"/>
      <c r="AR727" s="1" t="inlineStr"/>
      <c r="AS727" s="1" t="inlineStr"/>
      <c r="AT727">
        <f>TEXT(BDP($B727,"MATURITY"),"yyyy-mm-dd")</f>
        <v/>
      </c>
      <c r="AU727">
        <f>BDP($B727,"CPN_TYP")</f>
        <v/>
      </c>
      <c r="AV727">
        <f>BDP($B727,"CPN")</f>
        <v/>
      </c>
      <c r="AW727" t="inlineStr"/>
      <c r="AX727" t="inlineStr"/>
      <c r="AY727" t="inlineStr"/>
    </row>
    <row r="728">
      <c r="A728" t="inlineStr">
        <is>
          <t>CIVG</t>
        </is>
      </c>
      <c r="B728" t="inlineStr">
        <is>
          <t>828807DF1 Corp</t>
        </is>
      </c>
      <c r="C728" s="1" t="inlineStr">
        <is>
          <t>828807DF1</t>
        </is>
      </c>
      <c r="D728" t="inlineStr">
        <is>
          <t xml:space="preserve">Simon Property Group LP 2.45% </t>
        </is>
      </c>
      <c r="E728">
        <f>BDP($B728,"LEGAL_ENTITY_IDENTIFIER")</f>
        <v/>
      </c>
      <c r="F728" t="inlineStr">
        <is>
          <t>Simon Property Group LP 2.45% 09/13/2029</t>
        </is>
      </c>
      <c r="G728">
        <f>custodian!D728</f>
        <v/>
      </c>
      <c r="H728">
        <f>BDP($B728,"ID_ISIN")</f>
        <v/>
      </c>
      <c r="I728" s="1" t="inlineStr"/>
      <c r="J728">
        <f>BDP($B728,"CNTRY_OF_DOMICILE")</f>
        <v/>
      </c>
      <c r="K728" t="inlineStr">
        <is>
          <t>DBT</t>
        </is>
      </c>
      <c r="L728" t="inlineStr">
        <is>
          <t>CORP</t>
        </is>
      </c>
      <c r="M728" t="inlineStr"/>
      <c r="N728" t="inlineStr"/>
      <c r="O728" s="1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s="1" t="inlineStr"/>
      <c r="AR728" s="1" t="inlineStr"/>
      <c r="AS728" s="1" t="inlineStr"/>
      <c r="AT728">
        <f>TEXT(BDP($B728,"MATURITY"),"yyyy-mm-dd")</f>
        <v/>
      </c>
      <c r="AU728">
        <f>BDP($B728,"CPN_TYP")</f>
        <v/>
      </c>
      <c r="AV728">
        <f>BDP($B728,"CPN")</f>
        <v/>
      </c>
      <c r="AW728" t="inlineStr"/>
      <c r="AX728" t="inlineStr"/>
      <c r="AY728" t="inlineStr"/>
    </row>
    <row r="729">
      <c r="A729" t="inlineStr">
        <is>
          <t>CIVG</t>
        </is>
      </c>
      <c r="B729" t="inlineStr">
        <is>
          <t>83444MAP6 Corp</t>
        </is>
      </c>
      <c r="C729" s="1" t="inlineStr">
        <is>
          <t>83444MAP6</t>
        </is>
      </c>
      <c r="D729" t="inlineStr">
        <is>
          <t>Solventum Corp 5.4% 03/01/2029</t>
        </is>
      </c>
      <c r="E729">
        <f>BDP($B729,"LEGAL_ENTITY_IDENTIFIER")</f>
        <v/>
      </c>
      <c r="F729" t="inlineStr">
        <is>
          <t>Solventum Corp 5.4% 03/01/2029</t>
        </is>
      </c>
      <c r="G729">
        <f>custodian!D729</f>
        <v/>
      </c>
      <c r="H729">
        <f>BDP($B729,"ID_ISIN")</f>
        <v/>
      </c>
      <c r="I729" s="1" t="inlineStr"/>
      <c r="J729">
        <f>BDP($B729,"CNTRY_OF_DOMICILE")</f>
        <v/>
      </c>
      <c r="K729" t="inlineStr">
        <is>
          <t>DBT</t>
        </is>
      </c>
      <c r="L729" t="inlineStr">
        <is>
          <t>CORP</t>
        </is>
      </c>
      <c r="M729" t="inlineStr"/>
      <c r="N729" t="inlineStr"/>
      <c r="O729" s="1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s="1" t="inlineStr"/>
      <c r="AR729" s="1" t="inlineStr"/>
      <c r="AS729" s="1" t="inlineStr"/>
      <c r="AT729">
        <f>TEXT(BDP($B729,"MATURITY"),"yyyy-mm-dd")</f>
        <v/>
      </c>
      <c r="AU729">
        <f>BDP($B729,"CPN_TYP")</f>
        <v/>
      </c>
      <c r="AV729">
        <f>BDP($B729,"CPN")</f>
        <v/>
      </c>
      <c r="AW729" t="inlineStr"/>
      <c r="AX729" t="inlineStr"/>
      <c r="AY729" t="inlineStr"/>
    </row>
    <row r="730">
      <c r="A730" t="inlineStr">
        <is>
          <t>CIVG</t>
        </is>
      </c>
      <c r="B730" t="inlineStr">
        <is>
          <t>842400JC8 Corp</t>
        </is>
      </c>
      <c r="C730" s="1" t="inlineStr">
        <is>
          <t>842400JC8</t>
        </is>
      </c>
      <c r="D730" t="inlineStr">
        <is>
          <t xml:space="preserve">Southern California Edison Co </t>
        </is>
      </c>
      <c r="E730">
        <f>BDP($B730,"LEGAL_ENTITY_IDENTIFIER")</f>
        <v/>
      </c>
      <c r="F730" t="inlineStr">
        <is>
          <t>Southern California Edison Co 5.15% 06/01/2029</t>
        </is>
      </c>
      <c r="G730">
        <f>custodian!D730</f>
        <v/>
      </c>
      <c r="H730">
        <f>BDP($B730,"ID_ISIN")</f>
        <v/>
      </c>
      <c r="I730" s="1" t="inlineStr"/>
      <c r="J730">
        <f>BDP($B730,"CNTRY_OF_DOMICILE")</f>
        <v/>
      </c>
      <c r="K730" t="inlineStr">
        <is>
          <t>DBT</t>
        </is>
      </c>
      <c r="L730" t="inlineStr">
        <is>
          <t>CORP</t>
        </is>
      </c>
      <c r="M730" t="inlineStr"/>
      <c r="N730" t="inlineStr"/>
      <c r="O730" s="1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s="1" t="inlineStr"/>
      <c r="AR730" s="1" t="inlineStr"/>
      <c r="AS730" s="1" t="inlineStr"/>
      <c r="AT730">
        <f>TEXT(BDP($B730,"MATURITY"),"yyyy-mm-dd")</f>
        <v/>
      </c>
      <c r="AU730">
        <f>BDP($B730,"CPN_TYP")</f>
        <v/>
      </c>
      <c r="AV730">
        <f>BDP($B730,"CPN")</f>
        <v/>
      </c>
      <c r="AW730" t="inlineStr"/>
      <c r="AX730" t="inlineStr"/>
      <c r="AY730" t="inlineStr"/>
    </row>
    <row r="731">
      <c r="A731" t="inlineStr">
        <is>
          <t>CIVG</t>
        </is>
      </c>
      <c r="B731" t="inlineStr">
        <is>
          <t>852060AD4 Corp</t>
        </is>
      </c>
      <c r="C731" s="1" t="inlineStr">
        <is>
          <t>852060AD4</t>
        </is>
      </c>
      <c r="D731" t="inlineStr">
        <is>
          <t>Sprint Capital Corp 6.875% 11/</t>
        </is>
      </c>
      <c r="E731">
        <f>BDP($B731,"LEGAL_ENTITY_IDENTIFIER")</f>
        <v/>
      </c>
      <c r="F731" t="inlineStr">
        <is>
          <t>Sprint Capital Corp 6.875% 11/15/2028</t>
        </is>
      </c>
      <c r="G731">
        <f>custodian!D731</f>
        <v/>
      </c>
      <c r="H731">
        <f>BDP($B731,"ID_ISIN")</f>
        <v/>
      </c>
      <c r="I731" s="1" t="inlineStr"/>
      <c r="J731">
        <f>BDP($B731,"CNTRY_OF_DOMICILE")</f>
        <v/>
      </c>
      <c r="K731" t="inlineStr">
        <is>
          <t>DBT</t>
        </is>
      </c>
      <c r="L731" t="inlineStr">
        <is>
          <t>CORP</t>
        </is>
      </c>
      <c r="M731" t="inlineStr"/>
      <c r="N731" t="inlineStr"/>
      <c r="O731" s="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s="1" t="inlineStr"/>
      <c r="AR731" s="1" t="inlineStr"/>
      <c r="AS731" s="1" t="inlineStr"/>
      <c r="AT731">
        <f>TEXT(BDP($B731,"MATURITY"),"yyyy-mm-dd")</f>
        <v/>
      </c>
      <c r="AU731">
        <f>BDP($B731,"CPN_TYP")</f>
        <v/>
      </c>
      <c r="AV731">
        <f>BDP($B731,"CPN")</f>
        <v/>
      </c>
      <c r="AW731" t="inlineStr"/>
      <c r="AX731" t="inlineStr"/>
      <c r="AY731" t="inlineStr"/>
    </row>
    <row r="732">
      <c r="A732" t="inlineStr">
        <is>
          <t>CIVG</t>
        </is>
      </c>
      <c r="B732" t="inlineStr">
        <is>
          <t>855244AZ2 Corp</t>
        </is>
      </c>
      <c r="C732" s="1" t="inlineStr">
        <is>
          <t>855244AZ2</t>
        </is>
      </c>
      <c r="D732" t="inlineStr">
        <is>
          <t>Starbucks Corp 2.55% 11/15/203</t>
        </is>
      </c>
      <c r="E732">
        <f>BDP($B732,"LEGAL_ENTITY_IDENTIFIER")</f>
        <v/>
      </c>
      <c r="F732" t="inlineStr">
        <is>
          <t>Starbucks Corp 2.55% 11/15/2030</t>
        </is>
      </c>
      <c r="G732">
        <f>custodian!D732</f>
        <v/>
      </c>
      <c r="H732">
        <f>BDP($B732,"ID_ISIN")</f>
        <v/>
      </c>
      <c r="I732" s="1" t="inlineStr"/>
      <c r="J732">
        <f>BDP($B732,"CNTRY_OF_DOMICILE")</f>
        <v/>
      </c>
      <c r="K732" t="inlineStr">
        <is>
          <t>DBT</t>
        </is>
      </c>
      <c r="L732" t="inlineStr">
        <is>
          <t>CORP</t>
        </is>
      </c>
      <c r="M732" t="inlineStr"/>
      <c r="N732" t="inlineStr"/>
      <c r="O732" s="1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s="1" t="inlineStr"/>
      <c r="AR732" s="1" t="inlineStr"/>
      <c r="AS732" s="1" t="inlineStr"/>
      <c r="AT732">
        <f>TEXT(BDP($B732,"MATURITY"),"yyyy-mm-dd")</f>
        <v/>
      </c>
      <c r="AU732">
        <f>BDP($B732,"CPN_TYP")</f>
        <v/>
      </c>
      <c r="AV732">
        <f>BDP($B732,"CPN")</f>
        <v/>
      </c>
      <c r="AW732" t="inlineStr"/>
      <c r="AX732" t="inlineStr"/>
      <c r="AY732" t="inlineStr"/>
    </row>
    <row r="733">
      <c r="A733" t="inlineStr">
        <is>
          <t>CIVG</t>
        </is>
      </c>
      <c r="B733" t="inlineStr">
        <is>
          <t>857477CU5 Corp</t>
        </is>
      </c>
      <c r="C733" s="1" t="inlineStr">
        <is>
          <t>857477CU5</t>
        </is>
      </c>
      <c r="D733" t="inlineStr">
        <is>
          <t>State Street Corp 4.536% 02/28</t>
        </is>
      </c>
      <c r="E733">
        <f>BDP($B733,"LEGAL_ENTITY_IDENTIFIER")</f>
        <v/>
      </c>
      <c r="F733" t="inlineStr">
        <is>
          <t>State Street Corp 4.536% 02/28/2028</t>
        </is>
      </c>
      <c r="G733">
        <f>custodian!D733</f>
        <v/>
      </c>
      <c r="H733">
        <f>BDP($B733,"ID_ISIN")</f>
        <v/>
      </c>
      <c r="I733" s="1" t="inlineStr"/>
      <c r="J733">
        <f>BDP($B733,"CNTRY_OF_DOMICILE")</f>
        <v/>
      </c>
      <c r="K733" t="inlineStr">
        <is>
          <t>DBT</t>
        </is>
      </c>
      <c r="L733" t="inlineStr">
        <is>
          <t>CORP</t>
        </is>
      </c>
      <c r="M733" t="inlineStr"/>
      <c r="N733" t="inlineStr"/>
      <c r="O733" s="1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s="1" t="inlineStr"/>
      <c r="AR733" s="1" t="inlineStr"/>
      <c r="AS733" s="1" t="inlineStr"/>
      <c r="AT733">
        <f>TEXT(BDP($B733,"MATURITY"),"yyyy-mm-dd")</f>
        <v/>
      </c>
      <c r="AU733">
        <f>BDP($B733,"CPN_TYP")</f>
        <v/>
      </c>
      <c r="AV733">
        <f>BDP($B733,"CPN")</f>
        <v/>
      </c>
      <c r="AW733" t="inlineStr"/>
      <c r="AX733" t="inlineStr"/>
      <c r="AY733" t="inlineStr"/>
    </row>
    <row r="734">
      <c r="A734" t="inlineStr">
        <is>
          <t>CIVG</t>
        </is>
      </c>
      <c r="B734" t="inlineStr">
        <is>
          <t>86562MCG3 Corp</t>
        </is>
      </c>
      <c r="C734" s="1" t="inlineStr">
        <is>
          <t>86562MCG3</t>
        </is>
      </c>
      <c r="D734" t="inlineStr">
        <is>
          <t>Sumitomo Mitsui Financial Grou</t>
        </is>
      </c>
      <c r="E734">
        <f>BDP($B734,"LEGAL_ENTITY_IDENTIFIER")</f>
        <v/>
      </c>
      <c r="F734" t="inlineStr">
        <is>
          <t>Sumitomo Mitsui Financial Group Inc 1.902% 09/17/2028</t>
        </is>
      </c>
      <c r="G734">
        <f>custodian!D734</f>
        <v/>
      </c>
      <c r="H734">
        <f>BDP($B734,"ID_ISIN")</f>
        <v/>
      </c>
      <c r="I734" s="1" t="inlineStr"/>
      <c r="J734">
        <f>BDP($B734,"CNTRY_OF_DOMICILE")</f>
        <v/>
      </c>
      <c r="K734" t="inlineStr">
        <is>
          <t>DBT</t>
        </is>
      </c>
      <c r="L734" t="inlineStr">
        <is>
          <t>CORP</t>
        </is>
      </c>
      <c r="M734" t="inlineStr"/>
      <c r="N734" t="inlineStr"/>
      <c r="O734" s="1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s="1" t="inlineStr"/>
      <c r="AR734" s="1" t="inlineStr"/>
      <c r="AS734" s="1" t="inlineStr"/>
      <c r="AT734">
        <f>TEXT(BDP($B734,"MATURITY"),"yyyy-mm-dd")</f>
        <v/>
      </c>
      <c r="AU734">
        <f>BDP($B734,"CPN_TYP")</f>
        <v/>
      </c>
      <c r="AV734">
        <f>BDP($B734,"CPN")</f>
        <v/>
      </c>
      <c r="AW734" t="inlineStr"/>
      <c r="AX734" t="inlineStr"/>
      <c r="AY734" t="inlineStr"/>
    </row>
    <row r="735">
      <c r="A735" t="inlineStr">
        <is>
          <t>CIVG</t>
        </is>
      </c>
      <c r="B735" t="inlineStr">
        <is>
          <t>86562MED8 Corp</t>
        </is>
      </c>
      <c r="C735" s="1" t="inlineStr">
        <is>
          <t>86562MED8</t>
        </is>
      </c>
      <c r="D735" t="inlineStr">
        <is>
          <t>Sumitomo Mitsui Financial Grou</t>
        </is>
      </c>
      <c r="E735">
        <f>BDP($B735,"LEGAL_ENTITY_IDENTIFIER")</f>
        <v/>
      </c>
      <c r="F735" t="inlineStr">
        <is>
          <t>Sumitomo Mitsui Financial Group Inc 4.494% 01/15/2032</t>
        </is>
      </c>
      <c r="G735">
        <f>custodian!D735</f>
        <v/>
      </c>
      <c r="H735">
        <f>BDP($B735,"ID_ISIN")</f>
        <v/>
      </c>
      <c r="I735" s="1" t="inlineStr"/>
      <c r="J735">
        <f>BDP($B735,"CNTRY_OF_DOMICILE")</f>
        <v/>
      </c>
      <c r="K735" t="inlineStr">
        <is>
          <t>DBT</t>
        </is>
      </c>
      <c r="L735" t="inlineStr">
        <is>
          <t>CORP</t>
        </is>
      </c>
      <c r="M735" t="inlineStr"/>
      <c r="N735" t="inlineStr"/>
      <c r="O735" s="1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s="1" t="inlineStr"/>
      <c r="AR735" s="1" t="inlineStr"/>
      <c r="AS735" s="1" t="inlineStr"/>
      <c r="AT735">
        <f>TEXT(BDP($B735,"MATURITY"),"yyyy-mm-dd")</f>
        <v/>
      </c>
      <c r="AU735">
        <f>BDP($B735,"CPN_TYP")</f>
        <v/>
      </c>
      <c r="AV735">
        <f>BDP($B735,"CPN")</f>
        <v/>
      </c>
      <c r="AW735" t="inlineStr"/>
      <c r="AX735" t="inlineStr"/>
      <c r="AY735" t="inlineStr"/>
    </row>
    <row r="736">
      <c r="A736" t="inlineStr">
        <is>
          <t>CIVG</t>
        </is>
      </c>
      <c r="B736" t="inlineStr">
        <is>
          <t>87264ABF1 Corp</t>
        </is>
      </c>
      <c r="C736" s="1" t="inlineStr">
        <is>
          <t>87264ABF1</t>
        </is>
      </c>
      <c r="D736" t="inlineStr">
        <is>
          <t>T-Mobile USA Inc 3.875% 04/15/</t>
        </is>
      </c>
      <c r="E736">
        <f>BDP($B736,"LEGAL_ENTITY_IDENTIFIER")</f>
        <v/>
      </c>
      <c r="F736" t="inlineStr">
        <is>
          <t>T-Mobile USA Inc 3.875% 04/15/2030</t>
        </is>
      </c>
      <c r="G736">
        <f>custodian!D736</f>
        <v/>
      </c>
      <c r="H736">
        <f>BDP($B736,"ID_ISIN")</f>
        <v/>
      </c>
      <c r="I736" s="1" t="inlineStr"/>
      <c r="J736">
        <f>BDP($B736,"CNTRY_OF_DOMICILE")</f>
        <v/>
      </c>
      <c r="K736" t="inlineStr">
        <is>
          <t>DBT</t>
        </is>
      </c>
      <c r="L736" t="inlineStr">
        <is>
          <t>CORP</t>
        </is>
      </c>
      <c r="M736" t="inlineStr"/>
      <c r="N736" t="inlineStr"/>
      <c r="O736" s="1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s="1" t="inlineStr"/>
      <c r="AR736" s="1" t="inlineStr"/>
      <c r="AS736" s="1" t="inlineStr"/>
      <c r="AT736">
        <f>TEXT(BDP($B736,"MATURITY"),"yyyy-mm-dd")</f>
        <v/>
      </c>
      <c r="AU736">
        <f>BDP($B736,"CPN_TYP")</f>
        <v/>
      </c>
      <c r="AV736">
        <f>BDP($B736,"CPN")</f>
        <v/>
      </c>
      <c r="AW736" t="inlineStr"/>
      <c r="AX736" t="inlineStr"/>
      <c r="AY736" t="inlineStr"/>
    </row>
    <row r="737">
      <c r="A737" t="inlineStr">
        <is>
          <t>CIVG</t>
        </is>
      </c>
      <c r="B737" t="inlineStr">
        <is>
          <t>873923AC0 Corp</t>
        </is>
      </c>
      <c r="C737" s="1" t="inlineStr">
        <is>
          <t>873923AC0</t>
        </is>
      </c>
      <c r="D737" t="inlineStr">
        <is>
          <t>Sumisho Air Lease Corp 4.5% 03</t>
        </is>
      </c>
      <c r="E737">
        <f>BDP($B737,"LEGAL_ENTITY_IDENTIFIER")</f>
        <v/>
      </c>
      <c r="F737" t="inlineStr">
        <is>
          <t>Sumisho Air Lease Corp 4.5% 03/24/2029</t>
        </is>
      </c>
      <c r="G737">
        <f>custodian!D737</f>
        <v/>
      </c>
      <c r="H737">
        <f>BDP($B737,"ID_ISIN")</f>
        <v/>
      </c>
      <c r="I737" s="1" t="inlineStr"/>
      <c r="J737">
        <f>BDP($B737,"CNTRY_OF_DOMICILE")</f>
        <v/>
      </c>
      <c r="K737" t="inlineStr">
        <is>
          <t>DBT</t>
        </is>
      </c>
      <c r="L737" t="inlineStr">
        <is>
          <t>CORP</t>
        </is>
      </c>
      <c r="M737" t="inlineStr"/>
      <c r="N737" t="inlineStr"/>
      <c r="O737" s="1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s="1" t="inlineStr"/>
      <c r="AR737" s="1" t="inlineStr"/>
      <c r="AS737" s="1" t="inlineStr"/>
      <c r="AT737">
        <f>TEXT(BDP($B737,"MATURITY"),"yyyy-mm-dd")</f>
        <v/>
      </c>
      <c r="AU737">
        <f>BDP($B737,"CPN_TYP")</f>
        <v/>
      </c>
      <c r="AV737">
        <f>BDP($B737,"CPN")</f>
        <v/>
      </c>
      <c r="AW737" t="inlineStr"/>
      <c r="AX737" t="inlineStr"/>
      <c r="AY737" t="inlineStr"/>
    </row>
    <row r="738">
      <c r="A738" t="inlineStr">
        <is>
          <t>CIVG</t>
        </is>
      </c>
      <c r="B738" t="inlineStr">
        <is>
          <t>87612EBH8 Corp</t>
        </is>
      </c>
      <c r="C738" s="1" t="inlineStr">
        <is>
          <t>87612EBH8</t>
        </is>
      </c>
      <c r="D738" t="inlineStr">
        <is>
          <t>Target Corp 3.375% 04/15/2029</t>
        </is>
      </c>
      <c r="E738">
        <f>BDP($B738,"LEGAL_ENTITY_IDENTIFIER")</f>
        <v/>
      </c>
      <c r="F738" t="inlineStr">
        <is>
          <t>Target Corp 3.375% 04/15/2029</t>
        </is>
      </c>
      <c r="G738">
        <f>custodian!D738</f>
        <v/>
      </c>
      <c r="H738">
        <f>BDP($B738,"ID_ISIN")</f>
        <v/>
      </c>
      <c r="I738" s="1" t="inlineStr"/>
      <c r="J738">
        <f>BDP($B738,"CNTRY_OF_DOMICILE")</f>
        <v/>
      </c>
      <c r="K738" t="inlineStr">
        <is>
          <t>DBT</t>
        </is>
      </c>
      <c r="L738" t="inlineStr">
        <is>
          <t>CORP</t>
        </is>
      </c>
      <c r="M738" t="inlineStr"/>
      <c r="N738" t="inlineStr"/>
      <c r="O738" s="1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s="1" t="inlineStr"/>
      <c r="AR738" s="1" t="inlineStr"/>
      <c r="AS738" s="1" t="inlineStr"/>
      <c r="AT738">
        <f>TEXT(BDP($B738,"MATURITY"),"yyyy-mm-dd")</f>
        <v/>
      </c>
      <c r="AU738">
        <f>BDP($B738,"CPN_TYP")</f>
        <v/>
      </c>
      <c r="AV738">
        <f>BDP($B738,"CPN")</f>
        <v/>
      </c>
      <c r="AW738" t="inlineStr"/>
      <c r="AX738" t="inlineStr"/>
      <c r="AY738" t="inlineStr"/>
    </row>
    <row r="739">
      <c r="A739" t="inlineStr">
        <is>
          <t>CIVG</t>
        </is>
      </c>
      <c r="B739" t="inlineStr">
        <is>
          <t>87612GAE1 Corp</t>
        </is>
      </c>
      <c r="C739" s="1" t="inlineStr">
        <is>
          <t>87612GAE1</t>
        </is>
      </c>
      <c r="D739" t="inlineStr">
        <is>
          <t>Targa Resources Corp 6.15% 03/</t>
        </is>
      </c>
      <c r="E739">
        <f>BDP($B739,"LEGAL_ENTITY_IDENTIFIER")</f>
        <v/>
      </c>
      <c r="F739" t="inlineStr">
        <is>
          <t>Targa Resources Corp 6.15% 03/01/2029</t>
        </is>
      </c>
      <c r="G739">
        <f>custodian!D739</f>
        <v/>
      </c>
      <c r="H739">
        <f>BDP($B739,"ID_ISIN")</f>
        <v/>
      </c>
      <c r="I739" s="1" t="inlineStr"/>
      <c r="J739">
        <f>BDP($B739,"CNTRY_OF_DOMICILE")</f>
        <v/>
      </c>
      <c r="K739" t="inlineStr">
        <is>
          <t>DBT</t>
        </is>
      </c>
      <c r="L739" t="inlineStr">
        <is>
          <t>CORP</t>
        </is>
      </c>
      <c r="M739" t="inlineStr"/>
      <c r="N739" t="inlineStr"/>
      <c r="O739" s="1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s="1" t="inlineStr"/>
      <c r="AR739" s="1" t="inlineStr"/>
      <c r="AS739" s="1" t="inlineStr"/>
      <c r="AT739">
        <f>TEXT(BDP($B739,"MATURITY"),"yyyy-mm-dd")</f>
        <v/>
      </c>
      <c r="AU739">
        <f>BDP($B739,"CPN_TYP")</f>
        <v/>
      </c>
      <c r="AV739">
        <f>BDP($B739,"CPN")</f>
        <v/>
      </c>
      <c r="AW739" t="inlineStr"/>
      <c r="AX739" t="inlineStr"/>
      <c r="AY739" t="inlineStr"/>
    </row>
    <row r="740">
      <c r="A740" t="inlineStr">
        <is>
          <t>CIVG</t>
        </is>
      </c>
      <c r="B740" t="inlineStr">
        <is>
          <t>879360AD7 Corp</t>
        </is>
      </c>
      <c r="C740" s="1" t="inlineStr">
        <is>
          <t>879360AD7</t>
        </is>
      </c>
      <c r="D740" t="inlineStr">
        <is>
          <t>Teledyne Technologies Inc 2.25</t>
        </is>
      </c>
      <c r="E740">
        <f>BDP($B740,"LEGAL_ENTITY_IDENTIFIER")</f>
        <v/>
      </c>
      <c r="F740" t="inlineStr">
        <is>
          <t>Teledyne Technologies Inc 2.25% 04/01/2028</t>
        </is>
      </c>
      <c r="G740">
        <f>custodian!D740</f>
        <v/>
      </c>
      <c r="H740">
        <f>BDP($B740,"ID_ISIN")</f>
        <v/>
      </c>
      <c r="I740" s="1" t="inlineStr"/>
      <c r="J740">
        <f>BDP($B740,"CNTRY_OF_DOMICILE")</f>
        <v/>
      </c>
      <c r="K740" t="inlineStr">
        <is>
          <t>DBT</t>
        </is>
      </c>
      <c r="L740" t="inlineStr">
        <is>
          <t>CORP</t>
        </is>
      </c>
      <c r="M740" t="inlineStr"/>
      <c r="N740" t="inlineStr"/>
      <c r="O740" s="1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s="1" t="inlineStr"/>
      <c r="AR740" s="1" t="inlineStr"/>
      <c r="AS740" s="1" t="inlineStr"/>
      <c r="AT740">
        <f>TEXT(BDP($B740,"MATURITY"),"yyyy-mm-dd")</f>
        <v/>
      </c>
      <c r="AU740">
        <f>BDP($B740,"CPN_TYP")</f>
        <v/>
      </c>
      <c r="AV740">
        <f>BDP($B740,"CPN")</f>
        <v/>
      </c>
      <c r="AW740" t="inlineStr"/>
      <c r="AX740" t="inlineStr"/>
      <c r="AY740" t="inlineStr"/>
    </row>
    <row r="741">
      <c r="A741" t="inlineStr">
        <is>
          <t>CIVG</t>
        </is>
      </c>
      <c r="B741" t="inlineStr">
        <is>
          <t>879385AD4 Corp</t>
        </is>
      </c>
      <c r="C741" s="1" t="inlineStr">
        <is>
          <t>879385AD4</t>
        </is>
      </c>
      <c r="D741" t="inlineStr">
        <is>
          <t>Telefonica Europe BV 8.25% 09/</t>
        </is>
      </c>
      <c r="E741">
        <f>BDP($B741,"LEGAL_ENTITY_IDENTIFIER")</f>
        <v/>
      </c>
      <c r="F741" t="inlineStr">
        <is>
          <t>Telefonica Europe BV 8.25% 09/15/2030</t>
        </is>
      </c>
      <c r="G741">
        <f>custodian!D741</f>
        <v/>
      </c>
      <c r="H741">
        <f>BDP($B741,"ID_ISIN")</f>
        <v/>
      </c>
      <c r="I741" s="1" t="inlineStr"/>
      <c r="J741">
        <f>BDP($B741,"CNTRY_OF_DOMICILE")</f>
        <v/>
      </c>
      <c r="K741" t="inlineStr">
        <is>
          <t>DBT</t>
        </is>
      </c>
      <c r="L741" t="inlineStr">
        <is>
          <t>CORP</t>
        </is>
      </c>
      <c r="M741" t="inlineStr"/>
      <c r="N741" t="inlineStr"/>
      <c r="O741" s="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s="1" t="inlineStr"/>
      <c r="AR741" s="1" t="inlineStr"/>
      <c r="AS741" s="1" t="inlineStr"/>
      <c r="AT741">
        <f>TEXT(BDP($B741,"MATURITY"),"yyyy-mm-dd")</f>
        <v/>
      </c>
      <c r="AU741">
        <f>BDP($B741,"CPN_TYP")</f>
        <v/>
      </c>
      <c r="AV741">
        <f>BDP($B741,"CPN")</f>
        <v/>
      </c>
      <c r="AW741" t="inlineStr"/>
      <c r="AX741" t="inlineStr"/>
      <c r="AY741" t="inlineStr"/>
    </row>
    <row r="742">
      <c r="A742" t="inlineStr">
        <is>
          <t>CIVG</t>
        </is>
      </c>
      <c r="B742" t="inlineStr">
        <is>
          <t>882508BG8 Corp</t>
        </is>
      </c>
      <c r="C742" s="1" t="inlineStr">
        <is>
          <t>882508BG8</t>
        </is>
      </c>
      <c r="D742" t="inlineStr">
        <is>
          <t>Texas Instruments Inc 2.25% 09</t>
        </is>
      </c>
      <c r="E742">
        <f>BDP($B742,"LEGAL_ENTITY_IDENTIFIER")</f>
        <v/>
      </c>
      <c r="F742" t="inlineStr">
        <is>
          <t>Texas Instruments Inc 2.25% 09/04/2029</t>
        </is>
      </c>
      <c r="G742">
        <f>custodian!D742</f>
        <v/>
      </c>
      <c r="H742">
        <f>BDP($B742,"ID_ISIN")</f>
        <v/>
      </c>
      <c r="I742" s="1" t="inlineStr"/>
      <c r="J742">
        <f>BDP($B742,"CNTRY_OF_DOMICILE")</f>
        <v/>
      </c>
      <c r="K742" t="inlineStr">
        <is>
          <t>DBT</t>
        </is>
      </c>
      <c r="L742" t="inlineStr">
        <is>
          <t>CORP</t>
        </is>
      </c>
      <c r="M742" t="inlineStr"/>
      <c r="N742" t="inlineStr"/>
      <c r="O742" s="1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s="1" t="inlineStr"/>
      <c r="AR742" s="1" t="inlineStr"/>
      <c r="AS742" s="1" t="inlineStr"/>
      <c r="AT742">
        <f>TEXT(BDP($B742,"MATURITY"),"yyyy-mm-dd")</f>
        <v/>
      </c>
      <c r="AU742">
        <f>BDP($B742,"CPN_TYP")</f>
        <v/>
      </c>
      <c r="AV742">
        <f>BDP($B742,"CPN")</f>
        <v/>
      </c>
      <c r="AW742" t="inlineStr"/>
      <c r="AX742" t="inlineStr"/>
      <c r="AY742" t="inlineStr"/>
    </row>
    <row r="743">
      <c r="A743" t="inlineStr">
        <is>
          <t>CIVG</t>
        </is>
      </c>
      <c r="B743" t="inlineStr">
        <is>
          <t>88339WAB2 Corp</t>
        </is>
      </c>
      <c r="C743" s="1" t="inlineStr">
        <is>
          <t>88339WAB2</t>
        </is>
      </c>
      <c r="D743" t="inlineStr">
        <is>
          <t>Williams Cos Inc/The 4.9% 03/1</t>
        </is>
      </c>
      <c r="E743">
        <f>BDP($B743,"LEGAL_ENTITY_IDENTIFIER")</f>
        <v/>
      </c>
      <c r="F743" t="inlineStr">
        <is>
          <t>Williams Cos Inc/The 4.9% 03/15/2029</t>
        </is>
      </c>
      <c r="G743">
        <f>custodian!D743</f>
        <v/>
      </c>
      <c r="H743">
        <f>BDP($B743,"ID_ISIN")</f>
        <v/>
      </c>
      <c r="I743" s="1" t="inlineStr"/>
      <c r="J743">
        <f>BDP($B743,"CNTRY_OF_DOMICILE")</f>
        <v/>
      </c>
      <c r="K743" t="inlineStr">
        <is>
          <t>DBT</t>
        </is>
      </c>
      <c r="L743" t="inlineStr">
        <is>
          <t>CORP</t>
        </is>
      </c>
      <c r="M743" t="inlineStr"/>
      <c r="N743" t="inlineStr"/>
      <c r="O743" s="1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s="1" t="inlineStr"/>
      <c r="AR743" s="1" t="inlineStr"/>
      <c r="AS743" s="1" t="inlineStr"/>
      <c r="AT743">
        <f>TEXT(BDP($B743,"MATURITY"),"yyyy-mm-dd")</f>
        <v/>
      </c>
      <c r="AU743">
        <f>BDP($B743,"CPN_TYP")</f>
        <v/>
      </c>
      <c r="AV743">
        <f>BDP($B743,"CPN")</f>
        <v/>
      </c>
      <c r="AW743" t="inlineStr"/>
      <c r="AX743" t="inlineStr"/>
      <c r="AY743" t="inlineStr"/>
    </row>
    <row r="744">
      <c r="A744" t="inlineStr">
        <is>
          <t>CIVG</t>
        </is>
      </c>
      <c r="B744" t="inlineStr">
        <is>
          <t>89115KAB6 Corp</t>
        </is>
      </c>
      <c r="C744" s="1" t="inlineStr">
        <is>
          <t>89115KAB6</t>
        </is>
      </c>
      <c r="D744" t="inlineStr">
        <is>
          <t>Toronto-Dominion Bank/The 4.80</t>
        </is>
      </c>
      <c r="E744">
        <f>BDP($B744,"LEGAL_ENTITY_IDENTIFIER")</f>
        <v/>
      </c>
      <c r="F744" t="inlineStr">
        <is>
          <t>Toronto-Dominion Bank/The 4.808% 06/03/2030</t>
        </is>
      </c>
      <c r="G744">
        <f>custodian!D744</f>
        <v/>
      </c>
      <c r="H744">
        <f>BDP($B744,"ID_ISIN")</f>
        <v/>
      </c>
      <c r="I744" s="1" t="inlineStr"/>
      <c r="J744">
        <f>BDP($B744,"CNTRY_OF_DOMICILE")</f>
        <v/>
      </c>
      <c r="K744" t="inlineStr">
        <is>
          <t>DBT</t>
        </is>
      </c>
      <c r="L744" t="inlineStr">
        <is>
          <t>CORP</t>
        </is>
      </c>
      <c r="M744" t="inlineStr"/>
      <c r="N744" t="inlineStr"/>
      <c r="O744" s="1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s="1" t="inlineStr"/>
      <c r="AR744" s="1" t="inlineStr"/>
      <c r="AS744" s="1" t="inlineStr"/>
      <c r="AT744">
        <f>TEXT(BDP($B744,"MATURITY"),"yyyy-mm-dd")</f>
        <v/>
      </c>
      <c r="AU744">
        <f>BDP($B744,"CPN_TYP")</f>
        <v/>
      </c>
      <c r="AV744">
        <f>BDP($B744,"CPN")</f>
        <v/>
      </c>
      <c r="AW744" t="inlineStr"/>
      <c r="AX744" t="inlineStr"/>
      <c r="AY744" t="inlineStr"/>
    </row>
    <row r="745">
      <c r="A745" t="inlineStr">
        <is>
          <t>CIVG</t>
        </is>
      </c>
      <c r="B745" t="inlineStr">
        <is>
          <t>89153VAT6 Corp</t>
        </is>
      </c>
      <c r="C745" s="1" t="inlineStr">
        <is>
          <t>89153VAT6</t>
        </is>
      </c>
      <c r="D745" t="inlineStr">
        <is>
          <t>TotalEnergies Capital Internat</t>
        </is>
      </c>
      <c r="E745">
        <f>BDP($B745,"LEGAL_ENTITY_IDENTIFIER")</f>
        <v/>
      </c>
      <c r="F745" t="inlineStr">
        <is>
          <t>TotalEnergies Capital International SA 2.829% 01/10/2030</t>
        </is>
      </c>
      <c r="G745">
        <f>custodian!D745</f>
        <v/>
      </c>
      <c r="H745">
        <f>BDP($B745,"ID_ISIN")</f>
        <v/>
      </c>
      <c r="I745" s="1" t="inlineStr"/>
      <c r="J745">
        <f>BDP($B745,"CNTRY_OF_DOMICILE")</f>
        <v/>
      </c>
      <c r="K745" t="inlineStr">
        <is>
          <t>DBT</t>
        </is>
      </c>
      <c r="L745" t="inlineStr">
        <is>
          <t>CORP</t>
        </is>
      </c>
      <c r="M745" t="inlineStr"/>
      <c r="N745" t="inlineStr"/>
      <c r="O745" s="1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s="1" t="inlineStr"/>
      <c r="AR745" s="1" t="inlineStr"/>
      <c r="AS745" s="1" t="inlineStr"/>
      <c r="AT745">
        <f>TEXT(BDP($B745,"MATURITY"),"yyyy-mm-dd")</f>
        <v/>
      </c>
      <c r="AU745">
        <f>BDP($B745,"CPN_TYP")</f>
        <v/>
      </c>
      <c r="AV745">
        <f>BDP($B745,"CPN")</f>
        <v/>
      </c>
      <c r="AW745" t="inlineStr"/>
      <c r="AX745" t="inlineStr"/>
      <c r="AY745" t="inlineStr"/>
    </row>
    <row r="746">
      <c r="A746" t="inlineStr">
        <is>
          <t>CIVG</t>
        </is>
      </c>
      <c r="B746" t="inlineStr">
        <is>
          <t>89236TLL7 Corp</t>
        </is>
      </c>
      <c r="C746" s="1" t="inlineStr">
        <is>
          <t>89236TLL7</t>
        </is>
      </c>
      <c r="D746" t="inlineStr">
        <is>
          <t>Toyota Motor Credit Corp 4.65%</t>
        </is>
      </c>
      <c r="E746">
        <f>BDP($B746,"LEGAL_ENTITY_IDENTIFIER")</f>
        <v/>
      </c>
      <c r="F746" t="inlineStr">
        <is>
          <t>Toyota Motor Credit Corp 4.65% 01/05/2029</t>
        </is>
      </c>
      <c r="G746">
        <f>custodian!D746</f>
        <v/>
      </c>
      <c r="H746">
        <f>BDP($B746,"ID_ISIN")</f>
        <v/>
      </c>
      <c r="I746" s="1" t="inlineStr"/>
      <c r="J746">
        <f>BDP($B746,"CNTRY_OF_DOMICILE")</f>
        <v/>
      </c>
      <c r="K746" t="inlineStr">
        <is>
          <t>DBT</t>
        </is>
      </c>
      <c r="L746" t="inlineStr">
        <is>
          <t>CORP</t>
        </is>
      </c>
      <c r="M746" t="inlineStr"/>
      <c r="N746" t="inlineStr"/>
      <c r="O746" s="1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s="1" t="inlineStr"/>
      <c r="AR746" s="1" t="inlineStr"/>
      <c r="AS746" s="1" t="inlineStr"/>
      <c r="AT746">
        <f>TEXT(BDP($B746,"MATURITY"),"yyyy-mm-dd")</f>
        <v/>
      </c>
      <c r="AU746">
        <f>BDP($B746,"CPN_TYP")</f>
        <v/>
      </c>
      <c r="AV746">
        <f>BDP($B746,"CPN")</f>
        <v/>
      </c>
      <c r="AW746" t="inlineStr"/>
      <c r="AX746" t="inlineStr"/>
      <c r="AY746" t="inlineStr"/>
    </row>
    <row r="747">
      <c r="A747" t="inlineStr">
        <is>
          <t>CIVG</t>
        </is>
      </c>
      <c r="B747" t="inlineStr">
        <is>
          <t>89352HAW9 Corp</t>
        </is>
      </c>
      <c r="C747" s="1" t="inlineStr">
        <is>
          <t>89352HAW9</t>
        </is>
      </c>
      <c r="D747" t="inlineStr">
        <is>
          <t>TransCanada PipeLines Ltd 4.25</t>
        </is>
      </c>
      <c r="E747">
        <f>BDP($B747,"LEGAL_ENTITY_IDENTIFIER")</f>
        <v/>
      </c>
      <c r="F747" t="inlineStr">
        <is>
          <t>TransCanada PipeLines Ltd 4.25% 05/15/2028</t>
        </is>
      </c>
      <c r="G747">
        <f>custodian!D747</f>
        <v/>
      </c>
      <c r="H747">
        <f>BDP($B747,"ID_ISIN")</f>
        <v/>
      </c>
      <c r="I747" s="1" t="inlineStr"/>
      <c r="J747">
        <f>BDP($B747,"CNTRY_OF_DOMICILE")</f>
        <v/>
      </c>
      <c r="K747" t="inlineStr">
        <is>
          <t>DBT</t>
        </is>
      </c>
      <c r="L747" t="inlineStr">
        <is>
          <t>CORP</t>
        </is>
      </c>
      <c r="M747" t="inlineStr"/>
      <c r="N747" t="inlineStr"/>
      <c r="O747" s="1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s="1" t="inlineStr"/>
      <c r="AR747" s="1" t="inlineStr"/>
      <c r="AS747" s="1" t="inlineStr"/>
      <c r="AT747">
        <f>TEXT(BDP($B747,"MATURITY"),"yyyy-mm-dd")</f>
        <v/>
      </c>
      <c r="AU747">
        <f>BDP($B747,"CPN_TYP")</f>
        <v/>
      </c>
      <c r="AV747">
        <f>BDP($B747,"CPN")</f>
        <v/>
      </c>
      <c r="AW747" t="inlineStr"/>
      <c r="AX747" t="inlineStr"/>
      <c r="AY747" t="inlineStr"/>
    </row>
    <row r="748">
      <c r="A748" t="inlineStr">
        <is>
          <t>CIVG</t>
        </is>
      </c>
      <c r="B748" t="inlineStr">
        <is>
          <t>89788MAQ5 Corp</t>
        </is>
      </c>
      <c r="C748" s="1" t="inlineStr">
        <is>
          <t>89788MAQ5</t>
        </is>
      </c>
      <c r="D748" t="inlineStr">
        <is>
          <t>Truist Financial Corp 7.161% 1</t>
        </is>
      </c>
      <c r="E748">
        <f>BDP($B748,"LEGAL_ENTITY_IDENTIFIER")</f>
        <v/>
      </c>
      <c r="F748" t="inlineStr">
        <is>
          <t>Truist Financial Corp 7.161% 10/30/2029</t>
        </is>
      </c>
      <c r="G748">
        <f>custodian!D748</f>
        <v/>
      </c>
      <c r="H748">
        <f>BDP($B748,"ID_ISIN")</f>
        <v/>
      </c>
      <c r="I748" s="1" t="inlineStr"/>
      <c r="J748">
        <f>BDP($B748,"CNTRY_OF_DOMICILE")</f>
        <v/>
      </c>
      <c r="K748" t="inlineStr">
        <is>
          <t>DBT</t>
        </is>
      </c>
      <c r="L748" t="inlineStr">
        <is>
          <t>CORP</t>
        </is>
      </c>
      <c r="M748" t="inlineStr"/>
      <c r="N748" t="inlineStr"/>
      <c r="O748" s="1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s="1" t="inlineStr"/>
      <c r="AR748" s="1" t="inlineStr"/>
      <c r="AS748" s="1" t="inlineStr"/>
      <c r="AT748">
        <f>TEXT(BDP($B748,"MATURITY"),"yyyy-mm-dd")</f>
        <v/>
      </c>
      <c r="AU748">
        <f>BDP($B748,"CPN_TYP")</f>
        <v/>
      </c>
      <c r="AV748">
        <f>BDP($B748,"CPN")</f>
        <v/>
      </c>
      <c r="AW748" t="inlineStr"/>
      <c r="AX748" t="inlineStr"/>
      <c r="AY748" t="inlineStr"/>
    </row>
    <row r="749">
      <c r="A749" t="inlineStr">
        <is>
          <t>CIVG</t>
        </is>
      </c>
      <c r="B749" t="inlineStr">
        <is>
          <t>89788MAU6 Corp</t>
        </is>
      </c>
      <c r="C749" s="1" t="inlineStr">
        <is>
          <t>89788MAU6</t>
        </is>
      </c>
      <c r="D749" t="inlineStr">
        <is>
          <t>Truist Financial Corp 5.071% 0</t>
        </is>
      </c>
      <c r="E749">
        <f>BDP($B749,"LEGAL_ENTITY_IDENTIFIER")</f>
        <v/>
      </c>
      <c r="F749" t="inlineStr">
        <is>
          <t>Truist Financial Corp 5.071% 05/20/2031</t>
        </is>
      </c>
      <c r="G749">
        <f>custodian!D749</f>
        <v/>
      </c>
      <c r="H749">
        <f>BDP($B749,"ID_ISIN")</f>
        <v/>
      </c>
      <c r="I749" s="1" t="inlineStr"/>
      <c r="J749">
        <f>BDP($B749,"CNTRY_OF_DOMICILE")</f>
        <v/>
      </c>
      <c r="K749" t="inlineStr">
        <is>
          <t>DBT</t>
        </is>
      </c>
      <c r="L749" t="inlineStr">
        <is>
          <t>CORP</t>
        </is>
      </c>
      <c r="M749" t="inlineStr"/>
      <c r="N749" t="inlineStr"/>
      <c r="O749" s="1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s="1" t="inlineStr"/>
      <c r="AR749" s="1" t="inlineStr"/>
      <c r="AS749" s="1" t="inlineStr"/>
      <c r="AT749">
        <f>TEXT(BDP($B749,"MATURITY"),"yyyy-mm-dd")</f>
        <v/>
      </c>
      <c r="AU749">
        <f>BDP($B749,"CPN_TYP")</f>
        <v/>
      </c>
      <c r="AV749">
        <f>BDP($B749,"CPN")</f>
        <v/>
      </c>
      <c r="AW749" t="inlineStr"/>
      <c r="AX749" t="inlineStr"/>
      <c r="AY749" t="inlineStr"/>
    </row>
    <row r="750">
      <c r="A750" t="inlineStr">
        <is>
          <t>CIVG</t>
        </is>
      </c>
      <c r="B750" t="inlineStr">
        <is>
          <t>904764BC0 Corp</t>
        </is>
      </c>
      <c r="C750" s="1" t="inlineStr">
        <is>
          <t>904764BC0</t>
        </is>
      </c>
      <c r="D750" t="inlineStr">
        <is>
          <t>Unilever Capital Corp 3.5% 03/</t>
        </is>
      </c>
      <c r="E750">
        <f>BDP($B750,"LEGAL_ENTITY_IDENTIFIER")</f>
        <v/>
      </c>
      <c r="F750" t="inlineStr">
        <is>
          <t>Unilever Capital Corp 3.5% 03/22/2028</t>
        </is>
      </c>
      <c r="G750">
        <f>custodian!D750</f>
        <v/>
      </c>
      <c r="H750">
        <f>BDP($B750,"ID_ISIN")</f>
        <v/>
      </c>
      <c r="I750" s="1" t="inlineStr"/>
      <c r="J750">
        <f>BDP($B750,"CNTRY_OF_DOMICILE")</f>
        <v/>
      </c>
      <c r="K750" t="inlineStr">
        <is>
          <t>DBT</t>
        </is>
      </c>
      <c r="L750" t="inlineStr">
        <is>
          <t>CORP</t>
        </is>
      </c>
      <c r="M750" t="inlineStr"/>
      <c r="N750" t="inlineStr"/>
      <c r="O750" s="1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s="1" t="inlineStr"/>
      <c r="AR750" s="1" t="inlineStr"/>
      <c r="AS750" s="1" t="inlineStr"/>
      <c r="AT750">
        <f>TEXT(BDP($B750,"MATURITY"),"yyyy-mm-dd")</f>
        <v/>
      </c>
      <c r="AU750">
        <f>BDP($B750,"CPN_TYP")</f>
        <v/>
      </c>
      <c r="AV750">
        <f>BDP($B750,"CPN")</f>
        <v/>
      </c>
      <c r="AW750" t="inlineStr"/>
      <c r="AX750" t="inlineStr"/>
      <c r="AY750" t="inlineStr"/>
    </row>
    <row r="751">
      <c r="A751" t="inlineStr">
        <is>
          <t>CIVG</t>
        </is>
      </c>
      <c r="B751" t="inlineStr">
        <is>
          <t>91159HJK7 Corp</t>
        </is>
      </c>
      <c r="C751" s="1" t="inlineStr">
        <is>
          <t>91159HJK7</t>
        </is>
      </c>
      <c r="D751" t="inlineStr">
        <is>
          <t>US Bancorp 4.653% 02/01/2029</t>
        </is>
      </c>
      <c r="E751">
        <f>BDP($B751,"LEGAL_ENTITY_IDENTIFIER")</f>
        <v/>
      </c>
      <c r="F751" t="inlineStr">
        <is>
          <t>US Bancorp 4.653% 02/01/2029</t>
        </is>
      </c>
      <c r="G751">
        <f>custodian!D751</f>
        <v/>
      </c>
      <c r="H751">
        <f>BDP($B751,"ID_ISIN")</f>
        <v/>
      </c>
      <c r="I751" s="1" t="inlineStr"/>
      <c r="J751">
        <f>BDP($B751,"CNTRY_OF_DOMICILE")</f>
        <v/>
      </c>
      <c r="K751" t="inlineStr">
        <is>
          <t>DBT</t>
        </is>
      </c>
      <c r="L751" t="inlineStr">
        <is>
          <t>CORP</t>
        </is>
      </c>
      <c r="M751" t="inlineStr"/>
      <c r="N751" t="inlineStr"/>
      <c r="O751" s="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s="1" t="inlineStr"/>
      <c r="AR751" s="1" t="inlineStr"/>
      <c r="AS751" s="1" t="inlineStr"/>
      <c r="AT751">
        <f>TEXT(BDP($B751,"MATURITY"),"yyyy-mm-dd")</f>
        <v/>
      </c>
      <c r="AU751">
        <f>BDP($B751,"CPN_TYP")</f>
        <v/>
      </c>
      <c r="AV751">
        <f>BDP($B751,"CPN")</f>
        <v/>
      </c>
      <c r="AW751" t="inlineStr"/>
      <c r="AX751" t="inlineStr"/>
      <c r="AY751" t="inlineStr"/>
    </row>
    <row r="752">
      <c r="A752" t="inlineStr">
        <is>
          <t>CIVG</t>
        </is>
      </c>
      <c r="B752" t="inlineStr">
        <is>
          <t>91159HJV3 Corp</t>
        </is>
      </c>
      <c r="C752" s="1" t="inlineStr">
        <is>
          <t>91159HJV3</t>
        </is>
      </c>
      <c r="D752" t="inlineStr">
        <is>
          <t>US Bancorp 5.083% 05/15/2031</t>
        </is>
      </c>
      <c r="E752">
        <f>BDP($B752,"LEGAL_ENTITY_IDENTIFIER")</f>
        <v/>
      </c>
      <c r="F752" t="inlineStr">
        <is>
          <t>US Bancorp 5.083% 05/15/2031</t>
        </is>
      </c>
      <c r="G752">
        <f>custodian!D752</f>
        <v/>
      </c>
      <c r="H752">
        <f>BDP($B752,"ID_ISIN")</f>
        <v/>
      </c>
      <c r="I752" s="1" t="inlineStr"/>
      <c r="J752">
        <f>BDP($B752,"CNTRY_OF_DOMICILE")</f>
        <v/>
      </c>
      <c r="K752" t="inlineStr">
        <is>
          <t>DBT</t>
        </is>
      </c>
      <c r="L752" t="inlineStr">
        <is>
          <t>CORP</t>
        </is>
      </c>
      <c r="M752" t="inlineStr"/>
      <c r="N752" t="inlineStr"/>
      <c r="O752" s="1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s="1" t="inlineStr"/>
      <c r="AR752" s="1" t="inlineStr"/>
      <c r="AS752" s="1" t="inlineStr"/>
      <c r="AT752">
        <f>TEXT(BDP($B752,"MATURITY"),"yyyy-mm-dd")</f>
        <v/>
      </c>
      <c r="AU752">
        <f>BDP($B752,"CPN_TYP")</f>
        <v/>
      </c>
      <c r="AV752">
        <f>BDP($B752,"CPN")</f>
        <v/>
      </c>
      <c r="AW752" t="inlineStr"/>
      <c r="AX752" t="inlineStr"/>
      <c r="AY752" t="inlineStr"/>
    </row>
    <row r="753">
      <c r="A753" t="inlineStr">
        <is>
          <t>CIVG</t>
        </is>
      </c>
      <c r="B753" t="inlineStr">
        <is>
          <t>913017CY3 Corp</t>
        </is>
      </c>
      <c r="C753" s="1" t="inlineStr">
        <is>
          <t>913017CY3</t>
        </is>
      </c>
      <c r="D753" t="inlineStr">
        <is>
          <t>RTX Corp 4.125% 11/16/2028</t>
        </is>
      </c>
      <c r="E753">
        <f>BDP($B753,"LEGAL_ENTITY_IDENTIFIER")</f>
        <v/>
      </c>
      <c r="F753" t="inlineStr">
        <is>
          <t>RTX Corp 4.125% 11/16/2028</t>
        </is>
      </c>
      <c r="G753">
        <f>custodian!D753</f>
        <v/>
      </c>
      <c r="H753">
        <f>BDP($B753,"ID_ISIN")</f>
        <v/>
      </c>
      <c r="I753" s="1" t="inlineStr"/>
      <c r="J753">
        <f>BDP($B753,"CNTRY_OF_DOMICILE")</f>
        <v/>
      </c>
      <c r="K753" t="inlineStr">
        <is>
          <t>DBT</t>
        </is>
      </c>
      <c r="L753" t="inlineStr">
        <is>
          <t>CORP</t>
        </is>
      </c>
      <c r="M753" t="inlineStr"/>
      <c r="N753" t="inlineStr"/>
      <c r="O753" s="1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s="1" t="inlineStr"/>
      <c r="AR753" s="1" t="inlineStr"/>
      <c r="AS753" s="1" t="inlineStr"/>
      <c r="AT753">
        <f>TEXT(BDP($B753,"MATURITY"),"yyyy-mm-dd")</f>
        <v/>
      </c>
      <c r="AU753">
        <f>BDP($B753,"CPN_TYP")</f>
        <v/>
      </c>
      <c r="AV753">
        <f>BDP($B753,"CPN")</f>
        <v/>
      </c>
      <c r="AW753" t="inlineStr"/>
      <c r="AX753" t="inlineStr"/>
      <c r="AY753" t="inlineStr"/>
    </row>
    <row r="754">
      <c r="A754" t="inlineStr">
        <is>
          <t>CIVG</t>
        </is>
      </c>
      <c r="B754" t="inlineStr">
        <is>
          <t>91324PEQ1 Corp</t>
        </is>
      </c>
      <c r="C754" s="1" t="inlineStr">
        <is>
          <t>91324PEQ1</t>
        </is>
      </c>
      <c r="D754" t="inlineStr">
        <is>
          <t>UnitedHealth Group Inc 5.3% 02</t>
        </is>
      </c>
      <c r="E754">
        <f>BDP($B754,"LEGAL_ENTITY_IDENTIFIER")</f>
        <v/>
      </c>
      <c r="F754" t="inlineStr">
        <is>
          <t>UnitedHealth Group Inc 5.3% 02/15/2030</t>
        </is>
      </c>
      <c r="G754">
        <f>custodian!D754</f>
        <v/>
      </c>
      <c r="H754">
        <f>BDP($B754,"ID_ISIN")</f>
        <v/>
      </c>
      <c r="I754" s="1" t="inlineStr"/>
      <c r="J754">
        <f>BDP($B754,"CNTRY_OF_DOMICILE")</f>
        <v/>
      </c>
      <c r="K754" t="inlineStr">
        <is>
          <t>DBT</t>
        </is>
      </c>
      <c r="L754" t="inlineStr">
        <is>
          <t>CORP</t>
        </is>
      </c>
      <c r="M754" t="inlineStr"/>
      <c r="N754" t="inlineStr"/>
      <c r="O754" s="1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s="1" t="inlineStr"/>
      <c r="AR754" s="1" t="inlineStr"/>
      <c r="AS754" s="1" t="inlineStr"/>
      <c r="AT754">
        <f>TEXT(BDP($B754,"MATURITY"),"yyyy-mm-dd")</f>
        <v/>
      </c>
      <c r="AU754">
        <f>BDP($B754,"CPN_TYP")</f>
        <v/>
      </c>
      <c r="AV754">
        <f>BDP($B754,"CPN")</f>
        <v/>
      </c>
      <c r="AW754" t="inlineStr"/>
      <c r="AX754" t="inlineStr"/>
      <c r="AY754" t="inlineStr"/>
    </row>
    <row r="755">
      <c r="A755" t="inlineStr">
        <is>
          <t>CIVG</t>
        </is>
      </c>
      <c r="B755" t="inlineStr">
        <is>
          <t>92277GAM9 Corp</t>
        </is>
      </c>
      <c r="C755" s="1" t="inlineStr">
        <is>
          <t>92277GAM9</t>
        </is>
      </c>
      <c r="D755" t="inlineStr">
        <is>
          <t>Ventas Realty LP 4% 03/01/2028</t>
        </is>
      </c>
      <c r="E755">
        <f>BDP($B755,"LEGAL_ENTITY_IDENTIFIER")</f>
        <v/>
      </c>
      <c r="F755" t="inlineStr">
        <is>
          <t>Ventas Realty LP 4% 03/01/2028</t>
        </is>
      </c>
      <c r="G755">
        <f>custodian!D755</f>
        <v/>
      </c>
      <c r="H755">
        <f>BDP($B755,"ID_ISIN")</f>
        <v/>
      </c>
      <c r="I755" s="1" t="inlineStr"/>
      <c r="J755">
        <f>BDP($B755,"CNTRY_OF_DOMICILE")</f>
        <v/>
      </c>
      <c r="K755" t="inlineStr">
        <is>
          <t>DBT</t>
        </is>
      </c>
      <c r="L755" t="inlineStr">
        <is>
          <t>CORP</t>
        </is>
      </c>
      <c r="M755" t="inlineStr"/>
      <c r="N755" t="inlineStr"/>
      <c r="O755" s="1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s="1" t="inlineStr"/>
      <c r="AR755" s="1" t="inlineStr"/>
      <c r="AS755" s="1" t="inlineStr"/>
      <c r="AT755">
        <f>TEXT(BDP($B755,"MATURITY"),"yyyy-mm-dd")</f>
        <v/>
      </c>
      <c r="AU755">
        <f>BDP($B755,"CPN_TYP")</f>
        <v/>
      </c>
      <c r="AV755">
        <f>BDP($B755,"CPN")</f>
        <v/>
      </c>
      <c r="AW755" t="inlineStr"/>
      <c r="AX755" t="inlineStr"/>
      <c r="AY755" t="inlineStr"/>
    </row>
    <row r="756">
      <c r="A756" t="inlineStr">
        <is>
          <t>CIVG</t>
        </is>
      </c>
      <c r="B756" t="inlineStr">
        <is>
          <t>92343VGJ7 Corp</t>
        </is>
      </c>
      <c r="C756" s="1" t="inlineStr">
        <is>
          <t>92343VGJ7</t>
        </is>
      </c>
      <c r="D756" t="inlineStr">
        <is>
          <t>Verizon Communications Inc 2.5</t>
        </is>
      </c>
      <c r="E756">
        <f>BDP($B756,"LEGAL_ENTITY_IDENTIFIER")</f>
        <v/>
      </c>
      <c r="F756" t="inlineStr">
        <is>
          <t>Verizon Communications Inc 2.55% 03/21/2031</t>
        </is>
      </c>
      <c r="G756">
        <f>custodian!D756</f>
        <v/>
      </c>
      <c r="H756">
        <f>BDP($B756,"ID_ISIN")</f>
        <v/>
      </c>
      <c r="I756" s="1" t="inlineStr"/>
      <c r="J756">
        <f>BDP($B756,"CNTRY_OF_DOMICILE")</f>
        <v/>
      </c>
      <c r="K756" t="inlineStr">
        <is>
          <t>DBT</t>
        </is>
      </c>
      <c r="L756" t="inlineStr">
        <is>
          <t>CORP</t>
        </is>
      </c>
      <c r="M756" t="inlineStr"/>
      <c r="N756" t="inlineStr"/>
      <c r="O756" s="1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s="1" t="inlineStr"/>
      <c r="AR756" s="1" t="inlineStr"/>
      <c r="AS756" s="1" t="inlineStr"/>
      <c r="AT756">
        <f>TEXT(BDP($B756,"MATURITY"),"yyyy-mm-dd")</f>
        <v/>
      </c>
      <c r="AU756">
        <f>BDP($B756,"CPN_TYP")</f>
        <v/>
      </c>
      <c r="AV756">
        <f>BDP($B756,"CPN")</f>
        <v/>
      </c>
      <c r="AW756" t="inlineStr"/>
      <c r="AX756" t="inlineStr"/>
      <c r="AY756" t="inlineStr"/>
    </row>
    <row r="757">
      <c r="A757" t="inlineStr">
        <is>
          <t>CIVG</t>
        </is>
      </c>
      <c r="B757" t="inlineStr">
        <is>
          <t>92826CAM4 Corp</t>
        </is>
      </c>
      <c r="C757" s="1" t="inlineStr">
        <is>
          <t>92826CAM4</t>
        </is>
      </c>
      <c r="D757" t="inlineStr">
        <is>
          <t>Visa Inc 2.05% 04/15/2030</t>
        </is>
      </c>
      <c r="E757">
        <f>BDP($B757,"LEGAL_ENTITY_IDENTIFIER")</f>
        <v/>
      </c>
      <c r="F757" t="inlineStr">
        <is>
          <t>Visa Inc 2.05% 04/15/2030</t>
        </is>
      </c>
      <c r="G757">
        <f>custodian!D757</f>
        <v/>
      </c>
      <c r="H757">
        <f>BDP($B757,"ID_ISIN")</f>
        <v/>
      </c>
      <c r="I757" s="1" t="inlineStr"/>
      <c r="J757">
        <f>BDP($B757,"CNTRY_OF_DOMICILE")</f>
        <v/>
      </c>
      <c r="K757" t="inlineStr">
        <is>
          <t>DBT</t>
        </is>
      </c>
      <c r="L757" t="inlineStr">
        <is>
          <t>CORP</t>
        </is>
      </c>
      <c r="M757" t="inlineStr"/>
      <c r="N757" t="inlineStr"/>
      <c r="O757" s="1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s="1" t="inlineStr"/>
      <c r="AR757" s="1" t="inlineStr"/>
      <c r="AS757" s="1" t="inlineStr"/>
      <c r="AT757">
        <f>TEXT(BDP($B757,"MATURITY"),"yyyy-mm-dd")</f>
        <v/>
      </c>
      <c r="AU757">
        <f>BDP($B757,"CPN_TYP")</f>
        <v/>
      </c>
      <c r="AV757">
        <f>BDP($B757,"CPN")</f>
        <v/>
      </c>
      <c r="AW757" t="inlineStr"/>
      <c r="AX757" t="inlineStr"/>
      <c r="AY757" t="inlineStr"/>
    </row>
    <row r="758">
      <c r="A758" t="inlineStr">
        <is>
          <t>CIVG</t>
        </is>
      </c>
      <c r="B758" t="inlineStr">
        <is>
          <t>92840VBA9 Corp</t>
        </is>
      </c>
      <c r="C758" s="1" t="inlineStr">
        <is>
          <t>92840VBA9</t>
        </is>
      </c>
      <c r="D758" t="inlineStr">
        <is>
          <t>Vistra Operations Co LLC 5% 04</t>
        </is>
      </c>
      <c r="E758">
        <f>BDP($B758,"LEGAL_ENTITY_IDENTIFIER")</f>
        <v/>
      </c>
      <c r="F758" t="inlineStr">
        <is>
          <t>Vistra Operations Co LLC 5% 04/30/2031</t>
        </is>
      </c>
      <c r="G758">
        <f>custodian!D758</f>
        <v/>
      </c>
      <c r="H758">
        <f>BDP($B758,"ID_ISIN")</f>
        <v/>
      </c>
      <c r="I758" s="1" t="inlineStr"/>
      <c r="J758">
        <f>BDP($B758,"CNTRY_OF_DOMICILE")</f>
        <v/>
      </c>
      <c r="K758" t="inlineStr">
        <is>
          <t>DBT</t>
        </is>
      </c>
      <c r="L758" t="inlineStr">
        <is>
          <t>CORP</t>
        </is>
      </c>
      <c r="M758" t="inlineStr"/>
      <c r="N758" t="inlineStr"/>
      <c r="O758" s="1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s="1" t="inlineStr"/>
      <c r="AR758" s="1" t="inlineStr"/>
      <c r="AS758" s="1" t="inlineStr"/>
      <c r="AT758">
        <f>TEXT(BDP($B758,"MATURITY"),"yyyy-mm-dd")</f>
        <v/>
      </c>
      <c r="AU758">
        <f>BDP($B758,"CPN_TYP")</f>
        <v/>
      </c>
      <c r="AV758">
        <f>BDP($B758,"CPN")</f>
        <v/>
      </c>
      <c r="AW758" t="inlineStr"/>
      <c r="AX758" t="inlineStr"/>
      <c r="AY758" t="inlineStr"/>
    </row>
    <row r="759">
      <c r="A759" t="inlineStr">
        <is>
          <t>CIVG</t>
        </is>
      </c>
      <c r="B759" t="inlineStr">
        <is>
          <t>94106LCB3 Corp</t>
        </is>
      </c>
      <c r="C759" s="1" t="inlineStr">
        <is>
          <t>94106LCB3</t>
        </is>
      </c>
      <c r="D759" t="inlineStr">
        <is>
          <t>Waste Management Inc 4.5% 03/1</t>
        </is>
      </c>
      <c r="E759">
        <f>BDP($B759,"LEGAL_ENTITY_IDENTIFIER")</f>
        <v/>
      </c>
      <c r="F759" t="inlineStr">
        <is>
          <t>Waste Management Inc 4.5% 03/15/2028</t>
        </is>
      </c>
      <c r="G759">
        <f>custodian!D759</f>
        <v/>
      </c>
      <c r="H759">
        <f>BDP($B759,"ID_ISIN")</f>
        <v/>
      </c>
      <c r="I759" s="1" t="inlineStr"/>
      <c r="J759">
        <f>BDP($B759,"CNTRY_OF_DOMICILE")</f>
        <v/>
      </c>
      <c r="K759" t="inlineStr">
        <is>
          <t>DBT</t>
        </is>
      </c>
      <c r="L759" t="inlineStr">
        <is>
          <t>CORP</t>
        </is>
      </c>
      <c r="M759" t="inlineStr"/>
      <c r="N759" t="inlineStr"/>
      <c r="O759" s="1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s="1" t="inlineStr"/>
      <c r="AR759" s="1" t="inlineStr"/>
      <c r="AS759" s="1" t="inlineStr"/>
      <c r="AT759">
        <f>TEXT(BDP($B759,"MATURITY"),"yyyy-mm-dd")</f>
        <v/>
      </c>
      <c r="AU759">
        <f>BDP($B759,"CPN_TYP")</f>
        <v/>
      </c>
      <c r="AV759">
        <f>BDP($B759,"CPN")</f>
        <v/>
      </c>
      <c r="AW759" t="inlineStr"/>
      <c r="AX759" t="inlineStr"/>
      <c r="AY759" t="inlineStr"/>
    </row>
    <row r="760">
      <c r="A760" t="inlineStr">
        <is>
          <t>CIVG</t>
        </is>
      </c>
      <c r="B760" t="inlineStr">
        <is>
          <t>95000U3W1 Corp</t>
        </is>
      </c>
      <c r="C760" s="1" t="inlineStr">
        <is>
          <t>95000U3W1</t>
        </is>
      </c>
      <c r="D760" t="inlineStr">
        <is>
          <t>Wells Fargo &amp; Co 5.15% 04/23/2</t>
        </is>
      </c>
      <c r="E760">
        <f>BDP($B760,"LEGAL_ENTITY_IDENTIFIER")</f>
        <v/>
      </c>
      <c r="F760" t="inlineStr">
        <is>
          <t>Wells Fargo &amp; Co 5.15% 04/23/2031</t>
        </is>
      </c>
      <c r="G760">
        <f>custodian!D760</f>
        <v/>
      </c>
      <c r="H760">
        <f>BDP($B760,"ID_ISIN")</f>
        <v/>
      </c>
      <c r="I760" s="1" t="inlineStr"/>
      <c r="J760">
        <f>BDP($B760,"CNTRY_OF_DOMICILE")</f>
        <v/>
      </c>
      <c r="K760" t="inlineStr">
        <is>
          <t>DBT</t>
        </is>
      </c>
      <c r="L760" t="inlineStr">
        <is>
          <t>CORP</t>
        </is>
      </c>
      <c r="M760" t="inlineStr"/>
      <c r="N760" t="inlineStr"/>
      <c r="O760" s="1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s="1" t="inlineStr"/>
      <c r="AR760" s="1" t="inlineStr"/>
      <c r="AS760" s="1" t="inlineStr"/>
      <c r="AT760">
        <f>TEXT(BDP($B760,"MATURITY"),"yyyy-mm-dd")</f>
        <v/>
      </c>
      <c r="AU760">
        <f>BDP($B760,"CPN_TYP")</f>
        <v/>
      </c>
      <c r="AV760">
        <f>BDP($B760,"CPN")</f>
        <v/>
      </c>
      <c r="AW760" t="inlineStr"/>
      <c r="AX760" t="inlineStr"/>
      <c r="AY760" t="inlineStr"/>
    </row>
    <row r="761">
      <c r="A761" t="inlineStr">
        <is>
          <t>CIVG</t>
        </is>
      </c>
      <c r="B761" t="inlineStr">
        <is>
          <t>961214EF6 Corp</t>
        </is>
      </c>
      <c r="C761" s="1" t="inlineStr">
        <is>
          <t>961214EF6</t>
        </is>
      </c>
      <c r="D761" t="inlineStr">
        <is>
          <t>Westpac Banking Corp 4.11% 07/</t>
        </is>
      </c>
      <c r="E761">
        <f>BDP($B761,"LEGAL_ENTITY_IDENTIFIER")</f>
        <v/>
      </c>
      <c r="F761" t="inlineStr">
        <is>
          <t>Westpac Banking Corp 4.11% 07/24/2034</t>
        </is>
      </c>
      <c r="G761">
        <f>custodian!D761</f>
        <v/>
      </c>
      <c r="H761">
        <f>BDP($B761,"ID_ISIN")</f>
        <v/>
      </c>
      <c r="I761" s="1" t="inlineStr"/>
      <c r="J761">
        <f>BDP($B761,"CNTRY_OF_DOMICILE")</f>
        <v/>
      </c>
      <c r="K761" t="inlineStr">
        <is>
          <t>DBT</t>
        </is>
      </c>
      <c r="L761" t="inlineStr">
        <is>
          <t>CORP</t>
        </is>
      </c>
      <c r="M761" t="inlineStr"/>
      <c r="N761" t="inlineStr"/>
      <c r="O761" s="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s="1" t="inlineStr"/>
      <c r="AR761" s="1" t="inlineStr"/>
      <c r="AS761" s="1" t="inlineStr"/>
      <c r="AT761">
        <f>TEXT(BDP($B761,"MATURITY"),"yyyy-mm-dd")</f>
        <v/>
      </c>
      <c r="AU761">
        <f>BDP($B761,"CPN_TYP")</f>
        <v/>
      </c>
      <c r="AV761">
        <f>BDP($B761,"CPN")</f>
        <v/>
      </c>
      <c r="AW761" t="inlineStr"/>
      <c r="AX761" t="inlineStr"/>
      <c r="AY761" t="inlineStr"/>
    </row>
    <row r="762">
      <c r="A762" t="inlineStr">
        <is>
          <t>CIVG</t>
        </is>
      </c>
      <c r="B762" t="inlineStr">
        <is>
          <t>961214EW9 Corp</t>
        </is>
      </c>
      <c r="C762" s="1" t="inlineStr">
        <is>
          <t>961214EW9</t>
        </is>
      </c>
      <c r="D762" t="inlineStr">
        <is>
          <t>Westpac Banking Corp 1.953% 11</t>
        </is>
      </c>
      <c r="E762">
        <f>BDP($B762,"LEGAL_ENTITY_IDENTIFIER")</f>
        <v/>
      </c>
      <c r="F762" t="inlineStr">
        <is>
          <t>Westpac Banking Corp 1.953% 11/20/2028</t>
        </is>
      </c>
      <c r="G762">
        <f>custodian!D762</f>
        <v/>
      </c>
      <c r="H762">
        <f>BDP($B762,"ID_ISIN")</f>
        <v/>
      </c>
      <c r="I762" s="1" t="inlineStr"/>
      <c r="J762">
        <f>BDP($B762,"CNTRY_OF_DOMICILE")</f>
        <v/>
      </c>
      <c r="K762" t="inlineStr">
        <is>
          <t>DBT</t>
        </is>
      </c>
      <c r="L762" t="inlineStr">
        <is>
          <t>CORP</t>
        </is>
      </c>
      <c r="M762" t="inlineStr"/>
      <c r="N762" t="inlineStr"/>
      <c r="O762" s="1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s="1" t="inlineStr"/>
      <c r="AR762" s="1" t="inlineStr"/>
      <c r="AS762" s="1" t="inlineStr"/>
      <c r="AT762">
        <f>TEXT(BDP($B762,"MATURITY"),"yyyy-mm-dd")</f>
        <v/>
      </c>
      <c r="AU762">
        <f>BDP($B762,"CPN_TYP")</f>
        <v/>
      </c>
      <c r="AV762">
        <f>BDP($B762,"CPN")</f>
        <v/>
      </c>
      <c r="AW762" t="inlineStr"/>
      <c r="AX762" t="inlineStr"/>
      <c r="AY762" t="inlineStr"/>
    </row>
    <row r="763">
      <c r="A763" t="inlineStr">
        <is>
          <t>CIVG</t>
        </is>
      </c>
      <c r="B763" t="inlineStr">
        <is>
          <t>980236AT0 Corp</t>
        </is>
      </c>
      <c r="C763" s="1" t="inlineStr">
        <is>
          <t>980236AT0</t>
        </is>
      </c>
      <c r="D763" t="inlineStr">
        <is>
          <t>Woodside Finance Ltd 5.4% 05/1</t>
        </is>
      </c>
      <c r="E763">
        <f>BDP($B763,"LEGAL_ENTITY_IDENTIFIER")</f>
        <v/>
      </c>
      <c r="F763" t="inlineStr">
        <is>
          <t>Woodside Finance Ltd 5.4% 05/19/2030</t>
        </is>
      </c>
      <c r="G763">
        <f>custodian!D763</f>
        <v/>
      </c>
      <c r="H763">
        <f>BDP($B763,"ID_ISIN")</f>
        <v/>
      </c>
      <c r="I763" s="1" t="inlineStr"/>
      <c r="J763">
        <f>BDP($B763,"CNTRY_OF_DOMICILE")</f>
        <v/>
      </c>
      <c r="K763" t="inlineStr">
        <is>
          <t>DBT</t>
        </is>
      </c>
      <c r="L763" t="inlineStr">
        <is>
          <t>CORP</t>
        </is>
      </c>
      <c r="M763" t="inlineStr"/>
      <c r="N763" t="inlineStr"/>
      <c r="O763" s="1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s="1" t="inlineStr"/>
      <c r="AR763" s="1" t="inlineStr"/>
      <c r="AS763" s="1" t="inlineStr"/>
      <c r="AT763">
        <f>TEXT(BDP($B763,"MATURITY"),"yyyy-mm-dd")</f>
        <v/>
      </c>
      <c r="AU763">
        <f>BDP($B763,"CPN_TYP")</f>
        <v/>
      </c>
      <c r="AV763">
        <f>BDP($B763,"CPN")</f>
        <v/>
      </c>
      <c r="AW763" t="inlineStr"/>
      <c r="AX763" t="inlineStr"/>
      <c r="AY763" t="inlineStr"/>
    </row>
    <row r="764">
      <c r="A764" t="inlineStr">
        <is>
          <t>CIVG</t>
        </is>
      </c>
      <c r="B764" t="inlineStr">
        <is>
          <t>FGXXX US Equity</t>
        </is>
      </c>
      <c r="C764" s="1" t="inlineStr">
        <is>
          <t>FGXXX</t>
        </is>
      </c>
      <c r="D764" t="inlineStr">
        <is>
          <t>First American Government Obli</t>
        </is>
      </c>
      <c r="E764">
        <f>BDP($B764,"LEGAL_ENTITY_IDENTIFIER")</f>
        <v/>
      </c>
      <c r="F764" t="inlineStr">
        <is>
          <t>First American Government Obligations Fund</t>
        </is>
      </c>
      <c r="G764">
        <f>custodian!D764</f>
        <v/>
      </c>
      <c r="H764">
        <f>BDP($B764,"ID_ISIN")</f>
        <v/>
      </c>
      <c r="I764" s="1" t="inlineStr">
        <is>
          <t>FGXXX</t>
        </is>
      </c>
      <c r="J764">
        <f>BDP($B764,"CNTRY_OF_DOMICILE")</f>
        <v/>
      </c>
      <c r="K764" t="inlineStr">
        <is>
          <t>STIV</t>
        </is>
      </c>
      <c r="L764" t="inlineStr">
        <is>
          <t>RF</t>
        </is>
      </c>
      <c r="M764" t="inlineStr"/>
      <c r="N764" t="inlineStr"/>
      <c r="O764" s="1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s="1" t="inlineStr"/>
      <c r="AR764" s="1" t="inlineStr"/>
      <c r="AS764" s="1" t="inlineStr"/>
      <c r="AT764" t="inlineStr"/>
      <c r="AU764" t="inlineStr"/>
      <c r="AV764" t="inlineStr"/>
      <c r="AW764" t="inlineStr"/>
      <c r="AX764" t="inlineStr"/>
      <c r="AY764" t="inlineStr"/>
    </row>
    <row r="765">
      <c r="A765" t="inlineStr">
        <is>
          <t>CIVG</t>
        </is>
      </c>
      <c r="B765" t="inlineStr"/>
      <c r="C765" s="1" t="inlineStr">
        <is>
          <t>Cash&amp;Other</t>
        </is>
      </c>
      <c r="D765" t="inlineStr"/>
      <c r="E765" s="1" t="inlineStr"/>
      <c r="F765" t="inlineStr"/>
      <c r="G765">
        <f>custodian!D765</f>
        <v/>
      </c>
      <c r="H765" s="1" t="inlineStr"/>
      <c r="I765" s="1" t="inlineStr"/>
      <c r="J765" t="inlineStr"/>
      <c r="K765" t="inlineStr"/>
      <c r="L765" t="inlineStr"/>
      <c r="M765" t="inlineStr"/>
      <c r="N765" t="inlineStr"/>
      <c r="O765" s="1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s="1" t="inlineStr"/>
      <c r="AR765" s="1" t="inlineStr"/>
      <c r="AS765" s="1" t="inlineStr"/>
      <c r="AT765" t="inlineStr"/>
      <c r="AU765" t="inlineStr"/>
      <c r="AV765" t="inlineStr"/>
      <c r="AW765" t="inlineStr"/>
      <c r="AX765" t="inlineStr"/>
      <c r="AY765" t="inlineStr"/>
    </row>
    <row r="766">
      <c r="A766" t="inlineStr">
        <is>
          <t>CJUN</t>
        </is>
      </c>
      <c r="B766" t="inlineStr"/>
      <c r="C766" s="1" t="inlineStr">
        <is>
          <t>2SPY  270528C00151710</t>
        </is>
      </c>
      <c r="D766" t="inlineStr">
        <is>
          <t>SPY 05/28/2027 151.71 C</t>
        </is>
      </c>
      <c r="E766" s="1" t="inlineStr">
        <is>
          <t>N/A</t>
        </is>
      </c>
      <c r="F766" t="inlineStr">
        <is>
          <t>SPY 05/28/2027 151.71 C</t>
        </is>
      </c>
      <c r="G766">
        <f>custodian!D766</f>
        <v/>
      </c>
      <c r="H766" s="1" t="inlineStr"/>
      <c r="I766" s="1" t="inlineStr">
        <is>
          <t>SPY-C151.71-20270528</t>
        </is>
      </c>
      <c r="J766" t="inlineStr">
        <is>
          <t>US</t>
        </is>
      </c>
      <c r="K766" t="inlineStr">
        <is>
          <t>DE</t>
        </is>
      </c>
      <c r="L766" t="inlineStr">
        <is>
          <t>CORP</t>
        </is>
      </c>
      <c r="M766" t="inlineStr">
        <is>
          <t>OPT</t>
        </is>
      </c>
      <c r="N766" t="inlineStr">
        <is>
          <t>The Options Clearing Corporation</t>
        </is>
      </c>
      <c r="O766" s="1" t="inlineStr">
        <is>
          <t>549300CII6SLYGKNHA04</t>
        </is>
      </c>
      <c r="P766" t="inlineStr">
        <is>
          <t>Call</t>
        </is>
      </c>
      <c r="Q766" t="inlineStr">
        <is>
          <t>Purchased</t>
        </is>
      </c>
      <c r="R766" t="inlineStr">
        <is>
          <t>151.71</t>
        </is>
      </c>
      <c r="S766" t="inlineStr">
        <is>
          <t>USD</t>
        </is>
      </c>
      <c r="T766" t="inlineStr">
        <is>
          <t>2027-05-28</t>
        </is>
      </c>
      <c r="U766" t="inlineStr">
        <is>
          <t>N/A</t>
        </is>
      </c>
      <c r="V766" t="inlineStr">
        <is>
          <t>indexBasket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-36881.42</t>
        </is>
      </c>
      <c r="AD766" t="inlineStr">
        <is>
          <t>1057881.99</t>
        </is>
      </c>
      <c r="AE766" t="inlineStr">
        <is>
          <t>77.65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s="1" t="inlineStr"/>
      <c r="AR766" s="1" t="inlineStr"/>
      <c r="AS766" s="1" t="inlineStr"/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CJUN</t>
        </is>
      </c>
      <c r="B767" t="inlineStr"/>
      <c r="C767" s="1" t="inlineStr">
        <is>
          <t>2SPY  270528C00863900</t>
        </is>
      </c>
      <c r="D767" t="inlineStr">
        <is>
          <t>SPY 05/28/2027 863.9 C</t>
        </is>
      </c>
      <c r="E767" s="1" t="inlineStr">
        <is>
          <t>N/A</t>
        </is>
      </c>
      <c r="F767" t="inlineStr">
        <is>
          <t>SPY 05/28/2027 863.9 C</t>
        </is>
      </c>
      <c r="G767">
        <f>custodian!D767</f>
        <v/>
      </c>
      <c r="H767" s="1" t="inlineStr"/>
      <c r="I767" s="1" t="inlineStr">
        <is>
          <t>SPY-C863.9-20270528</t>
        </is>
      </c>
      <c r="J767" t="inlineStr">
        <is>
          <t>US</t>
        </is>
      </c>
      <c r="K767" t="inlineStr">
        <is>
          <t>DE</t>
        </is>
      </c>
      <c r="L767" t="inlineStr">
        <is>
          <t>CORP</t>
        </is>
      </c>
      <c r="M767" t="inlineStr">
        <is>
          <t>OPT</t>
        </is>
      </c>
      <c r="N767" t="inlineStr">
        <is>
          <t>The Options Clearing Corporation</t>
        </is>
      </c>
      <c r="O767" s="1" t="inlineStr">
        <is>
          <t>549300CII6SLYGKNHA04</t>
        </is>
      </c>
      <c r="P767" t="inlineStr">
        <is>
          <t>Call</t>
        </is>
      </c>
      <c r="Q767" t="inlineStr">
        <is>
          <t>Written</t>
        </is>
      </c>
      <c r="R767" t="inlineStr">
        <is>
          <t>863.9</t>
        </is>
      </c>
      <c r="S767" t="inlineStr">
        <is>
          <t>USD</t>
        </is>
      </c>
      <c r="T767" t="inlineStr">
        <is>
          <t>2027-05-28</t>
        </is>
      </c>
      <c r="U767" t="inlineStr">
        <is>
          <t>N/A</t>
        </is>
      </c>
      <c r="V767" t="inlineStr">
        <is>
          <t>indexBasket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17277.93</t>
        </is>
      </c>
      <c r="AD767" t="inlineStr">
        <is>
          <t>-18358.47</t>
        </is>
      </c>
      <c r="AE767" t="inlineStr">
        <is>
          <t>-1.35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s="1" t="inlineStr"/>
      <c r="AR767" s="1" t="inlineStr"/>
      <c r="AS767" s="1" t="inlineStr"/>
      <c r="AT767" t="inlineStr"/>
      <c r="AU767" t="inlineStr"/>
      <c r="AV767" t="inlineStr"/>
      <c r="AW767" t="inlineStr"/>
      <c r="AX767" t="inlineStr"/>
      <c r="AY767" t="inlineStr"/>
    </row>
    <row r="768">
      <c r="A768" t="inlineStr">
        <is>
          <t>CJUN</t>
        </is>
      </c>
      <c r="B768" t="inlineStr"/>
      <c r="C768" s="1" t="inlineStr">
        <is>
          <t>2SPY  270528P00644760</t>
        </is>
      </c>
      <c r="D768" t="inlineStr">
        <is>
          <t>SPY 05/28/2027 644.76 P</t>
        </is>
      </c>
      <c r="E768" s="1" t="inlineStr">
        <is>
          <t>N/A</t>
        </is>
      </c>
      <c r="F768" t="inlineStr">
        <is>
          <t>SPY 05/28/2027 644.76 P</t>
        </is>
      </c>
      <c r="G768">
        <f>custodian!D768</f>
        <v/>
      </c>
      <c r="H768" s="1" t="inlineStr"/>
      <c r="I768" s="1" t="inlineStr">
        <is>
          <t>SPY-P644.76-20270528</t>
        </is>
      </c>
      <c r="J768" t="inlineStr">
        <is>
          <t>US</t>
        </is>
      </c>
      <c r="K768" t="inlineStr">
        <is>
          <t>DE</t>
        </is>
      </c>
      <c r="L768" t="inlineStr">
        <is>
          <t>CORP</t>
        </is>
      </c>
      <c r="M768" t="inlineStr">
        <is>
          <t>OPT</t>
        </is>
      </c>
      <c r="N768" t="inlineStr">
        <is>
          <t>The Options Clearing Corporation</t>
        </is>
      </c>
      <c r="O768" s="1" t="inlineStr">
        <is>
          <t>549300CII6SLYGKNHA04</t>
        </is>
      </c>
      <c r="P768" t="inlineStr">
        <is>
          <t>Put</t>
        </is>
      </c>
      <c r="Q768" t="inlineStr">
        <is>
          <t>Written</t>
        </is>
      </c>
      <c r="R768" t="inlineStr">
        <is>
          <t>644.76</t>
        </is>
      </c>
      <c r="S768" t="inlineStr">
        <is>
          <t>USD</t>
        </is>
      </c>
      <c r="T768" t="inlineStr">
        <is>
          <t>2027-05-28</t>
        </is>
      </c>
      <c r="U768" t="inlineStr">
        <is>
          <t>N/A</t>
        </is>
      </c>
      <c r="V768" t="inlineStr">
        <is>
          <t>indexBasket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-2834.28</t>
        </is>
      </c>
      <c r="AD768" t="inlineStr">
        <is>
          <t>-36110.67</t>
        </is>
      </c>
      <c r="AE768" t="inlineStr">
        <is>
          <t>-2.65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s="1" t="inlineStr"/>
      <c r="AR768" s="1" t="inlineStr"/>
      <c r="AS768" s="1" t="inlineStr"/>
      <c r="AT768" t="inlineStr"/>
      <c r="AU768" t="inlineStr"/>
      <c r="AV768" t="inlineStr"/>
      <c r="AW768" t="inlineStr"/>
      <c r="AX768" t="inlineStr"/>
      <c r="AY768" t="inlineStr"/>
    </row>
    <row r="769">
      <c r="A769" t="inlineStr">
        <is>
          <t>CJUN</t>
        </is>
      </c>
      <c r="B769" t="inlineStr"/>
      <c r="C769" s="1" t="inlineStr">
        <is>
          <t>2SPY  270528P00758540</t>
        </is>
      </c>
      <c r="D769" t="inlineStr">
        <is>
          <t>SPY 05/28/2027 758.54 P</t>
        </is>
      </c>
      <c r="E769" s="1" t="inlineStr">
        <is>
          <t>N/A</t>
        </is>
      </c>
      <c r="F769" t="inlineStr">
        <is>
          <t>SPY 05/28/2027 758.54 P</t>
        </is>
      </c>
      <c r="G769">
        <f>custodian!D769</f>
        <v/>
      </c>
      <c r="H769" s="1" t="inlineStr"/>
      <c r="I769" s="1" t="inlineStr">
        <is>
          <t>SPY-P758.54-20270528</t>
        </is>
      </c>
      <c r="J769" t="inlineStr">
        <is>
          <t>US</t>
        </is>
      </c>
      <c r="K769" t="inlineStr">
        <is>
          <t>DE</t>
        </is>
      </c>
      <c r="L769" t="inlineStr">
        <is>
          <t>CORP</t>
        </is>
      </c>
      <c r="M769" t="inlineStr">
        <is>
          <t>OPT</t>
        </is>
      </c>
      <c r="N769" t="inlineStr">
        <is>
          <t>The Options Clearing Corporation</t>
        </is>
      </c>
      <c r="O769" s="1" t="inlineStr">
        <is>
          <t>549300CII6SLYGKNHA04</t>
        </is>
      </c>
      <c r="P769" t="inlineStr">
        <is>
          <t>Put</t>
        </is>
      </c>
      <c r="Q769" t="inlineStr">
        <is>
          <t>Purchased</t>
        </is>
      </c>
      <c r="R769" t="inlineStr">
        <is>
          <t>758.54</t>
        </is>
      </c>
      <c r="S769" t="inlineStr">
        <is>
          <t>USD</t>
        </is>
      </c>
      <c r="T769" t="inlineStr">
        <is>
          <t>2027-05-28</t>
        </is>
      </c>
      <c r="U769" t="inlineStr">
        <is>
          <t>N/A</t>
        </is>
      </c>
      <c r="V769" t="inlineStr">
        <is>
          <t>indexBasket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8645.69</t>
        </is>
      </c>
      <c r="AD769" t="inlineStr">
        <is>
          <t>86069.10</t>
        </is>
      </c>
      <c r="AE769" t="inlineStr">
        <is>
          <t>6.32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s="1" t="inlineStr"/>
      <c r="AR769" s="1" t="inlineStr"/>
      <c r="AS769" s="1" t="inlineStr"/>
      <c r="AT769" t="inlineStr"/>
      <c r="AU769" t="inlineStr"/>
      <c r="AV769" t="inlineStr"/>
      <c r="AW769" t="inlineStr"/>
      <c r="AX769" t="inlineStr"/>
      <c r="AY769" t="inlineStr"/>
    </row>
    <row r="770">
      <c r="A770" t="inlineStr">
        <is>
          <t>CJUN</t>
        </is>
      </c>
      <c r="B770" t="inlineStr">
        <is>
          <t>912828ZS2 Govt</t>
        </is>
      </c>
      <c r="C770" s="1" t="inlineStr">
        <is>
          <t>912828ZS2</t>
        </is>
      </c>
      <c r="D770" t="inlineStr">
        <is>
          <t>United States Treasury Note/Bo</t>
        </is>
      </c>
      <c r="E770">
        <f>BDP($B770,"LEGAL_ENTITY_IDENTIFIER")</f>
        <v/>
      </c>
      <c r="F770" t="inlineStr">
        <is>
          <t>United States Treasury Note/Bond 0.5% 05/31/2027</t>
        </is>
      </c>
      <c r="G770">
        <f>custodian!D770</f>
        <v/>
      </c>
      <c r="H770">
        <f>BDP($B770,"ID_ISIN")</f>
        <v/>
      </c>
      <c r="I770" s="1" t="inlineStr"/>
      <c r="J770">
        <f>BDP($B770,"CNTRY_OF_DOMICILE")</f>
        <v/>
      </c>
      <c r="K770" t="inlineStr">
        <is>
          <t>DBT</t>
        </is>
      </c>
      <c r="L770" t="inlineStr">
        <is>
          <t>UST</t>
        </is>
      </c>
      <c r="M770" t="inlineStr"/>
      <c r="N770" t="inlineStr"/>
      <c r="O770" s="1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s="1" t="inlineStr"/>
      <c r="AR770" s="1" t="inlineStr"/>
      <c r="AS770" s="1" t="inlineStr"/>
      <c r="AT770">
        <f>TEXT(BDP($B770,"MATURITY"),"yyyy-mm-dd")</f>
        <v/>
      </c>
      <c r="AU770">
        <f>BDP($B770,"CPN_TYP")</f>
        <v/>
      </c>
      <c r="AV770">
        <f>BDP($B770,"CPN")</f>
        <v/>
      </c>
      <c r="AW770" t="inlineStr"/>
      <c r="AX770" t="inlineStr"/>
      <c r="AY770" t="inlineStr"/>
    </row>
    <row r="771">
      <c r="A771" t="inlineStr">
        <is>
          <t>CJUN</t>
        </is>
      </c>
      <c r="B771" t="inlineStr">
        <is>
          <t>FGXXX US Equity</t>
        </is>
      </c>
      <c r="C771" s="1" t="inlineStr">
        <is>
          <t>FGXXX</t>
        </is>
      </c>
      <c r="D771" t="inlineStr">
        <is>
          <t>First American Government Obli</t>
        </is>
      </c>
      <c r="E771">
        <f>BDP($B771,"LEGAL_ENTITY_IDENTIFIER")</f>
        <v/>
      </c>
      <c r="F771" t="inlineStr">
        <is>
          <t>First American Government Obligations Fund</t>
        </is>
      </c>
      <c r="G771">
        <f>custodian!D771</f>
        <v/>
      </c>
      <c r="H771">
        <f>BDP($B771,"ID_ISIN")</f>
        <v/>
      </c>
      <c r="I771" s="1" t="inlineStr">
        <is>
          <t>FGXXX</t>
        </is>
      </c>
      <c r="J771">
        <f>BDP($B771,"CNTRY_OF_DOMICILE")</f>
        <v/>
      </c>
      <c r="K771" t="inlineStr">
        <is>
          <t>STIV</t>
        </is>
      </c>
      <c r="L771" t="inlineStr">
        <is>
          <t>RF</t>
        </is>
      </c>
      <c r="M771" t="inlineStr"/>
      <c r="N771" t="inlineStr"/>
      <c r="O771" s="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s="1" t="inlineStr"/>
      <c r="AR771" s="1" t="inlineStr"/>
      <c r="AS771" s="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CJUN</t>
        </is>
      </c>
      <c r="B772" t="inlineStr"/>
      <c r="C772" s="1" t="inlineStr">
        <is>
          <t>Cash&amp;Other</t>
        </is>
      </c>
      <c r="D772" t="inlineStr"/>
      <c r="E772" s="1" t="inlineStr"/>
      <c r="F772" t="inlineStr"/>
      <c r="G772">
        <f>custodian!D772</f>
        <v/>
      </c>
      <c r="H772" s="1" t="inlineStr"/>
      <c r="I772" s="1" t="inlineStr"/>
      <c r="J772" t="inlineStr"/>
      <c r="K772" t="inlineStr"/>
      <c r="L772" t="inlineStr"/>
      <c r="M772" t="inlineStr"/>
      <c r="N772" t="inlineStr"/>
      <c r="O772" s="1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s="1" t="inlineStr"/>
      <c r="AR772" s="1" t="inlineStr"/>
      <c r="AS772" s="1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CMAG</t>
        </is>
      </c>
      <c r="B773" t="inlineStr">
        <is>
          <t>02079K305 Equity</t>
        </is>
      </c>
      <c r="C773" s="1" t="inlineStr">
        <is>
          <t>02079K305-TRS-05/31/27-L-CANT</t>
        </is>
      </c>
      <c r="D773" t="inlineStr">
        <is>
          <t>N/A</t>
        </is>
      </c>
      <c r="E773" s="1" t="inlineStr">
        <is>
          <t>N/A</t>
        </is>
      </c>
      <c r="F773" t="inlineStr">
        <is>
          <t>ALPHABET INC.-SWAP-CANT-L</t>
        </is>
      </c>
      <c r="G773">
        <f>custodian!D773</f>
        <v/>
      </c>
      <c r="H773" s="1" t="inlineStr"/>
      <c r="I773" s="1" t="inlineStr">
        <is>
          <t>02079K305-TRS-05/31/27-L-CANT</t>
        </is>
      </c>
      <c r="J773" t="inlineStr">
        <is>
          <t>US</t>
        </is>
      </c>
      <c r="K773" t="inlineStr">
        <is>
          <t>DE</t>
        </is>
      </c>
      <c r="L773" t="inlineStr">
        <is>
          <t>OTHER</t>
        </is>
      </c>
      <c r="M773" t="inlineStr">
        <is>
          <t>SWP</t>
        </is>
      </c>
      <c r="N773" t="inlineStr"/>
      <c r="O773" s="1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otherRefInst</t>
        </is>
      </c>
      <c r="W773" t="inlineStr"/>
      <c r="X773" t="inlineStr"/>
      <c r="Y773" t="inlineStr">
        <is>
          <t>Y</t>
        </is>
      </c>
      <c r="Z773" t="inlineStr">
        <is>
          <t>2027-05-31</t>
        </is>
      </c>
      <c r="AA773" t="inlineStr">
        <is>
          <t>838709.41</t>
        </is>
      </c>
      <c r="AB773" t="inlineStr">
        <is>
          <t>USD</t>
        </is>
      </c>
      <c r="AC773" t="inlineStr">
        <is>
          <t>-54651.54</t>
        </is>
      </c>
      <c r="AD773" t="inlineStr">
        <is>
          <t>-54651.54</t>
        </is>
      </c>
      <c r="AE773" t="inlineStr">
        <is>
          <t>-0.63</t>
        </is>
      </c>
      <c r="AF773" t="inlineStr"/>
      <c r="AG773" t="inlineStr"/>
      <c r="AH773" t="inlineStr">
        <is>
          <t>Floating</t>
        </is>
      </c>
      <c r="AI773" t="inlineStr"/>
      <c r="AJ773" t="inlineStr"/>
      <c r="AK773" t="inlineStr">
        <is>
          <t>838709.41</t>
        </is>
      </c>
      <c r="AL773" t="inlineStr">
        <is>
          <t>USD</t>
        </is>
      </c>
      <c r="AM773" t="inlineStr"/>
      <c r="AN773" t="inlineStr"/>
      <c r="AO773">
        <f>BDP($B773,"ISSUER")</f>
        <v/>
      </c>
      <c r="AP773">
        <f>BDP($B773,"NAME")</f>
        <v/>
      </c>
      <c r="AQ773" s="1" t="inlineStr">
        <is>
          <t>02079K305</t>
        </is>
      </c>
      <c r="AR773">
        <f>BDP($B773,"ID_ISIN")</f>
        <v/>
      </c>
      <c r="AS773">
        <f>BDP($B773,"TICKER")</f>
        <v/>
      </c>
      <c r="AT773" t="inlineStr"/>
      <c r="AU773" t="inlineStr"/>
      <c r="AV773" t="inlineStr"/>
      <c r="AW773" t="inlineStr"/>
      <c r="AX773" t="inlineStr"/>
      <c r="AY773" t="inlineStr"/>
    </row>
    <row r="774">
      <c r="A774" t="inlineStr">
        <is>
          <t>CMAG</t>
        </is>
      </c>
      <c r="B774" t="inlineStr">
        <is>
          <t>023135106 Equity</t>
        </is>
      </c>
      <c r="C774" s="1" t="inlineStr">
        <is>
          <t>023135106-TRS-05/31/27-L-CANT</t>
        </is>
      </c>
      <c r="D774" t="inlineStr">
        <is>
          <t>N/A</t>
        </is>
      </c>
      <c r="E774" s="1" t="inlineStr">
        <is>
          <t>N/A</t>
        </is>
      </c>
      <c r="F774" t="inlineStr">
        <is>
          <t>AMAZON.COM, INC.-SWAP-CANT-L</t>
        </is>
      </c>
      <c r="G774">
        <f>custodian!D774</f>
        <v/>
      </c>
      <c r="H774" s="1" t="inlineStr"/>
      <c r="I774" s="1" t="inlineStr">
        <is>
          <t>023135106-TRS-05/31/27-L-CANT</t>
        </is>
      </c>
      <c r="J774" t="inlineStr">
        <is>
          <t>US</t>
        </is>
      </c>
      <c r="K774" t="inlineStr">
        <is>
          <t>DE</t>
        </is>
      </c>
      <c r="L774" t="inlineStr">
        <is>
          <t>OTHER</t>
        </is>
      </c>
      <c r="M774" t="inlineStr">
        <is>
          <t>SWP</t>
        </is>
      </c>
      <c r="N774" t="inlineStr"/>
      <c r="O774" s="1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otherRefInst</t>
        </is>
      </c>
      <c r="W774" t="inlineStr"/>
      <c r="X774" t="inlineStr"/>
      <c r="Y774" t="inlineStr">
        <is>
          <t>Y</t>
        </is>
      </c>
      <c r="Z774" t="inlineStr">
        <is>
          <t>2027-05-31</t>
        </is>
      </c>
      <c r="AA774" t="inlineStr">
        <is>
          <t>476505.18</t>
        </is>
      </c>
      <c r="AB774" t="inlineStr">
        <is>
          <t>USD</t>
        </is>
      </c>
      <c r="AC774" t="inlineStr">
        <is>
          <t>-33192.09</t>
        </is>
      </c>
      <c r="AD774" t="inlineStr">
        <is>
          <t>-33192.09</t>
        </is>
      </c>
      <c r="AE774" t="inlineStr">
        <is>
          <t>-0.38</t>
        </is>
      </c>
      <c r="AF774" t="inlineStr"/>
      <c r="AG774" t="inlineStr"/>
      <c r="AH774" t="inlineStr">
        <is>
          <t>Floating</t>
        </is>
      </c>
      <c r="AI774" t="inlineStr"/>
      <c r="AJ774" t="inlineStr"/>
      <c r="AK774" t="inlineStr">
        <is>
          <t>476505.18</t>
        </is>
      </c>
      <c r="AL774" t="inlineStr">
        <is>
          <t>USD</t>
        </is>
      </c>
      <c r="AM774" t="inlineStr"/>
      <c r="AN774" t="inlineStr"/>
      <c r="AO774">
        <f>BDP($B774,"ISSUER")</f>
        <v/>
      </c>
      <c r="AP774">
        <f>BDP($B774,"NAME")</f>
        <v/>
      </c>
      <c r="AQ774" s="1" t="inlineStr">
        <is>
          <t>023135106</t>
        </is>
      </c>
      <c r="AR774">
        <f>BDP($B774,"ID_ISIN")</f>
        <v/>
      </c>
      <c r="AS774">
        <f>BDP($B774,"TICKER")</f>
        <v/>
      </c>
      <c r="AT774" t="inlineStr"/>
      <c r="AU774" t="inlineStr"/>
      <c r="AV774" t="inlineStr"/>
      <c r="AW774" t="inlineStr"/>
      <c r="AX774" t="inlineStr"/>
      <c r="AY774" t="inlineStr"/>
    </row>
    <row r="775">
      <c r="A775" t="inlineStr">
        <is>
          <t>CMAG</t>
        </is>
      </c>
      <c r="B775" t="inlineStr">
        <is>
          <t>037833100 Equity</t>
        </is>
      </c>
      <c r="C775" s="1" t="inlineStr">
        <is>
          <t>037833100-TRS-05/31/27-L-CANT</t>
        </is>
      </c>
      <c r="D775" t="inlineStr">
        <is>
          <t>N/A</t>
        </is>
      </c>
      <c r="E775" s="1" t="inlineStr">
        <is>
          <t>N/A</t>
        </is>
      </c>
      <c r="F775" t="inlineStr">
        <is>
          <t>APPLE INC.-SWAP-CANT-L</t>
        </is>
      </c>
      <c r="G775">
        <f>custodian!D775</f>
        <v/>
      </c>
      <c r="H775" s="1" t="inlineStr"/>
      <c r="I775" s="1" t="inlineStr">
        <is>
          <t>037833100-TRS-05/31/27-L-CANT</t>
        </is>
      </c>
      <c r="J775" t="inlineStr">
        <is>
          <t>US</t>
        </is>
      </c>
      <c r="K775" t="inlineStr">
        <is>
          <t>DE</t>
        </is>
      </c>
      <c r="L775" t="inlineStr">
        <is>
          <t>OTHER</t>
        </is>
      </c>
      <c r="M775" t="inlineStr">
        <is>
          <t>SWP</t>
        </is>
      </c>
      <c r="N775" t="inlineStr"/>
      <c r="O775" s="1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otherRefInst</t>
        </is>
      </c>
      <c r="W775" t="inlineStr"/>
      <c r="X775" t="inlineStr"/>
      <c r="Y775" t="inlineStr">
        <is>
          <t>Y</t>
        </is>
      </c>
      <c r="Z775" t="inlineStr">
        <is>
          <t>2027-05-31</t>
        </is>
      </c>
      <c r="AA775" t="inlineStr">
        <is>
          <t>874550.72</t>
        </is>
      </c>
      <c r="AB775" t="inlineStr">
        <is>
          <t>USD</t>
        </is>
      </c>
      <c r="AC775" t="inlineStr">
        <is>
          <t>-2681.45</t>
        </is>
      </c>
      <c r="AD775" t="inlineStr">
        <is>
          <t>-2681.45</t>
        </is>
      </c>
      <c r="AE775" t="inlineStr">
        <is>
          <t>-0.03</t>
        </is>
      </c>
      <c r="AF775" t="inlineStr"/>
      <c r="AG775" t="inlineStr"/>
      <c r="AH775" t="inlineStr">
        <is>
          <t>Floating</t>
        </is>
      </c>
      <c r="AI775" t="inlineStr"/>
      <c r="AJ775" t="inlineStr"/>
      <c r="AK775" t="inlineStr">
        <is>
          <t>874550.72</t>
        </is>
      </c>
      <c r="AL775" t="inlineStr">
        <is>
          <t>USD</t>
        </is>
      </c>
      <c r="AM775" t="inlineStr"/>
      <c r="AN775" t="inlineStr"/>
      <c r="AO775">
        <f>BDP($B775,"ISSUER")</f>
        <v/>
      </c>
      <c r="AP775">
        <f>BDP($B775,"NAME")</f>
        <v/>
      </c>
      <c r="AQ775" s="1" t="inlineStr">
        <is>
          <t>037833100</t>
        </is>
      </c>
      <c r="AR775">
        <f>BDP($B775,"ID_ISIN")</f>
        <v/>
      </c>
      <c r="AS775">
        <f>BDP($B775,"TICKER")</f>
        <v/>
      </c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CMAG</t>
        </is>
      </c>
      <c r="B776" t="inlineStr">
        <is>
          <t>30303M102 Equity</t>
        </is>
      </c>
      <c r="C776" s="1" t="inlineStr">
        <is>
          <t>30303M102-TRS-05/31/27-L-CANT</t>
        </is>
      </c>
      <c r="D776" t="inlineStr">
        <is>
          <t>N/A</t>
        </is>
      </c>
      <c r="E776" s="1" t="inlineStr">
        <is>
          <t>N/A</t>
        </is>
      </c>
      <c r="F776" t="inlineStr">
        <is>
          <t>META PLATFORMS, INC.-SWAP-CANT-L</t>
        </is>
      </c>
      <c r="G776">
        <f>custodian!D776</f>
        <v/>
      </c>
      <c r="H776" s="1" t="inlineStr"/>
      <c r="I776" s="1" t="inlineStr">
        <is>
          <t>30303M102-TRS-05/31/27-L-CANT</t>
        </is>
      </c>
      <c r="J776" t="inlineStr">
        <is>
          <t>US</t>
        </is>
      </c>
      <c r="K776" t="inlineStr">
        <is>
          <t>DE</t>
        </is>
      </c>
      <c r="L776" t="inlineStr">
        <is>
          <t>OTHER</t>
        </is>
      </c>
      <c r="M776" t="inlineStr">
        <is>
          <t>SWP</t>
        </is>
      </c>
      <c r="N776" t="inlineStr"/>
      <c r="O776" s="1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otherRefInst</t>
        </is>
      </c>
      <c r="W776" t="inlineStr"/>
      <c r="X776" t="inlineStr"/>
      <c r="Y776" t="inlineStr">
        <is>
          <t>Y</t>
        </is>
      </c>
      <c r="Z776" t="inlineStr">
        <is>
          <t>2027-05-31</t>
        </is>
      </c>
      <c r="AA776" t="inlineStr">
        <is>
          <t>275488.98</t>
        </is>
      </c>
      <c r="AB776" t="inlineStr">
        <is>
          <t>USD</t>
        </is>
      </c>
      <c r="AC776" t="inlineStr">
        <is>
          <t>-12970.95</t>
        </is>
      </c>
      <c r="AD776" t="inlineStr">
        <is>
          <t>-12970.95</t>
        </is>
      </c>
      <c r="AE776" t="inlineStr">
        <is>
          <t>-0.15</t>
        </is>
      </c>
      <c r="AF776" t="inlineStr"/>
      <c r="AG776" t="inlineStr"/>
      <c r="AH776" t="inlineStr">
        <is>
          <t>Floating</t>
        </is>
      </c>
      <c r="AI776" t="inlineStr"/>
      <c r="AJ776" t="inlineStr"/>
      <c r="AK776" t="inlineStr">
        <is>
          <t>275488.98</t>
        </is>
      </c>
      <c r="AL776" t="inlineStr">
        <is>
          <t>USD</t>
        </is>
      </c>
      <c r="AM776" t="inlineStr"/>
      <c r="AN776" t="inlineStr"/>
      <c r="AO776">
        <f>BDP($B776,"ISSUER")</f>
        <v/>
      </c>
      <c r="AP776">
        <f>BDP($B776,"NAME")</f>
        <v/>
      </c>
      <c r="AQ776" s="1" t="inlineStr">
        <is>
          <t>30303M102</t>
        </is>
      </c>
      <c r="AR776">
        <f>BDP($B776,"ID_ISIN")</f>
        <v/>
      </c>
      <c r="AS776">
        <f>BDP($B776,"TICKER")</f>
        <v/>
      </c>
      <c r="AT776" t="inlineStr"/>
      <c r="AU776" t="inlineStr"/>
      <c r="AV776" t="inlineStr"/>
      <c r="AW776" t="inlineStr"/>
      <c r="AX776" t="inlineStr"/>
      <c r="AY776" t="inlineStr"/>
    </row>
    <row r="777">
      <c r="A777" t="inlineStr">
        <is>
          <t>CMAG</t>
        </is>
      </c>
      <c r="B777" t="inlineStr">
        <is>
          <t>594918104 Equity</t>
        </is>
      </c>
      <c r="C777" s="1" t="inlineStr">
        <is>
          <t>594918104-TRS-05/31/27-L-CANT</t>
        </is>
      </c>
      <c r="D777" t="inlineStr">
        <is>
          <t>N/A</t>
        </is>
      </c>
      <c r="E777" s="1" t="inlineStr">
        <is>
          <t>N/A</t>
        </is>
      </c>
      <c r="F777" t="inlineStr">
        <is>
          <t>MICROSOFT CORPORATION-SWAP-CANT-L</t>
        </is>
      </c>
      <c r="G777">
        <f>custodian!D777</f>
        <v/>
      </c>
      <c r="H777" s="1" t="inlineStr"/>
      <c r="I777" s="1" t="inlineStr">
        <is>
          <t>594918104-TRS-05/31/27-L-CANT</t>
        </is>
      </c>
      <c r="J777" t="inlineStr">
        <is>
          <t>US</t>
        </is>
      </c>
      <c r="K777" t="inlineStr">
        <is>
          <t>DE</t>
        </is>
      </c>
      <c r="L777" t="inlineStr">
        <is>
          <t>OTHER</t>
        </is>
      </c>
      <c r="M777" t="inlineStr">
        <is>
          <t>SWP</t>
        </is>
      </c>
      <c r="N777" t="inlineStr"/>
      <c r="O777" s="1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otherRefInst</t>
        </is>
      </c>
      <c r="W777" t="inlineStr"/>
      <c r="X777" t="inlineStr"/>
      <c r="Y777" t="inlineStr">
        <is>
          <t>Y</t>
        </is>
      </c>
      <c r="Z777" t="inlineStr">
        <is>
          <t>2027-05-31</t>
        </is>
      </c>
      <c r="AA777" t="inlineStr">
        <is>
          <t>560981.10</t>
        </is>
      </c>
      <c r="AB777" t="inlineStr">
        <is>
          <t>USD</t>
        </is>
      </c>
      <c r="AC777" t="inlineStr">
        <is>
          <t>-66723.03</t>
        </is>
      </c>
      <c r="AD777" t="inlineStr">
        <is>
          <t>-66723.03</t>
        </is>
      </c>
      <c r="AE777" t="inlineStr">
        <is>
          <t>-0.77</t>
        </is>
      </c>
      <c r="AF777" t="inlineStr"/>
      <c r="AG777" t="inlineStr"/>
      <c r="AH777" t="inlineStr">
        <is>
          <t>Floating</t>
        </is>
      </c>
      <c r="AI777" t="inlineStr"/>
      <c r="AJ777" t="inlineStr"/>
      <c r="AK777" t="inlineStr">
        <is>
          <t>560981.10</t>
        </is>
      </c>
      <c r="AL777" t="inlineStr">
        <is>
          <t>USD</t>
        </is>
      </c>
      <c r="AM777" t="inlineStr"/>
      <c r="AN777" t="inlineStr"/>
      <c r="AO777">
        <f>BDP($B777,"ISSUER")</f>
        <v/>
      </c>
      <c r="AP777">
        <f>BDP($B777,"NAME")</f>
        <v/>
      </c>
      <c r="AQ777" s="1" t="inlineStr">
        <is>
          <t>594918104</t>
        </is>
      </c>
      <c r="AR777">
        <f>BDP($B777,"ID_ISIN")</f>
        <v/>
      </c>
      <c r="AS777">
        <f>BDP($B777,"TICKER")</f>
        <v/>
      </c>
      <c r="AT777" t="inlineStr"/>
      <c r="AU777" t="inlineStr"/>
      <c r="AV777" t="inlineStr"/>
      <c r="AW777" t="inlineStr"/>
      <c r="AX777" t="inlineStr"/>
      <c r="AY777" t="inlineStr"/>
    </row>
    <row r="778">
      <c r="A778" t="inlineStr">
        <is>
          <t>CMAG</t>
        </is>
      </c>
      <c r="B778" t="inlineStr">
        <is>
          <t>67066G104 Equity</t>
        </is>
      </c>
      <c r="C778" s="1" t="inlineStr">
        <is>
          <t>67066G104-TRS-05/31/27-L-CANT</t>
        </is>
      </c>
      <c r="D778" t="inlineStr">
        <is>
          <t>N/A</t>
        </is>
      </c>
      <c r="E778" s="1" t="inlineStr">
        <is>
          <t>N/A</t>
        </is>
      </c>
      <c r="F778" t="inlineStr">
        <is>
          <t>NVIDIA CORPORATION-SWAP-CANT-L</t>
        </is>
      </c>
      <c r="G778">
        <f>custodian!D778</f>
        <v/>
      </c>
      <c r="H778" s="1" t="inlineStr"/>
      <c r="I778" s="1" t="inlineStr">
        <is>
          <t>67066G104-TRS-05/31/27-L-CANT</t>
        </is>
      </c>
      <c r="J778" t="inlineStr">
        <is>
          <t>US</t>
        </is>
      </c>
      <c r="K778" t="inlineStr">
        <is>
          <t>DE</t>
        </is>
      </c>
      <c r="L778" t="inlineStr">
        <is>
          <t>OTHER</t>
        </is>
      </c>
      <c r="M778" t="inlineStr">
        <is>
          <t>SWP</t>
        </is>
      </c>
      <c r="N778" t="inlineStr"/>
      <c r="O778" s="1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otherRefInst</t>
        </is>
      </c>
      <c r="W778" t="inlineStr"/>
      <c r="X778" t="inlineStr"/>
      <c r="Y778" t="inlineStr">
        <is>
          <t>Y</t>
        </is>
      </c>
      <c r="Z778" t="inlineStr">
        <is>
          <t>2027-05-31</t>
        </is>
      </c>
      <c r="AA778" t="inlineStr">
        <is>
          <t>954006.00</t>
        </is>
      </c>
      <c r="AB778" t="inlineStr">
        <is>
          <t>USD</t>
        </is>
      </c>
      <c r="AC778" t="inlineStr">
        <is>
          <t>-32803.25</t>
        </is>
      </c>
      <c r="AD778" t="inlineStr">
        <is>
          <t>-32803.25</t>
        </is>
      </c>
      <c r="AE778" t="inlineStr">
        <is>
          <t>-0.38</t>
        </is>
      </c>
      <c r="AF778" t="inlineStr"/>
      <c r="AG778" t="inlineStr"/>
      <c r="AH778" t="inlineStr">
        <is>
          <t>Floating</t>
        </is>
      </c>
      <c r="AI778" t="inlineStr"/>
      <c r="AJ778" t="inlineStr"/>
      <c r="AK778" t="inlineStr">
        <is>
          <t>954006.00</t>
        </is>
      </c>
      <c r="AL778" t="inlineStr">
        <is>
          <t>USD</t>
        </is>
      </c>
      <c r="AM778" t="inlineStr"/>
      <c r="AN778" t="inlineStr"/>
      <c r="AO778">
        <f>BDP($B778,"ISSUER")</f>
        <v/>
      </c>
      <c r="AP778">
        <f>BDP($B778,"NAME")</f>
        <v/>
      </c>
      <c r="AQ778" s="1" t="inlineStr">
        <is>
          <t>67066G104</t>
        </is>
      </c>
      <c r="AR778">
        <f>BDP($B778,"ID_ISIN")</f>
        <v/>
      </c>
      <c r="AS778">
        <f>BDP($B778,"TICKER")</f>
        <v/>
      </c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CMAG</t>
        </is>
      </c>
      <c r="B779" t="inlineStr">
        <is>
          <t>88160R101 Equity</t>
        </is>
      </c>
      <c r="C779" s="1" t="inlineStr">
        <is>
          <t>88160R101-TRS-05/31/27-L-CANT</t>
        </is>
      </c>
      <c r="D779" t="inlineStr">
        <is>
          <t>N/A</t>
        </is>
      </c>
      <c r="E779" s="1" t="inlineStr">
        <is>
          <t>N/A</t>
        </is>
      </c>
      <c r="F779" t="inlineStr">
        <is>
          <t>TESLA, INC.-SWAP-CANT-L</t>
        </is>
      </c>
      <c r="G779">
        <f>custodian!D779</f>
        <v/>
      </c>
      <c r="H779" s="1" t="inlineStr"/>
      <c r="I779" s="1" t="inlineStr">
        <is>
          <t>88160R101-TRS-05/31/27-L-CANT</t>
        </is>
      </c>
      <c r="J779" t="inlineStr">
        <is>
          <t>US</t>
        </is>
      </c>
      <c r="K779" t="inlineStr">
        <is>
          <t>DE</t>
        </is>
      </c>
      <c r="L779" t="inlineStr">
        <is>
          <t>OTHER</t>
        </is>
      </c>
      <c r="M779" t="inlineStr">
        <is>
          <t>SWP</t>
        </is>
      </c>
      <c r="N779" t="inlineStr"/>
      <c r="O779" s="1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otherRefInst</t>
        </is>
      </c>
      <c r="W779" t="inlineStr"/>
      <c r="X779" t="inlineStr"/>
      <c r="Y779" t="inlineStr">
        <is>
          <t>Y</t>
        </is>
      </c>
      <c r="Z779" t="inlineStr">
        <is>
          <t>2027-05-31</t>
        </is>
      </c>
      <c r="AA779" t="inlineStr">
        <is>
          <t>259491.23</t>
        </is>
      </c>
      <c r="AB779" t="inlineStr">
        <is>
          <t>USD</t>
        </is>
      </c>
      <c r="AC779" t="inlineStr">
        <is>
          <t>-12189.34</t>
        </is>
      </c>
      <c r="AD779" t="inlineStr">
        <is>
          <t>-12189.34</t>
        </is>
      </c>
      <c r="AE779" t="inlineStr">
        <is>
          <t>-0.14</t>
        </is>
      </c>
      <c r="AF779" t="inlineStr"/>
      <c r="AG779" t="inlineStr"/>
      <c r="AH779" t="inlineStr">
        <is>
          <t>Floating</t>
        </is>
      </c>
      <c r="AI779" t="inlineStr"/>
      <c r="AJ779" t="inlineStr"/>
      <c r="AK779" t="inlineStr">
        <is>
          <t>259491.23</t>
        </is>
      </c>
      <c r="AL779" t="inlineStr">
        <is>
          <t>USD</t>
        </is>
      </c>
      <c r="AM779" t="inlineStr"/>
      <c r="AN779" t="inlineStr"/>
      <c r="AO779">
        <f>BDP($B779,"ISSUER")</f>
        <v/>
      </c>
      <c r="AP779">
        <f>BDP($B779,"NAME")</f>
        <v/>
      </c>
      <c r="AQ779" s="1" t="inlineStr">
        <is>
          <t>88160R101</t>
        </is>
      </c>
      <c r="AR779">
        <f>BDP($B779,"ID_ISIN")</f>
        <v/>
      </c>
      <c r="AS779">
        <f>BDP($B779,"TICKER")</f>
        <v/>
      </c>
      <c r="AT779" t="inlineStr"/>
      <c r="AU779" t="inlineStr"/>
      <c r="AV779" t="inlineStr"/>
      <c r="AW779" t="inlineStr"/>
      <c r="AX779" t="inlineStr"/>
      <c r="AY779" t="inlineStr"/>
    </row>
    <row r="780">
      <c r="A780" t="inlineStr">
        <is>
          <t>CMAG</t>
        </is>
      </c>
      <c r="B780" t="inlineStr">
        <is>
          <t>AAPL US Equity</t>
        </is>
      </c>
      <c r="C780" s="1" t="inlineStr">
        <is>
          <t>AAPL</t>
        </is>
      </c>
      <c r="D780" t="inlineStr">
        <is>
          <t>Apple Inc</t>
        </is>
      </c>
      <c r="E780">
        <f>BDP($B780,"LEGAL_ENTITY_IDENTIFIER")</f>
        <v/>
      </c>
      <c r="F780" t="inlineStr">
        <is>
          <t>Apple Inc</t>
        </is>
      </c>
      <c r="G780">
        <f>custodian!D780</f>
        <v/>
      </c>
      <c r="H780">
        <f>BDP($B780,"ID_ISIN")</f>
        <v/>
      </c>
      <c r="I780" s="1" t="inlineStr">
        <is>
          <t>AAPL</t>
        </is>
      </c>
      <c r="J780">
        <f>BDP($B780,"CNTRY_OF_DOMICILE")</f>
        <v/>
      </c>
      <c r="K780" t="inlineStr">
        <is>
          <t>EC</t>
        </is>
      </c>
      <c r="L780" t="inlineStr">
        <is>
          <t>CORP</t>
        </is>
      </c>
      <c r="M780" t="inlineStr"/>
      <c r="N780" t="inlineStr"/>
      <c r="O780" s="1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s="1" t="inlineStr"/>
      <c r="AR780" s="1" t="inlineStr"/>
      <c r="AS780" s="1" t="inlineStr"/>
      <c r="AT780" t="inlineStr"/>
      <c r="AU780" t="inlineStr"/>
      <c r="AV780" t="inlineStr"/>
      <c r="AW780" t="inlineStr"/>
      <c r="AX780" t="inlineStr"/>
      <c r="AY780" t="inlineStr"/>
    </row>
    <row r="781">
      <c r="A781" t="inlineStr">
        <is>
          <t>CMAG</t>
        </is>
      </c>
      <c r="B781" t="inlineStr">
        <is>
          <t>AMZN US Equity</t>
        </is>
      </c>
      <c r="C781" s="1" t="inlineStr">
        <is>
          <t>AMZN</t>
        </is>
      </c>
      <c r="D781" t="inlineStr">
        <is>
          <t>Amazon.com Inc</t>
        </is>
      </c>
      <c r="E781">
        <f>BDP($B781,"LEGAL_ENTITY_IDENTIFIER")</f>
        <v/>
      </c>
      <c r="F781" t="inlineStr">
        <is>
          <t>Amazon.com Inc</t>
        </is>
      </c>
      <c r="G781">
        <f>custodian!D781</f>
        <v/>
      </c>
      <c r="H781">
        <f>BDP($B781,"ID_ISIN")</f>
        <v/>
      </c>
      <c r="I781" s="1" t="inlineStr">
        <is>
          <t>AMZN</t>
        </is>
      </c>
      <c r="J781">
        <f>BDP($B781,"CNTRY_OF_DOMICILE")</f>
        <v/>
      </c>
      <c r="K781" t="inlineStr">
        <is>
          <t>EC</t>
        </is>
      </c>
      <c r="L781" t="inlineStr">
        <is>
          <t>CORP</t>
        </is>
      </c>
      <c r="M781" t="inlineStr"/>
      <c r="N781" t="inlineStr"/>
      <c r="O781" s="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s="1" t="inlineStr"/>
      <c r="AR781" s="1" t="inlineStr"/>
      <c r="AS781" s="1" t="inlineStr"/>
      <c r="AT781" t="inlineStr"/>
      <c r="AU781" t="inlineStr"/>
      <c r="AV781" t="inlineStr"/>
      <c r="AW781" t="inlineStr"/>
      <c r="AX781" t="inlineStr"/>
      <c r="AY781" t="inlineStr"/>
    </row>
    <row r="782">
      <c r="A782" t="inlineStr">
        <is>
          <t>CMAG</t>
        </is>
      </c>
      <c r="B782" t="inlineStr">
        <is>
          <t>FGXXX US Equity</t>
        </is>
      </c>
      <c r="C782" s="1" t="inlineStr">
        <is>
          <t>FGXXX</t>
        </is>
      </c>
      <c r="D782" t="inlineStr">
        <is>
          <t>First American Government Obli</t>
        </is>
      </c>
      <c r="E782">
        <f>BDP($B782,"LEGAL_ENTITY_IDENTIFIER")</f>
        <v/>
      </c>
      <c r="F782" t="inlineStr">
        <is>
          <t>First American Government Obligations Fund</t>
        </is>
      </c>
      <c r="G782">
        <f>custodian!D782</f>
        <v/>
      </c>
      <c r="H782">
        <f>BDP($B782,"ID_ISIN")</f>
        <v/>
      </c>
      <c r="I782" s="1" t="inlineStr">
        <is>
          <t>FGXXX</t>
        </is>
      </c>
      <c r="J782">
        <f>BDP($B782,"CNTRY_OF_DOMICILE")</f>
        <v/>
      </c>
      <c r="K782" t="inlineStr">
        <is>
          <t>STIV</t>
        </is>
      </c>
      <c r="L782" t="inlineStr">
        <is>
          <t>RF</t>
        </is>
      </c>
      <c r="M782" t="inlineStr"/>
      <c r="N782" t="inlineStr"/>
      <c r="O782" s="1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s="1" t="inlineStr"/>
      <c r="AR782" s="1" t="inlineStr"/>
      <c r="AS782" s="1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CMAG</t>
        </is>
      </c>
      <c r="B783" t="inlineStr">
        <is>
          <t>GOOGL US Equity</t>
        </is>
      </c>
      <c r="C783" s="1" t="inlineStr">
        <is>
          <t>GOOGL</t>
        </is>
      </c>
      <c r="D783" t="inlineStr">
        <is>
          <t>Alphabet Inc</t>
        </is>
      </c>
      <c r="E783">
        <f>BDP($B783,"LEGAL_ENTITY_IDENTIFIER")</f>
        <v/>
      </c>
      <c r="F783" t="inlineStr">
        <is>
          <t>Alphabet Inc</t>
        </is>
      </c>
      <c r="G783">
        <f>custodian!D783</f>
        <v/>
      </c>
      <c r="H783">
        <f>BDP($B783,"ID_ISIN")</f>
        <v/>
      </c>
      <c r="I783" s="1" t="inlineStr">
        <is>
          <t>GOOGL</t>
        </is>
      </c>
      <c r="J783">
        <f>BDP($B783,"CNTRY_OF_DOMICILE")</f>
        <v/>
      </c>
      <c r="K783" t="inlineStr">
        <is>
          <t>EC</t>
        </is>
      </c>
      <c r="L783" t="inlineStr">
        <is>
          <t>CORP</t>
        </is>
      </c>
      <c r="M783" t="inlineStr"/>
      <c r="N783" t="inlineStr"/>
      <c r="O783" s="1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s="1" t="inlineStr"/>
      <c r="AR783" s="1" t="inlineStr"/>
      <c r="AS783" s="1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CMAG</t>
        </is>
      </c>
      <c r="B784" t="inlineStr">
        <is>
          <t>META US Equity</t>
        </is>
      </c>
      <c r="C784" s="1" t="inlineStr">
        <is>
          <t>META</t>
        </is>
      </c>
      <c r="D784" t="inlineStr">
        <is>
          <t>Meta Platforms Inc</t>
        </is>
      </c>
      <c r="E784">
        <f>BDP($B784,"LEGAL_ENTITY_IDENTIFIER")</f>
        <v/>
      </c>
      <c r="F784" t="inlineStr">
        <is>
          <t>Meta Platforms Inc</t>
        </is>
      </c>
      <c r="G784">
        <f>custodian!D784</f>
        <v/>
      </c>
      <c r="H784">
        <f>BDP($B784,"ID_ISIN")</f>
        <v/>
      </c>
      <c r="I784" s="1" t="inlineStr">
        <is>
          <t>META</t>
        </is>
      </c>
      <c r="J784">
        <f>BDP($B784,"CNTRY_OF_DOMICILE")</f>
        <v/>
      </c>
      <c r="K784" t="inlineStr">
        <is>
          <t>EC</t>
        </is>
      </c>
      <c r="L784" t="inlineStr">
        <is>
          <t>CORP</t>
        </is>
      </c>
      <c r="M784" t="inlineStr"/>
      <c r="N784" t="inlineStr"/>
      <c r="O784" s="1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s="1" t="inlineStr"/>
      <c r="AR784" s="1" t="inlineStr"/>
      <c r="AS784" s="1" t="inlineStr"/>
      <c r="AT784" t="inlineStr"/>
      <c r="AU784" t="inlineStr"/>
      <c r="AV784" t="inlineStr"/>
      <c r="AW784" t="inlineStr"/>
      <c r="AX784" t="inlineStr"/>
      <c r="AY784" t="inlineStr"/>
    </row>
    <row r="785">
      <c r="A785" t="inlineStr">
        <is>
          <t>CMAG</t>
        </is>
      </c>
      <c r="B785" t="inlineStr">
        <is>
          <t>MSFT US Equity</t>
        </is>
      </c>
      <c r="C785" s="1" t="inlineStr">
        <is>
          <t>MSFT</t>
        </is>
      </c>
      <c r="D785" t="inlineStr">
        <is>
          <t>Microsoft Corp</t>
        </is>
      </c>
      <c r="E785">
        <f>BDP($B785,"LEGAL_ENTITY_IDENTIFIER")</f>
        <v/>
      </c>
      <c r="F785" t="inlineStr">
        <is>
          <t>Microsoft Corp</t>
        </is>
      </c>
      <c r="G785">
        <f>custodian!D785</f>
        <v/>
      </c>
      <c r="H785">
        <f>BDP($B785,"ID_ISIN")</f>
        <v/>
      </c>
      <c r="I785" s="1" t="inlineStr">
        <is>
          <t>MSFT</t>
        </is>
      </c>
      <c r="J785">
        <f>BDP($B785,"CNTRY_OF_DOMICILE")</f>
        <v/>
      </c>
      <c r="K785" t="inlineStr">
        <is>
          <t>EC</t>
        </is>
      </c>
      <c r="L785" t="inlineStr">
        <is>
          <t>CORP</t>
        </is>
      </c>
      <c r="M785" t="inlineStr"/>
      <c r="N785" t="inlineStr"/>
      <c r="O785" s="1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s="1" t="inlineStr"/>
      <c r="AR785" s="1" t="inlineStr"/>
      <c r="AS785" s="1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CMAG</t>
        </is>
      </c>
      <c r="B786" t="inlineStr">
        <is>
          <t>NVDA US Equity</t>
        </is>
      </c>
      <c r="C786" s="1" t="inlineStr">
        <is>
          <t>NVDA</t>
        </is>
      </c>
      <c r="D786" t="inlineStr">
        <is>
          <t>NVIDIA Corp</t>
        </is>
      </c>
      <c r="E786">
        <f>BDP($B786,"LEGAL_ENTITY_IDENTIFIER")</f>
        <v/>
      </c>
      <c r="F786" t="inlineStr">
        <is>
          <t>NVIDIA Corp</t>
        </is>
      </c>
      <c r="G786">
        <f>custodian!D786</f>
        <v/>
      </c>
      <c r="H786">
        <f>BDP($B786,"ID_ISIN")</f>
        <v/>
      </c>
      <c r="I786" s="1" t="inlineStr">
        <is>
          <t>NVDA</t>
        </is>
      </c>
      <c r="J786">
        <f>BDP($B786,"CNTRY_OF_DOMICILE")</f>
        <v/>
      </c>
      <c r="K786" t="inlineStr">
        <is>
          <t>EC</t>
        </is>
      </c>
      <c r="L786" t="inlineStr">
        <is>
          <t>CORP</t>
        </is>
      </c>
      <c r="M786" t="inlineStr"/>
      <c r="N786" t="inlineStr"/>
      <c r="O786" s="1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s="1" t="inlineStr"/>
      <c r="AR786" s="1" t="inlineStr"/>
      <c r="AS786" s="1" t="inlineStr"/>
      <c r="AT786" t="inlineStr"/>
      <c r="AU786" t="inlineStr"/>
      <c r="AV786" t="inlineStr"/>
      <c r="AW786" t="inlineStr"/>
      <c r="AX786" t="inlineStr"/>
      <c r="AY786" t="inlineStr"/>
    </row>
    <row r="787">
      <c r="A787" t="inlineStr">
        <is>
          <t>CMAG</t>
        </is>
      </c>
      <c r="B787" t="inlineStr">
        <is>
          <t>TSLA US Equity</t>
        </is>
      </c>
      <c r="C787" s="1" t="inlineStr">
        <is>
          <t>TSLA</t>
        </is>
      </c>
      <c r="D787" t="inlineStr">
        <is>
          <t>Tesla Inc</t>
        </is>
      </c>
      <c r="E787">
        <f>BDP($B787,"LEGAL_ENTITY_IDENTIFIER")</f>
        <v/>
      </c>
      <c r="F787" t="inlineStr">
        <is>
          <t>Tesla Inc</t>
        </is>
      </c>
      <c r="G787">
        <f>custodian!D787</f>
        <v/>
      </c>
      <c r="H787">
        <f>BDP($B787,"ID_ISIN")</f>
        <v/>
      </c>
      <c r="I787" s="1" t="inlineStr">
        <is>
          <t>TSLA</t>
        </is>
      </c>
      <c r="J787">
        <f>BDP($B787,"CNTRY_OF_DOMICILE")</f>
        <v/>
      </c>
      <c r="K787" t="inlineStr">
        <is>
          <t>EC</t>
        </is>
      </c>
      <c r="L787" t="inlineStr">
        <is>
          <t>CORP</t>
        </is>
      </c>
      <c r="M787" t="inlineStr"/>
      <c r="N787" t="inlineStr"/>
      <c r="O787" s="1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s="1" t="inlineStr"/>
      <c r="AR787" s="1" t="inlineStr"/>
      <c r="AS787" s="1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CMAG</t>
        </is>
      </c>
      <c r="B788" t="inlineStr"/>
      <c r="C788" s="1" t="inlineStr">
        <is>
          <t>Cash&amp;Other</t>
        </is>
      </c>
      <c r="D788" t="inlineStr"/>
      <c r="E788" s="1" t="inlineStr"/>
      <c r="F788" t="inlineStr"/>
      <c r="G788">
        <f>custodian!D788</f>
        <v/>
      </c>
      <c r="H788" s="1" t="inlineStr"/>
      <c r="I788" s="1" t="inlineStr"/>
      <c r="J788" t="inlineStr"/>
      <c r="K788" t="inlineStr"/>
      <c r="L788" t="inlineStr"/>
      <c r="M788" t="inlineStr"/>
      <c r="N788" t="inlineStr"/>
      <c r="O788" s="1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s="1" t="inlineStr"/>
      <c r="AR788" s="1" t="inlineStr"/>
      <c r="AS788" s="1" t="inlineStr"/>
      <c r="AT788" t="inlineStr"/>
      <c r="AU788" t="inlineStr"/>
      <c r="AV788" t="inlineStr"/>
      <c r="AW788" t="inlineStr"/>
      <c r="AX788" t="inlineStr"/>
      <c r="AY788" t="inlineStr"/>
    </row>
    <row r="789">
      <c r="A789" t="inlineStr">
        <is>
          <t>CMAY</t>
        </is>
      </c>
      <c r="B789" t="inlineStr"/>
      <c r="C789" s="1" t="inlineStr">
        <is>
          <t>2SPY  270430C00143730</t>
        </is>
      </c>
      <c r="D789" t="inlineStr">
        <is>
          <t>SPY 04/30/2027 143.73 C</t>
        </is>
      </c>
      <c r="E789" s="1" t="inlineStr">
        <is>
          <t>N/A</t>
        </is>
      </c>
      <c r="F789" t="inlineStr">
        <is>
          <t>SPY 04/30/2027 143.73 C</t>
        </is>
      </c>
      <c r="G789">
        <f>custodian!D789</f>
        <v/>
      </c>
      <c r="H789" s="1" t="inlineStr"/>
      <c r="I789" s="1" t="inlineStr">
        <is>
          <t>SPY-C143.73-20270430</t>
        </is>
      </c>
      <c r="J789" t="inlineStr">
        <is>
          <t>US</t>
        </is>
      </c>
      <c r="K789" t="inlineStr">
        <is>
          <t>DE</t>
        </is>
      </c>
      <c r="L789" t="inlineStr">
        <is>
          <t>CORP</t>
        </is>
      </c>
      <c r="M789" t="inlineStr">
        <is>
          <t>OPT</t>
        </is>
      </c>
      <c r="N789" t="inlineStr">
        <is>
          <t>The Options Clearing Corporation</t>
        </is>
      </c>
      <c r="O789" s="1" t="inlineStr">
        <is>
          <t>549300CII6SLYGKNHA04</t>
        </is>
      </c>
      <c r="P789" t="inlineStr">
        <is>
          <t>Call</t>
        </is>
      </c>
      <c r="Q789" t="inlineStr">
        <is>
          <t>Purchased</t>
        </is>
      </c>
      <c r="R789" t="inlineStr">
        <is>
          <t>143.73</t>
        </is>
      </c>
      <c r="S789" t="inlineStr">
        <is>
          <t>USD</t>
        </is>
      </c>
      <c r="T789" t="inlineStr">
        <is>
          <t>2027-04-30</t>
        </is>
      </c>
      <c r="U789" t="inlineStr">
        <is>
          <t>N/A</t>
        </is>
      </c>
      <c r="V789" t="inlineStr">
        <is>
          <t>indexBasket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114059.23</t>
        </is>
      </c>
      <c r="AD789" t="inlineStr">
        <is>
          <t>4040466.30</t>
        </is>
      </c>
      <c r="AE789" t="inlineStr">
        <is>
          <t>81.24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s="1" t="inlineStr"/>
      <c r="AR789" s="1" t="inlineStr"/>
      <c r="AS789" s="1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CMAY</t>
        </is>
      </c>
      <c r="B790" t="inlineStr"/>
      <c r="C790" s="1" t="inlineStr">
        <is>
          <t>2SPY  270430C00797710</t>
        </is>
      </c>
      <c r="D790" t="inlineStr">
        <is>
          <t>SPY 04/30/2027 797.71 C</t>
        </is>
      </c>
      <c r="E790" s="1" t="inlineStr">
        <is>
          <t>N/A</t>
        </is>
      </c>
      <c r="F790" t="inlineStr">
        <is>
          <t>SPY 04/30/2027 797.71 C</t>
        </is>
      </c>
      <c r="G790">
        <f>custodian!D790</f>
        <v/>
      </c>
      <c r="H790" s="1" t="inlineStr"/>
      <c r="I790" s="1" t="inlineStr">
        <is>
          <t>SPY-C797.71-20270430</t>
        </is>
      </c>
      <c r="J790" t="inlineStr">
        <is>
          <t>US</t>
        </is>
      </c>
      <c r="K790" t="inlineStr">
        <is>
          <t>DE</t>
        </is>
      </c>
      <c r="L790" t="inlineStr">
        <is>
          <t>CORP</t>
        </is>
      </c>
      <c r="M790" t="inlineStr">
        <is>
          <t>OPT</t>
        </is>
      </c>
      <c r="N790" t="inlineStr">
        <is>
          <t>The Options Clearing Corporation</t>
        </is>
      </c>
      <c r="O790" s="1" t="inlineStr">
        <is>
          <t>549300CII6SLYGKNHA04</t>
        </is>
      </c>
      <c r="P790" t="inlineStr">
        <is>
          <t>Call</t>
        </is>
      </c>
      <c r="Q790" t="inlineStr">
        <is>
          <t>Written</t>
        </is>
      </c>
      <c r="R790" t="inlineStr">
        <is>
          <t>797.71</t>
        </is>
      </c>
      <c r="S790" t="inlineStr">
        <is>
          <t>USD</t>
        </is>
      </c>
      <c r="T790" t="inlineStr">
        <is>
          <t>2027-04-30</t>
        </is>
      </c>
      <c r="U790" t="inlineStr">
        <is>
          <t>N/A</t>
        </is>
      </c>
      <c r="V790" t="inlineStr">
        <is>
          <t>indexBasket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-32057.37</t>
        </is>
      </c>
      <c r="AD790" t="inlineStr">
        <is>
          <t>-181477.09</t>
        </is>
      </c>
      <c r="AE790" t="inlineStr">
        <is>
          <t>-3.65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s="1" t="inlineStr"/>
      <c r="AR790" s="1" t="inlineStr"/>
      <c r="AS790" s="1" t="inlineStr"/>
      <c r="AT790" t="inlineStr"/>
      <c r="AU790" t="inlineStr"/>
      <c r="AV790" t="inlineStr"/>
      <c r="AW790" t="inlineStr"/>
      <c r="AX790" t="inlineStr"/>
      <c r="AY790" t="inlineStr"/>
    </row>
    <row r="791">
      <c r="A791" t="inlineStr">
        <is>
          <t>CMAY</t>
        </is>
      </c>
      <c r="B791" t="inlineStr"/>
      <c r="C791" s="1" t="inlineStr">
        <is>
          <t>2SPY  270430P00610860</t>
        </is>
      </c>
      <c r="D791" t="inlineStr">
        <is>
          <t>SPY 04/30/2027 610.86 P</t>
        </is>
      </c>
      <c r="E791" s="1" t="inlineStr">
        <is>
          <t>N/A</t>
        </is>
      </c>
      <c r="F791" t="inlineStr">
        <is>
          <t>SPY 04/30/2027 610.86 P</t>
        </is>
      </c>
      <c r="G791">
        <f>custodian!D791</f>
        <v/>
      </c>
      <c r="H791" s="1" t="inlineStr"/>
      <c r="I791" s="1" t="inlineStr">
        <is>
          <t>SPY-P610.86-20270430</t>
        </is>
      </c>
      <c r="J791" t="inlineStr">
        <is>
          <t>US</t>
        </is>
      </c>
      <c r="K791" t="inlineStr">
        <is>
          <t>DE</t>
        </is>
      </c>
      <c r="L791" t="inlineStr">
        <is>
          <t>CORP</t>
        </is>
      </c>
      <c r="M791" t="inlineStr">
        <is>
          <t>OPT</t>
        </is>
      </c>
      <c r="N791" t="inlineStr">
        <is>
          <t>The Options Clearing Corporation</t>
        </is>
      </c>
      <c r="O791" s="1" t="inlineStr">
        <is>
          <t>549300CII6SLYGKNHA04</t>
        </is>
      </c>
      <c r="P791" t="inlineStr">
        <is>
          <t>Put</t>
        </is>
      </c>
      <c r="Q791" t="inlineStr">
        <is>
          <t>Written</t>
        </is>
      </c>
      <c r="R791" t="inlineStr">
        <is>
          <t>610.86</t>
        </is>
      </c>
      <c r="S791" t="inlineStr">
        <is>
          <t>USD</t>
        </is>
      </c>
      <c r="T791" t="inlineStr">
        <is>
          <t>2027-04-30</t>
        </is>
      </c>
      <c r="U791" t="inlineStr">
        <is>
          <t>N/A</t>
        </is>
      </c>
      <c r="V791" t="inlineStr">
        <is>
          <t>indexBasket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15636.76</t>
        </is>
      </c>
      <c r="AD791" t="inlineStr">
        <is>
          <t>-97415.08</t>
        </is>
      </c>
      <c r="AE791" t="inlineStr">
        <is>
          <t>-1.96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s="1" t="inlineStr"/>
      <c r="AR791" s="1" t="inlineStr"/>
      <c r="AS791" s="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CMAY</t>
        </is>
      </c>
      <c r="B792" t="inlineStr"/>
      <c r="C792" s="1" t="inlineStr">
        <is>
          <t>2SPY  270430P00718660</t>
        </is>
      </c>
      <c r="D792" t="inlineStr">
        <is>
          <t>SPY 04/30/2027 718.66 P</t>
        </is>
      </c>
      <c r="E792" s="1" t="inlineStr">
        <is>
          <t>N/A</t>
        </is>
      </c>
      <c r="F792" t="inlineStr">
        <is>
          <t>SPY 04/30/2027 718.66 P</t>
        </is>
      </c>
      <c r="G792">
        <f>custodian!D792</f>
        <v/>
      </c>
      <c r="H792" s="1" t="inlineStr"/>
      <c r="I792" s="1" t="inlineStr">
        <is>
          <t>SPY-P718.66-20270430</t>
        </is>
      </c>
      <c r="J792" t="inlineStr">
        <is>
          <t>US</t>
        </is>
      </c>
      <c r="K792" t="inlineStr">
        <is>
          <t>DE</t>
        </is>
      </c>
      <c r="L792" t="inlineStr">
        <is>
          <t>CORP</t>
        </is>
      </c>
      <c r="M792" t="inlineStr">
        <is>
          <t>OPT</t>
        </is>
      </c>
      <c r="N792" t="inlineStr">
        <is>
          <t>The Options Clearing Corporation</t>
        </is>
      </c>
      <c r="O792" s="1" t="inlineStr">
        <is>
          <t>549300CII6SLYGKNHA04</t>
        </is>
      </c>
      <c r="P792" t="inlineStr">
        <is>
          <t>Put</t>
        </is>
      </c>
      <c r="Q792" t="inlineStr">
        <is>
          <t>Purchased</t>
        </is>
      </c>
      <c r="R792" t="inlineStr">
        <is>
          <t>718.66</t>
        </is>
      </c>
      <c r="S792" t="inlineStr">
        <is>
          <t>USD</t>
        </is>
      </c>
      <c r="T792" t="inlineStr">
        <is>
          <t>2027-04-30</t>
        </is>
      </c>
      <c r="U792" t="inlineStr">
        <is>
          <t>N/A</t>
        </is>
      </c>
      <c r="V792" t="inlineStr">
        <is>
          <t>indexBasket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2550.14</t>
        </is>
      </c>
      <c r="AD792" t="inlineStr">
        <is>
          <t>229683.21</t>
        </is>
      </c>
      <c r="AE792" t="inlineStr">
        <is>
          <t>4.62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s="1" t="inlineStr"/>
      <c r="AR792" s="1" t="inlineStr"/>
      <c r="AS792" s="1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CMAY</t>
        </is>
      </c>
      <c r="B793" t="inlineStr">
        <is>
          <t>912828ZN3 Govt</t>
        </is>
      </c>
      <c r="C793" s="1" t="inlineStr">
        <is>
          <t>912828ZN3</t>
        </is>
      </c>
      <c r="D793" t="inlineStr">
        <is>
          <t>United States Treasury Note/Bo</t>
        </is>
      </c>
      <c r="E793">
        <f>BDP($B793,"LEGAL_ENTITY_IDENTIFIER")</f>
        <v/>
      </c>
      <c r="F793" t="inlineStr">
        <is>
          <t>United States Treasury Note/Bond 0.5% 04/30/2027</t>
        </is>
      </c>
      <c r="G793">
        <f>custodian!D793</f>
        <v/>
      </c>
      <c r="H793">
        <f>BDP($B793,"ID_ISIN")</f>
        <v/>
      </c>
      <c r="I793" s="1" t="inlineStr"/>
      <c r="J793">
        <f>BDP($B793,"CNTRY_OF_DOMICILE")</f>
        <v/>
      </c>
      <c r="K793" t="inlineStr">
        <is>
          <t>DBT</t>
        </is>
      </c>
      <c r="L793" t="inlineStr">
        <is>
          <t>UST</t>
        </is>
      </c>
      <c r="M793" t="inlineStr"/>
      <c r="N793" t="inlineStr"/>
      <c r="O793" s="1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s="1" t="inlineStr"/>
      <c r="AR793" s="1" t="inlineStr"/>
      <c r="AS793" s="1" t="inlineStr"/>
      <c r="AT793">
        <f>TEXT(BDP($B793,"MATURITY"),"yyyy-mm-dd")</f>
        <v/>
      </c>
      <c r="AU793">
        <f>BDP($B793,"CPN_TYP")</f>
        <v/>
      </c>
      <c r="AV793">
        <f>BDP($B793,"CPN")</f>
        <v/>
      </c>
      <c r="AW793" t="inlineStr"/>
      <c r="AX793" t="inlineStr"/>
      <c r="AY793" t="inlineStr"/>
    </row>
    <row r="794">
      <c r="A794" t="inlineStr">
        <is>
          <t>CMAY</t>
        </is>
      </c>
      <c r="B794" t="inlineStr">
        <is>
          <t>FGXXX US Equity</t>
        </is>
      </c>
      <c r="C794" s="1" t="inlineStr">
        <is>
          <t>FGXXX</t>
        </is>
      </c>
      <c r="D794" t="inlineStr">
        <is>
          <t>First American Government Obli</t>
        </is>
      </c>
      <c r="E794">
        <f>BDP($B794,"LEGAL_ENTITY_IDENTIFIER")</f>
        <v/>
      </c>
      <c r="F794" t="inlineStr">
        <is>
          <t>First American Government Obligations Fund</t>
        </is>
      </c>
      <c r="G794">
        <f>custodian!D794</f>
        <v/>
      </c>
      <c r="H794">
        <f>BDP($B794,"ID_ISIN")</f>
        <v/>
      </c>
      <c r="I794" s="1" t="inlineStr">
        <is>
          <t>FGXXX</t>
        </is>
      </c>
      <c r="J794">
        <f>BDP($B794,"CNTRY_OF_DOMICILE")</f>
        <v/>
      </c>
      <c r="K794" t="inlineStr">
        <is>
          <t>STIV</t>
        </is>
      </c>
      <c r="L794" t="inlineStr">
        <is>
          <t>RF</t>
        </is>
      </c>
      <c r="M794" t="inlineStr"/>
      <c r="N794" t="inlineStr"/>
      <c r="O794" s="1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s="1" t="inlineStr"/>
      <c r="AR794" s="1" t="inlineStr"/>
      <c r="AS794" s="1" t="inlineStr"/>
      <c r="AT794" t="inlineStr"/>
      <c r="AU794" t="inlineStr"/>
      <c r="AV794" t="inlineStr"/>
      <c r="AW794" t="inlineStr"/>
      <c r="AX794" t="inlineStr"/>
      <c r="AY794" t="inlineStr"/>
    </row>
    <row r="795">
      <c r="A795" t="inlineStr">
        <is>
          <t>CMAY</t>
        </is>
      </c>
      <c r="B795" t="inlineStr"/>
      <c r="C795" s="1" t="inlineStr">
        <is>
          <t>Cash&amp;Other</t>
        </is>
      </c>
      <c r="D795" t="inlineStr"/>
      <c r="E795" s="1" t="inlineStr"/>
      <c r="F795" t="inlineStr"/>
      <c r="G795">
        <f>custodian!D795</f>
        <v/>
      </c>
      <c r="H795" s="1" t="inlineStr"/>
      <c r="I795" s="1" t="inlineStr"/>
      <c r="J795" t="inlineStr"/>
      <c r="K795" t="inlineStr"/>
      <c r="L795" t="inlineStr"/>
      <c r="M795" t="inlineStr"/>
      <c r="N795" t="inlineStr"/>
      <c r="O795" s="1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s="1" t="inlineStr"/>
      <c r="AR795" s="1" t="inlineStr"/>
      <c r="AS795" s="1" t="inlineStr"/>
      <c r="AT795" t="inlineStr"/>
      <c r="AU795" t="inlineStr"/>
      <c r="AV795" t="inlineStr"/>
      <c r="AW795" t="inlineStr"/>
      <c r="AX795" t="inlineStr"/>
      <c r="AY795" t="inlineStr"/>
    </row>
    <row r="796">
      <c r="A796" t="inlineStr">
        <is>
          <t>CQTM</t>
        </is>
      </c>
      <c r="B796" t="inlineStr">
        <is>
          <t>ARQQ US Equity</t>
        </is>
      </c>
      <c r="C796" s="1" t="inlineStr">
        <is>
          <t>ARQQ</t>
        </is>
      </c>
      <c r="D796" t="inlineStr">
        <is>
          <t>Arqit Quantum Inc</t>
        </is>
      </c>
      <c r="E796">
        <f>BDP($B796,"LEGAL_ENTITY_IDENTIFIER")</f>
        <v/>
      </c>
      <c r="F796" t="inlineStr">
        <is>
          <t>Arqit Quantum Inc</t>
        </is>
      </c>
      <c r="G796">
        <f>custodian!D796</f>
        <v/>
      </c>
      <c r="H796">
        <f>BDP($B796,"ID_ISIN")</f>
        <v/>
      </c>
      <c r="I796" s="1" t="inlineStr">
        <is>
          <t>ARQQ</t>
        </is>
      </c>
      <c r="J796">
        <f>BDP($B796,"CNTRY_OF_DOMICILE")</f>
        <v/>
      </c>
      <c r="K796" t="inlineStr">
        <is>
          <t>EC</t>
        </is>
      </c>
      <c r="L796" t="inlineStr">
        <is>
          <t>CORP</t>
        </is>
      </c>
      <c r="M796" t="inlineStr"/>
      <c r="N796" t="inlineStr"/>
      <c r="O796" s="1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s="1" t="inlineStr"/>
      <c r="AR796" s="1" t="inlineStr"/>
      <c r="AS796" s="1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CQTM</t>
        </is>
      </c>
      <c r="B797" t="inlineStr">
        <is>
          <t>BTQ US Equity</t>
        </is>
      </c>
      <c r="C797" s="1" t="inlineStr">
        <is>
          <t>BTQ</t>
        </is>
      </c>
      <c r="D797" t="inlineStr">
        <is>
          <t>BTQ Technologies Corp</t>
        </is>
      </c>
      <c r="E797">
        <f>BDP($B797,"LEGAL_ENTITY_IDENTIFIER")</f>
        <v/>
      </c>
      <c r="F797" t="inlineStr">
        <is>
          <t>BTQ Technologies Corp</t>
        </is>
      </c>
      <c r="G797">
        <f>custodian!D797</f>
        <v/>
      </c>
      <c r="H797">
        <f>BDP($B797,"ID_ISIN")</f>
        <v/>
      </c>
      <c r="I797" s="1" t="inlineStr">
        <is>
          <t>BTQ</t>
        </is>
      </c>
      <c r="J797">
        <f>BDP($B797,"CNTRY_OF_DOMICILE")</f>
        <v/>
      </c>
      <c r="K797" t="inlineStr">
        <is>
          <t>EC</t>
        </is>
      </c>
      <c r="L797" t="inlineStr">
        <is>
          <t>CORP</t>
        </is>
      </c>
      <c r="M797" t="inlineStr"/>
      <c r="N797" t="inlineStr"/>
      <c r="O797" s="1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s="1" t="inlineStr"/>
      <c r="AR797" s="1" t="inlineStr"/>
      <c r="AS797" s="1" t="inlineStr"/>
      <c r="AT797" t="inlineStr"/>
      <c r="AU797" t="inlineStr"/>
      <c r="AV797" t="inlineStr"/>
      <c r="AW797" t="inlineStr"/>
      <c r="AX797" t="inlineStr"/>
      <c r="AY797" t="inlineStr"/>
    </row>
    <row r="798">
      <c r="A798" t="inlineStr">
        <is>
          <t>CQTM</t>
        </is>
      </c>
      <c r="B798" t="inlineStr">
        <is>
          <t>FGXXX US Equity</t>
        </is>
      </c>
      <c r="C798" s="1" t="inlineStr">
        <is>
          <t>FGXXX</t>
        </is>
      </c>
      <c r="D798" t="inlineStr">
        <is>
          <t>First American Government Obli</t>
        </is>
      </c>
      <c r="E798">
        <f>BDP($B798,"LEGAL_ENTITY_IDENTIFIER")</f>
        <v/>
      </c>
      <c r="F798" t="inlineStr">
        <is>
          <t>First American Government Obligations Fund</t>
        </is>
      </c>
      <c r="G798">
        <f>custodian!D798</f>
        <v/>
      </c>
      <c r="H798">
        <f>BDP($B798,"ID_ISIN")</f>
        <v/>
      </c>
      <c r="I798" s="1" t="inlineStr">
        <is>
          <t>FGXXX</t>
        </is>
      </c>
      <c r="J798">
        <f>BDP($B798,"CNTRY_OF_DOMICILE")</f>
        <v/>
      </c>
      <c r="K798" t="inlineStr">
        <is>
          <t>STIV</t>
        </is>
      </c>
      <c r="L798" t="inlineStr">
        <is>
          <t>RF</t>
        </is>
      </c>
      <c r="M798" t="inlineStr"/>
      <c r="N798" t="inlineStr"/>
      <c r="O798" s="1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s="1" t="inlineStr"/>
      <c r="AR798" s="1" t="inlineStr"/>
      <c r="AS798" s="1" t="inlineStr"/>
      <c r="AT798" t="inlineStr"/>
      <c r="AU798" t="inlineStr"/>
      <c r="AV798" t="inlineStr"/>
      <c r="AW798" t="inlineStr"/>
      <c r="AX798" t="inlineStr"/>
      <c r="AY798" t="inlineStr"/>
    </row>
    <row r="799">
      <c r="A799" t="inlineStr">
        <is>
          <t>CQTM</t>
        </is>
      </c>
      <c r="B799" t="inlineStr">
        <is>
          <t>FORM US Equity</t>
        </is>
      </c>
      <c r="C799" s="1" t="inlineStr">
        <is>
          <t>FORM</t>
        </is>
      </c>
      <c r="D799" t="inlineStr">
        <is>
          <t>FormFactor Inc</t>
        </is>
      </c>
      <c r="E799">
        <f>BDP($B799,"LEGAL_ENTITY_IDENTIFIER")</f>
        <v/>
      </c>
      <c r="F799" t="inlineStr">
        <is>
          <t>FormFactor Inc</t>
        </is>
      </c>
      <c r="G799">
        <f>custodian!D799</f>
        <v/>
      </c>
      <c r="H799">
        <f>BDP($B799,"ID_ISIN")</f>
        <v/>
      </c>
      <c r="I799" s="1" t="inlineStr">
        <is>
          <t>FORM</t>
        </is>
      </c>
      <c r="J799">
        <f>BDP($B799,"CNTRY_OF_DOMICILE")</f>
        <v/>
      </c>
      <c r="K799" t="inlineStr">
        <is>
          <t>EC</t>
        </is>
      </c>
      <c r="L799" t="inlineStr">
        <is>
          <t>CORP</t>
        </is>
      </c>
      <c r="M799" t="inlineStr"/>
      <c r="N799" t="inlineStr"/>
      <c r="O799" s="1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s="1" t="inlineStr"/>
      <c r="AR799" s="1" t="inlineStr"/>
      <c r="AS799" s="1" t="inlineStr"/>
      <c r="AT799" t="inlineStr"/>
      <c r="AU799" t="inlineStr"/>
      <c r="AV799" t="inlineStr"/>
      <c r="AW799" t="inlineStr"/>
      <c r="AX799" t="inlineStr"/>
      <c r="AY799" t="inlineStr"/>
    </row>
    <row r="800">
      <c r="A800" t="inlineStr">
        <is>
          <t>CQTM</t>
        </is>
      </c>
      <c r="B800" t="inlineStr">
        <is>
          <t>GOOGL US Equity</t>
        </is>
      </c>
      <c r="C800" s="1" t="inlineStr">
        <is>
          <t>GOOGL</t>
        </is>
      </c>
      <c r="D800" t="inlineStr">
        <is>
          <t>Alphabet Inc</t>
        </is>
      </c>
      <c r="E800">
        <f>BDP($B800,"LEGAL_ENTITY_IDENTIFIER")</f>
        <v/>
      </c>
      <c r="F800" t="inlineStr">
        <is>
          <t>Alphabet Inc</t>
        </is>
      </c>
      <c r="G800">
        <f>custodian!D800</f>
        <v/>
      </c>
      <c r="H800">
        <f>BDP($B800,"ID_ISIN")</f>
        <v/>
      </c>
      <c r="I800" s="1" t="inlineStr">
        <is>
          <t>GOOGL</t>
        </is>
      </c>
      <c r="J800">
        <f>BDP($B800,"CNTRY_OF_DOMICILE")</f>
        <v/>
      </c>
      <c r="K800" t="inlineStr">
        <is>
          <t>EC</t>
        </is>
      </c>
      <c r="L800" t="inlineStr">
        <is>
          <t>CORP</t>
        </is>
      </c>
      <c r="M800" t="inlineStr"/>
      <c r="N800" t="inlineStr"/>
      <c r="O800" s="1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s="1" t="inlineStr"/>
      <c r="AR800" s="1" t="inlineStr"/>
      <c r="AS800" s="1" t="inlineStr"/>
      <c r="AT800" t="inlineStr"/>
      <c r="AU800" t="inlineStr"/>
      <c r="AV800" t="inlineStr"/>
      <c r="AW800" t="inlineStr"/>
      <c r="AX800" t="inlineStr"/>
      <c r="AY800" t="inlineStr"/>
    </row>
    <row r="801">
      <c r="A801" t="inlineStr">
        <is>
          <t>CQTM</t>
        </is>
      </c>
      <c r="B801" t="inlineStr">
        <is>
          <t>HON US Equity</t>
        </is>
      </c>
      <c r="C801" s="1" t="inlineStr">
        <is>
          <t>HON</t>
        </is>
      </c>
      <c r="D801" t="inlineStr">
        <is>
          <t>Honeywell International Inc</t>
        </is>
      </c>
      <c r="E801">
        <f>BDP($B801,"LEGAL_ENTITY_IDENTIFIER")</f>
        <v/>
      </c>
      <c r="F801" t="inlineStr">
        <is>
          <t>Honeywell International Inc</t>
        </is>
      </c>
      <c r="G801">
        <f>custodian!D801</f>
        <v/>
      </c>
      <c r="H801">
        <f>BDP($B801,"ID_ISIN")</f>
        <v/>
      </c>
      <c r="I801" s="1" t="inlineStr">
        <is>
          <t>HON</t>
        </is>
      </c>
      <c r="J801">
        <f>BDP($B801,"CNTRY_OF_DOMICILE")</f>
        <v/>
      </c>
      <c r="K801" t="inlineStr">
        <is>
          <t>EC</t>
        </is>
      </c>
      <c r="L801" t="inlineStr">
        <is>
          <t>CORP</t>
        </is>
      </c>
      <c r="M801" t="inlineStr"/>
      <c r="N801" t="inlineStr"/>
      <c r="O801" s="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s="1" t="inlineStr"/>
      <c r="AR801" s="1" t="inlineStr"/>
      <c r="AS801" s="1" t="inlineStr"/>
      <c r="AT801" t="inlineStr"/>
      <c r="AU801" t="inlineStr"/>
      <c r="AV801" t="inlineStr"/>
      <c r="AW801" t="inlineStr"/>
      <c r="AX801" t="inlineStr"/>
      <c r="AY801" t="inlineStr"/>
    </row>
    <row r="802">
      <c r="A802" t="inlineStr">
        <is>
          <t>CQTM</t>
        </is>
      </c>
      <c r="B802" t="inlineStr">
        <is>
          <t>HQ US Equity</t>
        </is>
      </c>
      <c r="C802" s="1" t="inlineStr">
        <is>
          <t>HQ</t>
        </is>
      </c>
      <c r="D802" t="inlineStr">
        <is>
          <t>Horizon Quantum Holdings LTD</t>
        </is>
      </c>
      <c r="E802">
        <f>BDP($B802,"LEGAL_ENTITY_IDENTIFIER")</f>
        <v/>
      </c>
      <c r="F802" t="inlineStr">
        <is>
          <t>Horizon Quantum Holdings LTD</t>
        </is>
      </c>
      <c r="G802">
        <f>custodian!D802</f>
        <v/>
      </c>
      <c r="H802">
        <f>BDP($B802,"ID_ISIN")</f>
        <v/>
      </c>
      <c r="I802" s="1" t="inlineStr">
        <is>
          <t>HQ</t>
        </is>
      </c>
      <c r="J802">
        <f>BDP($B802,"CNTRY_OF_DOMICILE")</f>
        <v/>
      </c>
      <c r="K802" t="inlineStr">
        <is>
          <t>EC</t>
        </is>
      </c>
      <c r="L802" t="inlineStr">
        <is>
          <t>CORP</t>
        </is>
      </c>
      <c r="M802" t="inlineStr"/>
      <c r="N802" t="inlineStr"/>
      <c r="O802" s="1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s="1" t="inlineStr"/>
      <c r="AR802" s="1" t="inlineStr"/>
      <c r="AS802" s="1" t="inlineStr"/>
      <c r="AT802" t="inlineStr"/>
      <c r="AU802" t="inlineStr"/>
      <c r="AV802" t="inlineStr"/>
      <c r="AW802" t="inlineStr"/>
      <c r="AX802" t="inlineStr"/>
      <c r="AY802" t="inlineStr"/>
    </row>
    <row r="803">
      <c r="A803" t="inlineStr">
        <is>
          <t>CQTM</t>
        </is>
      </c>
      <c r="B803" t="inlineStr">
        <is>
          <t>IBM US Equity</t>
        </is>
      </c>
      <c r="C803" s="1" t="inlineStr">
        <is>
          <t>IBM</t>
        </is>
      </c>
      <c r="D803" t="inlineStr">
        <is>
          <t>International Business Machine</t>
        </is>
      </c>
      <c r="E803">
        <f>BDP($B803,"LEGAL_ENTITY_IDENTIFIER")</f>
        <v/>
      </c>
      <c r="F803" t="inlineStr">
        <is>
          <t>International Business Machines Corp</t>
        </is>
      </c>
      <c r="G803">
        <f>custodian!D803</f>
        <v/>
      </c>
      <c r="H803">
        <f>BDP($B803,"ID_ISIN")</f>
        <v/>
      </c>
      <c r="I803" s="1" t="inlineStr">
        <is>
          <t>IBM</t>
        </is>
      </c>
      <c r="J803">
        <f>BDP($B803,"CNTRY_OF_DOMICILE")</f>
        <v/>
      </c>
      <c r="K803" t="inlineStr">
        <is>
          <t>EC</t>
        </is>
      </c>
      <c r="L803" t="inlineStr">
        <is>
          <t>CORP</t>
        </is>
      </c>
      <c r="M803" t="inlineStr"/>
      <c r="N803" t="inlineStr"/>
      <c r="O803" s="1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s="1" t="inlineStr"/>
      <c r="AR803" s="1" t="inlineStr"/>
      <c r="AS803" s="1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CQTM</t>
        </is>
      </c>
      <c r="B804" t="inlineStr">
        <is>
          <t>INFQ US Equity</t>
        </is>
      </c>
      <c r="C804" s="1" t="inlineStr">
        <is>
          <t>INFQ</t>
        </is>
      </c>
      <c r="D804" t="inlineStr">
        <is>
          <t>Infleqtion Inc</t>
        </is>
      </c>
      <c r="E804">
        <f>BDP($B804,"LEGAL_ENTITY_IDENTIFIER")</f>
        <v/>
      </c>
      <c r="F804" t="inlineStr">
        <is>
          <t>Infleqtion Inc</t>
        </is>
      </c>
      <c r="G804">
        <f>custodian!D804</f>
        <v/>
      </c>
      <c r="H804">
        <f>BDP($B804,"ID_ISIN")</f>
        <v/>
      </c>
      <c r="I804" s="1" t="inlineStr">
        <is>
          <t>INFQ</t>
        </is>
      </c>
      <c r="J804">
        <f>BDP($B804,"CNTRY_OF_DOMICILE")</f>
        <v/>
      </c>
      <c r="K804" t="inlineStr">
        <is>
          <t>EC</t>
        </is>
      </c>
      <c r="L804" t="inlineStr">
        <is>
          <t>CORP</t>
        </is>
      </c>
      <c r="M804" t="inlineStr"/>
      <c r="N804" t="inlineStr"/>
      <c r="O804" s="1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s="1" t="inlineStr"/>
      <c r="AR804" s="1" t="inlineStr"/>
      <c r="AS804" s="1" t="inlineStr"/>
      <c r="AT804" t="inlineStr"/>
      <c r="AU804" t="inlineStr"/>
      <c r="AV804" t="inlineStr"/>
      <c r="AW804" t="inlineStr"/>
      <c r="AX804" t="inlineStr"/>
      <c r="AY804" t="inlineStr"/>
    </row>
    <row r="805">
      <c r="A805" t="inlineStr">
        <is>
          <t>CQTM</t>
        </is>
      </c>
      <c r="B805" t="inlineStr">
        <is>
          <t>IONQ US Equity</t>
        </is>
      </c>
      <c r="C805" s="1" t="inlineStr">
        <is>
          <t>IONQ</t>
        </is>
      </c>
      <c r="D805" t="inlineStr">
        <is>
          <t>IonQ Inc</t>
        </is>
      </c>
      <c r="E805">
        <f>BDP($B805,"LEGAL_ENTITY_IDENTIFIER")</f>
        <v/>
      </c>
      <c r="F805" t="inlineStr">
        <is>
          <t>IonQ Inc</t>
        </is>
      </c>
      <c r="G805">
        <f>custodian!D805</f>
        <v/>
      </c>
      <c r="H805">
        <f>BDP($B805,"ID_ISIN")</f>
        <v/>
      </c>
      <c r="I805" s="1" t="inlineStr">
        <is>
          <t>IONQ</t>
        </is>
      </c>
      <c r="J805">
        <f>BDP($B805,"CNTRY_OF_DOMICILE")</f>
        <v/>
      </c>
      <c r="K805" t="inlineStr">
        <is>
          <t>EC</t>
        </is>
      </c>
      <c r="L805" t="inlineStr">
        <is>
          <t>CORP</t>
        </is>
      </c>
      <c r="M805" t="inlineStr"/>
      <c r="N805" t="inlineStr"/>
      <c r="O805" s="1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s="1" t="inlineStr"/>
      <c r="AR805" s="1" t="inlineStr"/>
      <c r="AS805" s="1" t="inlineStr"/>
      <c r="AT805" t="inlineStr"/>
      <c r="AU805" t="inlineStr"/>
      <c r="AV805" t="inlineStr"/>
      <c r="AW805" t="inlineStr"/>
      <c r="AX805" t="inlineStr"/>
      <c r="AY805" t="inlineStr"/>
    </row>
    <row r="806">
      <c r="A806" t="inlineStr">
        <is>
          <t>CQTM</t>
        </is>
      </c>
      <c r="B806" t="inlineStr">
        <is>
          <t>LAES US Equity</t>
        </is>
      </c>
      <c r="C806" s="1" t="inlineStr">
        <is>
          <t>LAES</t>
        </is>
      </c>
      <c r="D806" t="inlineStr">
        <is>
          <t>SEALSQ Corp</t>
        </is>
      </c>
      <c r="E806">
        <f>BDP($B806,"LEGAL_ENTITY_IDENTIFIER")</f>
        <v/>
      </c>
      <c r="F806" t="inlineStr">
        <is>
          <t>SEALSQ Corp</t>
        </is>
      </c>
      <c r="G806">
        <f>custodian!D806</f>
        <v/>
      </c>
      <c r="H806">
        <f>BDP($B806,"ID_ISIN")</f>
        <v/>
      </c>
      <c r="I806" s="1" t="inlineStr">
        <is>
          <t>LAES</t>
        </is>
      </c>
      <c r="J806">
        <f>BDP($B806,"CNTRY_OF_DOMICILE")</f>
        <v/>
      </c>
      <c r="K806" t="inlineStr">
        <is>
          <t>EC</t>
        </is>
      </c>
      <c r="L806" t="inlineStr">
        <is>
          <t>CORP</t>
        </is>
      </c>
      <c r="M806" t="inlineStr"/>
      <c r="N806" t="inlineStr"/>
      <c r="O806" s="1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s="1" t="inlineStr"/>
      <c r="AR806" s="1" t="inlineStr"/>
      <c r="AS806" s="1" t="inlineStr"/>
      <c r="AT806" t="inlineStr"/>
      <c r="AU806" t="inlineStr"/>
      <c r="AV806" t="inlineStr"/>
      <c r="AW806" t="inlineStr"/>
      <c r="AX806" t="inlineStr"/>
      <c r="AY806" t="inlineStr"/>
    </row>
    <row r="807">
      <c r="A807" t="inlineStr">
        <is>
          <t>CQTM</t>
        </is>
      </c>
      <c r="B807" t="inlineStr">
        <is>
          <t>QBTS US Equity</t>
        </is>
      </c>
      <c r="C807" s="1" t="inlineStr">
        <is>
          <t>QBTS</t>
        </is>
      </c>
      <c r="D807" t="inlineStr">
        <is>
          <t>D-Wave Quantum Inc</t>
        </is>
      </c>
      <c r="E807">
        <f>BDP($B807,"LEGAL_ENTITY_IDENTIFIER")</f>
        <v/>
      </c>
      <c r="F807" t="inlineStr">
        <is>
          <t>D-Wave Quantum Inc</t>
        </is>
      </c>
      <c r="G807">
        <f>custodian!D807</f>
        <v/>
      </c>
      <c r="H807">
        <f>BDP($B807,"ID_ISIN")</f>
        <v/>
      </c>
      <c r="I807" s="1" t="inlineStr">
        <is>
          <t>QBTS</t>
        </is>
      </c>
      <c r="J807">
        <f>BDP($B807,"CNTRY_OF_DOMICILE")</f>
        <v/>
      </c>
      <c r="K807" t="inlineStr">
        <is>
          <t>EC</t>
        </is>
      </c>
      <c r="L807" t="inlineStr">
        <is>
          <t>CORP</t>
        </is>
      </c>
      <c r="M807" t="inlineStr"/>
      <c r="N807" t="inlineStr"/>
      <c r="O807" s="1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s="1" t="inlineStr"/>
      <c r="AR807" s="1" t="inlineStr"/>
      <c r="AS807" s="1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CQTM</t>
        </is>
      </c>
      <c r="B808" t="inlineStr">
        <is>
          <t>QNC US Equity</t>
        </is>
      </c>
      <c r="C808" s="1" t="inlineStr">
        <is>
          <t>QNC</t>
        </is>
      </c>
      <c r="D808" t="inlineStr">
        <is>
          <t>Quantum Emotion Corp</t>
        </is>
      </c>
      <c r="E808">
        <f>BDP($B808,"LEGAL_ENTITY_IDENTIFIER")</f>
        <v/>
      </c>
      <c r="F808" t="inlineStr">
        <is>
          <t>Quantum Emotion Corp</t>
        </is>
      </c>
      <c r="G808">
        <f>custodian!D808</f>
        <v/>
      </c>
      <c r="H808">
        <f>BDP($B808,"ID_ISIN")</f>
        <v/>
      </c>
      <c r="I808" s="1" t="inlineStr">
        <is>
          <t>QNC</t>
        </is>
      </c>
      <c r="J808">
        <f>BDP($B808,"CNTRY_OF_DOMICILE")</f>
        <v/>
      </c>
      <c r="K808" t="inlineStr">
        <is>
          <t>EC</t>
        </is>
      </c>
      <c r="L808" t="inlineStr">
        <is>
          <t>CORP</t>
        </is>
      </c>
      <c r="M808" t="inlineStr"/>
      <c r="N808" t="inlineStr"/>
      <c r="O808" s="1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s="1" t="inlineStr"/>
      <c r="AR808" s="1" t="inlineStr"/>
      <c r="AS808" s="1" t="inlineStr"/>
      <c r="AT808" t="inlineStr"/>
      <c r="AU808" t="inlineStr"/>
      <c r="AV808" t="inlineStr"/>
      <c r="AW808" t="inlineStr"/>
      <c r="AX808" t="inlineStr"/>
      <c r="AY808" t="inlineStr"/>
    </row>
    <row r="809">
      <c r="A809" t="inlineStr">
        <is>
          <t>CQTM</t>
        </is>
      </c>
      <c r="B809" t="inlineStr">
        <is>
          <t>QNT US Equity</t>
        </is>
      </c>
      <c r="C809" s="1" t="inlineStr">
        <is>
          <t>QNT</t>
        </is>
      </c>
      <c r="D809" t="inlineStr">
        <is>
          <t>Quantinuum Inc</t>
        </is>
      </c>
      <c r="E809">
        <f>BDP($B809,"LEGAL_ENTITY_IDENTIFIER")</f>
        <v/>
      </c>
      <c r="F809" t="inlineStr">
        <is>
          <t>Quantinuum Inc</t>
        </is>
      </c>
      <c r="G809">
        <f>custodian!D809</f>
        <v/>
      </c>
      <c r="H809">
        <f>BDP($B809,"ID_ISIN")</f>
        <v/>
      </c>
      <c r="I809" s="1" t="inlineStr">
        <is>
          <t>QNT</t>
        </is>
      </c>
      <c r="J809">
        <f>BDP($B809,"CNTRY_OF_DOMICILE")</f>
        <v/>
      </c>
      <c r="K809" t="inlineStr">
        <is>
          <t>EC</t>
        </is>
      </c>
      <c r="L809" t="inlineStr">
        <is>
          <t>CORP</t>
        </is>
      </c>
      <c r="M809" t="inlineStr"/>
      <c r="N809" t="inlineStr"/>
      <c r="O809" s="1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s="1" t="inlineStr"/>
      <c r="AR809" s="1" t="inlineStr"/>
      <c r="AS809" s="1" t="inlineStr"/>
      <c r="AT809" t="inlineStr"/>
      <c r="AU809" t="inlineStr"/>
      <c r="AV809" t="inlineStr"/>
      <c r="AW809" t="inlineStr"/>
      <c r="AX809" t="inlineStr"/>
      <c r="AY809" t="inlineStr"/>
    </row>
    <row r="810">
      <c r="A810" t="inlineStr">
        <is>
          <t>CQTM</t>
        </is>
      </c>
      <c r="B810" t="inlineStr">
        <is>
          <t>QUBT US Equity</t>
        </is>
      </c>
      <c r="C810" s="1" t="inlineStr">
        <is>
          <t>QUBT</t>
        </is>
      </c>
      <c r="D810" t="inlineStr">
        <is>
          <t>Quantum Computing Inc</t>
        </is>
      </c>
      <c r="E810">
        <f>BDP($B810,"LEGAL_ENTITY_IDENTIFIER")</f>
        <v/>
      </c>
      <c r="F810" t="inlineStr">
        <is>
          <t>Quantum Computing Inc</t>
        </is>
      </c>
      <c r="G810">
        <f>custodian!D810</f>
        <v/>
      </c>
      <c r="H810">
        <f>BDP($B810,"ID_ISIN")</f>
        <v/>
      </c>
      <c r="I810" s="1" t="inlineStr">
        <is>
          <t>QUBT</t>
        </is>
      </c>
      <c r="J810">
        <f>BDP($B810,"CNTRY_OF_DOMICILE")</f>
        <v/>
      </c>
      <c r="K810" t="inlineStr">
        <is>
          <t>EC</t>
        </is>
      </c>
      <c r="L810" t="inlineStr">
        <is>
          <t>CORP</t>
        </is>
      </c>
      <c r="M810" t="inlineStr"/>
      <c r="N810" t="inlineStr"/>
      <c r="O810" s="1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s="1" t="inlineStr"/>
      <c r="AR810" s="1" t="inlineStr"/>
      <c r="AS810" s="1" t="inlineStr"/>
      <c r="AT810" t="inlineStr"/>
      <c r="AU810" t="inlineStr"/>
      <c r="AV810" t="inlineStr"/>
      <c r="AW810" t="inlineStr"/>
      <c r="AX810" t="inlineStr"/>
      <c r="AY810" t="inlineStr"/>
    </row>
    <row r="811">
      <c r="A811" t="inlineStr">
        <is>
          <t>CQTM</t>
        </is>
      </c>
      <c r="B811" t="inlineStr">
        <is>
          <t>RGTI US Equity</t>
        </is>
      </c>
      <c r="C811" s="1" t="inlineStr">
        <is>
          <t>RGTI</t>
        </is>
      </c>
      <c r="D811" t="inlineStr">
        <is>
          <t>Rigetti Computing Inc</t>
        </is>
      </c>
      <c r="E811">
        <f>BDP($B811,"LEGAL_ENTITY_IDENTIFIER")</f>
        <v/>
      </c>
      <c r="F811" t="inlineStr">
        <is>
          <t>Rigetti Computing Inc</t>
        </is>
      </c>
      <c r="G811">
        <f>custodian!D811</f>
        <v/>
      </c>
      <c r="H811">
        <f>BDP($B811,"ID_ISIN")</f>
        <v/>
      </c>
      <c r="I811" s="1" t="inlineStr">
        <is>
          <t>RGTI</t>
        </is>
      </c>
      <c r="J811">
        <f>BDP($B811,"CNTRY_OF_DOMICILE")</f>
        <v/>
      </c>
      <c r="K811" t="inlineStr">
        <is>
          <t>EC</t>
        </is>
      </c>
      <c r="L811" t="inlineStr">
        <is>
          <t>CORP</t>
        </is>
      </c>
      <c r="M811" t="inlineStr"/>
      <c r="N811" t="inlineStr"/>
      <c r="O811" s="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s="1" t="inlineStr"/>
      <c r="AR811" s="1" t="inlineStr"/>
      <c r="AS811" s="1" t="inlineStr"/>
      <c r="AT811" t="inlineStr"/>
      <c r="AU811" t="inlineStr"/>
      <c r="AV811" t="inlineStr"/>
      <c r="AW811" t="inlineStr"/>
      <c r="AX811" t="inlineStr"/>
      <c r="AY811" t="inlineStr"/>
    </row>
    <row r="812">
      <c r="A812" t="inlineStr">
        <is>
          <t>CQTM</t>
        </is>
      </c>
      <c r="B812" t="inlineStr">
        <is>
          <t>SKYT US Equity</t>
        </is>
      </c>
      <c r="C812" s="1" t="inlineStr">
        <is>
          <t>SKYT</t>
        </is>
      </c>
      <c r="D812" t="inlineStr">
        <is>
          <t>SkyWater Technology Inc</t>
        </is>
      </c>
      <c r="E812">
        <f>BDP($B812,"LEGAL_ENTITY_IDENTIFIER")</f>
        <v/>
      </c>
      <c r="F812" t="inlineStr">
        <is>
          <t>SkyWater Technology Inc</t>
        </is>
      </c>
      <c r="G812">
        <f>custodian!D812</f>
        <v/>
      </c>
      <c r="H812">
        <f>BDP($B812,"ID_ISIN")</f>
        <v/>
      </c>
      <c r="I812" s="1" t="inlineStr">
        <is>
          <t>SKYT</t>
        </is>
      </c>
      <c r="J812">
        <f>BDP($B812,"CNTRY_OF_DOMICILE")</f>
        <v/>
      </c>
      <c r="K812" t="inlineStr">
        <is>
          <t>EC</t>
        </is>
      </c>
      <c r="L812" t="inlineStr">
        <is>
          <t>CORP</t>
        </is>
      </c>
      <c r="M812" t="inlineStr"/>
      <c r="N812" t="inlineStr"/>
      <c r="O812" s="1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s="1" t="inlineStr"/>
      <c r="AR812" s="1" t="inlineStr"/>
      <c r="AS812" s="1" t="inlineStr"/>
      <c r="AT812" t="inlineStr"/>
      <c r="AU812" t="inlineStr"/>
      <c r="AV812" t="inlineStr"/>
      <c r="AW812" t="inlineStr"/>
      <c r="AX812" t="inlineStr"/>
      <c r="AY812" t="inlineStr"/>
    </row>
    <row r="813">
      <c r="A813" t="inlineStr">
        <is>
          <t>CQTM</t>
        </is>
      </c>
      <c r="B813" t="inlineStr">
        <is>
          <t>XNDU US Equity</t>
        </is>
      </c>
      <c r="C813" s="1" t="inlineStr">
        <is>
          <t>XNDU</t>
        </is>
      </c>
      <c r="D813" t="inlineStr">
        <is>
          <t>Xanadu Quantum Technologies Lt</t>
        </is>
      </c>
      <c r="E813">
        <f>BDP($B813,"LEGAL_ENTITY_IDENTIFIER")</f>
        <v/>
      </c>
      <c r="F813" t="inlineStr">
        <is>
          <t>Xanadu Quantum Technologies Ltd</t>
        </is>
      </c>
      <c r="G813">
        <f>custodian!D813</f>
        <v/>
      </c>
      <c r="H813">
        <f>BDP($B813,"ID_ISIN")</f>
        <v/>
      </c>
      <c r="I813" s="1" t="inlineStr">
        <is>
          <t>XNDU</t>
        </is>
      </c>
      <c r="J813">
        <f>BDP($B813,"CNTRY_OF_DOMICILE")</f>
        <v/>
      </c>
      <c r="K813" t="inlineStr">
        <is>
          <t>EC</t>
        </is>
      </c>
      <c r="L813" t="inlineStr">
        <is>
          <t>CORP</t>
        </is>
      </c>
      <c r="M813" t="inlineStr"/>
      <c r="N813" t="inlineStr"/>
      <c r="O813" s="1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s="1" t="inlineStr"/>
      <c r="AR813" s="1" t="inlineStr"/>
      <c r="AS813" s="1" t="inlineStr"/>
      <c r="AT813" t="inlineStr"/>
      <c r="AU813" t="inlineStr"/>
      <c r="AV813" t="inlineStr"/>
      <c r="AW813" t="inlineStr"/>
      <c r="AX813" t="inlineStr"/>
      <c r="AY813" t="inlineStr"/>
    </row>
    <row r="814">
      <c r="A814" t="inlineStr">
        <is>
          <t>CQTM</t>
        </is>
      </c>
      <c r="B814" t="inlineStr"/>
      <c r="C814" s="1" t="inlineStr">
        <is>
          <t>Cash&amp;Other</t>
        </is>
      </c>
      <c r="D814" t="inlineStr"/>
      <c r="E814" s="1" t="inlineStr"/>
      <c r="F814" t="inlineStr"/>
      <c r="G814">
        <f>custodian!D814</f>
        <v/>
      </c>
      <c r="H814" s="1" t="inlineStr"/>
      <c r="I814" s="1" t="inlineStr"/>
      <c r="J814" t="inlineStr"/>
      <c r="K814" t="inlineStr"/>
      <c r="L814" t="inlineStr"/>
      <c r="M814" t="inlineStr"/>
      <c r="N814" t="inlineStr"/>
      <c r="O814" s="1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s="1" t="inlineStr"/>
      <c r="AR814" s="1" t="inlineStr"/>
      <c r="AS814" s="1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CRUC</t>
        </is>
      </c>
      <c r="B815" t="inlineStr">
        <is>
          <t>172755100 Equity</t>
        </is>
      </c>
      <c r="C815" s="1" t="inlineStr">
        <is>
          <t>172755100-TRS-12/01/27-L-CANT</t>
        </is>
      </c>
      <c r="D815" t="inlineStr">
        <is>
          <t>N/A</t>
        </is>
      </c>
      <c r="E815" s="1" t="inlineStr">
        <is>
          <t>N/A</t>
        </is>
      </c>
      <c r="F815" t="inlineStr">
        <is>
          <t>CIRRUS LOGIC, INC.-SWAP-CANT-L</t>
        </is>
      </c>
      <c r="G815">
        <f>custodian!D815</f>
        <v/>
      </c>
      <c r="H815" s="1" t="inlineStr"/>
      <c r="I815" s="1" t="inlineStr">
        <is>
          <t>172755100-TRS-12/01/27-L-CANT</t>
        </is>
      </c>
      <c r="J815" t="inlineStr">
        <is>
          <t>US</t>
        </is>
      </c>
      <c r="K815" t="inlineStr">
        <is>
          <t>DE</t>
        </is>
      </c>
      <c r="L815" t="inlineStr">
        <is>
          <t>OTHER</t>
        </is>
      </c>
      <c r="M815" t="inlineStr">
        <is>
          <t>SWP</t>
        </is>
      </c>
      <c r="N815" t="inlineStr"/>
      <c r="O815" s="1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otherRefInst</t>
        </is>
      </c>
      <c r="W815" t="inlineStr"/>
      <c r="X815" t="inlineStr"/>
      <c r="Y815" t="inlineStr">
        <is>
          <t>Y</t>
        </is>
      </c>
      <c r="Z815" t="inlineStr">
        <is>
          <t>2027-12-01</t>
        </is>
      </c>
      <c r="AA815" t="inlineStr">
        <is>
          <t>498552.54</t>
        </is>
      </c>
      <c r="AB815" t="inlineStr">
        <is>
          <t>USD</t>
        </is>
      </c>
      <c r="AC815" t="inlineStr">
        <is>
          <t>-450.29</t>
        </is>
      </c>
      <c r="AD815" t="inlineStr">
        <is>
          <t>-450.29</t>
        </is>
      </c>
      <c r="AE815" t="inlineStr">
        <is>
          <t>-0.18</t>
        </is>
      </c>
      <c r="AF815" t="inlineStr"/>
      <c r="AG815" t="inlineStr"/>
      <c r="AH815" t="inlineStr">
        <is>
          <t>Floating</t>
        </is>
      </c>
      <c r="AI815" t="inlineStr"/>
      <c r="AJ815" t="inlineStr"/>
      <c r="AK815" t="inlineStr">
        <is>
          <t>498552.54</t>
        </is>
      </c>
      <c r="AL815" t="inlineStr">
        <is>
          <t>USD</t>
        </is>
      </c>
      <c r="AM815" t="inlineStr"/>
      <c r="AN815" t="inlineStr"/>
      <c r="AO815">
        <f>BDP($B815,"ISSUER")</f>
        <v/>
      </c>
      <c r="AP815">
        <f>BDP($B815,"NAME")</f>
        <v/>
      </c>
      <c r="AQ815" s="1" t="inlineStr">
        <is>
          <t>172755100</t>
        </is>
      </c>
      <c r="AR815">
        <f>BDP($B815,"ID_ISIN")</f>
        <v/>
      </c>
      <c r="AS815">
        <f>BDP($B815,"TICKER")</f>
        <v/>
      </c>
      <c r="AT815" t="inlineStr"/>
      <c r="AU815" t="inlineStr"/>
      <c r="AV815" t="inlineStr"/>
      <c r="AW815" t="inlineStr"/>
      <c r="AX815" t="inlineStr"/>
      <c r="AY815" t="inlineStr"/>
    </row>
    <row r="816">
      <c r="A816" t="inlineStr">
        <is>
          <t>CRUC</t>
        </is>
      </c>
      <c r="B816" t="inlineStr">
        <is>
          <t>FGXXX US Equity</t>
        </is>
      </c>
      <c r="C816" s="1" t="inlineStr">
        <is>
          <t>FGXXX</t>
        </is>
      </c>
      <c r="D816" t="inlineStr">
        <is>
          <t>First American Government Obli</t>
        </is>
      </c>
      <c r="E816">
        <f>BDP($B816,"LEGAL_ENTITY_IDENTIFIER")</f>
        <v/>
      </c>
      <c r="F816" t="inlineStr">
        <is>
          <t>First American Government Obligations Fund</t>
        </is>
      </c>
      <c r="G816">
        <f>custodian!D816</f>
        <v/>
      </c>
      <c r="H816">
        <f>BDP($B816,"ID_ISIN")</f>
        <v/>
      </c>
      <c r="I816" s="1" t="inlineStr">
        <is>
          <t>FGXXX</t>
        </is>
      </c>
      <c r="J816">
        <f>BDP($B816,"CNTRY_OF_DOMICILE")</f>
        <v/>
      </c>
      <c r="K816" t="inlineStr">
        <is>
          <t>STIV</t>
        </is>
      </c>
      <c r="L816" t="inlineStr">
        <is>
          <t>RF</t>
        </is>
      </c>
      <c r="M816" t="inlineStr"/>
      <c r="N816" t="inlineStr"/>
      <c r="O816" s="1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s="1" t="inlineStr"/>
      <c r="AR816" s="1" t="inlineStr"/>
      <c r="AS816" s="1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CRUC</t>
        </is>
      </c>
      <c r="B817" t="inlineStr"/>
      <c r="C817" s="1" t="inlineStr">
        <is>
          <t>Cash&amp;Other</t>
        </is>
      </c>
      <c r="D817" t="inlineStr"/>
      <c r="E817" s="1" t="inlineStr"/>
      <c r="F817" t="inlineStr"/>
      <c r="G817">
        <f>custodian!D817</f>
        <v/>
      </c>
      <c r="H817" s="1" t="inlineStr"/>
      <c r="I817" s="1" t="inlineStr"/>
      <c r="J817" t="inlineStr"/>
      <c r="K817" t="inlineStr"/>
      <c r="L817" t="inlineStr"/>
      <c r="M817" t="inlineStr"/>
      <c r="N817" t="inlineStr"/>
      <c r="O817" s="1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s="1" t="inlineStr"/>
      <c r="AR817" s="1" t="inlineStr"/>
      <c r="AS817" s="1" t="inlineStr"/>
      <c r="AT817" t="inlineStr"/>
      <c r="AU817" t="inlineStr"/>
      <c r="AV817" t="inlineStr"/>
      <c r="AW817" t="inlineStr"/>
      <c r="AX817" t="inlineStr"/>
      <c r="AY817" t="inlineStr"/>
    </row>
    <row r="818">
      <c r="A818" t="inlineStr">
        <is>
          <t>CTJN</t>
        </is>
      </c>
      <c r="B818" t="inlineStr"/>
      <c r="C818" s="1" t="inlineStr">
        <is>
          <t>2SPY  270528C00151710</t>
        </is>
      </c>
      <c r="D818" t="inlineStr">
        <is>
          <t>SPY 05/28/2027 151.71 C</t>
        </is>
      </c>
      <c r="E818" s="1" t="inlineStr">
        <is>
          <t>N/A</t>
        </is>
      </c>
      <c r="F818" t="inlineStr">
        <is>
          <t>SPY 05/28/2027 151.71 C</t>
        </is>
      </c>
      <c r="G818">
        <f>custodian!D818</f>
        <v/>
      </c>
      <c r="H818" s="1" t="inlineStr"/>
      <c r="I818" s="1" t="inlineStr">
        <is>
          <t>SPY-C151.71-20270528</t>
        </is>
      </c>
      <c r="J818" t="inlineStr">
        <is>
          <t>US</t>
        </is>
      </c>
      <c r="K818" t="inlineStr">
        <is>
          <t>DE</t>
        </is>
      </c>
      <c r="L818" t="inlineStr">
        <is>
          <t>CORP</t>
        </is>
      </c>
      <c r="M818" t="inlineStr">
        <is>
          <t>OPT</t>
        </is>
      </c>
      <c r="N818" t="inlineStr">
        <is>
          <t>The Options Clearing Corporation</t>
        </is>
      </c>
      <c r="O818" s="1" t="inlineStr">
        <is>
          <t>549300CII6SLYGKNHA04</t>
        </is>
      </c>
      <c r="P818" t="inlineStr">
        <is>
          <t>Call</t>
        </is>
      </c>
      <c r="Q818" t="inlineStr">
        <is>
          <t>Purchased</t>
        </is>
      </c>
      <c r="R818" t="inlineStr">
        <is>
          <t>151.71</t>
        </is>
      </c>
      <c r="S818" t="inlineStr">
        <is>
          <t>USD</t>
        </is>
      </c>
      <c r="T818" t="inlineStr">
        <is>
          <t>2027-05-28</t>
        </is>
      </c>
      <c r="U818" t="inlineStr">
        <is>
          <t>N/A</t>
        </is>
      </c>
      <c r="V818" t="inlineStr">
        <is>
          <t>indexBasket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-27687.42</t>
        </is>
      </c>
      <c r="AD818" t="inlineStr">
        <is>
          <t>764025.88</t>
        </is>
      </c>
      <c r="AE818" t="inlineStr">
        <is>
          <t>77.28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s="1" t="inlineStr"/>
      <c r="AR818" s="1" t="inlineStr"/>
      <c r="AS818" s="1" t="inlineStr"/>
      <c r="AT818" t="inlineStr"/>
      <c r="AU818" t="inlineStr"/>
      <c r="AV818" t="inlineStr"/>
      <c r="AW818" t="inlineStr"/>
      <c r="AX818" t="inlineStr"/>
      <c r="AY818" t="inlineStr"/>
    </row>
    <row r="819">
      <c r="A819" t="inlineStr">
        <is>
          <t>CTJN</t>
        </is>
      </c>
      <c r="B819" t="inlineStr"/>
      <c r="C819" s="1" t="inlineStr">
        <is>
          <t>2SPY  270528C00865650</t>
        </is>
      </c>
      <c r="D819" t="inlineStr">
        <is>
          <t>SPY 05/28/2027 865.65 C</t>
        </is>
      </c>
      <c r="E819" s="1" t="inlineStr">
        <is>
          <t>N/A</t>
        </is>
      </c>
      <c r="F819" t="inlineStr">
        <is>
          <t>SPY 05/28/2027 865.65 C</t>
        </is>
      </c>
      <c r="G819">
        <f>custodian!D819</f>
        <v/>
      </c>
      <c r="H819" s="1" t="inlineStr"/>
      <c r="I819" s="1" t="inlineStr">
        <is>
          <t>SPY-C865.65-20270528</t>
        </is>
      </c>
      <c r="J819" t="inlineStr">
        <is>
          <t>US</t>
        </is>
      </c>
      <c r="K819" t="inlineStr">
        <is>
          <t>DE</t>
        </is>
      </c>
      <c r="L819" t="inlineStr">
        <is>
          <t>CORP</t>
        </is>
      </c>
      <c r="M819" t="inlineStr">
        <is>
          <t>OPT</t>
        </is>
      </c>
      <c r="N819" t="inlineStr">
        <is>
          <t>The Options Clearing Corporation</t>
        </is>
      </c>
      <c r="O819" s="1" t="inlineStr">
        <is>
          <t>549300CII6SLYGKNHA04</t>
        </is>
      </c>
      <c r="P819" t="inlineStr">
        <is>
          <t>Call</t>
        </is>
      </c>
      <c r="Q819" t="inlineStr">
        <is>
          <t>Written</t>
        </is>
      </c>
      <c r="R819" t="inlineStr">
        <is>
          <t>865.65</t>
        </is>
      </c>
      <c r="S819" t="inlineStr">
        <is>
          <t>USD</t>
        </is>
      </c>
      <c r="T819" t="inlineStr">
        <is>
          <t>2027-05-28</t>
        </is>
      </c>
      <c r="U819" t="inlineStr">
        <is>
          <t>N/A</t>
        </is>
      </c>
      <c r="V819" t="inlineStr">
        <is>
          <t>indexBasket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12493.99</t>
        </is>
      </c>
      <c r="AD819" t="inlineStr">
        <is>
          <t>-12842.71</t>
        </is>
      </c>
      <c r="AE819" t="inlineStr">
        <is>
          <t>-1.30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s="1" t="inlineStr"/>
      <c r="AR819" s="1" t="inlineStr"/>
      <c r="AS819" s="1" t="inlineStr"/>
      <c r="AT819" t="inlineStr"/>
      <c r="AU819" t="inlineStr"/>
      <c r="AV819" t="inlineStr"/>
      <c r="AW819" t="inlineStr"/>
      <c r="AX819" t="inlineStr"/>
      <c r="AY819" t="inlineStr"/>
    </row>
    <row r="820">
      <c r="A820" t="inlineStr">
        <is>
          <t>CTJN</t>
        </is>
      </c>
      <c r="B820" t="inlineStr"/>
      <c r="C820" s="1" t="inlineStr">
        <is>
          <t>2SPY  270528P00493050</t>
        </is>
      </c>
      <c r="D820" t="inlineStr">
        <is>
          <t>SPY 05/28/2027 493.05 P</t>
        </is>
      </c>
      <c r="E820" s="1" t="inlineStr">
        <is>
          <t>N/A</t>
        </is>
      </c>
      <c r="F820" t="inlineStr">
        <is>
          <t>SPY 05/28/2027 493.05 P</t>
        </is>
      </c>
      <c r="G820">
        <f>custodian!D820</f>
        <v/>
      </c>
      <c r="H820" s="1" t="inlineStr"/>
      <c r="I820" s="1" t="inlineStr">
        <is>
          <t>SPY-P493.05-20270528</t>
        </is>
      </c>
      <c r="J820" t="inlineStr">
        <is>
          <t>US</t>
        </is>
      </c>
      <c r="K820" t="inlineStr">
        <is>
          <t>DE</t>
        </is>
      </c>
      <c r="L820" t="inlineStr">
        <is>
          <t>CORP</t>
        </is>
      </c>
      <c r="M820" t="inlineStr">
        <is>
          <t>OPT</t>
        </is>
      </c>
      <c r="N820" t="inlineStr">
        <is>
          <t>The Options Clearing Corporation</t>
        </is>
      </c>
      <c r="O820" s="1" t="inlineStr">
        <is>
          <t>549300CII6SLYGKNHA04</t>
        </is>
      </c>
      <c r="P820" t="inlineStr">
        <is>
          <t>Put</t>
        </is>
      </c>
      <c r="Q820" t="inlineStr">
        <is>
          <t>Written</t>
        </is>
      </c>
      <c r="R820" t="inlineStr">
        <is>
          <t>493.05</t>
        </is>
      </c>
      <c r="S820" t="inlineStr">
        <is>
          <t>USD</t>
        </is>
      </c>
      <c r="T820" t="inlineStr">
        <is>
          <t>2027-05-28</t>
        </is>
      </c>
      <c r="U820" t="inlineStr">
        <is>
          <t>N/A</t>
        </is>
      </c>
      <c r="V820" t="inlineStr">
        <is>
          <t>indexBasket</t>
        </is>
      </c>
      <c r="W820" t="inlineStr"/>
      <c r="X820" t="inlineStr"/>
      <c r="Y820" t="inlineStr"/>
      <c r="Z820" t="inlineStr"/>
      <c r="AA820" t="inlineStr"/>
      <c r="AB820" t="inlineStr"/>
      <c r="AC820" t="inlineStr">
        <is>
          <t>-297.75</t>
        </is>
      </c>
      <c r="AD820" t="inlineStr">
        <is>
          <t>-8084.45</t>
        </is>
      </c>
      <c r="AE820" t="inlineStr">
        <is>
          <t>-0.82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s="1" t="inlineStr"/>
      <c r="AR820" s="1" t="inlineStr"/>
      <c r="AS820" s="1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CTJN</t>
        </is>
      </c>
      <c r="B821" t="inlineStr"/>
      <c r="C821" s="1" t="inlineStr">
        <is>
          <t>2SPY  270528P00720610</t>
        </is>
      </c>
      <c r="D821" t="inlineStr">
        <is>
          <t>SPY 05/28/2027 720.61 P</t>
        </is>
      </c>
      <c r="E821" s="1" t="inlineStr">
        <is>
          <t>N/A</t>
        </is>
      </c>
      <c r="F821" t="inlineStr">
        <is>
          <t>SPY 05/28/2027 720.61 P</t>
        </is>
      </c>
      <c r="G821">
        <f>custodian!D821</f>
        <v/>
      </c>
      <c r="H821" s="1" t="inlineStr"/>
      <c r="I821" s="1" t="inlineStr">
        <is>
          <t>SPY-P720.61-20270528</t>
        </is>
      </c>
      <c r="J821" t="inlineStr">
        <is>
          <t>US</t>
        </is>
      </c>
      <c r="K821" t="inlineStr">
        <is>
          <t>DE</t>
        </is>
      </c>
      <c r="L821" t="inlineStr">
        <is>
          <t>CORP</t>
        </is>
      </c>
      <c r="M821" t="inlineStr">
        <is>
          <t>OPT</t>
        </is>
      </c>
      <c r="N821" t="inlineStr">
        <is>
          <t>The Options Clearing Corporation</t>
        </is>
      </c>
      <c r="O821" s="1" t="inlineStr">
        <is>
          <t>549300CII6SLYGKNHA04</t>
        </is>
      </c>
      <c r="P821" t="inlineStr">
        <is>
          <t>Put</t>
        </is>
      </c>
      <c r="Q821" t="inlineStr">
        <is>
          <t>Purchased</t>
        </is>
      </c>
      <c r="R821" t="inlineStr">
        <is>
          <t>720.61</t>
        </is>
      </c>
      <c r="S821" t="inlineStr">
        <is>
          <t>USD</t>
        </is>
      </c>
      <c r="T821" t="inlineStr">
        <is>
          <t>2027-05-28</t>
        </is>
      </c>
      <c r="U821" t="inlineStr">
        <is>
          <t>N/A</t>
        </is>
      </c>
      <c r="V821" t="inlineStr">
        <is>
          <t>indexBasket</t>
        </is>
      </c>
      <c r="W821" t="inlineStr"/>
      <c r="X821" t="inlineStr"/>
      <c r="Y821" t="inlineStr"/>
      <c r="Z821" t="inlineStr"/>
      <c r="AA821" t="inlineStr"/>
      <c r="AB821" t="inlineStr"/>
      <c r="AC821" t="inlineStr">
        <is>
          <t>4179.99</t>
        </is>
      </c>
      <c r="AD821" t="inlineStr">
        <is>
          <t>46443.29</t>
        </is>
      </c>
      <c r="AE821" t="inlineStr">
        <is>
          <t>4.70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s="1" t="inlineStr"/>
      <c r="AR821" s="1" t="inlineStr"/>
      <c r="AS821" s="1" t="inlineStr"/>
      <c r="AT821" t="inlineStr"/>
      <c r="AU821" t="inlineStr"/>
      <c r="AV821" t="inlineStr"/>
      <c r="AW821" t="inlineStr"/>
      <c r="AX821" t="inlineStr"/>
      <c r="AY821" t="inlineStr"/>
    </row>
    <row r="822">
      <c r="A822" t="inlineStr">
        <is>
          <t>CTJN</t>
        </is>
      </c>
      <c r="B822" t="inlineStr">
        <is>
          <t>912828ZS2 Govt</t>
        </is>
      </c>
      <c r="C822" s="1" t="inlineStr">
        <is>
          <t>912828ZS2</t>
        </is>
      </c>
      <c r="D822" t="inlineStr">
        <is>
          <t>United States Treasury Note/Bo</t>
        </is>
      </c>
      <c r="E822">
        <f>BDP($B822,"LEGAL_ENTITY_IDENTIFIER")</f>
        <v/>
      </c>
      <c r="F822" t="inlineStr">
        <is>
          <t>United States Treasury Note/Bond 0.5% 05/31/2027</t>
        </is>
      </c>
      <c r="G822">
        <f>custodian!D822</f>
        <v/>
      </c>
      <c r="H822">
        <f>BDP($B822,"ID_ISIN")</f>
        <v/>
      </c>
      <c r="I822" s="1" t="inlineStr"/>
      <c r="J822">
        <f>BDP($B822,"CNTRY_OF_DOMICILE")</f>
        <v/>
      </c>
      <c r="K822" t="inlineStr">
        <is>
          <t>DBT</t>
        </is>
      </c>
      <c r="L822" t="inlineStr">
        <is>
          <t>UST</t>
        </is>
      </c>
      <c r="M822" t="inlineStr"/>
      <c r="N822" t="inlineStr"/>
      <c r="O822" s="1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s="1" t="inlineStr"/>
      <c r="AR822" s="1" t="inlineStr"/>
      <c r="AS822" s="1" t="inlineStr"/>
      <c r="AT822">
        <f>TEXT(BDP($B822,"MATURITY"),"yyyy-mm-dd")</f>
        <v/>
      </c>
      <c r="AU822">
        <f>BDP($B822,"CPN_TYP")</f>
        <v/>
      </c>
      <c r="AV822">
        <f>BDP($B822,"CPN")</f>
        <v/>
      </c>
      <c r="AW822" t="inlineStr"/>
      <c r="AX822" t="inlineStr"/>
      <c r="AY822" t="inlineStr"/>
    </row>
    <row r="823">
      <c r="A823" t="inlineStr">
        <is>
          <t>CTJN</t>
        </is>
      </c>
      <c r="B823" t="inlineStr">
        <is>
          <t>FGXXX US Equity</t>
        </is>
      </c>
      <c r="C823" s="1" t="inlineStr">
        <is>
          <t>FGXXX</t>
        </is>
      </c>
      <c r="D823" t="inlineStr">
        <is>
          <t>First American Government Obli</t>
        </is>
      </c>
      <c r="E823">
        <f>BDP($B823,"LEGAL_ENTITY_IDENTIFIER")</f>
        <v/>
      </c>
      <c r="F823" t="inlineStr">
        <is>
          <t>First American Government Obligations Fund</t>
        </is>
      </c>
      <c r="G823">
        <f>custodian!D823</f>
        <v/>
      </c>
      <c r="H823">
        <f>BDP($B823,"ID_ISIN")</f>
        <v/>
      </c>
      <c r="I823" s="1" t="inlineStr">
        <is>
          <t>FGXXX</t>
        </is>
      </c>
      <c r="J823">
        <f>BDP($B823,"CNTRY_OF_DOMICILE")</f>
        <v/>
      </c>
      <c r="K823" t="inlineStr">
        <is>
          <t>STIV</t>
        </is>
      </c>
      <c r="L823" t="inlineStr">
        <is>
          <t>RF</t>
        </is>
      </c>
      <c r="M823" t="inlineStr"/>
      <c r="N823" t="inlineStr"/>
      <c r="O823" s="1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s="1" t="inlineStr"/>
      <c r="AR823" s="1" t="inlineStr"/>
      <c r="AS823" s="1" t="inlineStr"/>
      <c r="AT823" t="inlineStr"/>
      <c r="AU823" t="inlineStr"/>
      <c r="AV823" t="inlineStr"/>
      <c r="AW823" t="inlineStr"/>
      <c r="AX823" t="inlineStr"/>
      <c r="AY823" t="inlineStr"/>
    </row>
    <row r="824">
      <c r="A824" t="inlineStr">
        <is>
          <t>CTJN</t>
        </is>
      </c>
      <c r="B824" t="inlineStr"/>
      <c r="C824" s="1" t="inlineStr">
        <is>
          <t>Cash&amp;Other</t>
        </is>
      </c>
      <c r="D824" t="inlineStr"/>
      <c r="E824" s="1" t="inlineStr"/>
      <c r="F824" t="inlineStr"/>
      <c r="G824">
        <f>custodian!D824</f>
        <v/>
      </c>
      <c r="H824" s="1" t="inlineStr"/>
      <c r="I824" s="1" t="inlineStr"/>
      <c r="J824" t="inlineStr"/>
      <c r="K824" t="inlineStr"/>
      <c r="L824" t="inlineStr"/>
      <c r="M824" t="inlineStr"/>
      <c r="N824" t="inlineStr"/>
      <c r="O824" s="1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s="1" t="inlineStr"/>
      <c r="AR824" s="1" t="inlineStr"/>
      <c r="AS824" s="1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CTMA</t>
        </is>
      </c>
      <c r="B825" t="inlineStr"/>
      <c r="C825" s="1" t="inlineStr">
        <is>
          <t>2SPY  270430C00144740</t>
        </is>
      </c>
      <c r="D825" t="inlineStr">
        <is>
          <t>SPY 04/30/2027 144.74 C</t>
        </is>
      </c>
      <c r="E825" s="1" t="inlineStr">
        <is>
          <t>N/A</t>
        </is>
      </c>
      <c r="F825" t="inlineStr">
        <is>
          <t>SPY 04/30/2027 144.74 C</t>
        </is>
      </c>
      <c r="G825">
        <f>custodian!D825</f>
        <v/>
      </c>
      <c r="H825" s="1" t="inlineStr"/>
      <c r="I825" s="1" t="inlineStr">
        <is>
          <t>SPY-C144.74-20270430</t>
        </is>
      </c>
      <c r="J825" t="inlineStr">
        <is>
          <t>US</t>
        </is>
      </c>
      <c r="K825" t="inlineStr">
        <is>
          <t>DE</t>
        </is>
      </c>
      <c r="L825" t="inlineStr">
        <is>
          <t>CORP</t>
        </is>
      </c>
      <c r="M825" t="inlineStr">
        <is>
          <t>OPT</t>
        </is>
      </c>
      <c r="N825" t="inlineStr">
        <is>
          <t>The Options Clearing Corporation</t>
        </is>
      </c>
      <c r="O825" s="1" t="inlineStr">
        <is>
          <t>549300CII6SLYGKNHA04</t>
        </is>
      </c>
      <c r="P825" t="inlineStr">
        <is>
          <t>Call</t>
        </is>
      </c>
      <c r="Q825" t="inlineStr">
        <is>
          <t>Purchased</t>
        </is>
      </c>
      <c r="R825" t="inlineStr">
        <is>
          <t>144.74</t>
        </is>
      </c>
      <c r="S825" t="inlineStr">
        <is>
          <t>USD</t>
        </is>
      </c>
      <c r="T825" t="inlineStr">
        <is>
          <t>2027-04-30</t>
        </is>
      </c>
      <c r="U825" t="inlineStr">
        <is>
          <t>N/A</t>
        </is>
      </c>
      <c r="V825" t="inlineStr">
        <is>
          <t>indexBasket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34645.76</t>
        </is>
      </c>
      <c r="AD825" t="inlineStr">
        <is>
          <t>3796543.93</t>
        </is>
      </c>
      <c r="AE825" t="inlineStr">
        <is>
          <t>80.98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s="1" t="inlineStr"/>
      <c r="AR825" s="1" t="inlineStr"/>
      <c r="AS825" s="1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CTMA</t>
        </is>
      </c>
      <c r="B826" t="inlineStr"/>
      <c r="C826" s="1" t="inlineStr">
        <is>
          <t>2SPY  270430C00806940</t>
        </is>
      </c>
      <c r="D826" t="inlineStr">
        <is>
          <t>SPY 04/30/2027 806.94 C</t>
        </is>
      </c>
      <c r="E826" s="1" t="inlineStr">
        <is>
          <t>N/A</t>
        </is>
      </c>
      <c r="F826" t="inlineStr">
        <is>
          <t>SPY 04/30/2027 806.94 C</t>
        </is>
      </c>
      <c r="G826">
        <f>custodian!D826</f>
        <v/>
      </c>
      <c r="H826" s="1" t="inlineStr"/>
      <c r="I826" s="1" t="inlineStr">
        <is>
          <t>SPY-C806.94-20270430</t>
        </is>
      </c>
      <c r="J826" t="inlineStr">
        <is>
          <t>US</t>
        </is>
      </c>
      <c r="K826" t="inlineStr">
        <is>
          <t>DE</t>
        </is>
      </c>
      <c r="L826" t="inlineStr">
        <is>
          <t>CORP</t>
        </is>
      </c>
      <c r="M826" t="inlineStr">
        <is>
          <t>OPT</t>
        </is>
      </c>
      <c r="N826" t="inlineStr">
        <is>
          <t>The Options Clearing Corporation</t>
        </is>
      </c>
      <c r="O826" s="1" t="inlineStr">
        <is>
          <t>549300CII6SLYGKNHA04</t>
        </is>
      </c>
      <c r="P826" t="inlineStr">
        <is>
          <t>Call</t>
        </is>
      </c>
      <c r="Q826" t="inlineStr">
        <is>
          <t>Written</t>
        </is>
      </c>
      <c r="R826" t="inlineStr">
        <is>
          <t>806.94</t>
        </is>
      </c>
      <c r="S826" t="inlineStr">
        <is>
          <t>USD</t>
        </is>
      </c>
      <c r="T826" t="inlineStr">
        <is>
          <t>2027-04-30</t>
        </is>
      </c>
      <c r="U826" t="inlineStr">
        <is>
          <t>N/A</t>
        </is>
      </c>
      <c r="V826" t="inlineStr">
        <is>
          <t>indexBasket</t>
        </is>
      </c>
      <c r="W826" t="inlineStr"/>
      <c r="X826" t="inlineStr"/>
      <c r="Y826" t="inlineStr"/>
      <c r="Z826" t="inlineStr"/>
      <c r="AA826" t="inlineStr"/>
      <c r="AB826" t="inlineStr"/>
      <c r="AC826" t="inlineStr">
        <is>
          <t>21318.01</t>
        </is>
      </c>
      <c r="AD826" t="inlineStr">
        <is>
          <t>-147350.40</t>
        </is>
      </c>
      <c r="AE826" t="inlineStr">
        <is>
          <t>-3.14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s="1" t="inlineStr"/>
      <c r="AR826" s="1" t="inlineStr"/>
      <c r="AS826" s="1" t="inlineStr"/>
      <c r="AT826" t="inlineStr"/>
      <c r="AU826" t="inlineStr"/>
      <c r="AV826" t="inlineStr"/>
      <c r="AW826" t="inlineStr"/>
      <c r="AX826" t="inlineStr"/>
      <c r="AY826" t="inlineStr"/>
    </row>
    <row r="827">
      <c r="A827" t="inlineStr">
        <is>
          <t>CTMA</t>
        </is>
      </c>
      <c r="B827" t="inlineStr"/>
      <c r="C827" s="1" t="inlineStr">
        <is>
          <t>2SPY  270430P00470410</t>
        </is>
      </c>
      <c r="D827" t="inlineStr">
        <is>
          <t>SPY 04/30/2027 470.41 P</t>
        </is>
      </c>
      <c r="E827" s="1" t="inlineStr">
        <is>
          <t>N/A</t>
        </is>
      </c>
      <c r="F827" t="inlineStr">
        <is>
          <t>SPY 04/30/2027 470.41 P</t>
        </is>
      </c>
      <c r="G827">
        <f>custodian!D827</f>
        <v/>
      </c>
      <c r="H827" s="1" t="inlineStr"/>
      <c r="I827" s="1" t="inlineStr">
        <is>
          <t>SPY-P470.41-20270430</t>
        </is>
      </c>
      <c r="J827" t="inlineStr">
        <is>
          <t>US</t>
        </is>
      </c>
      <c r="K827" t="inlineStr">
        <is>
          <t>DE</t>
        </is>
      </c>
      <c r="L827" t="inlineStr">
        <is>
          <t>CORP</t>
        </is>
      </c>
      <c r="M827" t="inlineStr">
        <is>
          <t>OPT</t>
        </is>
      </c>
      <c r="N827" t="inlineStr">
        <is>
          <t>The Options Clearing Corporation</t>
        </is>
      </c>
      <c r="O827" s="1" t="inlineStr">
        <is>
          <t>549300CII6SLYGKNHA04</t>
        </is>
      </c>
      <c r="P827" t="inlineStr">
        <is>
          <t>Put</t>
        </is>
      </c>
      <c r="Q827" t="inlineStr">
        <is>
          <t>Written</t>
        </is>
      </c>
      <c r="R827" t="inlineStr">
        <is>
          <t>470.41</t>
        </is>
      </c>
      <c r="S827" t="inlineStr">
        <is>
          <t>USD</t>
        </is>
      </c>
      <c r="T827" t="inlineStr">
        <is>
          <t>2027-04-30</t>
        </is>
      </c>
      <c r="U827" t="inlineStr">
        <is>
          <t>N/A</t>
        </is>
      </c>
      <c r="V827" t="inlineStr">
        <is>
          <t>indexBasket</t>
        </is>
      </c>
      <c r="W827" t="inlineStr"/>
      <c r="X827" t="inlineStr"/>
      <c r="Y827" t="inlineStr"/>
      <c r="Z827" t="inlineStr"/>
      <c r="AA827" t="inlineStr"/>
      <c r="AB827" t="inlineStr"/>
      <c r="AC827" t="inlineStr">
        <is>
          <t>9369.43</t>
        </is>
      </c>
      <c r="AD827" t="inlineStr">
        <is>
          <t>-30340.79</t>
        </is>
      </c>
      <c r="AE827" t="inlineStr">
        <is>
          <t>-0.65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s="1" t="inlineStr"/>
      <c r="AR827" s="1" t="inlineStr"/>
      <c r="AS827" s="1" t="inlineStr"/>
      <c r="AT827" t="inlineStr"/>
      <c r="AU827" t="inlineStr"/>
      <c r="AV827" t="inlineStr"/>
      <c r="AW827" t="inlineStr"/>
      <c r="AX827" t="inlineStr"/>
      <c r="AY827" t="inlineStr"/>
    </row>
    <row r="828">
      <c r="A828" t="inlineStr">
        <is>
          <t>CTMA</t>
        </is>
      </c>
      <c r="B828" t="inlineStr"/>
      <c r="C828" s="1" t="inlineStr">
        <is>
          <t>2SPY  270430P00687520</t>
        </is>
      </c>
      <c r="D828" t="inlineStr">
        <is>
          <t>SPY 04/30/2027 687.52 P</t>
        </is>
      </c>
      <c r="E828" s="1" t="inlineStr">
        <is>
          <t>N/A</t>
        </is>
      </c>
      <c r="F828" t="inlineStr">
        <is>
          <t>SPY 04/30/2027 687.52 P</t>
        </is>
      </c>
      <c r="G828">
        <f>custodian!D828</f>
        <v/>
      </c>
      <c r="H828" s="1" t="inlineStr"/>
      <c r="I828" s="1" t="inlineStr">
        <is>
          <t>SPY-P687.52-20270430</t>
        </is>
      </c>
      <c r="J828" t="inlineStr">
        <is>
          <t>US</t>
        </is>
      </c>
      <c r="K828" t="inlineStr">
        <is>
          <t>DE</t>
        </is>
      </c>
      <c r="L828" t="inlineStr">
        <is>
          <t>CORP</t>
        </is>
      </c>
      <c r="M828" t="inlineStr">
        <is>
          <t>OPT</t>
        </is>
      </c>
      <c r="N828" t="inlineStr">
        <is>
          <t>The Options Clearing Corporation</t>
        </is>
      </c>
      <c r="O828" s="1" t="inlineStr">
        <is>
          <t>549300CII6SLYGKNHA04</t>
        </is>
      </c>
      <c r="P828" t="inlineStr">
        <is>
          <t>Put</t>
        </is>
      </c>
      <c r="Q828" t="inlineStr">
        <is>
          <t>Purchased</t>
        </is>
      </c>
      <c r="R828" t="inlineStr">
        <is>
          <t>687.52</t>
        </is>
      </c>
      <c r="S828" t="inlineStr">
        <is>
          <t>USD</t>
        </is>
      </c>
      <c r="T828" t="inlineStr">
        <is>
          <t>2027-04-30</t>
        </is>
      </c>
      <c r="U828" t="inlineStr">
        <is>
          <t>N/A</t>
        </is>
      </c>
      <c r="V828" t="inlineStr">
        <is>
          <t>indexBasket</t>
        </is>
      </c>
      <c r="W828" t="inlineStr"/>
      <c r="X828" t="inlineStr"/>
      <c r="Y828" t="inlineStr"/>
      <c r="Z828" t="inlineStr"/>
      <c r="AA828" t="inlineStr"/>
      <c r="AB828" t="inlineStr"/>
      <c r="AC828" t="inlineStr">
        <is>
          <t>-23732.97</t>
        </is>
      </c>
      <c r="AD828" t="inlineStr">
        <is>
          <t>168966.39</t>
        </is>
      </c>
      <c r="AE828" t="inlineStr">
        <is>
          <t>3.60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s="1" t="inlineStr"/>
      <c r="AR828" s="1" t="inlineStr"/>
      <c r="AS828" s="1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CTMA</t>
        </is>
      </c>
      <c r="B829" t="inlineStr">
        <is>
          <t>91282CMY4 Govt</t>
        </is>
      </c>
      <c r="C829" s="1" t="inlineStr">
        <is>
          <t>91282CMY4</t>
        </is>
      </c>
      <c r="D829" t="inlineStr">
        <is>
          <t>United States Treasury Note/Bo</t>
        </is>
      </c>
      <c r="E829">
        <f>BDP($B829,"LEGAL_ENTITY_IDENTIFIER")</f>
        <v/>
      </c>
      <c r="F829" t="inlineStr">
        <is>
          <t>United States Treasury Note/Bond 3.75% 04/30/2027</t>
        </is>
      </c>
      <c r="G829">
        <f>custodian!D829</f>
        <v/>
      </c>
      <c r="H829">
        <f>BDP($B829,"ID_ISIN")</f>
        <v/>
      </c>
      <c r="I829" s="1" t="inlineStr"/>
      <c r="J829">
        <f>BDP($B829,"CNTRY_OF_DOMICILE")</f>
        <v/>
      </c>
      <c r="K829" t="inlineStr">
        <is>
          <t>DBT</t>
        </is>
      </c>
      <c r="L829" t="inlineStr">
        <is>
          <t>UST</t>
        </is>
      </c>
      <c r="M829" t="inlineStr"/>
      <c r="N829" t="inlineStr"/>
      <c r="O829" s="1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s="1" t="inlineStr"/>
      <c r="AR829" s="1" t="inlineStr"/>
      <c r="AS829" s="1" t="inlineStr"/>
      <c r="AT829">
        <f>TEXT(BDP($B829,"MATURITY"),"yyyy-mm-dd")</f>
        <v/>
      </c>
      <c r="AU829">
        <f>BDP($B829,"CPN_TYP")</f>
        <v/>
      </c>
      <c r="AV829">
        <f>BDP($B829,"CPN")</f>
        <v/>
      </c>
      <c r="AW829" t="inlineStr"/>
      <c r="AX829" t="inlineStr"/>
      <c r="AY829" t="inlineStr"/>
    </row>
    <row r="830">
      <c r="A830" t="inlineStr">
        <is>
          <t>CTMA</t>
        </is>
      </c>
      <c r="B830" t="inlineStr">
        <is>
          <t>FGXXX US Equity</t>
        </is>
      </c>
      <c r="C830" s="1" t="inlineStr">
        <is>
          <t>FGXXX</t>
        </is>
      </c>
      <c r="D830" t="inlineStr">
        <is>
          <t>First American Government Obli</t>
        </is>
      </c>
      <c r="E830">
        <f>BDP($B830,"LEGAL_ENTITY_IDENTIFIER")</f>
        <v/>
      </c>
      <c r="F830" t="inlineStr">
        <is>
          <t>First American Government Obligations Fund</t>
        </is>
      </c>
      <c r="G830">
        <f>custodian!D830</f>
        <v/>
      </c>
      <c r="H830">
        <f>BDP($B830,"ID_ISIN")</f>
        <v/>
      </c>
      <c r="I830" s="1" t="inlineStr">
        <is>
          <t>FGXXX</t>
        </is>
      </c>
      <c r="J830">
        <f>BDP($B830,"CNTRY_OF_DOMICILE")</f>
        <v/>
      </c>
      <c r="K830" t="inlineStr">
        <is>
          <t>STIV</t>
        </is>
      </c>
      <c r="L830" t="inlineStr">
        <is>
          <t>RF</t>
        </is>
      </c>
      <c r="M830" t="inlineStr"/>
      <c r="N830" t="inlineStr"/>
      <c r="O830" s="1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s="1" t="inlineStr"/>
      <c r="AR830" s="1" t="inlineStr"/>
      <c r="AS830" s="1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CTMA</t>
        </is>
      </c>
      <c r="B831" t="inlineStr"/>
      <c r="C831" s="1" t="inlineStr">
        <is>
          <t>Cash&amp;Other</t>
        </is>
      </c>
      <c r="D831" t="inlineStr"/>
      <c r="E831" s="1" t="inlineStr"/>
      <c r="F831" t="inlineStr"/>
      <c r="G831">
        <f>custodian!D831</f>
        <v/>
      </c>
      <c r="H831" s="1" t="inlineStr"/>
      <c r="I831" s="1" t="inlineStr"/>
      <c r="J831" t="inlineStr"/>
      <c r="K831" t="inlineStr"/>
      <c r="L831" t="inlineStr"/>
      <c r="M831" t="inlineStr"/>
      <c r="N831" t="inlineStr"/>
      <c r="O831" s="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s="1" t="inlineStr"/>
      <c r="AR831" s="1" t="inlineStr"/>
      <c r="AS831" s="1" t="inlineStr"/>
      <c r="AT831" t="inlineStr"/>
      <c r="AU831" t="inlineStr"/>
      <c r="AV831" t="inlineStr"/>
      <c r="AW831" t="inlineStr"/>
      <c r="AX831" t="inlineStr"/>
      <c r="AY831" t="inlineStr"/>
    </row>
    <row r="832">
      <c r="A832" t="inlineStr">
        <is>
          <t>CUST</t>
        </is>
      </c>
      <c r="B832" t="inlineStr">
        <is>
          <t>912810FB9 Govt</t>
        </is>
      </c>
      <c r="C832" s="1" t="inlineStr">
        <is>
          <t>912810FB9</t>
        </is>
      </c>
      <c r="D832" t="inlineStr">
        <is>
          <t>United States Treasury Note/Bo</t>
        </is>
      </c>
      <c r="E832">
        <f>BDP($B832,"LEGAL_ENTITY_IDENTIFIER")</f>
        <v/>
      </c>
      <c r="F832" t="inlineStr">
        <is>
          <t>United States Treasury Note/Bond 6.125% 11/15/2027</t>
        </is>
      </c>
      <c r="G832">
        <f>custodian!D832</f>
        <v/>
      </c>
      <c r="H832">
        <f>BDP($B832,"ID_ISIN")</f>
        <v/>
      </c>
      <c r="I832" s="1" t="inlineStr"/>
      <c r="J832">
        <f>BDP($B832,"CNTRY_OF_DOMICILE")</f>
        <v/>
      </c>
      <c r="K832" t="inlineStr">
        <is>
          <t>DBT</t>
        </is>
      </c>
      <c r="L832" t="inlineStr">
        <is>
          <t>UST</t>
        </is>
      </c>
      <c r="M832" t="inlineStr"/>
      <c r="N832" t="inlineStr"/>
      <c r="O832" s="1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s="1" t="inlineStr"/>
      <c r="AR832" s="1" t="inlineStr"/>
      <c r="AS832" s="1" t="inlineStr"/>
      <c r="AT832">
        <f>TEXT(BDP($B832,"MATURITY"),"yyyy-mm-dd")</f>
        <v/>
      </c>
      <c r="AU832">
        <f>BDP($B832,"CPN_TYP")</f>
        <v/>
      </c>
      <c r="AV832">
        <f>BDP($B832,"CPN")</f>
        <v/>
      </c>
      <c r="AW832" t="inlineStr"/>
      <c r="AX832" t="inlineStr"/>
      <c r="AY832" t="inlineStr"/>
    </row>
    <row r="833">
      <c r="A833" t="inlineStr">
        <is>
          <t>CUST</t>
        </is>
      </c>
      <c r="B833" t="inlineStr">
        <is>
          <t>912810FF0 Govt</t>
        </is>
      </c>
      <c r="C833" s="1" t="inlineStr">
        <is>
          <t>912810FF0</t>
        </is>
      </c>
      <c r="D833" t="inlineStr">
        <is>
          <t>United States Treasury Note/Bo</t>
        </is>
      </c>
      <c r="E833">
        <f>BDP($B833,"LEGAL_ENTITY_IDENTIFIER")</f>
        <v/>
      </c>
      <c r="F833" t="inlineStr">
        <is>
          <t>United States Treasury Note/Bond 5.25% 11/15/2028</t>
        </is>
      </c>
      <c r="G833">
        <f>custodian!D833</f>
        <v/>
      </c>
      <c r="H833">
        <f>BDP($B833,"ID_ISIN")</f>
        <v/>
      </c>
      <c r="I833" s="1" t="inlineStr"/>
      <c r="J833">
        <f>BDP($B833,"CNTRY_OF_DOMICILE")</f>
        <v/>
      </c>
      <c r="K833" t="inlineStr">
        <is>
          <t>DBT</t>
        </is>
      </c>
      <c r="L833" t="inlineStr">
        <is>
          <t>UST</t>
        </is>
      </c>
      <c r="M833" t="inlineStr"/>
      <c r="N833" t="inlineStr"/>
      <c r="O833" s="1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s="1" t="inlineStr"/>
      <c r="AR833" s="1" t="inlineStr"/>
      <c r="AS833" s="1" t="inlineStr"/>
      <c r="AT833">
        <f>TEXT(BDP($B833,"MATURITY"),"yyyy-mm-dd")</f>
        <v/>
      </c>
      <c r="AU833">
        <f>BDP($B833,"CPN_TYP")</f>
        <v/>
      </c>
      <c r="AV833">
        <f>BDP($B833,"CPN")</f>
        <v/>
      </c>
      <c r="AW833" t="inlineStr"/>
      <c r="AX833" t="inlineStr"/>
      <c r="AY833" t="inlineStr"/>
    </row>
    <row r="834">
      <c r="A834" t="inlineStr">
        <is>
          <t>CUST</t>
        </is>
      </c>
      <c r="B834" t="inlineStr">
        <is>
          <t>9128282R0 Govt</t>
        </is>
      </c>
      <c r="C834" s="1" t="inlineStr">
        <is>
          <t>9128282R0</t>
        </is>
      </c>
      <c r="D834" t="inlineStr">
        <is>
          <t>United States Treasury Note/Bo</t>
        </is>
      </c>
      <c r="E834">
        <f>BDP($B834,"LEGAL_ENTITY_IDENTIFIER")</f>
        <v/>
      </c>
      <c r="F834" t="inlineStr">
        <is>
          <t>United States Treasury Note/Bond 2.25% 08/15/2027</t>
        </is>
      </c>
      <c r="G834">
        <f>custodian!D834</f>
        <v/>
      </c>
      <c r="H834">
        <f>BDP($B834,"ID_ISIN")</f>
        <v/>
      </c>
      <c r="I834" s="1" t="inlineStr"/>
      <c r="J834">
        <f>BDP($B834,"CNTRY_OF_DOMICILE")</f>
        <v/>
      </c>
      <c r="K834" t="inlineStr">
        <is>
          <t>DBT</t>
        </is>
      </c>
      <c r="L834" t="inlineStr">
        <is>
          <t>UST</t>
        </is>
      </c>
      <c r="M834" t="inlineStr"/>
      <c r="N834" t="inlineStr"/>
      <c r="O834" s="1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s="1" t="inlineStr"/>
      <c r="AR834" s="1" t="inlineStr"/>
      <c r="AS834" s="1" t="inlineStr"/>
      <c r="AT834">
        <f>TEXT(BDP($B834,"MATURITY"),"yyyy-mm-dd")</f>
        <v/>
      </c>
      <c r="AU834">
        <f>BDP($B834,"CPN_TYP")</f>
        <v/>
      </c>
      <c r="AV834">
        <f>BDP($B834,"CPN")</f>
        <v/>
      </c>
      <c r="AW834" t="inlineStr"/>
      <c r="AX834" t="inlineStr"/>
      <c r="AY834" t="inlineStr"/>
    </row>
    <row r="835">
      <c r="A835" t="inlineStr">
        <is>
          <t>CUST</t>
        </is>
      </c>
      <c r="B835" t="inlineStr">
        <is>
          <t>9128283F5 Govt</t>
        </is>
      </c>
      <c r="C835" s="1" t="inlineStr">
        <is>
          <t>9128283F5</t>
        </is>
      </c>
      <c r="D835" t="inlineStr">
        <is>
          <t>United States Treasury Note/Bo</t>
        </is>
      </c>
      <c r="E835">
        <f>BDP($B835,"LEGAL_ENTITY_IDENTIFIER")</f>
        <v/>
      </c>
      <c r="F835" t="inlineStr">
        <is>
          <t>United States Treasury Note/Bond 2.25% 11/15/2027</t>
        </is>
      </c>
      <c r="G835">
        <f>custodian!D835</f>
        <v/>
      </c>
      <c r="H835">
        <f>BDP($B835,"ID_ISIN")</f>
        <v/>
      </c>
      <c r="I835" s="1" t="inlineStr"/>
      <c r="J835">
        <f>BDP($B835,"CNTRY_OF_DOMICILE")</f>
        <v/>
      </c>
      <c r="K835" t="inlineStr">
        <is>
          <t>DBT</t>
        </is>
      </c>
      <c r="L835" t="inlineStr">
        <is>
          <t>UST</t>
        </is>
      </c>
      <c r="M835" t="inlineStr"/>
      <c r="N835" t="inlineStr"/>
      <c r="O835" s="1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s="1" t="inlineStr"/>
      <c r="AR835" s="1" t="inlineStr"/>
      <c r="AS835" s="1" t="inlineStr"/>
      <c r="AT835">
        <f>TEXT(BDP($B835,"MATURITY"),"yyyy-mm-dd")</f>
        <v/>
      </c>
      <c r="AU835">
        <f>BDP($B835,"CPN_TYP")</f>
        <v/>
      </c>
      <c r="AV835">
        <f>BDP($B835,"CPN")</f>
        <v/>
      </c>
      <c r="AW835" t="inlineStr"/>
      <c r="AX835" t="inlineStr"/>
      <c r="AY835" t="inlineStr"/>
    </row>
    <row r="836">
      <c r="A836" t="inlineStr">
        <is>
          <t>CUST</t>
        </is>
      </c>
      <c r="B836" t="inlineStr">
        <is>
          <t>9128283W8 Govt</t>
        </is>
      </c>
      <c r="C836" s="1" t="inlineStr">
        <is>
          <t>9128283W8</t>
        </is>
      </c>
      <c r="D836" t="inlineStr">
        <is>
          <t>United States Treasury Note/Bo</t>
        </is>
      </c>
      <c r="E836">
        <f>BDP($B836,"LEGAL_ENTITY_IDENTIFIER")</f>
        <v/>
      </c>
      <c r="F836" t="inlineStr">
        <is>
          <t>United States Treasury Note/Bond 2.75% 02/15/2028</t>
        </is>
      </c>
      <c r="G836">
        <f>custodian!D836</f>
        <v/>
      </c>
      <c r="H836">
        <f>BDP($B836,"ID_ISIN")</f>
        <v/>
      </c>
      <c r="I836" s="1" t="inlineStr"/>
      <c r="J836">
        <f>BDP($B836,"CNTRY_OF_DOMICILE")</f>
        <v/>
      </c>
      <c r="K836" t="inlineStr">
        <is>
          <t>DBT</t>
        </is>
      </c>
      <c r="L836" t="inlineStr">
        <is>
          <t>UST</t>
        </is>
      </c>
      <c r="M836" t="inlineStr"/>
      <c r="N836" t="inlineStr"/>
      <c r="O836" s="1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s="1" t="inlineStr"/>
      <c r="AR836" s="1" t="inlineStr"/>
      <c r="AS836" s="1" t="inlineStr"/>
      <c r="AT836">
        <f>TEXT(BDP($B836,"MATURITY"),"yyyy-mm-dd")</f>
        <v/>
      </c>
      <c r="AU836">
        <f>BDP($B836,"CPN_TYP")</f>
        <v/>
      </c>
      <c r="AV836">
        <f>BDP($B836,"CPN")</f>
        <v/>
      </c>
      <c r="AW836" t="inlineStr"/>
      <c r="AX836" t="inlineStr"/>
      <c r="AY836" t="inlineStr"/>
    </row>
    <row r="837">
      <c r="A837" t="inlineStr">
        <is>
          <t>CUST</t>
        </is>
      </c>
      <c r="B837" t="inlineStr">
        <is>
          <t>9128284N7 Govt</t>
        </is>
      </c>
      <c r="C837" s="1" t="inlineStr">
        <is>
          <t>9128284N7</t>
        </is>
      </c>
      <c r="D837" t="inlineStr">
        <is>
          <t>United States Treasury Note/Bo</t>
        </is>
      </c>
      <c r="E837">
        <f>BDP($B837,"LEGAL_ENTITY_IDENTIFIER")</f>
        <v/>
      </c>
      <c r="F837" t="inlineStr">
        <is>
          <t>United States Treasury Note/Bond 2.875% 05/15/2028</t>
        </is>
      </c>
      <c r="G837">
        <f>custodian!D837</f>
        <v/>
      </c>
      <c r="H837">
        <f>BDP($B837,"ID_ISIN")</f>
        <v/>
      </c>
      <c r="I837" s="1" t="inlineStr"/>
      <c r="J837">
        <f>BDP($B837,"CNTRY_OF_DOMICILE")</f>
        <v/>
      </c>
      <c r="K837" t="inlineStr">
        <is>
          <t>DBT</t>
        </is>
      </c>
      <c r="L837" t="inlineStr">
        <is>
          <t>UST</t>
        </is>
      </c>
      <c r="M837" t="inlineStr"/>
      <c r="N837" t="inlineStr"/>
      <c r="O837" s="1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s="1" t="inlineStr"/>
      <c r="AR837" s="1" t="inlineStr"/>
      <c r="AS837" s="1" t="inlineStr"/>
      <c r="AT837">
        <f>TEXT(BDP($B837,"MATURITY"),"yyyy-mm-dd")</f>
        <v/>
      </c>
      <c r="AU837">
        <f>BDP($B837,"CPN_TYP")</f>
        <v/>
      </c>
      <c r="AV837">
        <f>BDP($B837,"CPN")</f>
        <v/>
      </c>
      <c r="AW837" t="inlineStr"/>
      <c r="AX837" t="inlineStr"/>
      <c r="AY837" t="inlineStr"/>
    </row>
    <row r="838">
      <c r="A838" t="inlineStr">
        <is>
          <t>CUST</t>
        </is>
      </c>
      <c r="B838" t="inlineStr">
        <is>
          <t>9128284V9 Govt</t>
        </is>
      </c>
      <c r="C838" s="1" t="inlineStr">
        <is>
          <t>9128284V9</t>
        </is>
      </c>
      <c r="D838" t="inlineStr">
        <is>
          <t>United States Treasury Note/Bo</t>
        </is>
      </c>
      <c r="E838">
        <f>BDP($B838,"LEGAL_ENTITY_IDENTIFIER")</f>
        <v/>
      </c>
      <c r="F838" t="inlineStr">
        <is>
          <t>United States Treasury Note/Bond 2.875% 08/15/2028</t>
        </is>
      </c>
      <c r="G838">
        <f>custodian!D838</f>
        <v/>
      </c>
      <c r="H838">
        <f>BDP($B838,"ID_ISIN")</f>
        <v/>
      </c>
      <c r="I838" s="1" t="inlineStr"/>
      <c r="J838">
        <f>BDP($B838,"CNTRY_OF_DOMICILE")</f>
        <v/>
      </c>
      <c r="K838" t="inlineStr">
        <is>
          <t>DBT</t>
        </is>
      </c>
      <c r="L838" t="inlineStr">
        <is>
          <t>UST</t>
        </is>
      </c>
      <c r="M838" t="inlineStr"/>
      <c r="N838" t="inlineStr"/>
      <c r="O838" s="1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s="1" t="inlineStr"/>
      <c r="AR838" s="1" t="inlineStr"/>
      <c r="AS838" s="1" t="inlineStr"/>
      <c r="AT838">
        <f>TEXT(BDP($B838,"MATURITY"),"yyyy-mm-dd")</f>
        <v/>
      </c>
      <c r="AU838">
        <f>BDP($B838,"CPN_TYP")</f>
        <v/>
      </c>
      <c r="AV838">
        <f>BDP($B838,"CPN")</f>
        <v/>
      </c>
      <c r="AW838" t="inlineStr"/>
      <c r="AX838" t="inlineStr"/>
      <c r="AY838" t="inlineStr"/>
    </row>
    <row r="839">
      <c r="A839" t="inlineStr">
        <is>
          <t>CUST</t>
        </is>
      </c>
      <c r="B839" t="inlineStr">
        <is>
          <t>9128285M8 Govt</t>
        </is>
      </c>
      <c r="C839" s="1" t="inlineStr">
        <is>
          <t>9128285M8</t>
        </is>
      </c>
      <c r="D839" t="inlineStr">
        <is>
          <t>United States Treasury Note/Bo</t>
        </is>
      </c>
      <c r="E839">
        <f>BDP($B839,"LEGAL_ENTITY_IDENTIFIER")</f>
        <v/>
      </c>
      <c r="F839" t="inlineStr">
        <is>
          <t>United States Treasury Note/Bond 3.125% 11/15/2028</t>
        </is>
      </c>
      <c r="G839">
        <f>custodian!D839</f>
        <v/>
      </c>
      <c r="H839">
        <f>BDP($B839,"ID_ISIN")</f>
        <v/>
      </c>
      <c r="I839" s="1" t="inlineStr"/>
      <c r="J839">
        <f>BDP($B839,"CNTRY_OF_DOMICILE")</f>
        <v/>
      </c>
      <c r="K839" t="inlineStr">
        <is>
          <t>DBT</t>
        </is>
      </c>
      <c r="L839" t="inlineStr">
        <is>
          <t>UST</t>
        </is>
      </c>
      <c r="M839" t="inlineStr"/>
      <c r="N839" t="inlineStr"/>
      <c r="O839" s="1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s="1" t="inlineStr"/>
      <c r="AR839" s="1" t="inlineStr"/>
      <c r="AS839" s="1" t="inlineStr"/>
      <c r="AT839">
        <f>TEXT(BDP($B839,"MATURITY"),"yyyy-mm-dd")</f>
        <v/>
      </c>
      <c r="AU839">
        <f>BDP($B839,"CPN_TYP")</f>
        <v/>
      </c>
      <c r="AV839">
        <f>BDP($B839,"CPN")</f>
        <v/>
      </c>
      <c r="AW839" t="inlineStr"/>
      <c r="AX839" t="inlineStr"/>
      <c r="AY839" t="inlineStr"/>
    </row>
    <row r="840">
      <c r="A840" t="inlineStr">
        <is>
          <t>CUST</t>
        </is>
      </c>
      <c r="B840" t="inlineStr">
        <is>
          <t>9128286B1 Govt</t>
        </is>
      </c>
      <c r="C840" s="1" t="inlineStr">
        <is>
          <t>9128286B1</t>
        </is>
      </c>
      <c r="D840" t="inlineStr">
        <is>
          <t>United States Treasury Note/Bo</t>
        </is>
      </c>
      <c r="E840">
        <f>BDP($B840,"LEGAL_ENTITY_IDENTIFIER")</f>
        <v/>
      </c>
      <c r="F840" t="inlineStr">
        <is>
          <t>United States Treasury Note/Bond 2.625% 02/15/2029</t>
        </is>
      </c>
      <c r="G840">
        <f>custodian!D840</f>
        <v/>
      </c>
      <c r="H840">
        <f>BDP($B840,"ID_ISIN")</f>
        <v/>
      </c>
      <c r="I840" s="1" t="inlineStr"/>
      <c r="J840">
        <f>BDP($B840,"CNTRY_OF_DOMICILE")</f>
        <v/>
      </c>
      <c r="K840" t="inlineStr">
        <is>
          <t>DBT</t>
        </is>
      </c>
      <c r="L840" t="inlineStr">
        <is>
          <t>UST</t>
        </is>
      </c>
      <c r="M840" t="inlineStr"/>
      <c r="N840" t="inlineStr"/>
      <c r="O840" s="1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s="1" t="inlineStr"/>
      <c r="AR840" s="1" t="inlineStr"/>
      <c r="AS840" s="1" t="inlineStr"/>
      <c r="AT840">
        <f>TEXT(BDP($B840,"MATURITY"),"yyyy-mm-dd")</f>
        <v/>
      </c>
      <c r="AU840">
        <f>BDP($B840,"CPN_TYP")</f>
        <v/>
      </c>
      <c r="AV840">
        <f>BDP($B840,"CPN")</f>
        <v/>
      </c>
      <c r="AW840" t="inlineStr"/>
      <c r="AX840" t="inlineStr"/>
      <c r="AY840" t="inlineStr"/>
    </row>
    <row r="841">
      <c r="A841" t="inlineStr">
        <is>
          <t>CUST</t>
        </is>
      </c>
      <c r="B841" t="inlineStr">
        <is>
          <t>9128286T2 Govt</t>
        </is>
      </c>
      <c r="C841" s="1" t="inlineStr">
        <is>
          <t>9128286T2</t>
        </is>
      </c>
      <c r="D841" t="inlineStr">
        <is>
          <t>United States Treasury Note/Bo</t>
        </is>
      </c>
      <c r="E841">
        <f>BDP($B841,"LEGAL_ENTITY_IDENTIFIER")</f>
        <v/>
      </c>
      <c r="F841" t="inlineStr">
        <is>
          <t>United States Treasury Note/Bond 2.375% 05/15/2029</t>
        </is>
      </c>
      <c r="G841">
        <f>custodian!D841</f>
        <v/>
      </c>
      <c r="H841">
        <f>BDP($B841,"ID_ISIN")</f>
        <v/>
      </c>
      <c r="I841" s="1" t="inlineStr"/>
      <c r="J841">
        <f>BDP($B841,"CNTRY_OF_DOMICILE")</f>
        <v/>
      </c>
      <c r="K841" t="inlineStr">
        <is>
          <t>DBT</t>
        </is>
      </c>
      <c r="L841" t="inlineStr">
        <is>
          <t>UST</t>
        </is>
      </c>
      <c r="M841" t="inlineStr"/>
      <c r="N841" t="inlineStr"/>
      <c r="O841" s="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s="1" t="inlineStr"/>
      <c r="AR841" s="1" t="inlineStr"/>
      <c r="AS841" s="1" t="inlineStr"/>
      <c r="AT841">
        <f>TEXT(BDP($B841,"MATURITY"),"yyyy-mm-dd")</f>
        <v/>
      </c>
      <c r="AU841">
        <f>BDP($B841,"CPN_TYP")</f>
        <v/>
      </c>
      <c r="AV841">
        <f>BDP($B841,"CPN")</f>
        <v/>
      </c>
      <c r="AW841" t="inlineStr"/>
      <c r="AX841" t="inlineStr"/>
      <c r="AY841" t="inlineStr"/>
    </row>
    <row r="842">
      <c r="A842" t="inlineStr">
        <is>
          <t>CUST</t>
        </is>
      </c>
      <c r="B842" t="inlineStr">
        <is>
          <t>912828ZS2 Govt</t>
        </is>
      </c>
      <c r="C842" s="1" t="inlineStr">
        <is>
          <t>912828ZS2</t>
        </is>
      </c>
      <c r="D842" t="inlineStr">
        <is>
          <t>United States Treasury Note/Bo</t>
        </is>
      </c>
      <c r="E842">
        <f>BDP($B842,"LEGAL_ENTITY_IDENTIFIER")</f>
        <v/>
      </c>
      <c r="F842" t="inlineStr">
        <is>
          <t>United States Treasury Note/Bond 0.5% 05/31/2027</t>
        </is>
      </c>
      <c r="G842">
        <f>custodian!D842</f>
        <v/>
      </c>
      <c r="H842">
        <f>BDP($B842,"ID_ISIN")</f>
        <v/>
      </c>
      <c r="I842" s="1" t="inlineStr"/>
      <c r="J842">
        <f>BDP($B842,"CNTRY_OF_DOMICILE")</f>
        <v/>
      </c>
      <c r="K842" t="inlineStr">
        <is>
          <t>DBT</t>
        </is>
      </c>
      <c r="L842" t="inlineStr">
        <is>
          <t>UST</t>
        </is>
      </c>
      <c r="M842" t="inlineStr"/>
      <c r="N842" t="inlineStr"/>
      <c r="O842" s="1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s="1" t="inlineStr"/>
      <c r="AR842" s="1" t="inlineStr"/>
      <c r="AS842" s="1" t="inlineStr"/>
      <c r="AT842">
        <f>TEXT(BDP($B842,"MATURITY"),"yyyy-mm-dd")</f>
        <v/>
      </c>
      <c r="AU842">
        <f>BDP($B842,"CPN_TYP")</f>
        <v/>
      </c>
      <c r="AV842">
        <f>BDP($B842,"CPN")</f>
        <v/>
      </c>
      <c r="AW842" t="inlineStr"/>
      <c r="AX842" t="inlineStr"/>
      <c r="AY842" t="inlineStr"/>
    </row>
    <row r="843">
      <c r="A843" t="inlineStr">
        <is>
          <t>CUST</t>
        </is>
      </c>
      <c r="B843" t="inlineStr">
        <is>
          <t>912828ZV5 Govt</t>
        </is>
      </c>
      <c r="C843" s="1" t="inlineStr">
        <is>
          <t>912828ZV5</t>
        </is>
      </c>
      <c r="D843" t="inlineStr">
        <is>
          <t>United States Treasury Note/Bo</t>
        </is>
      </c>
      <c r="E843">
        <f>BDP($B843,"LEGAL_ENTITY_IDENTIFIER")</f>
        <v/>
      </c>
      <c r="F843" t="inlineStr">
        <is>
          <t>United States Treasury Note/Bond 0.5% 06/30/2027</t>
        </is>
      </c>
      <c r="G843">
        <f>custodian!D843</f>
        <v/>
      </c>
      <c r="H843">
        <f>BDP($B843,"ID_ISIN")</f>
        <v/>
      </c>
      <c r="I843" s="1" t="inlineStr"/>
      <c r="J843">
        <f>BDP($B843,"CNTRY_OF_DOMICILE")</f>
        <v/>
      </c>
      <c r="K843" t="inlineStr">
        <is>
          <t>DBT</t>
        </is>
      </c>
      <c r="L843" t="inlineStr">
        <is>
          <t>UST</t>
        </is>
      </c>
      <c r="M843" t="inlineStr"/>
      <c r="N843" t="inlineStr"/>
      <c r="O843" s="1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s="1" t="inlineStr"/>
      <c r="AR843" s="1" t="inlineStr"/>
      <c r="AS843" s="1" t="inlineStr"/>
      <c r="AT843">
        <f>TEXT(BDP($B843,"MATURITY"),"yyyy-mm-dd")</f>
        <v/>
      </c>
      <c r="AU843">
        <f>BDP($B843,"CPN_TYP")</f>
        <v/>
      </c>
      <c r="AV843">
        <f>BDP($B843,"CPN")</f>
        <v/>
      </c>
      <c r="AW843" t="inlineStr"/>
      <c r="AX843" t="inlineStr"/>
      <c r="AY843" t="inlineStr"/>
    </row>
    <row r="844">
      <c r="A844" t="inlineStr">
        <is>
          <t>CUST</t>
        </is>
      </c>
      <c r="B844" t="inlineStr">
        <is>
          <t>91282CAD3 Govt</t>
        </is>
      </c>
      <c r="C844" s="1" t="inlineStr">
        <is>
          <t>91282CAD3</t>
        </is>
      </c>
      <c r="D844" t="inlineStr">
        <is>
          <t>United States Treasury Note/Bo</t>
        </is>
      </c>
      <c r="E844">
        <f>BDP($B844,"LEGAL_ENTITY_IDENTIFIER")</f>
        <v/>
      </c>
      <c r="F844" t="inlineStr">
        <is>
          <t>United States Treasury Note/Bond 0.375% 07/31/2027</t>
        </is>
      </c>
      <c r="G844">
        <f>custodian!D844</f>
        <v/>
      </c>
      <c r="H844">
        <f>BDP($B844,"ID_ISIN")</f>
        <v/>
      </c>
      <c r="I844" s="1" t="inlineStr"/>
      <c r="J844">
        <f>BDP($B844,"CNTRY_OF_DOMICILE")</f>
        <v/>
      </c>
      <c r="K844" t="inlineStr">
        <is>
          <t>DBT</t>
        </is>
      </c>
      <c r="L844" t="inlineStr">
        <is>
          <t>UST</t>
        </is>
      </c>
      <c r="M844" t="inlineStr"/>
      <c r="N844" t="inlineStr"/>
      <c r="O844" s="1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s="1" t="inlineStr"/>
      <c r="AR844" s="1" t="inlineStr"/>
      <c r="AS844" s="1" t="inlineStr"/>
      <c r="AT844">
        <f>TEXT(BDP($B844,"MATURITY"),"yyyy-mm-dd")</f>
        <v/>
      </c>
      <c r="AU844">
        <f>BDP($B844,"CPN_TYP")</f>
        <v/>
      </c>
      <c r="AV844">
        <f>BDP($B844,"CPN")</f>
        <v/>
      </c>
      <c r="AW844" t="inlineStr"/>
      <c r="AX844" t="inlineStr"/>
      <c r="AY844" t="inlineStr"/>
    </row>
    <row r="845">
      <c r="A845" t="inlineStr">
        <is>
          <t>CUST</t>
        </is>
      </c>
      <c r="B845" t="inlineStr">
        <is>
          <t>91282CAH4 Govt</t>
        </is>
      </c>
      <c r="C845" s="1" t="inlineStr">
        <is>
          <t>91282CAH4</t>
        </is>
      </c>
      <c r="D845" t="inlineStr">
        <is>
          <t>United States Treasury Note/Bo</t>
        </is>
      </c>
      <c r="E845">
        <f>BDP($B845,"LEGAL_ENTITY_IDENTIFIER")</f>
        <v/>
      </c>
      <c r="F845" t="inlineStr">
        <is>
          <t>United States Treasury Note/Bond 0.5% 08/31/2027</t>
        </is>
      </c>
      <c r="G845">
        <f>custodian!D845</f>
        <v/>
      </c>
      <c r="H845">
        <f>BDP($B845,"ID_ISIN")</f>
        <v/>
      </c>
      <c r="I845" s="1" t="inlineStr"/>
      <c r="J845">
        <f>BDP($B845,"CNTRY_OF_DOMICILE")</f>
        <v/>
      </c>
      <c r="K845" t="inlineStr">
        <is>
          <t>DBT</t>
        </is>
      </c>
      <c r="L845" t="inlineStr">
        <is>
          <t>UST</t>
        </is>
      </c>
      <c r="M845" t="inlineStr"/>
      <c r="N845" t="inlineStr"/>
      <c r="O845" s="1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s="1" t="inlineStr"/>
      <c r="AR845" s="1" t="inlineStr"/>
      <c r="AS845" s="1" t="inlineStr"/>
      <c r="AT845">
        <f>TEXT(BDP($B845,"MATURITY"),"yyyy-mm-dd")</f>
        <v/>
      </c>
      <c r="AU845">
        <f>BDP($B845,"CPN_TYP")</f>
        <v/>
      </c>
      <c r="AV845">
        <f>BDP($B845,"CPN")</f>
        <v/>
      </c>
      <c r="AW845" t="inlineStr"/>
      <c r="AX845" t="inlineStr"/>
      <c r="AY845" t="inlineStr"/>
    </row>
    <row r="846">
      <c r="A846" t="inlineStr">
        <is>
          <t>CUST</t>
        </is>
      </c>
      <c r="B846" t="inlineStr">
        <is>
          <t>91282CAL5 Govt</t>
        </is>
      </c>
      <c r="C846" s="1" t="inlineStr">
        <is>
          <t>91282CAL5</t>
        </is>
      </c>
      <c r="D846" t="inlineStr">
        <is>
          <t>United States Treasury Note/Bo</t>
        </is>
      </c>
      <c r="E846">
        <f>BDP($B846,"LEGAL_ENTITY_IDENTIFIER")</f>
        <v/>
      </c>
      <c r="F846" t="inlineStr">
        <is>
          <t>United States Treasury Note/Bond 0.375% 09/30/2027</t>
        </is>
      </c>
      <c r="G846">
        <f>custodian!D846</f>
        <v/>
      </c>
      <c r="H846">
        <f>BDP($B846,"ID_ISIN")</f>
        <v/>
      </c>
      <c r="I846" s="1" t="inlineStr"/>
      <c r="J846">
        <f>BDP($B846,"CNTRY_OF_DOMICILE")</f>
        <v/>
      </c>
      <c r="K846" t="inlineStr">
        <is>
          <t>DBT</t>
        </is>
      </c>
      <c r="L846" t="inlineStr">
        <is>
          <t>UST</t>
        </is>
      </c>
      <c r="M846" t="inlineStr"/>
      <c r="N846" t="inlineStr"/>
      <c r="O846" s="1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s="1" t="inlineStr"/>
      <c r="AR846" s="1" t="inlineStr"/>
      <c r="AS846" s="1" t="inlineStr"/>
      <c r="AT846">
        <f>TEXT(BDP($B846,"MATURITY"),"yyyy-mm-dd")</f>
        <v/>
      </c>
      <c r="AU846">
        <f>BDP($B846,"CPN_TYP")</f>
        <v/>
      </c>
      <c r="AV846">
        <f>BDP($B846,"CPN")</f>
        <v/>
      </c>
      <c r="AW846" t="inlineStr"/>
      <c r="AX846" t="inlineStr"/>
      <c r="AY846" t="inlineStr"/>
    </row>
    <row r="847">
      <c r="A847" t="inlineStr">
        <is>
          <t>CUST</t>
        </is>
      </c>
      <c r="B847" t="inlineStr">
        <is>
          <t>91282CAU5 Govt</t>
        </is>
      </c>
      <c r="C847" s="1" t="inlineStr">
        <is>
          <t>91282CAU5</t>
        </is>
      </c>
      <c r="D847" t="inlineStr">
        <is>
          <t>United States Treasury Note/Bo</t>
        </is>
      </c>
      <c r="E847">
        <f>BDP($B847,"LEGAL_ENTITY_IDENTIFIER")</f>
        <v/>
      </c>
      <c r="F847" t="inlineStr">
        <is>
          <t>United States Treasury Note/Bond 0.5% 10/31/2027</t>
        </is>
      </c>
      <c r="G847">
        <f>custodian!D847</f>
        <v/>
      </c>
      <c r="H847">
        <f>BDP($B847,"ID_ISIN")</f>
        <v/>
      </c>
      <c r="I847" s="1" t="inlineStr"/>
      <c r="J847">
        <f>BDP($B847,"CNTRY_OF_DOMICILE")</f>
        <v/>
      </c>
      <c r="K847" t="inlineStr">
        <is>
          <t>DBT</t>
        </is>
      </c>
      <c r="L847" t="inlineStr">
        <is>
          <t>UST</t>
        </is>
      </c>
      <c r="M847" t="inlineStr"/>
      <c r="N847" t="inlineStr"/>
      <c r="O847" s="1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s="1" t="inlineStr"/>
      <c r="AR847" s="1" t="inlineStr"/>
      <c r="AS847" s="1" t="inlineStr"/>
      <c r="AT847">
        <f>TEXT(BDP($B847,"MATURITY"),"yyyy-mm-dd")</f>
        <v/>
      </c>
      <c r="AU847">
        <f>BDP($B847,"CPN_TYP")</f>
        <v/>
      </c>
      <c r="AV847">
        <f>BDP($B847,"CPN")</f>
        <v/>
      </c>
      <c r="AW847" t="inlineStr"/>
      <c r="AX847" t="inlineStr"/>
      <c r="AY847" t="inlineStr"/>
    </row>
    <row r="848">
      <c r="A848" t="inlineStr">
        <is>
          <t>CUST</t>
        </is>
      </c>
      <c r="B848" t="inlineStr">
        <is>
          <t>91282CAY7 Govt</t>
        </is>
      </c>
      <c r="C848" s="1" t="inlineStr">
        <is>
          <t>91282CAY7</t>
        </is>
      </c>
      <c r="D848" t="inlineStr">
        <is>
          <t>United States Treasury Note/Bo</t>
        </is>
      </c>
      <c r="E848">
        <f>BDP($B848,"LEGAL_ENTITY_IDENTIFIER")</f>
        <v/>
      </c>
      <c r="F848" t="inlineStr">
        <is>
          <t>United States Treasury Note/Bond 0.625% 11/30/2027</t>
        </is>
      </c>
      <c r="G848">
        <f>custodian!D848</f>
        <v/>
      </c>
      <c r="H848">
        <f>BDP($B848,"ID_ISIN")</f>
        <v/>
      </c>
      <c r="I848" s="1" t="inlineStr"/>
      <c r="J848">
        <f>BDP($B848,"CNTRY_OF_DOMICILE")</f>
        <v/>
      </c>
      <c r="K848" t="inlineStr">
        <is>
          <t>DBT</t>
        </is>
      </c>
      <c r="L848" t="inlineStr">
        <is>
          <t>UST</t>
        </is>
      </c>
      <c r="M848" t="inlineStr"/>
      <c r="N848" t="inlineStr"/>
      <c r="O848" s="1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s="1" t="inlineStr"/>
      <c r="AR848" s="1" t="inlineStr"/>
      <c r="AS848" s="1" t="inlineStr"/>
      <c r="AT848">
        <f>TEXT(BDP($B848,"MATURITY"),"yyyy-mm-dd")</f>
        <v/>
      </c>
      <c r="AU848">
        <f>BDP($B848,"CPN_TYP")</f>
        <v/>
      </c>
      <c r="AV848">
        <f>BDP($B848,"CPN")</f>
        <v/>
      </c>
      <c r="AW848" t="inlineStr"/>
      <c r="AX848" t="inlineStr"/>
      <c r="AY848" t="inlineStr"/>
    </row>
    <row r="849">
      <c r="A849" t="inlineStr">
        <is>
          <t>CUST</t>
        </is>
      </c>
      <c r="B849" t="inlineStr">
        <is>
          <t>91282CBB6 Govt</t>
        </is>
      </c>
      <c r="C849" s="1" t="inlineStr">
        <is>
          <t>91282CBB6</t>
        </is>
      </c>
      <c r="D849" t="inlineStr">
        <is>
          <t>United States Treasury Note/Bo</t>
        </is>
      </c>
      <c r="E849">
        <f>BDP($B849,"LEGAL_ENTITY_IDENTIFIER")</f>
        <v/>
      </c>
      <c r="F849" t="inlineStr">
        <is>
          <t>United States Treasury Note/Bond 0.625% 12/31/2027</t>
        </is>
      </c>
      <c r="G849">
        <f>custodian!D849</f>
        <v/>
      </c>
      <c r="H849">
        <f>BDP($B849,"ID_ISIN")</f>
        <v/>
      </c>
      <c r="I849" s="1" t="inlineStr"/>
      <c r="J849">
        <f>BDP($B849,"CNTRY_OF_DOMICILE")</f>
        <v/>
      </c>
      <c r="K849" t="inlineStr">
        <is>
          <t>DBT</t>
        </is>
      </c>
      <c r="L849" t="inlineStr">
        <is>
          <t>UST</t>
        </is>
      </c>
      <c r="M849" t="inlineStr"/>
      <c r="N849" t="inlineStr"/>
      <c r="O849" s="1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s="1" t="inlineStr"/>
      <c r="AR849" s="1" t="inlineStr"/>
      <c r="AS849" s="1" t="inlineStr"/>
      <c r="AT849">
        <f>TEXT(BDP($B849,"MATURITY"),"yyyy-mm-dd")</f>
        <v/>
      </c>
      <c r="AU849">
        <f>BDP($B849,"CPN_TYP")</f>
        <v/>
      </c>
      <c r="AV849">
        <f>BDP($B849,"CPN")</f>
        <v/>
      </c>
      <c r="AW849" t="inlineStr"/>
      <c r="AX849" t="inlineStr"/>
      <c r="AY849" t="inlineStr"/>
    </row>
    <row r="850">
      <c r="A850" t="inlineStr">
        <is>
          <t>CUST</t>
        </is>
      </c>
      <c r="B850" t="inlineStr">
        <is>
          <t>91282CBJ9 Govt</t>
        </is>
      </c>
      <c r="C850" s="1" t="inlineStr">
        <is>
          <t>91282CBJ9</t>
        </is>
      </c>
      <c r="D850" t="inlineStr">
        <is>
          <t>United States Treasury Note/Bo</t>
        </is>
      </c>
      <c r="E850">
        <f>BDP($B850,"LEGAL_ENTITY_IDENTIFIER")</f>
        <v/>
      </c>
      <c r="F850" t="inlineStr">
        <is>
          <t>United States Treasury Note/Bond 0.75% 01/31/2028</t>
        </is>
      </c>
      <c r="G850">
        <f>custodian!D850</f>
        <v/>
      </c>
      <c r="H850">
        <f>BDP($B850,"ID_ISIN")</f>
        <v/>
      </c>
      <c r="I850" s="1" t="inlineStr"/>
      <c r="J850">
        <f>BDP($B850,"CNTRY_OF_DOMICILE")</f>
        <v/>
      </c>
      <c r="K850" t="inlineStr">
        <is>
          <t>DBT</t>
        </is>
      </c>
      <c r="L850" t="inlineStr">
        <is>
          <t>UST</t>
        </is>
      </c>
      <c r="M850" t="inlineStr"/>
      <c r="N850" t="inlineStr"/>
      <c r="O850" s="1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s="1" t="inlineStr"/>
      <c r="AR850" s="1" t="inlineStr"/>
      <c r="AS850" s="1" t="inlineStr"/>
      <c r="AT850">
        <f>TEXT(BDP($B850,"MATURITY"),"yyyy-mm-dd")</f>
        <v/>
      </c>
      <c r="AU850">
        <f>BDP($B850,"CPN_TYP")</f>
        <v/>
      </c>
      <c r="AV850">
        <f>BDP($B850,"CPN")</f>
        <v/>
      </c>
      <c r="AW850" t="inlineStr"/>
      <c r="AX850" t="inlineStr"/>
      <c r="AY850" t="inlineStr"/>
    </row>
    <row r="851">
      <c r="A851" t="inlineStr">
        <is>
          <t>CUST</t>
        </is>
      </c>
      <c r="B851" t="inlineStr">
        <is>
          <t>91282CBP5 Govt</t>
        </is>
      </c>
      <c r="C851" s="1" t="inlineStr">
        <is>
          <t>91282CBP5</t>
        </is>
      </c>
      <c r="D851" t="inlineStr">
        <is>
          <t>United States Treasury Note/Bo</t>
        </is>
      </c>
      <c r="E851">
        <f>BDP($B851,"LEGAL_ENTITY_IDENTIFIER")</f>
        <v/>
      </c>
      <c r="F851" t="inlineStr">
        <is>
          <t>United States Treasury Note/Bond 1.125% 02/29/2028</t>
        </is>
      </c>
      <c r="G851">
        <f>custodian!D851</f>
        <v/>
      </c>
      <c r="H851">
        <f>BDP($B851,"ID_ISIN")</f>
        <v/>
      </c>
      <c r="I851" s="1" t="inlineStr"/>
      <c r="J851">
        <f>BDP($B851,"CNTRY_OF_DOMICILE")</f>
        <v/>
      </c>
      <c r="K851" t="inlineStr">
        <is>
          <t>DBT</t>
        </is>
      </c>
      <c r="L851" t="inlineStr">
        <is>
          <t>UST</t>
        </is>
      </c>
      <c r="M851" t="inlineStr"/>
      <c r="N851" t="inlineStr"/>
      <c r="O851" s="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s="1" t="inlineStr"/>
      <c r="AR851" s="1" t="inlineStr"/>
      <c r="AS851" s="1" t="inlineStr"/>
      <c r="AT851">
        <f>TEXT(BDP($B851,"MATURITY"),"yyyy-mm-dd")</f>
        <v/>
      </c>
      <c r="AU851">
        <f>BDP($B851,"CPN_TYP")</f>
        <v/>
      </c>
      <c r="AV851">
        <f>BDP($B851,"CPN")</f>
        <v/>
      </c>
      <c r="AW851" t="inlineStr"/>
      <c r="AX851" t="inlineStr"/>
      <c r="AY851" t="inlineStr"/>
    </row>
    <row r="852">
      <c r="A852" t="inlineStr">
        <is>
          <t>CUST</t>
        </is>
      </c>
      <c r="B852" t="inlineStr">
        <is>
          <t>91282CBS9 Govt</t>
        </is>
      </c>
      <c r="C852" s="1" t="inlineStr">
        <is>
          <t>91282CBS9</t>
        </is>
      </c>
      <c r="D852" t="inlineStr">
        <is>
          <t>United States Treasury Note/Bo</t>
        </is>
      </c>
      <c r="E852">
        <f>BDP($B852,"LEGAL_ENTITY_IDENTIFIER")</f>
        <v/>
      </c>
      <c r="F852" t="inlineStr">
        <is>
          <t>United States Treasury Note/Bond 1.25% 03/31/2028</t>
        </is>
      </c>
      <c r="G852">
        <f>custodian!D852</f>
        <v/>
      </c>
      <c r="H852">
        <f>BDP($B852,"ID_ISIN")</f>
        <v/>
      </c>
      <c r="I852" s="1" t="inlineStr"/>
      <c r="J852">
        <f>BDP($B852,"CNTRY_OF_DOMICILE")</f>
        <v/>
      </c>
      <c r="K852" t="inlineStr">
        <is>
          <t>DBT</t>
        </is>
      </c>
      <c r="L852" t="inlineStr">
        <is>
          <t>UST</t>
        </is>
      </c>
      <c r="M852" t="inlineStr"/>
      <c r="N852" t="inlineStr"/>
      <c r="O852" s="1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s="1" t="inlineStr"/>
      <c r="AR852" s="1" t="inlineStr"/>
      <c r="AS852" s="1" t="inlineStr"/>
      <c r="AT852">
        <f>TEXT(BDP($B852,"MATURITY"),"yyyy-mm-dd")</f>
        <v/>
      </c>
      <c r="AU852">
        <f>BDP($B852,"CPN_TYP")</f>
        <v/>
      </c>
      <c r="AV852">
        <f>BDP($B852,"CPN")</f>
        <v/>
      </c>
      <c r="AW852" t="inlineStr"/>
      <c r="AX852" t="inlineStr"/>
      <c r="AY852" t="inlineStr"/>
    </row>
    <row r="853">
      <c r="A853" t="inlineStr">
        <is>
          <t>CUST</t>
        </is>
      </c>
      <c r="B853" t="inlineStr">
        <is>
          <t>91282CBZ3 Govt</t>
        </is>
      </c>
      <c r="C853" s="1" t="inlineStr">
        <is>
          <t>91282CBZ3</t>
        </is>
      </c>
      <c r="D853" t="inlineStr">
        <is>
          <t>United States Treasury Note/Bo</t>
        </is>
      </c>
      <c r="E853">
        <f>BDP($B853,"LEGAL_ENTITY_IDENTIFIER")</f>
        <v/>
      </c>
      <c r="F853" t="inlineStr">
        <is>
          <t>United States Treasury Note/Bond 1.25% 04/30/2028</t>
        </is>
      </c>
      <c r="G853">
        <f>custodian!D853</f>
        <v/>
      </c>
      <c r="H853">
        <f>BDP($B853,"ID_ISIN")</f>
        <v/>
      </c>
      <c r="I853" s="1" t="inlineStr"/>
      <c r="J853">
        <f>BDP($B853,"CNTRY_OF_DOMICILE")</f>
        <v/>
      </c>
      <c r="K853" t="inlineStr">
        <is>
          <t>DBT</t>
        </is>
      </c>
      <c r="L853" t="inlineStr">
        <is>
          <t>UST</t>
        </is>
      </c>
      <c r="M853" t="inlineStr"/>
      <c r="N853" t="inlineStr"/>
      <c r="O853" s="1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s="1" t="inlineStr"/>
      <c r="AR853" s="1" t="inlineStr"/>
      <c r="AS853" s="1" t="inlineStr"/>
      <c r="AT853">
        <f>TEXT(BDP($B853,"MATURITY"),"yyyy-mm-dd")</f>
        <v/>
      </c>
      <c r="AU853">
        <f>BDP($B853,"CPN_TYP")</f>
        <v/>
      </c>
      <c r="AV853">
        <f>BDP($B853,"CPN")</f>
        <v/>
      </c>
      <c r="AW853" t="inlineStr"/>
      <c r="AX853" t="inlineStr"/>
      <c r="AY853" t="inlineStr"/>
    </row>
    <row r="854">
      <c r="A854" t="inlineStr">
        <is>
          <t>CUST</t>
        </is>
      </c>
      <c r="B854" t="inlineStr">
        <is>
          <t>91282CCE9 Govt</t>
        </is>
      </c>
      <c r="C854" s="1" t="inlineStr">
        <is>
          <t>91282CCE9</t>
        </is>
      </c>
      <c r="D854" t="inlineStr">
        <is>
          <t>United States Treasury Note/Bo</t>
        </is>
      </c>
      <c r="E854">
        <f>BDP($B854,"LEGAL_ENTITY_IDENTIFIER")</f>
        <v/>
      </c>
      <c r="F854" t="inlineStr">
        <is>
          <t>United States Treasury Note/Bond 1.25% 05/31/2028</t>
        </is>
      </c>
      <c r="G854">
        <f>custodian!D854</f>
        <v/>
      </c>
      <c r="H854">
        <f>BDP($B854,"ID_ISIN")</f>
        <v/>
      </c>
      <c r="I854" s="1" t="inlineStr"/>
      <c r="J854">
        <f>BDP($B854,"CNTRY_OF_DOMICILE")</f>
        <v/>
      </c>
      <c r="K854" t="inlineStr">
        <is>
          <t>DBT</t>
        </is>
      </c>
      <c r="L854" t="inlineStr">
        <is>
          <t>UST</t>
        </is>
      </c>
      <c r="M854" t="inlineStr"/>
      <c r="N854" t="inlineStr"/>
      <c r="O854" s="1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s="1" t="inlineStr"/>
      <c r="AR854" s="1" t="inlineStr"/>
      <c r="AS854" s="1" t="inlineStr"/>
      <c r="AT854">
        <f>TEXT(BDP($B854,"MATURITY"),"yyyy-mm-dd")</f>
        <v/>
      </c>
      <c r="AU854">
        <f>BDP($B854,"CPN_TYP")</f>
        <v/>
      </c>
      <c r="AV854">
        <f>BDP($B854,"CPN")</f>
        <v/>
      </c>
      <c r="AW854" t="inlineStr"/>
      <c r="AX854" t="inlineStr"/>
      <c r="AY854" t="inlineStr"/>
    </row>
    <row r="855">
      <c r="A855" t="inlineStr">
        <is>
          <t>CUST</t>
        </is>
      </c>
      <c r="B855" t="inlineStr">
        <is>
          <t>91282CCH2 Govt</t>
        </is>
      </c>
      <c r="C855" s="1" t="inlineStr">
        <is>
          <t>91282CCH2</t>
        </is>
      </c>
      <c r="D855" t="inlineStr">
        <is>
          <t>United States Treasury Note/Bo</t>
        </is>
      </c>
      <c r="E855">
        <f>BDP($B855,"LEGAL_ENTITY_IDENTIFIER")</f>
        <v/>
      </c>
      <c r="F855" t="inlineStr">
        <is>
          <t>United States Treasury Note/Bond 1.25% 06/30/2028</t>
        </is>
      </c>
      <c r="G855">
        <f>custodian!D855</f>
        <v/>
      </c>
      <c r="H855">
        <f>BDP($B855,"ID_ISIN")</f>
        <v/>
      </c>
      <c r="I855" s="1" t="inlineStr"/>
      <c r="J855">
        <f>BDP($B855,"CNTRY_OF_DOMICILE")</f>
        <v/>
      </c>
      <c r="K855" t="inlineStr">
        <is>
          <t>DBT</t>
        </is>
      </c>
      <c r="L855" t="inlineStr">
        <is>
          <t>UST</t>
        </is>
      </c>
      <c r="M855" t="inlineStr"/>
      <c r="N855" t="inlineStr"/>
      <c r="O855" s="1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s="1" t="inlineStr"/>
      <c r="AR855" s="1" t="inlineStr"/>
      <c r="AS855" s="1" t="inlineStr"/>
      <c r="AT855">
        <f>TEXT(BDP($B855,"MATURITY"),"yyyy-mm-dd")</f>
        <v/>
      </c>
      <c r="AU855">
        <f>BDP($B855,"CPN_TYP")</f>
        <v/>
      </c>
      <c r="AV855">
        <f>BDP($B855,"CPN")</f>
        <v/>
      </c>
      <c r="AW855" t="inlineStr"/>
      <c r="AX855" t="inlineStr"/>
      <c r="AY855" t="inlineStr"/>
    </row>
    <row r="856">
      <c r="A856" t="inlineStr">
        <is>
          <t>CUST</t>
        </is>
      </c>
      <c r="B856" t="inlineStr">
        <is>
          <t>91282CCR0 Govt</t>
        </is>
      </c>
      <c r="C856" s="1" t="inlineStr">
        <is>
          <t>91282CCR0</t>
        </is>
      </c>
      <c r="D856" t="inlineStr">
        <is>
          <t>United States Treasury Note/Bo</t>
        </is>
      </c>
      <c r="E856">
        <f>BDP($B856,"LEGAL_ENTITY_IDENTIFIER")</f>
        <v/>
      </c>
      <c r="F856" t="inlineStr">
        <is>
          <t>United States Treasury Note/Bond 1% 07/31/2028</t>
        </is>
      </c>
      <c r="G856">
        <f>custodian!D856</f>
        <v/>
      </c>
      <c r="H856">
        <f>BDP($B856,"ID_ISIN")</f>
        <v/>
      </c>
      <c r="I856" s="1" t="inlineStr"/>
      <c r="J856">
        <f>BDP($B856,"CNTRY_OF_DOMICILE")</f>
        <v/>
      </c>
      <c r="K856" t="inlineStr">
        <is>
          <t>DBT</t>
        </is>
      </c>
      <c r="L856" t="inlineStr">
        <is>
          <t>UST</t>
        </is>
      </c>
      <c r="M856" t="inlineStr"/>
      <c r="N856" t="inlineStr"/>
      <c r="O856" s="1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s="1" t="inlineStr"/>
      <c r="AR856" s="1" t="inlineStr"/>
      <c r="AS856" s="1" t="inlineStr"/>
      <c r="AT856">
        <f>TEXT(BDP($B856,"MATURITY"),"yyyy-mm-dd")</f>
        <v/>
      </c>
      <c r="AU856">
        <f>BDP($B856,"CPN_TYP")</f>
        <v/>
      </c>
      <c r="AV856">
        <f>BDP($B856,"CPN")</f>
        <v/>
      </c>
      <c r="AW856" t="inlineStr"/>
      <c r="AX856" t="inlineStr"/>
      <c r="AY856" t="inlineStr"/>
    </row>
    <row r="857">
      <c r="A857" t="inlineStr">
        <is>
          <t>CUST</t>
        </is>
      </c>
      <c r="B857" t="inlineStr">
        <is>
          <t>91282CCV1 Govt</t>
        </is>
      </c>
      <c r="C857" s="1" t="inlineStr">
        <is>
          <t>91282CCV1</t>
        </is>
      </c>
      <c r="D857" t="inlineStr">
        <is>
          <t>United States Treasury Note/Bo</t>
        </is>
      </c>
      <c r="E857">
        <f>BDP($B857,"LEGAL_ENTITY_IDENTIFIER")</f>
        <v/>
      </c>
      <c r="F857" t="inlineStr">
        <is>
          <t>United States Treasury Note/Bond 1.125% 08/31/2028</t>
        </is>
      </c>
      <c r="G857">
        <f>custodian!D857</f>
        <v/>
      </c>
      <c r="H857">
        <f>BDP($B857,"ID_ISIN")</f>
        <v/>
      </c>
      <c r="I857" s="1" t="inlineStr"/>
      <c r="J857">
        <f>BDP($B857,"CNTRY_OF_DOMICILE")</f>
        <v/>
      </c>
      <c r="K857" t="inlineStr">
        <is>
          <t>DBT</t>
        </is>
      </c>
      <c r="L857" t="inlineStr">
        <is>
          <t>UST</t>
        </is>
      </c>
      <c r="M857" t="inlineStr"/>
      <c r="N857" t="inlineStr"/>
      <c r="O857" s="1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s="1" t="inlineStr"/>
      <c r="AR857" s="1" t="inlineStr"/>
      <c r="AS857" s="1" t="inlineStr"/>
      <c r="AT857">
        <f>TEXT(BDP($B857,"MATURITY"),"yyyy-mm-dd")</f>
        <v/>
      </c>
      <c r="AU857">
        <f>BDP($B857,"CPN_TYP")</f>
        <v/>
      </c>
      <c r="AV857">
        <f>BDP($B857,"CPN")</f>
        <v/>
      </c>
      <c r="AW857" t="inlineStr"/>
      <c r="AX857" t="inlineStr"/>
      <c r="AY857" t="inlineStr"/>
    </row>
    <row r="858">
      <c r="A858" t="inlineStr">
        <is>
          <t>CUST</t>
        </is>
      </c>
      <c r="B858" t="inlineStr">
        <is>
          <t>91282CCY5 Govt</t>
        </is>
      </c>
      <c r="C858" s="1" t="inlineStr">
        <is>
          <t>91282CCY5</t>
        </is>
      </c>
      <c r="D858" t="inlineStr">
        <is>
          <t>United States Treasury Note/Bo</t>
        </is>
      </c>
      <c r="E858">
        <f>BDP($B858,"LEGAL_ENTITY_IDENTIFIER")</f>
        <v/>
      </c>
      <c r="F858" t="inlineStr">
        <is>
          <t>United States Treasury Note/Bond 1.25% 09/30/2028</t>
        </is>
      </c>
      <c r="G858">
        <f>custodian!D858</f>
        <v/>
      </c>
      <c r="H858">
        <f>BDP($B858,"ID_ISIN")</f>
        <v/>
      </c>
      <c r="I858" s="1" t="inlineStr"/>
      <c r="J858">
        <f>BDP($B858,"CNTRY_OF_DOMICILE")</f>
        <v/>
      </c>
      <c r="K858" t="inlineStr">
        <is>
          <t>DBT</t>
        </is>
      </c>
      <c r="L858" t="inlineStr">
        <is>
          <t>UST</t>
        </is>
      </c>
      <c r="M858" t="inlineStr"/>
      <c r="N858" t="inlineStr"/>
      <c r="O858" s="1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s="1" t="inlineStr"/>
      <c r="AR858" s="1" t="inlineStr"/>
      <c r="AS858" s="1" t="inlineStr"/>
      <c r="AT858">
        <f>TEXT(BDP($B858,"MATURITY"),"yyyy-mm-dd")</f>
        <v/>
      </c>
      <c r="AU858">
        <f>BDP($B858,"CPN_TYP")</f>
        <v/>
      </c>
      <c r="AV858">
        <f>BDP($B858,"CPN")</f>
        <v/>
      </c>
      <c r="AW858" t="inlineStr"/>
      <c r="AX858" t="inlineStr"/>
      <c r="AY858" t="inlineStr"/>
    </row>
    <row r="859">
      <c r="A859" t="inlineStr">
        <is>
          <t>CUST</t>
        </is>
      </c>
      <c r="B859" t="inlineStr">
        <is>
          <t>91282CDF5 Govt</t>
        </is>
      </c>
      <c r="C859" s="1" t="inlineStr">
        <is>
          <t>91282CDF5</t>
        </is>
      </c>
      <c r="D859" t="inlineStr">
        <is>
          <t>United States Treasury Note/Bo</t>
        </is>
      </c>
      <c r="E859">
        <f>BDP($B859,"LEGAL_ENTITY_IDENTIFIER")</f>
        <v/>
      </c>
      <c r="F859" t="inlineStr">
        <is>
          <t>United States Treasury Note/Bond 1.375% 10/31/2028</t>
        </is>
      </c>
      <c r="G859">
        <f>custodian!D859</f>
        <v/>
      </c>
      <c r="H859">
        <f>BDP($B859,"ID_ISIN")</f>
        <v/>
      </c>
      <c r="I859" s="1" t="inlineStr"/>
      <c r="J859">
        <f>BDP($B859,"CNTRY_OF_DOMICILE")</f>
        <v/>
      </c>
      <c r="K859" t="inlineStr">
        <is>
          <t>DBT</t>
        </is>
      </c>
      <c r="L859" t="inlineStr">
        <is>
          <t>UST</t>
        </is>
      </c>
      <c r="M859" t="inlineStr"/>
      <c r="N859" t="inlineStr"/>
      <c r="O859" s="1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s="1" t="inlineStr"/>
      <c r="AR859" s="1" t="inlineStr"/>
      <c r="AS859" s="1" t="inlineStr"/>
      <c r="AT859">
        <f>TEXT(BDP($B859,"MATURITY"),"yyyy-mm-dd")</f>
        <v/>
      </c>
      <c r="AU859">
        <f>BDP($B859,"CPN_TYP")</f>
        <v/>
      </c>
      <c r="AV859">
        <f>BDP($B859,"CPN")</f>
        <v/>
      </c>
      <c r="AW859" t="inlineStr"/>
      <c r="AX859" t="inlineStr"/>
      <c r="AY859" t="inlineStr"/>
    </row>
    <row r="860">
      <c r="A860" t="inlineStr">
        <is>
          <t>CUST</t>
        </is>
      </c>
      <c r="B860" t="inlineStr">
        <is>
          <t>91282CDL2 Govt</t>
        </is>
      </c>
      <c r="C860" s="1" t="inlineStr">
        <is>
          <t>91282CDL2</t>
        </is>
      </c>
      <c r="D860" t="inlineStr">
        <is>
          <t>United States Treasury Note/Bo</t>
        </is>
      </c>
      <c r="E860">
        <f>BDP($B860,"LEGAL_ENTITY_IDENTIFIER")</f>
        <v/>
      </c>
      <c r="F860" t="inlineStr">
        <is>
          <t>United States Treasury Note/Bond 1.5% 11/30/2028</t>
        </is>
      </c>
      <c r="G860">
        <f>custodian!D860</f>
        <v/>
      </c>
      <c r="H860">
        <f>BDP($B860,"ID_ISIN")</f>
        <v/>
      </c>
      <c r="I860" s="1" t="inlineStr"/>
      <c r="J860">
        <f>BDP($B860,"CNTRY_OF_DOMICILE")</f>
        <v/>
      </c>
      <c r="K860" t="inlineStr">
        <is>
          <t>DBT</t>
        </is>
      </c>
      <c r="L860" t="inlineStr">
        <is>
          <t>UST</t>
        </is>
      </c>
      <c r="M860" t="inlineStr"/>
      <c r="N860" t="inlineStr"/>
      <c r="O860" s="1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s="1" t="inlineStr"/>
      <c r="AR860" s="1" t="inlineStr"/>
      <c r="AS860" s="1" t="inlineStr"/>
      <c r="AT860">
        <f>TEXT(BDP($B860,"MATURITY"),"yyyy-mm-dd")</f>
        <v/>
      </c>
      <c r="AU860">
        <f>BDP($B860,"CPN_TYP")</f>
        <v/>
      </c>
      <c r="AV860">
        <f>BDP($B860,"CPN")</f>
        <v/>
      </c>
      <c r="AW860" t="inlineStr"/>
      <c r="AX860" t="inlineStr"/>
      <c r="AY860" t="inlineStr"/>
    </row>
    <row r="861">
      <c r="A861" t="inlineStr">
        <is>
          <t>CUST</t>
        </is>
      </c>
      <c r="B861" t="inlineStr">
        <is>
          <t>91282CDP3 Govt</t>
        </is>
      </c>
      <c r="C861" s="1" t="inlineStr">
        <is>
          <t>91282CDP3</t>
        </is>
      </c>
      <c r="D861" t="inlineStr">
        <is>
          <t>United States Treasury Note/Bo</t>
        </is>
      </c>
      <c r="E861">
        <f>BDP($B861,"LEGAL_ENTITY_IDENTIFIER")</f>
        <v/>
      </c>
      <c r="F861" t="inlineStr">
        <is>
          <t>United States Treasury Note/Bond 1.375% 12/31/2028</t>
        </is>
      </c>
      <c r="G861">
        <f>custodian!D861</f>
        <v/>
      </c>
      <c r="H861">
        <f>BDP($B861,"ID_ISIN")</f>
        <v/>
      </c>
      <c r="I861" s="1" t="inlineStr"/>
      <c r="J861">
        <f>BDP($B861,"CNTRY_OF_DOMICILE")</f>
        <v/>
      </c>
      <c r="K861" t="inlineStr">
        <is>
          <t>DBT</t>
        </is>
      </c>
      <c r="L861" t="inlineStr">
        <is>
          <t>UST</t>
        </is>
      </c>
      <c r="M861" t="inlineStr"/>
      <c r="N861" t="inlineStr"/>
      <c r="O861" s="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s="1" t="inlineStr"/>
      <c r="AR861" s="1" t="inlineStr"/>
      <c r="AS861" s="1" t="inlineStr"/>
      <c r="AT861">
        <f>TEXT(BDP($B861,"MATURITY"),"yyyy-mm-dd")</f>
        <v/>
      </c>
      <c r="AU861">
        <f>BDP($B861,"CPN_TYP")</f>
        <v/>
      </c>
      <c r="AV861">
        <f>BDP($B861,"CPN")</f>
        <v/>
      </c>
      <c r="AW861" t="inlineStr"/>
      <c r="AX861" t="inlineStr"/>
      <c r="AY861" t="inlineStr"/>
    </row>
    <row r="862">
      <c r="A862" t="inlineStr">
        <is>
          <t>CUST</t>
        </is>
      </c>
      <c r="B862" t="inlineStr">
        <is>
          <t>91282CDW8 Govt</t>
        </is>
      </c>
      <c r="C862" s="1" t="inlineStr">
        <is>
          <t>91282CDW8</t>
        </is>
      </c>
      <c r="D862" t="inlineStr">
        <is>
          <t>United States Treasury Note/Bo</t>
        </is>
      </c>
      <c r="E862">
        <f>BDP($B862,"LEGAL_ENTITY_IDENTIFIER")</f>
        <v/>
      </c>
      <c r="F862" t="inlineStr">
        <is>
          <t>United States Treasury Note/Bond 1.75% 01/31/2029</t>
        </is>
      </c>
      <c r="G862">
        <f>custodian!D862</f>
        <v/>
      </c>
      <c r="H862">
        <f>BDP($B862,"ID_ISIN")</f>
        <v/>
      </c>
      <c r="I862" s="1" t="inlineStr"/>
      <c r="J862">
        <f>BDP($B862,"CNTRY_OF_DOMICILE")</f>
        <v/>
      </c>
      <c r="K862" t="inlineStr">
        <is>
          <t>DBT</t>
        </is>
      </c>
      <c r="L862" t="inlineStr">
        <is>
          <t>UST</t>
        </is>
      </c>
      <c r="M862" t="inlineStr"/>
      <c r="N862" t="inlineStr"/>
      <c r="O862" s="1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s="1" t="inlineStr"/>
      <c r="AR862" s="1" t="inlineStr"/>
      <c r="AS862" s="1" t="inlineStr"/>
      <c r="AT862">
        <f>TEXT(BDP($B862,"MATURITY"),"yyyy-mm-dd")</f>
        <v/>
      </c>
      <c r="AU862">
        <f>BDP($B862,"CPN_TYP")</f>
        <v/>
      </c>
      <c r="AV862">
        <f>BDP($B862,"CPN")</f>
        <v/>
      </c>
      <c r="AW862" t="inlineStr"/>
      <c r="AX862" t="inlineStr"/>
      <c r="AY862" t="inlineStr"/>
    </row>
    <row r="863">
      <c r="A863" t="inlineStr">
        <is>
          <t>CUST</t>
        </is>
      </c>
      <c r="B863" t="inlineStr">
        <is>
          <t>91282CEB3 Govt</t>
        </is>
      </c>
      <c r="C863" s="1" t="inlineStr">
        <is>
          <t>91282CEB3</t>
        </is>
      </c>
      <c r="D863" t="inlineStr">
        <is>
          <t>United States Treasury Note/Bo</t>
        </is>
      </c>
      <c r="E863">
        <f>BDP($B863,"LEGAL_ENTITY_IDENTIFIER")</f>
        <v/>
      </c>
      <c r="F863" t="inlineStr">
        <is>
          <t>United States Treasury Note/Bond 1.875% 02/28/2029</t>
        </is>
      </c>
      <c r="G863">
        <f>custodian!D863</f>
        <v/>
      </c>
      <c r="H863">
        <f>BDP($B863,"ID_ISIN")</f>
        <v/>
      </c>
      <c r="I863" s="1" t="inlineStr"/>
      <c r="J863">
        <f>BDP($B863,"CNTRY_OF_DOMICILE")</f>
        <v/>
      </c>
      <c r="K863" t="inlineStr">
        <is>
          <t>DBT</t>
        </is>
      </c>
      <c r="L863" t="inlineStr">
        <is>
          <t>UST</t>
        </is>
      </c>
      <c r="M863" t="inlineStr"/>
      <c r="N863" t="inlineStr"/>
      <c r="O863" s="1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s="1" t="inlineStr"/>
      <c r="AR863" s="1" t="inlineStr"/>
      <c r="AS863" s="1" t="inlineStr"/>
      <c r="AT863">
        <f>TEXT(BDP($B863,"MATURITY"),"yyyy-mm-dd")</f>
        <v/>
      </c>
      <c r="AU863">
        <f>BDP($B863,"CPN_TYP")</f>
        <v/>
      </c>
      <c r="AV863">
        <f>BDP($B863,"CPN")</f>
        <v/>
      </c>
      <c r="AW863" t="inlineStr"/>
      <c r="AX863" t="inlineStr"/>
      <c r="AY863" t="inlineStr"/>
    </row>
    <row r="864">
      <c r="A864" t="inlineStr">
        <is>
          <t>CUST</t>
        </is>
      </c>
      <c r="B864" t="inlineStr">
        <is>
          <t>91282CEE7 Govt</t>
        </is>
      </c>
      <c r="C864" s="1" t="inlineStr">
        <is>
          <t>91282CEE7</t>
        </is>
      </c>
      <c r="D864" t="inlineStr">
        <is>
          <t>United States Treasury Note/Bo</t>
        </is>
      </c>
      <c r="E864">
        <f>BDP($B864,"LEGAL_ENTITY_IDENTIFIER")</f>
        <v/>
      </c>
      <c r="F864" t="inlineStr">
        <is>
          <t>United States Treasury Note/Bond 2.375% 03/31/2029</t>
        </is>
      </c>
      <c r="G864">
        <f>custodian!D864</f>
        <v/>
      </c>
      <c r="H864">
        <f>BDP($B864,"ID_ISIN")</f>
        <v/>
      </c>
      <c r="I864" s="1" t="inlineStr"/>
      <c r="J864">
        <f>BDP($B864,"CNTRY_OF_DOMICILE")</f>
        <v/>
      </c>
      <c r="K864" t="inlineStr">
        <is>
          <t>DBT</t>
        </is>
      </c>
      <c r="L864" t="inlineStr">
        <is>
          <t>UST</t>
        </is>
      </c>
      <c r="M864" t="inlineStr"/>
      <c r="N864" t="inlineStr"/>
      <c r="O864" s="1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s="1" t="inlineStr"/>
      <c r="AR864" s="1" t="inlineStr"/>
      <c r="AS864" s="1" t="inlineStr"/>
      <c r="AT864">
        <f>TEXT(BDP($B864,"MATURITY"),"yyyy-mm-dd")</f>
        <v/>
      </c>
      <c r="AU864">
        <f>BDP($B864,"CPN_TYP")</f>
        <v/>
      </c>
      <c r="AV864">
        <f>BDP($B864,"CPN")</f>
        <v/>
      </c>
      <c r="AW864" t="inlineStr"/>
      <c r="AX864" t="inlineStr"/>
      <c r="AY864" t="inlineStr"/>
    </row>
    <row r="865">
      <c r="A865" t="inlineStr">
        <is>
          <t>CUST</t>
        </is>
      </c>
      <c r="B865" t="inlineStr">
        <is>
          <t>91282CEM9 Govt</t>
        </is>
      </c>
      <c r="C865" s="1" t="inlineStr">
        <is>
          <t>91282CEM9</t>
        </is>
      </c>
      <c r="D865" t="inlineStr">
        <is>
          <t>United States Treasury Note/Bo</t>
        </is>
      </c>
      <c r="E865">
        <f>BDP($B865,"LEGAL_ENTITY_IDENTIFIER")</f>
        <v/>
      </c>
      <c r="F865" t="inlineStr">
        <is>
          <t>United States Treasury Note/Bond 2.875% 04/30/2029</t>
        </is>
      </c>
      <c r="G865">
        <f>custodian!D865</f>
        <v/>
      </c>
      <c r="H865">
        <f>BDP($B865,"ID_ISIN")</f>
        <v/>
      </c>
      <c r="I865" s="1" t="inlineStr"/>
      <c r="J865">
        <f>BDP($B865,"CNTRY_OF_DOMICILE")</f>
        <v/>
      </c>
      <c r="K865" t="inlineStr">
        <is>
          <t>DBT</t>
        </is>
      </c>
      <c r="L865" t="inlineStr">
        <is>
          <t>UST</t>
        </is>
      </c>
      <c r="M865" t="inlineStr"/>
      <c r="N865" t="inlineStr"/>
      <c r="O865" s="1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s="1" t="inlineStr"/>
      <c r="AR865" s="1" t="inlineStr"/>
      <c r="AS865" s="1" t="inlineStr"/>
      <c r="AT865">
        <f>TEXT(BDP($B865,"MATURITY"),"yyyy-mm-dd")</f>
        <v/>
      </c>
      <c r="AU865">
        <f>BDP($B865,"CPN_TYP")</f>
        <v/>
      </c>
      <c r="AV865">
        <f>BDP($B865,"CPN")</f>
        <v/>
      </c>
      <c r="AW865" t="inlineStr"/>
      <c r="AX865" t="inlineStr"/>
      <c r="AY865" t="inlineStr"/>
    </row>
    <row r="866">
      <c r="A866" t="inlineStr">
        <is>
          <t>CUST</t>
        </is>
      </c>
      <c r="B866" t="inlineStr">
        <is>
          <t>91282CET4 Govt</t>
        </is>
      </c>
      <c r="C866" s="1" t="inlineStr">
        <is>
          <t>91282CET4</t>
        </is>
      </c>
      <c r="D866" t="inlineStr">
        <is>
          <t>United States Treasury Note/Bo</t>
        </is>
      </c>
      <c r="E866">
        <f>BDP($B866,"LEGAL_ENTITY_IDENTIFIER")</f>
        <v/>
      </c>
      <c r="F866" t="inlineStr">
        <is>
          <t>United States Treasury Note/Bond 2.625% 05/31/2027</t>
        </is>
      </c>
      <c r="G866">
        <f>custodian!D866</f>
        <v/>
      </c>
      <c r="H866">
        <f>BDP($B866,"ID_ISIN")</f>
        <v/>
      </c>
      <c r="I866" s="1" t="inlineStr"/>
      <c r="J866">
        <f>BDP($B866,"CNTRY_OF_DOMICILE")</f>
        <v/>
      </c>
      <c r="K866" t="inlineStr">
        <is>
          <t>DBT</t>
        </is>
      </c>
      <c r="L866" t="inlineStr">
        <is>
          <t>UST</t>
        </is>
      </c>
      <c r="M866" t="inlineStr"/>
      <c r="N866" t="inlineStr"/>
      <c r="O866" s="1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s="1" t="inlineStr"/>
      <c r="AR866" s="1" t="inlineStr"/>
      <c r="AS866" s="1" t="inlineStr"/>
      <c r="AT866">
        <f>TEXT(BDP($B866,"MATURITY"),"yyyy-mm-dd")</f>
        <v/>
      </c>
      <c r="AU866">
        <f>BDP($B866,"CPN_TYP")</f>
        <v/>
      </c>
      <c r="AV866">
        <f>BDP($B866,"CPN")</f>
        <v/>
      </c>
      <c r="AW866" t="inlineStr"/>
      <c r="AX866" t="inlineStr"/>
      <c r="AY866" t="inlineStr"/>
    </row>
    <row r="867">
      <c r="A867" t="inlineStr">
        <is>
          <t>CUST</t>
        </is>
      </c>
      <c r="B867" t="inlineStr">
        <is>
          <t>91282CEW7 Govt</t>
        </is>
      </c>
      <c r="C867" s="1" t="inlineStr">
        <is>
          <t>91282CEW7</t>
        </is>
      </c>
      <c r="D867" t="inlineStr">
        <is>
          <t>United States Treasury Note/Bo</t>
        </is>
      </c>
      <c r="E867">
        <f>BDP($B867,"LEGAL_ENTITY_IDENTIFIER")</f>
        <v/>
      </c>
      <c r="F867" t="inlineStr">
        <is>
          <t>United States Treasury Note/Bond 3.25% 06/30/2027</t>
        </is>
      </c>
      <c r="G867">
        <f>custodian!D867</f>
        <v/>
      </c>
      <c r="H867">
        <f>BDP($B867,"ID_ISIN")</f>
        <v/>
      </c>
      <c r="I867" s="1" t="inlineStr"/>
      <c r="J867">
        <f>BDP($B867,"CNTRY_OF_DOMICILE")</f>
        <v/>
      </c>
      <c r="K867" t="inlineStr">
        <is>
          <t>DBT</t>
        </is>
      </c>
      <c r="L867" t="inlineStr">
        <is>
          <t>UST</t>
        </is>
      </c>
      <c r="M867" t="inlineStr"/>
      <c r="N867" t="inlineStr"/>
      <c r="O867" s="1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s="1" t="inlineStr"/>
      <c r="AR867" s="1" t="inlineStr"/>
      <c r="AS867" s="1" t="inlineStr"/>
      <c r="AT867">
        <f>TEXT(BDP($B867,"MATURITY"),"yyyy-mm-dd")</f>
        <v/>
      </c>
      <c r="AU867">
        <f>BDP($B867,"CPN_TYP")</f>
        <v/>
      </c>
      <c r="AV867">
        <f>BDP($B867,"CPN")</f>
        <v/>
      </c>
      <c r="AW867" t="inlineStr"/>
      <c r="AX867" t="inlineStr"/>
      <c r="AY867" t="inlineStr"/>
    </row>
    <row r="868">
      <c r="A868" t="inlineStr">
        <is>
          <t>CUST</t>
        </is>
      </c>
      <c r="B868" t="inlineStr">
        <is>
          <t>91282CFB2 Govt</t>
        </is>
      </c>
      <c r="C868" s="1" t="inlineStr">
        <is>
          <t>91282CFB2</t>
        </is>
      </c>
      <c r="D868" t="inlineStr">
        <is>
          <t>United States Treasury Note/Bo</t>
        </is>
      </c>
      <c r="E868">
        <f>BDP($B868,"LEGAL_ENTITY_IDENTIFIER")</f>
        <v/>
      </c>
      <c r="F868" t="inlineStr">
        <is>
          <t>United States Treasury Note/Bond 2.75% 07/31/2027</t>
        </is>
      </c>
      <c r="G868">
        <f>custodian!D868</f>
        <v/>
      </c>
      <c r="H868">
        <f>BDP($B868,"ID_ISIN")</f>
        <v/>
      </c>
      <c r="I868" s="1" t="inlineStr"/>
      <c r="J868">
        <f>BDP($B868,"CNTRY_OF_DOMICILE")</f>
        <v/>
      </c>
      <c r="K868" t="inlineStr">
        <is>
          <t>DBT</t>
        </is>
      </c>
      <c r="L868" t="inlineStr">
        <is>
          <t>UST</t>
        </is>
      </c>
      <c r="M868" t="inlineStr"/>
      <c r="N868" t="inlineStr"/>
      <c r="O868" s="1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s="1" t="inlineStr"/>
      <c r="AR868" s="1" t="inlineStr"/>
      <c r="AS868" s="1" t="inlineStr"/>
      <c r="AT868">
        <f>TEXT(BDP($B868,"MATURITY"),"yyyy-mm-dd")</f>
        <v/>
      </c>
      <c r="AU868">
        <f>BDP($B868,"CPN_TYP")</f>
        <v/>
      </c>
      <c r="AV868">
        <f>BDP($B868,"CPN")</f>
        <v/>
      </c>
      <c r="AW868" t="inlineStr"/>
      <c r="AX868" t="inlineStr"/>
      <c r="AY868" t="inlineStr"/>
    </row>
    <row r="869">
      <c r="A869" t="inlineStr">
        <is>
          <t>CUST</t>
        </is>
      </c>
      <c r="B869" t="inlineStr">
        <is>
          <t>91282CFH9 Govt</t>
        </is>
      </c>
      <c r="C869" s="1" t="inlineStr">
        <is>
          <t>91282CFH9</t>
        </is>
      </c>
      <c r="D869" t="inlineStr">
        <is>
          <t>United States Treasury Note/Bo</t>
        </is>
      </c>
      <c r="E869">
        <f>BDP($B869,"LEGAL_ENTITY_IDENTIFIER")</f>
        <v/>
      </c>
      <c r="F869" t="inlineStr">
        <is>
          <t>United States Treasury Note/Bond 3.125% 08/31/2027</t>
        </is>
      </c>
      <c r="G869">
        <f>custodian!D869</f>
        <v/>
      </c>
      <c r="H869">
        <f>BDP($B869,"ID_ISIN")</f>
        <v/>
      </c>
      <c r="I869" s="1" t="inlineStr"/>
      <c r="J869">
        <f>BDP($B869,"CNTRY_OF_DOMICILE")</f>
        <v/>
      </c>
      <c r="K869" t="inlineStr">
        <is>
          <t>DBT</t>
        </is>
      </c>
      <c r="L869" t="inlineStr">
        <is>
          <t>UST</t>
        </is>
      </c>
      <c r="M869" t="inlineStr"/>
      <c r="N869" t="inlineStr"/>
      <c r="O869" s="1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s="1" t="inlineStr"/>
      <c r="AR869" s="1" t="inlineStr"/>
      <c r="AS869" s="1" t="inlineStr"/>
      <c r="AT869">
        <f>TEXT(BDP($B869,"MATURITY"),"yyyy-mm-dd")</f>
        <v/>
      </c>
      <c r="AU869">
        <f>BDP($B869,"CPN_TYP")</f>
        <v/>
      </c>
      <c r="AV869">
        <f>BDP($B869,"CPN")</f>
        <v/>
      </c>
      <c r="AW869" t="inlineStr"/>
      <c r="AX869" t="inlineStr"/>
      <c r="AY869" t="inlineStr"/>
    </row>
    <row r="870">
      <c r="A870" t="inlineStr">
        <is>
          <t>CUST</t>
        </is>
      </c>
      <c r="B870" t="inlineStr">
        <is>
          <t>91282CFM8 Govt</t>
        </is>
      </c>
      <c r="C870" s="1" t="inlineStr">
        <is>
          <t>91282CFM8</t>
        </is>
      </c>
      <c r="D870" t="inlineStr">
        <is>
          <t>United States Treasury Note/Bo</t>
        </is>
      </c>
      <c r="E870">
        <f>BDP($B870,"LEGAL_ENTITY_IDENTIFIER")</f>
        <v/>
      </c>
      <c r="F870" t="inlineStr">
        <is>
          <t>United States Treasury Note/Bond 4.125% 09/30/2027</t>
        </is>
      </c>
      <c r="G870">
        <f>custodian!D870</f>
        <v/>
      </c>
      <c r="H870">
        <f>BDP($B870,"ID_ISIN")</f>
        <v/>
      </c>
      <c r="I870" s="1" t="inlineStr"/>
      <c r="J870">
        <f>BDP($B870,"CNTRY_OF_DOMICILE")</f>
        <v/>
      </c>
      <c r="K870" t="inlineStr">
        <is>
          <t>DBT</t>
        </is>
      </c>
      <c r="L870" t="inlineStr">
        <is>
          <t>UST</t>
        </is>
      </c>
      <c r="M870" t="inlineStr"/>
      <c r="N870" t="inlineStr"/>
      <c r="O870" s="1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s="1" t="inlineStr"/>
      <c r="AR870" s="1" t="inlineStr"/>
      <c r="AS870" s="1" t="inlineStr"/>
      <c r="AT870">
        <f>TEXT(BDP($B870,"MATURITY"),"yyyy-mm-dd")</f>
        <v/>
      </c>
      <c r="AU870">
        <f>BDP($B870,"CPN_TYP")</f>
        <v/>
      </c>
      <c r="AV870">
        <f>BDP($B870,"CPN")</f>
        <v/>
      </c>
      <c r="AW870" t="inlineStr"/>
      <c r="AX870" t="inlineStr"/>
      <c r="AY870" t="inlineStr"/>
    </row>
    <row r="871">
      <c r="A871" t="inlineStr">
        <is>
          <t>CUST</t>
        </is>
      </c>
      <c r="B871" t="inlineStr">
        <is>
          <t>91282CFU0 Govt</t>
        </is>
      </c>
      <c r="C871" s="1" t="inlineStr">
        <is>
          <t>91282CFU0</t>
        </is>
      </c>
      <c r="D871" t="inlineStr">
        <is>
          <t>United States Treasury Note/Bo</t>
        </is>
      </c>
      <c r="E871">
        <f>BDP($B871,"LEGAL_ENTITY_IDENTIFIER")</f>
        <v/>
      </c>
      <c r="F871" t="inlineStr">
        <is>
          <t>United States Treasury Note/Bond 4.125% 10/31/2027</t>
        </is>
      </c>
      <c r="G871">
        <f>custodian!D871</f>
        <v/>
      </c>
      <c r="H871">
        <f>BDP($B871,"ID_ISIN")</f>
        <v/>
      </c>
      <c r="I871" s="1" t="inlineStr"/>
      <c r="J871">
        <f>BDP($B871,"CNTRY_OF_DOMICILE")</f>
        <v/>
      </c>
      <c r="K871" t="inlineStr">
        <is>
          <t>DBT</t>
        </is>
      </c>
      <c r="L871" t="inlineStr">
        <is>
          <t>UST</t>
        </is>
      </c>
      <c r="M871" t="inlineStr"/>
      <c r="N871" t="inlineStr"/>
      <c r="O871" s="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s="1" t="inlineStr"/>
      <c r="AR871" s="1" t="inlineStr"/>
      <c r="AS871" s="1" t="inlineStr"/>
      <c r="AT871">
        <f>TEXT(BDP($B871,"MATURITY"),"yyyy-mm-dd")</f>
        <v/>
      </c>
      <c r="AU871">
        <f>BDP($B871,"CPN_TYP")</f>
        <v/>
      </c>
      <c r="AV871">
        <f>BDP($B871,"CPN")</f>
        <v/>
      </c>
      <c r="AW871" t="inlineStr"/>
      <c r="AX871" t="inlineStr"/>
      <c r="AY871" t="inlineStr"/>
    </row>
    <row r="872">
      <c r="A872" t="inlineStr">
        <is>
          <t>CUST</t>
        </is>
      </c>
      <c r="B872" t="inlineStr">
        <is>
          <t>91282CFZ9 Govt</t>
        </is>
      </c>
      <c r="C872" s="1" t="inlineStr">
        <is>
          <t>91282CFZ9</t>
        </is>
      </c>
      <c r="D872" t="inlineStr">
        <is>
          <t>United States Treasury Note/Bo</t>
        </is>
      </c>
      <c r="E872">
        <f>BDP($B872,"LEGAL_ENTITY_IDENTIFIER")</f>
        <v/>
      </c>
      <c r="F872" t="inlineStr">
        <is>
          <t>United States Treasury Note/Bond 3.875% 11/30/2027</t>
        </is>
      </c>
      <c r="G872">
        <f>custodian!D872</f>
        <v/>
      </c>
      <c r="H872">
        <f>BDP($B872,"ID_ISIN")</f>
        <v/>
      </c>
      <c r="I872" s="1" t="inlineStr"/>
      <c r="J872">
        <f>BDP($B872,"CNTRY_OF_DOMICILE")</f>
        <v/>
      </c>
      <c r="K872" t="inlineStr">
        <is>
          <t>DBT</t>
        </is>
      </c>
      <c r="L872" t="inlineStr">
        <is>
          <t>UST</t>
        </is>
      </c>
      <c r="M872" t="inlineStr"/>
      <c r="N872" t="inlineStr"/>
      <c r="O872" s="1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s="1" t="inlineStr"/>
      <c r="AR872" s="1" t="inlineStr"/>
      <c r="AS872" s="1" t="inlineStr"/>
      <c r="AT872">
        <f>TEXT(BDP($B872,"MATURITY"),"yyyy-mm-dd")</f>
        <v/>
      </c>
      <c r="AU872">
        <f>BDP($B872,"CPN_TYP")</f>
        <v/>
      </c>
      <c r="AV872">
        <f>BDP($B872,"CPN")</f>
        <v/>
      </c>
      <c r="AW872" t="inlineStr"/>
      <c r="AX872" t="inlineStr"/>
      <c r="AY872" t="inlineStr"/>
    </row>
    <row r="873">
      <c r="A873" t="inlineStr">
        <is>
          <t>CUST</t>
        </is>
      </c>
      <c r="B873" t="inlineStr">
        <is>
          <t>91282CGC9 Govt</t>
        </is>
      </c>
      <c r="C873" s="1" t="inlineStr">
        <is>
          <t>91282CGC9</t>
        </is>
      </c>
      <c r="D873" t="inlineStr">
        <is>
          <t>United States Treasury Note/Bo</t>
        </is>
      </c>
      <c r="E873">
        <f>BDP($B873,"LEGAL_ENTITY_IDENTIFIER")</f>
        <v/>
      </c>
      <c r="F873" t="inlineStr">
        <is>
          <t>United States Treasury Note/Bond 3.875% 12/31/2027</t>
        </is>
      </c>
      <c r="G873">
        <f>custodian!D873</f>
        <v/>
      </c>
      <c r="H873">
        <f>BDP($B873,"ID_ISIN")</f>
        <v/>
      </c>
      <c r="I873" s="1" t="inlineStr"/>
      <c r="J873">
        <f>BDP($B873,"CNTRY_OF_DOMICILE")</f>
        <v/>
      </c>
      <c r="K873" t="inlineStr">
        <is>
          <t>DBT</t>
        </is>
      </c>
      <c r="L873" t="inlineStr">
        <is>
          <t>UST</t>
        </is>
      </c>
      <c r="M873" t="inlineStr"/>
      <c r="N873" t="inlineStr"/>
      <c r="O873" s="1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s="1" t="inlineStr"/>
      <c r="AR873" s="1" t="inlineStr"/>
      <c r="AS873" s="1" t="inlineStr"/>
      <c r="AT873">
        <f>TEXT(BDP($B873,"MATURITY"),"yyyy-mm-dd")</f>
        <v/>
      </c>
      <c r="AU873">
        <f>BDP($B873,"CPN_TYP")</f>
        <v/>
      </c>
      <c r="AV873">
        <f>BDP($B873,"CPN")</f>
        <v/>
      </c>
      <c r="AW873" t="inlineStr"/>
      <c r="AX873" t="inlineStr"/>
      <c r="AY873" t="inlineStr"/>
    </row>
    <row r="874">
      <c r="A874" t="inlineStr">
        <is>
          <t>CUST</t>
        </is>
      </c>
      <c r="B874" t="inlineStr">
        <is>
          <t>91282CGH8 Govt</t>
        </is>
      </c>
      <c r="C874" s="1" t="inlineStr">
        <is>
          <t>91282CGH8</t>
        </is>
      </c>
      <c r="D874" t="inlineStr">
        <is>
          <t>United States Treasury Note/Bo</t>
        </is>
      </c>
      <c r="E874">
        <f>BDP($B874,"LEGAL_ENTITY_IDENTIFIER")</f>
        <v/>
      </c>
      <c r="F874" t="inlineStr">
        <is>
          <t>United States Treasury Note/Bond 3.5% 01/31/2028</t>
        </is>
      </c>
      <c r="G874">
        <f>custodian!D874</f>
        <v/>
      </c>
      <c r="H874">
        <f>BDP($B874,"ID_ISIN")</f>
        <v/>
      </c>
      <c r="I874" s="1" t="inlineStr"/>
      <c r="J874">
        <f>BDP($B874,"CNTRY_OF_DOMICILE")</f>
        <v/>
      </c>
      <c r="K874" t="inlineStr">
        <is>
          <t>DBT</t>
        </is>
      </c>
      <c r="L874" t="inlineStr">
        <is>
          <t>UST</t>
        </is>
      </c>
      <c r="M874" t="inlineStr"/>
      <c r="N874" t="inlineStr"/>
      <c r="O874" s="1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s="1" t="inlineStr"/>
      <c r="AR874" s="1" t="inlineStr"/>
      <c r="AS874" s="1" t="inlineStr"/>
      <c r="AT874">
        <f>TEXT(BDP($B874,"MATURITY"),"yyyy-mm-dd")</f>
        <v/>
      </c>
      <c r="AU874">
        <f>BDP($B874,"CPN_TYP")</f>
        <v/>
      </c>
      <c r="AV874">
        <f>BDP($B874,"CPN")</f>
        <v/>
      </c>
      <c r="AW874" t="inlineStr"/>
      <c r="AX874" t="inlineStr"/>
      <c r="AY874" t="inlineStr"/>
    </row>
    <row r="875">
      <c r="A875" t="inlineStr">
        <is>
          <t>CUST</t>
        </is>
      </c>
      <c r="B875" t="inlineStr">
        <is>
          <t>91282CGP0 Govt</t>
        </is>
      </c>
      <c r="C875" s="1" t="inlineStr">
        <is>
          <t>91282CGP0</t>
        </is>
      </c>
      <c r="D875" t="inlineStr">
        <is>
          <t>United States Treasury Note/Bo</t>
        </is>
      </c>
      <c r="E875">
        <f>BDP($B875,"LEGAL_ENTITY_IDENTIFIER")</f>
        <v/>
      </c>
      <c r="F875" t="inlineStr">
        <is>
          <t>United States Treasury Note/Bond 4% 02/29/2028</t>
        </is>
      </c>
      <c r="G875">
        <f>custodian!D875</f>
        <v/>
      </c>
      <c r="H875">
        <f>BDP($B875,"ID_ISIN")</f>
        <v/>
      </c>
      <c r="I875" s="1" t="inlineStr"/>
      <c r="J875">
        <f>BDP($B875,"CNTRY_OF_DOMICILE")</f>
        <v/>
      </c>
      <c r="K875" t="inlineStr">
        <is>
          <t>DBT</t>
        </is>
      </c>
      <c r="L875" t="inlineStr">
        <is>
          <t>UST</t>
        </is>
      </c>
      <c r="M875" t="inlineStr"/>
      <c r="N875" t="inlineStr"/>
      <c r="O875" s="1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s="1" t="inlineStr"/>
      <c r="AR875" s="1" t="inlineStr"/>
      <c r="AS875" s="1" t="inlineStr"/>
      <c r="AT875">
        <f>TEXT(BDP($B875,"MATURITY"),"yyyy-mm-dd")</f>
        <v/>
      </c>
      <c r="AU875">
        <f>BDP($B875,"CPN_TYP")</f>
        <v/>
      </c>
      <c r="AV875">
        <f>BDP($B875,"CPN")</f>
        <v/>
      </c>
      <c r="AW875" t="inlineStr"/>
      <c r="AX875" t="inlineStr"/>
      <c r="AY875" t="inlineStr"/>
    </row>
    <row r="876">
      <c r="A876" t="inlineStr">
        <is>
          <t>CUST</t>
        </is>
      </c>
      <c r="B876" t="inlineStr">
        <is>
          <t>91282CGT2 Govt</t>
        </is>
      </c>
      <c r="C876" s="1" t="inlineStr">
        <is>
          <t>91282CGT2</t>
        </is>
      </c>
      <c r="D876" t="inlineStr">
        <is>
          <t>United States Treasury Note/Bo</t>
        </is>
      </c>
      <c r="E876">
        <f>BDP($B876,"LEGAL_ENTITY_IDENTIFIER")</f>
        <v/>
      </c>
      <c r="F876" t="inlineStr">
        <is>
          <t>United States Treasury Note/Bond 3.625% 03/31/2028</t>
        </is>
      </c>
      <c r="G876">
        <f>custodian!D876</f>
        <v/>
      </c>
      <c r="H876">
        <f>BDP($B876,"ID_ISIN")</f>
        <v/>
      </c>
      <c r="I876" s="1" t="inlineStr"/>
      <c r="J876">
        <f>BDP($B876,"CNTRY_OF_DOMICILE")</f>
        <v/>
      </c>
      <c r="K876" t="inlineStr">
        <is>
          <t>DBT</t>
        </is>
      </c>
      <c r="L876" t="inlineStr">
        <is>
          <t>UST</t>
        </is>
      </c>
      <c r="M876" t="inlineStr"/>
      <c r="N876" t="inlineStr"/>
      <c r="O876" s="1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s="1" t="inlineStr"/>
      <c r="AR876" s="1" t="inlineStr"/>
      <c r="AS876" s="1" t="inlineStr"/>
      <c r="AT876">
        <f>TEXT(BDP($B876,"MATURITY"),"yyyy-mm-dd")</f>
        <v/>
      </c>
      <c r="AU876">
        <f>BDP($B876,"CPN_TYP")</f>
        <v/>
      </c>
      <c r="AV876">
        <f>BDP($B876,"CPN")</f>
        <v/>
      </c>
      <c r="AW876" t="inlineStr"/>
      <c r="AX876" t="inlineStr"/>
      <c r="AY876" t="inlineStr"/>
    </row>
    <row r="877">
      <c r="A877" t="inlineStr">
        <is>
          <t>CUST</t>
        </is>
      </c>
      <c r="B877" t="inlineStr">
        <is>
          <t>91282CHA2 Govt</t>
        </is>
      </c>
      <c r="C877" s="1" t="inlineStr">
        <is>
          <t>91282CHA2</t>
        </is>
      </c>
      <c r="D877" t="inlineStr">
        <is>
          <t>United States Treasury Note/Bo</t>
        </is>
      </c>
      <c r="E877">
        <f>BDP($B877,"LEGAL_ENTITY_IDENTIFIER")</f>
        <v/>
      </c>
      <c r="F877" t="inlineStr">
        <is>
          <t>United States Treasury Note/Bond 3.5% 04/30/2028</t>
        </is>
      </c>
      <c r="G877">
        <f>custodian!D877</f>
        <v/>
      </c>
      <c r="H877">
        <f>BDP($B877,"ID_ISIN")</f>
        <v/>
      </c>
      <c r="I877" s="1" t="inlineStr"/>
      <c r="J877">
        <f>BDP($B877,"CNTRY_OF_DOMICILE")</f>
        <v/>
      </c>
      <c r="K877" t="inlineStr">
        <is>
          <t>DBT</t>
        </is>
      </c>
      <c r="L877" t="inlineStr">
        <is>
          <t>UST</t>
        </is>
      </c>
      <c r="M877" t="inlineStr"/>
      <c r="N877" t="inlineStr"/>
      <c r="O877" s="1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s="1" t="inlineStr"/>
      <c r="AR877" s="1" t="inlineStr"/>
      <c r="AS877" s="1" t="inlineStr"/>
      <c r="AT877">
        <f>TEXT(BDP($B877,"MATURITY"),"yyyy-mm-dd")</f>
        <v/>
      </c>
      <c r="AU877">
        <f>BDP($B877,"CPN_TYP")</f>
        <v/>
      </c>
      <c r="AV877">
        <f>BDP($B877,"CPN")</f>
        <v/>
      </c>
      <c r="AW877" t="inlineStr"/>
      <c r="AX877" t="inlineStr"/>
      <c r="AY877" t="inlineStr"/>
    </row>
    <row r="878">
      <c r="A878" t="inlineStr">
        <is>
          <t>CUST</t>
        </is>
      </c>
      <c r="B878" t="inlineStr">
        <is>
          <t>91282CHE4 Govt</t>
        </is>
      </c>
      <c r="C878" s="1" t="inlineStr">
        <is>
          <t>91282CHE4</t>
        </is>
      </c>
      <c r="D878" t="inlineStr">
        <is>
          <t>United States Treasury Note/Bo</t>
        </is>
      </c>
      <c r="E878">
        <f>BDP($B878,"LEGAL_ENTITY_IDENTIFIER")</f>
        <v/>
      </c>
      <c r="F878" t="inlineStr">
        <is>
          <t>United States Treasury Note/Bond 3.625% 05/31/2028</t>
        </is>
      </c>
      <c r="G878">
        <f>custodian!D878</f>
        <v/>
      </c>
      <c r="H878">
        <f>BDP($B878,"ID_ISIN")</f>
        <v/>
      </c>
      <c r="I878" s="1" t="inlineStr"/>
      <c r="J878">
        <f>BDP($B878,"CNTRY_OF_DOMICILE")</f>
        <v/>
      </c>
      <c r="K878" t="inlineStr">
        <is>
          <t>DBT</t>
        </is>
      </c>
      <c r="L878" t="inlineStr">
        <is>
          <t>UST</t>
        </is>
      </c>
      <c r="M878" t="inlineStr"/>
      <c r="N878" t="inlineStr"/>
      <c r="O878" s="1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s="1" t="inlineStr"/>
      <c r="AR878" s="1" t="inlineStr"/>
      <c r="AS878" s="1" t="inlineStr"/>
      <c r="AT878">
        <f>TEXT(BDP($B878,"MATURITY"),"yyyy-mm-dd")</f>
        <v/>
      </c>
      <c r="AU878">
        <f>BDP($B878,"CPN_TYP")</f>
        <v/>
      </c>
      <c r="AV878">
        <f>BDP($B878,"CPN")</f>
        <v/>
      </c>
      <c r="AW878" t="inlineStr"/>
      <c r="AX878" t="inlineStr"/>
      <c r="AY878" t="inlineStr"/>
    </row>
    <row r="879">
      <c r="A879" t="inlineStr">
        <is>
          <t>CUST</t>
        </is>
      </c>
      <c r="B879" t="inlineStr">
        <is>
          <t>91282CHK0 Govt</t>
        </is>
      </c>
      <c r="C879" s="1" t="inlineStr">
        <is>
          <t>91282CHK0</t>
        </is>
      </c>
      <c r="D879" t="inlineStr">
        <is>
          <t>United States Treasury Note/Bo</t>
        </is>
      </c>
      <c r="E879">
        <f>BDP($B879,"LEGAL_ENTITY_IDENTIFIER")</f>
        <v/>
      </c>
      <c r="F879" t="inlineStr">
        <is>
          <t>United States Treasury Note/Bond 4% 06/30/2028</t>
        </is>
      </c>
      <c r="G879">
        <f>custodian!D879</f>
        <v/>
      </c>
      <c r="H879">
        <f>BDP($B879,"ID_ISIN")</f>
        <v/>
      </c>
      <c r="I879" s="1" t="inlineStr"/>
      <c r="J879">
        <f>BDP($B879,"CNTRY_OF_DOMICILE")</f>
        <v/>
      </c>
      <c r="K879" t="inlineStr">
        <is>
          <t>DBT</t>
        </is>
      </c>
      <c r="L879" t="inlineStr">
        <is>
          <t>UST</t>
        </is>
      </c>
      <c r="M879" t="inlineStr"/>
      <c r="N879" t="inlineStr"/>
      <c r="O879" s="1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s="1" t="inlineStr"/>
      <c r="AR879" s="1" t="inlineStr"/>
      <c r="AS879" s="1" t="inlineStr"/>
      <c r="AT879">
        <f>TEXT(BDP($B879,"MATURITY"),"yyyy-mm-dd")</f>
        <v/>
      </c>
      <c r="AU879">
        <f>BDP($B879,"CPN_TYP")</f>
        <v/>
      </c>
      <c r="AV879">
        <f>BDP($B879,"CPN")</f>
        <v/>
      </c>
      <c r="AW879" t="inlineStr"/>
      <c r="AX879" t="inlineStr"/>
      <c r="AY879" t="inlineStr"/>
    </row>
    <row r="880">
      <c r="A880" t="inlineStr">
        <is>
          <t>CUST</t>
        </is>
      </c>
      <c r="B880" t="inlineStr">
        <is>
          <t>91282CHQ7 Govt</t>
        </is>
      </c>
      <c r="C880" s="1" t="inlineStr">
        <is>
          <t>91282CHQ7</t>
        </is>
      </c>
      <c r="D880" t="inlineStr">
        <is>
          <t>United States Treasury Note/Bo</t>
        </is>
      </c>
      <c r="E880">
        <f>BDP($B880,"LEGAL_ENTITY_IDENTIFIER")</f>
        <v/>
      </c>
      <c r="F880" t="inlineStr">
        <is>
          <t>United States Treasury Note/Bond 4.125% 07/31/2028</t>
        </is>
      </c>
      <c r="G880">
        <f>custodian!D880</f>
        <v/>
      </c>
      <c r="H880">
        <f>BDP($B880,"ID_ISIN")</f>
        <v/>
      </c>
      <c r="I880" s="1" t="inlineStr"/>
      <c r="J880">
        <f>BDP($B880,"CNTRY_OF_DOMICILE")</f>
        <v/>
      </c>
      <c r="K880" t="inlineStr">
        <is>
          <t>DBT</t>
        </is>
      </c>
      <c r="L880" t="inlineStr">
        <is>
          <t>UST</t>
        </is>
      </c>
      <c r="M880" t="inlineStr"/>
      <c r="N880" t="inlineStr"/>
      <c r="O880" s="1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s="1" t="inlineStr"/>
      <c r="AR880" s="1" t="inlineStr"/>
      <c r="AS880" s="1" t="inlineStr"/>
      <c r="AT880">
        <f>TEXT(BDP($B880,"MATURITY"),"yyyy-mm-dd")</f>
        <v/>
      </c>
      <c r="AU880">
        <f>BDP($B880,"CPN_TYP")</f>
        <v/>
      </c>
      <c r="AV880">
        <f>BDP($B880,"CPN")</f>
        <v/>
      </c>
      <c r="AW880" t="inlineStr"/>
      <c r="AX880" t="inlineStr"/>
      <c r="AY880" t="inlineStr"/>
    </row>
    <row r="881">
      <c r="A881" t="inlineStr">
        <is>
          <t>CUST</t>
        </is>
      </c>
      <c r="B881" t="inlineStr">
        <is>
          <t>91282CHX2 Govt</t>
        </is>
      </c>
      <c r="C881" s="1" t="inlineStr">
        <is>
          <t>91282CHX2</t>
        </is>
      </c>
      <c r="D881" t="inlineStr">
        <is>
          <t>United States Treasury Note/Bo</t>
        </is>
      </c>
      <c r="E881">
        <f>BDP($B881,"LEGAL_ENTITY_IDENTIFIER")</f>
        <v/>
      </c>
      <c r="F881" t="inlineStr">
        <is>
          <t>United States Treasury Note/Bond 4.375% 08/31/2028</t>
        </is>
      </c>
      <c r="G881">
        <f>custodian!D881</f>
        <v/>
      </c>
      <c r="H881">
        <f>BDP($B881,"ID_ISIN")</f>
        <v/>
      </c>
      <c r="I881" s="1" t="inlineStr"/>
      <c r="J881">
        <f>BDP($B881,"CNTRY_OF_DOMICILE")</f>
        <v/>
      </c>
      <c r="K881" t="inlineStr">
        <is>
          <t>DBT</t>
        </is>
      </c>
      <c r="L881" t="inlineStr">
        <is>
          <t>UST</t>
        </is>
      </c>
      <c r="M881" t="inlineStr"/>
      <c r="N881" t="inlineStr"/>
      <c r="O881" s="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s="1" t="inlineStr"/>
      <c r="AR881" s="1" t="inlineStr"/>
      <c r="AS881" s="1" t="inlineStr"/>
      <c r="AT881">
        <f>TEXT(BDP($B881,"MATURITY"),"yyyy-mm-dd")</f>
        <v/>
      </c>
      <c r="AU881">
        <f>BDP($B881,"CPN_TYP")</f>
        <v/>
      </c>
      <c r="AV881">
        <f>BDP($B881,"CPN")</f>
        <v/>
      </c>
      <c r="AW881" t="inlineStr"/>
      <c r="AX881" t="inlineStr"/>
      <c r="AY881" t="inlineStr"/>
    </row>
    <row r="882">
      <c r="A882" t="inlineStr">
        <is>
          <t>CUST</t>
        </is>
      </c>
      <c r="B882" t="inlineStr">
        <is>
          <t>91282CJA0 Govt</t>
        </is>
      </c>
      <c r="C882" s="1" t="inlineStr">
        <is>
          <t>91282CJA0</t>
        </is>
      </c>
      <c r="D882" t="inlineStr">
        <is>
          <t>United States Treasury Note/Bo</t>
        </is>
      </c>
      <c r="E882">
        <f>BDP($B882,"LEGAL_ENTITY_IDENTIFIER")</f>
        <v/>
      </c>
      <c r="F882" t="inlineStr">
        <is>
          <t>United States Treasury Note/Bond 4.625% 09/30/2028</t>
        </is>
      </c>
      <c r="G882">
        <f>custodian!D882</f>
        <v/>
      </c>
      <c r="H882">
        <f>BDP($B882,"ID_ISIN")</f>
        <v/>
      </c>
      <c r="I882" s="1" t="inlineStr"/>
      <c r="J882">
        <f>BDP($B882,"CNTRY_OF_DOMICILE")</f>
        <v/>
      </c>
      <c r="K882" t="inlineStr">
        <is>
          <t>DBT</t>
        </is>
      </c>
      <c r="L882" t="inlineStr">
        <is>
          <t>UST</t>
        </is>
      </c>
      <c r="M882" t="inlineStr"/>
      <c r="N882" t="inlineStr"/>
      <c r="O882" s="1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s="1" t="inlineStr"/>
      <c r="AR882" s="1" t="inlineStr"/>
      <c r="AS882" s="1" t="inlineStr"/>
      <c r="AT882">
        <f>TEXT(BDP($B882,"MATURITY"),"yyyy-mm-dd")</f>
        <v/>
      </c>
      <c r="AU882">
        <f>BDP($B882,"CPN_TYP")</f>
        <v/>
      </c>
      <c r="AV882">
        <f>BDP($B882,"CPN")</f>
        <v/>
      </c>
      <c r="AW882" t="inlineStr"/>
      <c r="AX882" t="inlineStr"/>
      <c r="AY882" t="inlineStr"/>
    </row>
    <row r="883">
      <c r="A883" t="inlineStr">
        <is>
          <t>CUST</t>
        </is>
      </c>
      <c r="B883" t="inlineStr">
        <is>
          <t>91282CJF9 Govt</t>
        </is>
      </c>
      <c r="C883" s="1" t="inlineStr">
        <is>
          <t>91282CJF9</t>
        </is>
      </c>
      <c r="D883" t="inlineStr">
        <is>
          <t>United States Treasury Note/Bo</t>
        </is>
      </c>
      <c r="E883">
        <f>BDP($B883,"LEGAL_ENTITY_IDENTIFIER")</f>
        <v/>
      </c>
      <c r="F883" t="inlineStr">
        <is>
          <t>United States Treasury Note/Bond 4.875% 10/31/2028</t>
        </is>
      </c>
      <c r="G883">
        <f>custodian!D883</f>
        <v/>
      </c>
      <c r="H883">
        <f>BDP($B883,"ID_ISIN")</f>
        <v/>
      </c>
      <c r="I883" s="1" t="inlineStr"/>
      <c r="J883">
        <f>BDP($B883,"CNTRY_OF_DOMICILE")</f>
        <v/>
      </c>
      <c r="K883" t="inlineStr">
        <is>
          <t>DBT</t>
        </is>
      </c>
      <c r="L883" t="inlineStr">
        <is>
          <t>UST</t>
        </is>
      </c>
      <c r="M883" t="inlineStr"/>
      <c r="N883" t="inlineStr"/>
      <c r="O883" s="1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s="1" t="inlineStr"/>
      <c r="AR883" s="1" t="inlineStr"/>
      <c r="AS883" s="1" t="inlineStr"/>
      <c r="AT883">
        <f>TEXT(BDP($B883,"MATURITY"),"yyyy-mm-dd")</f>
        <v/>
      </c>
      <c r="AU883">
        <f>BDP($B883,"CPN_TYP")</f>
        <v/>
      </c>
      <c r="AV883">
        <f>BDP($B883,"CPN")</f>
        <v/>
      </c>
      <c r="AW883" t="inlineStr"/>
      <c r="AX883" t="inlineStr"/>
      <c r="AY883" t="inlineStr"/>
    </row>
    <row r="884">
      <c r="A884" t="inlineStr">
        <is>
          <t>CUST</t>
        </is>
      </c>
      <c r="B884" t="inlineStr">
        <is>
          <t>91282CJN2 Govt</t>
        </is>
      </c>
      <c r="C884" s="1" t="inlineStr">
        <is>
          <t>91282CJN2</t>
        </is>
      </c>
      <c r="D884" t="inlineStr">
        <is>
          <t>United States Treasury Note/Bo</t>
        </is>
      </c>
      <c r="E884">
        <f>BDP($B884,"LEGAL_ENTITY_IDENTIFIER")</f>
        <v/>
      </c>
      <c r="F884" t="inlineStr">
        <is>
          <t>United States Treasury Note/Bond 4.375% 11/30/2028</t>
        </is>
      </c>
      <c r="G884">
        <f>custodian!D884</f>
        <v/>
      </c>
      <c r="H884">
        <f>BDP($B884,"ID_ISIN")</f>
        <v/>
      </c>
      <c r="I884" s="1" t="inlineStr"/>
      <c r="J884">
        <f>BDP($B884,"CNTRY_OF_DOMICILE")</f>
        <v/>
      </c>
      <c r="K884" t="inlineStr">
        <is>
          <t>DBT</t>
        </is>
      </c>
      <c r="L884" t="inlineStr">
        <is>
          <t>UST</t>
        </is>
      </c>
      <c r="M884" t="inlineStr"/>
      <c r="N884" t="inlineStr"/>
      <c r="O884" s="1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s="1" t="inlineStr"/>
      <c r="AR884" s="1" t="inlineStr"/>
      <c r="AS884" s="1" t="inlineStr"/>
      <c r="AT884">
        <f>TEXT(BDP($B884,"MATURITY"),"yyyy-mm-dd")</f>
        <v/>
      </c>
      <c r="AU884">
        <f>BDP($B884,"CPN_TYP")</f>
        <v/>
      </c>
      <c r="AV884">
        <f>BDP($B884,"CPN")</f>
        <v/>
      </c>
      <c r="AW884" t="inlineStr"/>
      <c r="AX884" t="inlineStr"/>
      <c r="AY884" t="inlineStr"/>
    </row>
    <row r="885">
      <c r="A885" t="inlineStr">
        <is>
          <t>CUST</t>
        </is>
      </c>
      <c r="B885" t="inlineStr">
        <is>
          <t>91282CJR3 Govt</t>
        </is>
      </c>
      <c r="C885" s="1" t="inlineStr">
        <is>
          <t>91282CJR3</t>
        </is>
      </c>
      <c r="D885" t="inlineStr">
        <is>
          <t>United States Treasury Note/Bo</t>
        </is>
      </c>
      <c r="E885">
        <f>BDP($B885,"LEGAL_ENTITY_IDENTIFIER")</f>
        <v/>
      </c>
      <c r="F885" t="inlineStr">
        <is>
          <t>United States Treasury Note/Bond 3.75% 12/31/2028</t>
        </is>
      </c>
      <c r="G885">
        <f>custodian!D885</f>
        <v/>
      </c>
      <c r="H885">
        <f>BDP($B885,"ID_ISIN")</f>
        <v/>
      </c>
      <c r="I885" s="1" t="inlineStr"/>
      <c r="J885">
        <f>BDP($B885,"CNTRY_OF_DOMICILE")</f>
        <v/>
      </c>
      <c r="K885" t="inlineStr">
        <is>
          <t>DBT</t>
        </is>
      </c>
      <c r="L885" t="inlineStr">
        <is>
          <t>UST</t>
        </is>
      </c>
      <c r="M885" t="inlineStr"/>
      <c r="N885" t="inlineStr"/>
      <c r="O885" s="1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s="1" t="inlineStr"/>
      <c r="AR885" s="1" t="inlineStr"/>
      <c r="AS885" s="1" t="inlineStr"/>
      <c r="AT885">
        <f>TEXT(BDP($B885,"MATURITY"),"yyyy-mm-dd")</f>
        <v/>
      </c>
      <c r="AU885">
        <f>BDP($B885,"CPN_TYP")</f>
        <v/>
      </c>
      <c r="AV885">
        <f>BDP($B885,"CPN")</f>
        <v/>
      </c>
      <c r="AW885" t="inlineStr"/>
      <c r="AX885" t="inlineStr"/>
      <c r="AY885" t="inlineStr"/>
    </row>
    <row r="886">
      <c r="A886" t="inlineStr">
        <is>
          <t>CUST</t>
        </is>
      </c>
      <c r="B886" t="inlineStr">
        <is>
          <t>91282CJW2 Govt</t>
        </is>
      </c>
      <c r="C886" s="1" t="inlineStr">
        <is>
          <t>91282CJW2</t>
        </is>
      </c>
      <c r="D886" t="inlineStr">
        <is>
          <t>United States Treasury Note/Bo</t>
        </is>
      </c>
      <c r="E886">
        <f>BDP($B886,"LEGAL_ENTITY_IDENTIFIER")</f>
        <v/>
      </c>
      <c r="F886" t="inlineStr">
        <is>
          <t>United States Treasury Note/Bond 4% 01/31/2029</t>
        </is>
      </c>
      <c r="G886">
        <f>custodian!D886</f>
        <v/>
      </c>
      <c r="H886">
        <f>BDP($B886,"ID_ISIN")</f>
        <v/>
      </c>
      <c r="I886" s="1" t="inlineStr"/>
      <c r="J886">
        <f>BDP($B886,"CNTRY_OF_DOMICILE")</f>
        <v/>
      </c>
      <c r="K886" t="inlineStr">
        <is>
          <t>DBT</t>
        </is>
      </c>
      <c r="L886" t="inlineStr">
        <is>
          <t>UST</t>
        </is>
      </c>
      <c r="M886" t="inlineStr"/>
      <c r="N886" t="inlineStr"/>
      <c r="O886" s="1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s="1" t="inlineStr"/>
      <c r="AR886" s="1" t="inlineStr"/>
      <c r="AS886" s="1" t="inlineStr"/>
      <c r="AT886">
        <f>TEXT(BDP($B886,"MATURITY"),"yyyy-mm-dd")</f>
        <v/>
      </c>
      <c r="AU886">
        <f>BDP($B886,"CPN_TYP")</f>
        <v/>
      </c>
      <c r="AV886">
        <f>BDP($B886,"CPN")</f>
        <v/>
      </c>
      <c r="AW886" t="inlineStr"/>
      <c r="AX886" t="inlineStr"/>
      <c r="AY886" t="inlineStr"/>
    </row>
    <row r="887">
      <c r="A887" t="inlineStr">
        <is>
          <t>CUST</t>
        </is>
      </c>
      <c r="B887" t="inlineStr">
        <is>
          <t>91282CKD2 Govt</t>
        </is>
      </c>
      <c r="C887" s="1" t="inlineStr">
        <is>
          <t>91282CKD2</t>
        </is>
      </c>
      <c r="D887" t="inlineStr">
        <is>
          <t>United States Treasury Note/Bo</t>
        </is>
      </c>
      <c r="E887">
        <f>BDP($B887,"LEGAL_ENTITY_IDENTIFIER")</f>
        <v/>
      </c>
      <c r="F887" t="inlineStr">
        <is>
          <t>United States Treasury Note/Bond 4.25% 02/28/2029</t>
        </is>
      </c>
      <c r="G887">
        <f>custodian!D887</f>
        <v/>
      </c>
      <c r="H887">
        <f>BDP($B887,"ID_ISIN")</f>
        <v/>
      </c>
      <c r="I887" s="1" t="inlineStr"/>
      <c r="J887">
        <f>BDP($B887,"CNTRY_OF_DOMICILE")</f>
        <v/>
      </c>
      <c r="K887" t="inlineStr">
        <is>
          <t>DBT</t>
        </is>
      </c>
      <c r="L887" t="inlineStr">
        <is>
          <t>UST</t>
        </is>
      </c>
      <c r="M887" t="inlineStr"/>
      <c r="N887" t="inlineStr"/>
      <c r="O887" s="1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s="1" t="inlineStr"/>
      <c r="AR887" s="1" t="inlineStr"/>
      <c r="AS887" s="1" t="inlineStr"/>
      <c r="AT887">
        <f>TEXT(BDP($B887,"MATURITY"),"yyyy-mm-dd")</f>
        <v/>
      </c>
      <c r="AU887">
        <f>BDP($B887,"CPN_TYP")</f>
        <v/>
      </c>
      <c r="AV887">
        <f>BDP($B887,"CPN")</f>
        <v/>
      </c>
      <c r="AW887" t="inlineStr"/>
      <c r="AX887" t="inlineStr"/>
      <c r="AY887" t="inlineStr"/>
    </row>
    <row r="888">
      <c r="A888" t="inlineStr">
        <is>
          <t>CUST</t>
        </is>
      </c>
      <c r="B888" t="inlineStr">
        <is>
          <t>91282CKG5 Govt</t>
        </is>
      </c>
      <c r="C888" s="1" t="inlineStr">
        <is>
          <t>91282CKG5</t>
        </is>
      </c>
      <c r="D888" t="inlineStr">
        <is>
          <t>United States Treasury Note/Bo</t>
        </is>
      </c>
      <c r="E888">
        <f>BDP($B888,"LEGAL_ENTITY_IDENTIFIER")</f>
        <v/>
      </c>
      <c r="F888" t="inlineStr">
        <is>
          <t>United States Treasury Note/Bond 4.125% 03/31/2029</t>
        </is>
      </c>
      <c r="G888">
        <f>custodian!D888</f>
        <v/>
      </c>
      <c r="H888">
        <f>BDP($B888,"ID_ISIN")</f>
        <v/>
      </c>
      <c r="I888" s="1" t="inlineStr"/>
      <c r="J888">
        <f>BDP($B888,"CNTRY_OF_DOMICILE")</f>
        <v/>
      </c>
      <c r="K888" t="inlineStr">
        <is>
          <t>DBT</t>
        </is>
      </c>
      <c r="L888" t="inlineStr">
        <is>
          <t>UST</t>
        </is>
      </c>
      <c r="M888" t="inlineStr"/>
      <c r="N888" t="inlineStr"/>
      <c r="O888" s="1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s="1" t="inlineStr"/>
      <c r="AR888" s="1" t="inlineStr"/>
      <c r="AS888" s="1" t="inlineStr"/>
      <c r="AT888">
        <f>TEXT(BDP($B888,"MATURITY"),"yyyy-mm-dd")</f>
        <v/>
      </c>
      <c r="AU888">
        <f>BDP($B888,"CPN_TYP")</f>
        <v/>
      </c>
      <c r="AV888">
        <f>BDP($B888,"CPN")</f>
        <v/>
      </c>
      <c r="AW888" t="inlineStr"/>
      <c r="AX888" t="inlineStr"/>
      <c r="AY888" t="inlineStr"/>
    </row>
    <row r="889">
      <c r="A889" t="inlineStr">
        <is>
          <t>CUST</t>
        </is>
      </c>
      <c r="B889" t="inlineStr">
        <is>
          <t>91282CKP5 Govt</t>
        </is>
      </c>
      <c r="C889" s="1" t="inlineStr">
        <is>
          <t>91282CKP5</t>
        </is>
      </c>
      <c r="D889" t="inlineStr">
        <is>
          <t>United States Treasury Note/Bo</t>
        </is>
      </c>
      <c r="E889">
        <f>BDP($B889,"LEGAL_ENTITY_IDENTIFIER")</f>
        <v/>
      </c>
      <c r="F889" t="inlineStr">
        <is>
          <t>United States Treasury Note/Bond 4.625% 04/30/2029</t>
        </is>
      </c>
      <c r="G889">
        <f>custodian!D889</f>
        <v/>
      </c>
      <c r="H889">
        <f>BDP($B889,"ID_ISIN")</f>
        <v/>
      </c>
      <c r="I889" s="1" t="inlineStr"/>
      <c r="J889">
        <f>BDP($B889,"CNTRY_OF_DOMICILE")</f>
        <v/>
      </c>
      <c r="K889" t="inlineStr">
        <is>
          <t>DBT</t>
        </is>
      </c>
      <c r="L889" t="inlineStr">
        <is>
          <t>UST</t>
        </is>
      </c>
      <c r="M889" t="inlineStr"/>
      <c r="N889" t="inlineStr"/>
      <c r="O889" s="1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s="1" t="inlineStr"/>
      <c r="AR889" s="1" t="inlineStr"/>
      <c r="AS889" s="1" t="inlineStr"/>
      <c r="AT889">
        <f>TEXT(BDP($B889,"MATURITY"),"yyyy-mm-dd")</f>
        <v/>
      </c>
      <c r="AU889">
        <f>BDP($B889,"CPN_TYP")</f>
        <v/>
      </c>
      <c r="AV889">
        <f>BDP($B889,"CPN")</f>
        <v/>
      </c>
      <c r="AW889" t="inlineStr"/>
      <c r="AX889" t="inlineStr"/>
      <c r="AY889" t="inlineStr"/>
    </row>
    <row r="890">
      <c r="A890" t="inlineStr">
        <is>
          <t>CUST</t>
        </is>
      </c>
      <c r="B890" t="inlineStr">
        <is>
          <t>91282CKV2 Govt</t>
        </is>
      </c>
      <c r="C890" s="1" t="inlineStr">
        <is>
          <t>91282CKV2</t>
        </is>
      </c>
      <c r="D890" t="inlineStr">
        <is>
          <t>United States Treasury Note/Bo</t>
        </is>
      </c>
      <c r="E890">
        <f>BDP($B890,"LEGAL_ENTITY_IDENTIFIER")</f>
        <v/>
      </c>
      <c r="F890" t="inlineStr">
        <is>
          <t>United States Treasury Note/Bond 4.625% 06/15/2027</t>
        </is>
      </c>
      <c r="G890">
        <f>custodian!D890</f>
        <v/>
      </c>
      <c r="H890">
        <f>BDP($B890,"ID_ISIN")</f>
        <v/>
      </c>
      <c r="I890" s="1" t="inlineStr"/>
      <c r="J890">
        <f>BDP($B890,"CNTRY_OF_DOMICILE")</f>
        <v/>
      </c>
      <c r="K890" t="inlineStr">
        <is>
          <t>DBT</t>
        </is>
      </c>
      <c r="L890" t="inlineStr">
        <is>
          <t>UST</t>
        </is>
      </c>
      <c r="M890" t="inlineStr"/>
      <c r="N890" t="inlineStr"/>
      <c r="O890" s="1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s="1" t="inlineStr"/>
      <c r="AR890" s="1" t="inlineStr"/>
      <c r="AS890" s="1" t="inlineStr"/>
      <c r="AT890">
        <f>TEXT(BDP($B890,"MATURITY"),"yyyy-mm-dd")</f>
        <v/>
      </c>
      <c r="AU890">
        <f>BDP($B890,"CPN_TYP")</f>
        <v/>
      </c>
      <c r="AV890">
        <f>BDP($B890,"CPN")</f>
        <v/>
      </c>
      <c r="AW890" t="inlineStr"/>
      <c r="AX890" t="inlineStr"/>
      <c r="AY890" t="inlineStr"/>
    </row>
    <row r="891">
      <c r="A891" t="inlineStr">
        <is>
          <t>CUST</t>
        </is>
      </c>
      <c r="B891" t="inlineStr">
        <is>
          <t>91282CKZ3 Govt</t>
        </is>
      </c>
      <c r="C891" s="1" t="inlineStr">
        <is>
          <t>91282CKZ3</t>
        </is>
      </c>
      <c r="D891" t="inlineStr">
        <is>
          <t>United States Treasury Note/Bo</t>
        </is>
      </c>
      <c r="E891">
        <f>BDP($B891,"LEGAL_ENTITY_IDENTIFIER")</f>
        <v/>
      </c>
      <c r="F891" t="inlineStr">
        <is>
          <t>United States Treasury Note/Bond 4.375% 07/15/2027</t>
        </is>
      </c>
      <c r="G891">
        <f>custodian!D891</f>
        <v/>
      </c>
      <c r="H891">
        <f>BDP($B891,"ID_ISIN")</f>
        <v/>
      </c>
      <c r="I891" s="1" t="inlineStr"/>
      <c r="J891">
        <f>BDP($B891,"CNTRY_OF_DOMICILE")</f>
        <v/>
      </c>
      <c r="K891" t="inlineStr">
        <is>
          <t>DBT</t>
        </is>
      </c>
      <c r="L891" t="inlineStr">
        <is>
          <t>UST</t>
        </is>
      </c>
      <c r="M891" t="inlineStr"/>
      <c r="N891" t="inlineStr"/>
      <c r="O891" s="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s="1" t="inlineStr"/>
      <c r="AR891" s="1" t="inlineStr"/>
      <c r="AS891" s="1" t="inlineStr"/>
      <c r="AT891">
        <f>TEXT(BDP($B891,"MATURITY"),"yyyy-mm-dd")</f>
        <v/>
      </c>
      <c r="AU891">
        <f>BDP($B891,"CPN_TYP")</f>
        <v/>
      </c>
      <c r="AV891">
        <f>BDP($B891,"CPN")</f>
        <v/>
      </c>
      <c r="AW891" t="inlineStr"/>
      <c r="AX891" t="inlineStr"/>
      <c r="AY891" t="inlineStr"/>
    </row>
    <row r="892">
      <c r="A892" t="inlineStr">
        <is>
          <t>CUST</t>
        </is>
      </c>
      <c r="B892" t="inlineStr">
        <is>
          <t>91282CLG4 Govt</t>
        </is>
      </c>
      <c r="C892" s="1" t="inlineStr">
        <is>
          <t>91282CLG4</t>
        </is>
      </c>
      <c r="D892" t="inlineStr">
        <is>
          <t>United States Treasury Note/Bo</t>
        </is>
      </c>
      <c r="E892">
        <f>BDP($B892,"LEGAL_ENTITY_IDENTIFIER")</f>
        <v/>
      </c>
      <c r="F892" t="inlineStr">
        <is>
          <t>United States Treasury Note/Bond 3.75% 08/15/2027</t>
        </is>
      </c>
      <c r="G892">
        <f>custodian!D892</f>
        <v/>
      </c>
      <c r="H892">
        <f>BDP($B892,"ID_ISIN")</f>
        <v/>
      </c>
      <c r="I892" s="1" t="inlineStr"/>
      <c r="J892">
        <f>BDP($B892,"CNTRY_OF_DOMICILE")</f>
        <v/>
      </c>
      <c r="K892" t="inlineStr">
        <is>
          <t>DBT</t>
        </is>
      </c>
      <c r="L892" t="inlineStr">
        <is>
          <t>UST</t>
        </is>
      </c>
      <c r="M892" t="inlineStr"/>
      <c r="N892" t="inlineStr"/>
      <c r="O892" s="1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s="1" t="inlineStr"/>
      <c r="AR892" s="1" t="inlineStr"/>
      <c r="AS892" s="1" t="inlineStr"/>
      <c r="AT892">
        <f>TEXT(BDP($B892,"MATURITY"),"yyyy-mm-dd")</f>
        <v/>
      </c>
      <c r="AU892">
        <f>BDP($B892,"CPN_TYP")</f>
        <v/>
      </c>
      <c r="AV892">
        <f>BDP($B892,"CPN")</f>
        <v/>
      </c>
      <c r="AW892" t="inlineStr"/>
      <c r="AX892" t="inlineStr"/>
      <c r="AY892" t="inlineStr"/>
    </row>
    <row r="893">
      <c r="A893" t="inlineStr">
        <is>
          <t>CUST</t>
        </is>
      </c>
      <c r="B893" t="inlineStr">
        <is>
          <t>91282CLL3 Govt</t>
        </is>
      </c>
      <c r="C893" s="1" t="inlineStr">
        <is>
          <t>91282CLL3</t>
        </is>
      </c>
      <c r="D893" t="inlineStr">
        <is>
          <t>United States Treasury Note/Bo</t>
        </is>
      </c>
      <c r="E893">
        <f>BDP($B893,"LEGAL_ENTITY_IDENTIFIER")</f>
        <v/>
      </c>
      <c r="F893" t="inlineStr">
        <is>
          <t>United States Treasury Note/Bond 3.375% 09/15/2027</t>
        </is>
      </c>
      <c r="G893">
        <f>custodian!D893</f>
        <v/>
      </c>
      <c r="H893">
        <f>BDP($B893,"ID_ISIN")</f>
        <v/>
      </c>
      <c r="I893" s="1" t="inlineStr"/>
      <c r="J893">
        <f>BDP($B893,"CNTRY_OF_DOMICILE")</f>
        <v/>
      </c>
      <c r="K893" t="inlineStr">
        <is>
          <t>DBT</t>
        </is>
      </c>
      <c r="L893" t="inlineStr">
        <is>
          <t>UST</t>
        </is>
      </c>
      <c r="M893" t="inlineStr"/>
      <c r="N893" t="inlineStr"/>
      <c r="O893" s="1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s="1" t="inlineStr"/>
      <c r="AR893" s="1" t="inlineStr"/>
      <c r="AS893" s="1" t="inlineStr"/>
      <c r="AT893">
        <f>TEXT(BDP($B893,"MATURITY"),"yyyy-mm-dd")</f>
        <v/>
      </c>
      <c r="AU893">
        <f>BDP($B893,"CPN_TYP")</f>
        <v/>
      </c>
      <c r="AV893">
        <f>BDP($B893,"CPN")</f>
        <v/>
      </c>
      <c r="AW893" t="inlineStr"/>
      <c r="AX893" t="inlineStr"/>
      <c r="AY893" t="inlineStr"/>
    </row>
    <row r="894">
      <c r="A894" t="inlineStr">
        <is>
          <t>CUST</t>
        </is>
      </c>
      <c r="B894" t="inlineStr">
        <is>
          <t>91282CLQ2 Govt</t>
        </is>
      </c>
      <c r="C894" s="1" t="inlineStr">
        <is>
          <t>91282CLQ2</t>
        </is>
      </c>
      <c r="D894" t="inlineStr">
        <is>
          <t>United States Treasury Note/Bo</t>
        </is>
      </c>
      <c r="E894">
        <f>BDP($B894,"LEGAL_ENTITY_IDENTIFIER")</f>
        <v/>
      </c>
      <c r="F894" t="inlineStr">
        <is>
          <t>United States Treasury Note/Bond 3.875% 10/15/2027</t>
        </is>
      </c>
      <c r="G894">
        <f>custodian!D894</f>
        <v/>
      </c>
      <c r="H894">
        <f>BDP($B894,"ID_ISIN")</f>
        <v/>
      </c>
      <c r="I894" s="1" t="inlineStr"/>
      <c r="J894">
        <f>BDP($B894,"CNTRY_OF_DOMICILE")</f>
        <v/>
      </c>
      <c r="K894" t="inlineStr">
        <is>
          <t>DBT</t>
        </is>
      </c>
      <c r="L894" t="inlineStr">
        <is>
          <t>UST</t>
        </is>
      </c>
      <c r="M894" t="inlineStr"/>
      <c r="N894" t="inlineStr"/>
      <c r="O894" s="1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s="1" t="inlineStr"/>
      <c r="AR894" s="1" t="inlineStr"/>
      <c r="AS894" s="1" t="inlineStr"/>
      <c r="AT894">
        <f>TEXT(BDP($B894,"MATURITY"),"yyyy-mm-dd")</f>
        <v/>
      </c>
      <c r="AU894">
        <f>BDP($B894,"CPN_TYP")</f>
        <v/>
      </c>
      <c r="AV894">
        <f>BDP($B894,"CPN")</f>
        <v/>
      </c>
      <c r="AW894" t="inlineStr"/>
      <c r="AX894" t="inlineStr"/>
      <c r="AY894" t="inlineStr"/>
    </row>
    <row r="895">
      <c r="A895" t="inlineStr">
        <is>
          <t>CUST</t>
        </is>
      </c>
      <c r="B895" t="inlineStr">
        <is>
          <t>91282CLX7 Govt</t>
        </is>
      </c>
      <c r="C895" s="1" t="inlineStr">
        <is>
          <t>91282CLX7</t>
        </is>
      </c>
      <c r="D895" t="inlineStr">
        <is>
          <t>United States Treasury Note/Bo</t>
        </is>
      </c>
      <c r="E895">
        <f>BDP($B895,"LEGAL_ENTITY_IDENTIFIER")</f>
        <v/>
      </c>
      <c r="F895" t="inlineStr">
        <is>
          <t>United States Treasury Note/Bond 4.125% 11/15/2027</t>
        </is>
      </c>
      <c r="G895">
        <f>custodian!D895</f>
        <v/>
      </c>
      <c r="H895">
        <f>BDP($B895,"ID_ISIN")</f>
        <v/>
      </c>
      <c r="I895" s="1" t="inlineStr"/>
      <c r="J895">
        <f>BDP($B895,"CNTRY_OF_DOMICILE")</f>
        <v/>
      </c>
      <c r="K895" t="inlineStr">
        <is>
          <t>DBT</t>
        </is>
      </c>
      <c r="L895" t="inlineStr">
        <is>
          <t>UST</t>
        </is>
      </c>
      <c r="M895" t="inlineStr"/>
      <c r="N895" t="inlineStr"/>
      <c r="O895" s="1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s="1" t="inlineStr"/>
      <c r="AR895" s="1" t="inlineStr"/>
      <c r="AS895" s="1" t="inlineStr"/>
      <c r="AT895">
        <f>TEXT(BDP($B895,"MATURITY"),"yyyy-mm-dd")</f>
        <v/>
      </c>
      <c r="AU895">
        <f>BDP($B895,"CPN_TYP")</f>
        <v/>
      </c>
      <c r="AV895">
        <f>BDP($B895,"CPN")</f>
        <v/>
      </c>
      <c r="AW895" t="inlineStr"/>
      <c r="AX895" t="inlineStr"/>
      <c r="AY895" t="inlineStr"/>
    </row>
    <row r="896">
      <c r="A896" t="inlineStr">
        <is>
          <t>CUST</t>
        </is>
      </c>
      <c r="B896" t="inlineStr">
        <is>
          <t>91282CMB4 Govt</t>
        </is>
      </c>
      <c r="C896" s="1" t="inlineStr">
        <is>
          <t>91282CMB4</t>
        </is>
      </c>
      <c r="D896" t="inlineStr">
        <is>
          <t>United States Treasury Note/Bo</t>
        </is>
      </c>
      <c r="E896">
        <f>BDP($B896,"LEGAL_ENTITY_IDENTIFIER")</f>
        <v/>
      </c>
      <c r="F896" t="inlineStr">
        <is>
          <t>United States Treasury Note/Bond 4% 12/15/2027</t>
        </is>
      </c>
      <c r="G896">
        <f>custodian!D896</f>
        <v/>
      </c>
      <c r="H896">
        <f>BDP($B896,"ID_ISIN")</f>
        <v/>
      </c>
      <c r="I896" s="1" t="inlineStr"/>
      <c r="J896">
        <f>BDP($B896,"CNTRY_OF_DOMICILE")</f>
        <v/>
      </c>
      <c r="K896" t="inlineStr">
        <is>
          <t>DBT</t>
        </is>
      </c>
      <c r="L896" t="inlineStr">
        <is>
          <t>UST</t>
        </is>
      </c>
      <c r="M896" t="inlineStr"/>
      <c r="N896" t="inlineStr"/>
      <c r="O896" s="1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s="1" t="inlineStr"/>
      <c r="AR896" s="1" t="inlineStr"/>
      <c r="AS896" s="1" t="inlineStr"/>
      <c r="AT896">
        <f>TEXT(BDP($B896,"MATURITY"),"yyyy-mm-dd")</f>
        <v/>
      </c>
      <c r="AU896">
        <f>BDP($B896,"CPN_TYP")</f>
        <v/>
      </c>
      <c r="AV896">
        <f>BDP($B896,"CPN")</f>
        <v/>
      </c>
      <c r="AW896" t="inlineStr"/>
      <c r="AX896" t="inlineStr"/>
      <c r="AY896" t="inlineStr"/>
    </row>
    <row r="897">
      <c r="A897" t="inlineStr">
        <is>
          <t>CUST</t>
        </is>
      </c>
      <c r="B897" t="inlineStr">
        <is>
          <t>91282CMF5 Govt</t>
        </is>
      </c>
      <c r="C897" s="1" t="inlineStr">
        <is>
          <t>91282CMF5</t>
        </is>
      </c>
      <c r="D897" t="inlineStr">
        <is>
          <t>United States Treasury Note/Bo</t>
        </is>
      </c>
      <c r="E897">
        <f>BDP($B897,"LEGAL_ENTITY_IDENTIFIER")</f>
        <v/>
      </c>
      <c r="F897" t="inlineStr">
        <is>
          <t>United States Treasury Note/Bond 4.25% 01/15/2028</t>
        </is>
      </c>
      <c r="G897">
        <f>custodian!D897</f>
        <v/>
      </c>
      <c r="H897">
        <f>BDP($B897,"ID_ISIN")</f>
        <v/>
      </c>
      <c r="I897" s="1" t="inlineStr"/>
      <c r="J897">
        <f>BDP($B897,"CNTRY_OF_DOMICILE")</f>
        <v/>
      </c>
      <c r="K897" t="inlineStr">
        <is>
          <t>DBT</t>
        </is>
      </c>
      <c r="L897" t="inlineStr">
        <is>
          <t>UST</t>
        </is>
      </c>
      <c r="M897" t="inlineStr"/>
      <c r="N897" t="inlineStr"/>
      <c r="O897" s="1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s="1" t="inlineStr"/>
      <c r="AR897" s="1" t="inlineStr"/>
      <c r="AS897" s="1" t="inlineStr"/>
      <c r="AT897">
        <f>TEXT(BDP($B897,"MATURITY"),"yyyy-mm-dd")</f>
        <v/>
      </c>
      <c r="AU897">
        <f>BDP($B897,"CPN_TYP")</f>
        <v/>
      </c>
      <c r="AV897">
        <f>BDP($B897,"CPN")</f>
        <v/>
      </c>
      <c r="AW897" t="inlineStr"/>
      <c r="AX897" t="inlineStr"/>
      <c r="AY897" t="inlineStr"/>
    </row>
    <row r="898">
      <c r="A898" t="inlineStr">
        <is>
          <t>CUST</t>
        </is>
      </c>
      <c r="B898" t="inlineStr">
        <is>
          <t>91282CMN8 Govt</t>
        </is>
      </c>
      <c r="C898" s="1" t="inlineStr">
        <is>
          <t>91282CMN8</t>
        </is>
      </c>
      <c r="D898" t="inlineStr">
        <is>
          <t>United States Treasury Note/Bo</t>
        </is>
      </c>
      <c r="E898">
        <f>BDP($B898,"LEGAL_ENTITY_IDENTIFIER")</f>
        <v/>
      </c>
      <c r="F898" t="inlineStr">
        <is>
          <t>United States Treasury Note/Bond 4.25% 02/15/2028</t>
        </is>
      </c>
      <c r="G898">
        <f>custodian!D898</f>
        <v/>
      </c>
      <c r="H898">
        <f>BDP($B898,"ID_ISIN")</f>
        <v/>
      </c>
      <c r="I898" s="1" t="inlineStr"/>
      <c r="J898">
        <f>BDP($B898,"CNTRY_OF_DOMICILE")</f>
        <v/>
      </c>
      <c r="K898" t="inlineStr">
        <is>
          <t>DBT</t>
        </is>
      </c>
      <c r="L898" t="inlineStr">
        <is>
          <t>UST</t>
        </is>
      </c>
      <c r="M898" t="inlineStr"/>
      <c r="N898" t="inlineStr"/>
      <c r="O898" s="1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s="1" t="inlineStr"/>
      <c r="AR898" s="1" t="inlineStr"/>
      <c r="AS898" s="1" t="inlineStr"/>
      <c r="AT898">
        <f>TEXT(BDP($B898,"MATURITY"),"yyyy-mm-dd")</f>
        <v/>
      </c>
      <c r="AU898">
        <f>BDP($B898,"CPN_TYP")</f>
        <v/>
      </c>
      <c r="AV898">
        <f>BDP($B898,"CPN")</f>
        <v/>
      </c>
      <c r="AW898" t="inlineStr"/>
      <c r="AX898" t="inlineStr"/>
      <c r="AY898" t="inlineStr"/>
    </row>
    <row r="899">
      <c r="A899" t="inlineStr">
        <is>
          <t>CUST</t>
        </is>
      </c>
      <c r="B899" t="inlineStr">
        <is>
          <t>91282CMS7 Govt</t>
        </is>
      </c>
      <c r="C899" s="1" t="inlineStr">
        <is>
          <t>91282CMS7</t>
        </is>
      </c>
      <c r="D899" t="inlineStr">
        <is>
          <t>United States Treasury Note/Bo</t>
        </is>
      </c>
      <c r="E899">
        <f>BDP($B899,"LEGAL_ENTITY_IDENTIFIER")</f>
        <v/>
      </c>
      <c r="F899" t="inlineStr">
        <is>
          <t>United States Treasury Note/Bond 3.875% 03/15/2028</t>
        </is>
      </c>
      <c r="G899">
        <f>custodian!D899</f>
        <v/>
      </c>
      <c r="H899">
        <f>BDP($B899,"ID_ISIN")</f>
        <v/>
      </c>
      <c r="I899" s="1" t="inlineStr"/>
      <c r="J899">
        <f>BDP($B899,"CNTRY_OF_DOMICILE")</f>
        <v/>
      </c>
      <c r="K899" t="inlineStr">
        <is>
          <t>DBT</t>
        </is>
      </c>
      <c r="L899" t="inlineStr">
        <is>
          <t>UST</t>
        </is>
      </c>
      <c r="M899" t="inlineStr"/>
      <c r="N899" t="inlineStr"/>
      <c r="O899" s="1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s="1" t="inlineStr"/>
      <c r="AR899" s="1" t="inlineStr"/>
      <c r="AS899" s="1" t="inlineStr"/>
      <c r="AT899">
        <f>TEXT(BDP($B899,"MATURITY"),"yyyy-mm-dd")</f>
        <v/>
      </c>
      <c r="AU899">
        <f>BDP($B899,"CPN_TYP")</f>
        <v/>
      </c>
      <c r="AV899">
        <f>BDP($B899,"CPN")</f>
        <v/>
      </c>
      <c r="AW899" t="inlineStr"/>
      <c r="AX899" t="inlineStr"/>
      <c r="AY899" t="inlineStr"/>
    </row>
    <row r="900">
      <c r="A900" t="inlineStr">
        <is>
          <t>CUST</t>
        </is>
      </c>
      <c r="B900" t="inlineStr">
        <is>
          <t>91282CMW8 Govt</t>
        </is>
      </c>
      <c r="C900" s="1" t="inlineStr">
        <is>
          <t>91282CMW8</t>
        </is>
      </c>
      <c r="D900" t="inlineStr">
        <is>
          <t>United States Treasury Note/Bo</t>
        </is>
      </c>
      <c r="E900">
        <f>BDP($B900,"LEGAL_ENTITY_IDENTIFIER")</f>
        <v/>
      </c>
      <c r="F900" t="inlineStr">
        <is>
          <t>United States Treasury Note/Bond 3.75% 04/15/2028</t>
        </is>
      </c>
      <c r="G900">
        <f>custodian!D900</f>
        <v/>
      </c>
      <c r="H900">
        <f>BDP($B900,"ID_ISIN")</f>
        <v/>
      </c>
      <c r="I900" s="1" t="inlineStr"/>
      <c r="J900">
        <f>BDP($B900,"CNTRY_OF_DOMICILE")</f>
        <v/>
      </c>
      <c r="K900" t="inlineStr">
        <is>
          <t>DBT</t>
        </is>
      </c>
      <c r="L900" t="inlineStr">
        <is>
          <t>UST</t>
        </is>
      </c>
      <c r="M900" t="inlineStr"/>
      <c r="N900" t="inlineStr"/>
      <c r="O900" s="1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s="1" t="inlineStr"/>
      <c r="AR900" s="1" t="inlineStr"/>
      <c r="AS900" s="1" t="inlineStr"/>
      <c r="AT900">
        <f>TEXT(BDP($B900,"MATURITY"),"yyyy-mm-dd")</f>
        <v/>
      </c>
      <c r="AU900">
        <f>BDP($B900,"CPN_TYP")</f>
        <v/>
      </c>
      <c r="AV900">
        <f>BDP($B900,"CPN")</f>
        <v/>
      </c>
      <c r="AW900" t="inlineStr"/>
      <c r="AX900" t="inlineStr"/>
      <c r="AY900" t="inlineStr"/>
    </row>
    <row r="901">
      <c r="A901" t="inlineStr">
        <is>
          <t>CUST</t>
        </is>
      </c>
      <c r="B901" t="inlineStr">
        <is>
          <t>91282CND9 Govt</t>
        </is>
      </c>
      <c r="C901" s="1" t="inlineStr">
        <is>
          <t>91282CND9</t>
        </is>
      </c>
      <c r="D901" t="inlineStr">
        <is>
          <t>United States Treasury Note/Bo</t>
        </is>
      </c>
      <c r="E901">
        <f>BDP($B901,"LEGAL_ENTITY_IDENTIFIER")</f>
        <v/>
      </c>
      <c r="F901" t="inlineStr">
        <is>
          <t>United States Treasury Note/Bond 3.75% 05/15/2028</t>
        </is>
      </c>
      <c r="G901">
        <f>custodian!D901</f>
        <v/>
      </c>
      <c r="H901">
        <f>BDP($B901,"ID_ISIN")</f>
        <v/>
      </c>
      <c r="I901" s="1" t="inlineStr"/>
      <c r="J901">
        <f>BDP($B901,"CNTRY_OF_DOMICILE")</f>
        <v/>
      </c>
      <c r="K901" t="inlineStr">
        <is>
          <t>DBT</t>
        </is>
      </c>
      <c r="L901" t="inlineStr">
        <is>
          <t>UST</t>
        </is>
      </c>
      <c r="M901" t="inlineStr"/>
      <c r="N901" t="inlineStr"/>
      <c r="O901" s="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s="1" t="inlineStr"/>
      <c r="AR901" s="1" t="inlineStr"/>
      <c r="AS901" s="1" t="inlineStr"/>
      <c r="AT901">
        <f>TEXT(BDP($B901,"MATURITY"),"yyyy-mm-dd")</f>
        <v/>
      </c>
      <c r="AU901">
        <f>BDP($B901,"CPN_TYP")</f>
        <v/>
      </c>
      <c r="AV901">
        <f>BDP($B901,"CPN")</f>
        <v/>
      </c>
      <c r="AW901" t="inlineStr"/>
      <c r="AX901" t="inlineStr"/>
      <c r="AY901" t="inlineStr"/>
    </row>
    <row r="902">
      <c r="A902" t="inlineStr">
        <is>
          <t>CUST</t>
        </is>
      </c>
      <c r="B902" t="inlineStr">
        <is>
          <t>91282CNE7 Govt</t>
        </is>
      </c>
      <c r="C902" s="1" t="inlineStr">
        <is>
          <t>91282CNE7</t>
        </is>
      </c>
      <c r="D902" t="inlineStr">
        <is>
          <t>United States Treasury Note/Bo</t>
        </is>
      </c>
      <c r="E902">
        <f>BDP($B902,"LEGAL_ENTITY_IDENTIFIER")</f>
        <v/>
      </c>
      <c r="F902" t="inlineStr">
        <is>
          <t>United States Treasury Note/Bond 3.875% 05/31/2027</t>
        </is>
      </c>
      <c r="G902">
        <f>custodian!D902</f>
        <v/>
      </c>
      <c r="H902">
        <f>BDP($B902,"ID_ISIN")</f>
        <v/>
      </c>
      <c r="I902" s="1" t="inlineStr"/>
      <c r="J902">
        <f>BDP($B902,"CNTRY_OF_DOMICILE")</f>
        <v/>
      </c>
      <c r="K902" t="inlineStr">
        <is>
          <t>DBT</t>
        </is>
      </c>
      <c r="L902" t="inlineStr">
        <is>
          <t>UST</t>
        </is>
      </c>
      <c r="M902" t="inlineStr"/>
      <c r="N902" t="inlineStr"/>
      <c r="O902" s="1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s="1" t="inlineStr"/>
      <c r="AR902" s="1" t="inlineStr"/>
      <c r="AS902" s="1" t="inlineStr"/>
      <c r="AT902">
        <f>TEXT(BDP($B902,"MATURITY"),"yyyy-mm-dd")</f>
        <v/>
      </c>
      <c r="AU902">
        <f>BDP($B902,"CPN_TYP")</f>
        <v/>
      </c>
      <c r="AV902">
        <f>BDP($B902,"CPN")</f>
        <v/>
      </c>
      <c r="AW902" t="inlineStr"/>
      <c r="AX902" t="inlineStr"/>
      <c r="AY902" t="inlineStr"/>
    </row>
    <row r="903">
      <c r="A903" t="inlineStr">
        <is>
          <t>CUST</t>
        </is>
      </c>
      <c r="B903" t="inlineStr">
        <is>
          <t>91282CNH0 Govt</t>
        </is>
      </c>
      <c r="C903" s="1" t="inlineStr">
        <is>
          <t>91282CNH0</t>
        </is>
      </c>
      <c r="D903" t="inlineStr">
        <is>
          <t>United States Treasury Note/Bo</t>
        </is>
      </c>
      <c r="E903">
        <f>BDP($B903,"LEGAL_ENTITY_IDENTIFIER")</f>
        <v/>
      </c>
      <c r="F903" t="inlineStr">
        <is>
          <t>United States Treasury Note/Bond 3.875% 06/15/2028</t>
        </is>
      </c>
      <c r="G903">
        <f>custodian!D903</f>
        <v/>
      </c>
      <c r="H903">
        <f>BDP($B903,"ID_ISIN")</f>
        <v/>
      </c>
      <c r="I903" s="1" t="inlineStr"/>
      <c r="J903">
        <f>BDP($B903,"CNTRY_OF_DOMICILE")</f>
        <v/>
      </c>
      <c r="K903" t="inlineStr">
        <is>
          <t>DBT</t>
        </is>
      </c>
      <c r="L903" t="inlineStr">
        <is>
          <t>UST</t>
        </is>
      </c>
      <c r="M903" t="inlineStr"/>
      <c r="N903" t="inlineStr"/>
      <c r="O903" s="1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s="1" t="inlineStr"/>
      <c r="AR903" s="1" t="inlineStr"/>
      <c r="AS903" s="1" t="inlineStr"/>
      <c r="AT903">
        <f>TEXT(BDP($B903,"MATURITY"),"yyyy-mm-dd")</f>
        <v/>
      </c>
      <c r="AU903">
        <f>BDP($B903,"CPN_TYP")</f>
        <v/>
      </c>
      <c r="AV903">
        <f>BDP($B903,"CPN")</f>
        <v/>
      </c>
      <c r="AW903" t="inlineStr"/>
      <c r="AX903" t="inlineStr"/>
      <c r="AY903" t="inlineStr"/>
    </row>
    <row r="904">
      <c r="A904" t="inlineStr">
        <is>
          <t>CUST</t>
        </is>
      </c>
      <c r="B904" t="inlineStr">
        <is>
          <t>91282CNL1 Govt</t>
        </is>
      </c>
      <c r="C904" s="1" t="inlineStr">
        <is>
          <t>91282CNL1</t>
        </is>
      </c>
      <c r="D904" t="inlineStr">
        <is>
          <t>United States Treasury Note/Bo</t>
        </is>
      </c>
      <c r="E904">
        <f>BDP($B904,"LEGAL_ENTITY_IDENTIFIER")</f>
        <v/>
      </c>
      <c r="F904" t="inlineStr">
        <is>
          <t>United States Treasury Note/Bond 3.75% 06/30/2027</t>
        </is>
      </c>
      <c r="G904">
        <f>custodian!D904</f>
        <v/>
      </c>
      <c r="H904">
        <f>BDP($B904,"ID_ISIN")</f>
        <v/>
      </c>
      <c r="I904" s="1" t="inlineStr"/>
      <c r="J904">
        <f>BDP($B904,"CNTRY_OF_DOMICILE")</f>
        <v/>
      </c>
      <c r="K904" t="inlineStr">
        <is>
          <t>DBT</t>
        </is>
      </c>
      <c r="L904" t="inlineStr">
        <is>
          <t>UST</t>
        </is>
      </c>
      <c r="M904" t="inlineStr"/>
      <c r="N904" t="inlineStr"/>
      <c r="O904" s="1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s="1" t="inlineStr"/>
      <c r="AR904" s="1" t="inlineStr"/>
      <c r="AS904" s="1" t="inlineStr"/>
      <c r="AT904">
        <f>TEXT(BDP($B904,"MATURITY"),"yyyy-mm-dd")</f>
        <v/>
      </c>
      <c r="AU904">
        <f>BDP($B904,"CPN_TYP")</f>
        <v/>
      </c>
      <c r="AV904">
        <f>BDP($B904,"CPN")</f>
        <v/>
      </c>
      <c r="AW904" t="inlineStr"/>
      <c r="AX904" t="inlineStr"/>
      <c r="AY904" t="inlineStr"/>
    </row>
    <row r="905">
      <c r="A905" t="inlineStr">
        <is>
          <t>CUST</t>
        </is>
      </c>
      <c r="B905" t="inlineStr">
        <is>
          <t>91282CNM9 Govt</t>
        </is>
      </c>
      <c r="C905" s="1" t="inlineStr">
        <is>
          <t>91282CNM9</t>
        </is>
      </c>
      <c r="D905" t="inlineStr">
        <is>
          <t>United States Treasury Note/Bo</t>
        </is>
      </c>
      <c r="E905">
        <f>BDP($B905,"LEGAL_ENTITY_IDENTIFIER")</f>
        <v/>
      </c>
      <c r="F905" t="inlineStr">
        <is>
          <t>United States Treasury Note/Bond 3.875% 07/15/2028</t>
        </is>
      </c>
      <c r="G905">
        <f>custodian!D905</f>
        <v/>
      </c>
      <c r="H905">
        <f>BDP($B905,"ID_ISIN")</f>
        <v/>
      </c>
      <c r="I905" s="1" t="inlineStr"/>
      <c r="J905">
        <f>BDP($B905,"CNTRY_OF_DOMICILE")</f>
        <v/>
      </c>
      <c r="K905" t="inlineStr">
        <is>
          <t>DBT</t>
        </is>
      </c>
      <c r="L905" t="inlineStr">
        <is>
          <t>UST</t>
        </is>
      </c>
      <c r="M905" t="inlineStr"/>
      <c r="N905" t="inlineStr"/>
      <c r="O905" s="1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s="1" t="inlineStr"/>
      <c r="AR905" s="1" t="inlineStr"/>
      <c r="AS905" s="1" t="inlineStr"/>
      <c r="AT905">
        <f>TEXT(BDP($B905,"MATURITY"),"yyyy-mm-dd")</f>
        <v/>
      </c>
      <c r="AU905">
        <f>BDP($B905,"CPN_TYP")</f>
        <v/>
      </c>
      <c r="AV905">
        <f>BDP($B905,"CPN")</f>
        <v/>
      </c>
      <c r="AW905" t="inlineStr"/>
      <c r="AX905" t="inlineStr"/>
      <c r="AY905" t="inlineStr"/>
    </row>
    <row r="906">
      <c r="A906" t="inlineStr">
        <is>
          <t>CUST</t>
        </is>
      </c>
      <c r="B906" t="inlineStr">
        <is>
          <t>91282CNP2 Govt</t>
        </is>
      </c>
      <c r="C906" s="1" t="inlineStr">
        <is>
          <t>91282CNP2</t>
        </is>
      </c>
      <c r="D906" t="inlineStr">
        <is>
          <t>United States Treasury Note/Bo</t>
        </is>
      </c>
      <c r="E906">
        <f>BDP($B906,"LEGAL_ENTITY_IDENTIFIER")</f>
        <v/>
      </c>
      <c r="F906" t="inlineStr">
        <is>
          <t>United States Treasury Note/Bond 3.875% 07/31/2027</t>
        </is>
      </c>
      <c r="G906">
        <f>custodian!D906</f>
        <v/>
      </c>
      <c r="H906">
        <f>BDP($B906,"ID_ISIN")</f>
        <v/>
      </c>
      <c r="I906" s="1" t="inlineStr"/>
      <c r="J906">
        <f>BDP($B906,"CNTRY_OF_DOMICILE")</f>
        <v/>
      </c>
      <c r="K906" t="inlineStr">
        <is>
          <t>DBT</t>
        </is>
      </c>
      <c r="L906" t="inlineStr">
        <is>
          <t>UST</t>
        </is>
      </c>
      <c r="M906" t="inlineStr"/>
      <c r="N906" t="inlineStr"/>
      <c r="O906" s="1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s="1" t="inlineStr"/>
      <c r="AR906" s="1" t="inlineStr"/>
      <c r="AS906" s="1" t="inlineStr"/>
      <c r="AT906">
        <f>TEXT(BDP($B906,"MATURITY"),"yyyy-mm-dd")</f>
        <v/>
      </c>
      <c r="AU906">
        <f>BDP($B906,"CPN_TYP")</f>
        <v/>
      </c>
      <c r="AV906">
        <f>BDP($B906,"CPN")</f>
        <v/>
      </c>
      <c r="AW906" t="inlineStr"/>
      <c r="AX906" t="inlineStr"/>
      <c r="AY906" t="inlineStr"/>
    </row>
    <row r="907">
      <c r="A907" t="inlineStr">
        <is>
          <t>CUST</t>
        </is>
      </c>
      <c r="B907" t="inlineStr">
        <is>
          <t>91282CNU1 Govt</t>
        </is>
      </c>
      <c r="C907" s="1" t="inlineStr">
        <is>
          <t>91282CNU1</t>
        </is>
      </c>
      <c r="D907" t="inlineStr">
        <is>
          <t>United States Treasury Note/Bo</t>
        </is>
      </c>
      <c r="E907">
        <f>BDP($B907,"LEGAL_ENTITY_IDENTIFIER")</f>
        <v/>
      </c>
      <c r="F907" t="inlineStr">
        <is>
          <t>United States Treasury Note/Bond 3.625% 08/15/2028</t>
        </is>
      </c>
      <c r="G907">
        <f>custodian!D907</f>
        <v/>
      </c>
      <c r="H907">
        <f>BDP($B907,"ID_ISIN")</f>
        <v/>
      </c>
      <c r="I907" s="1" t="inlineStr"/>
      <c r="J907">
        <f>BDP($B907,"CNTRY_OF_DOMICILE")</f>
        <v/>
      </c>
      <c r="K907" t="inlineStr">
        <is>
          <t>DBT</t>
        </is>
      </c>
      <c r="L907" t="inlineStr">
        <is>
          <t>UST</t>
        </is>
      </c>
      <c r="M907" t="inlineStr"/>
      <c r="N907" t="inlineStr"/>
      <c r="O907" s="1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s="1" t="inlineStr"/>
      <c r="AR907" s="1" t="inlineStr"/>
      <c r="AS907" s="1" t="inlineStr"/>
      <c r="AT907">
        <f>TEXT(BDP($B907,"MATURITY"),"yyyy-mm-dd")</f>
        <v/>
      </c>
      <c r="AU907">
        <f>BDP($B907,"CPN_TYP")</f>
        <v/>
      </c>
      <c r="AV907">
        <f>BDP($B907,"CPN")</f>
        <v/>
      </c>
      <c r="AW907" t="inlineStr"/>
      <c r="AX907" t="inlineStr"/>
      <c r="AY907" t="inlineStr"/>
    </row>
    <row r="908">
      <c r="A908" t="inlineStr">
        <is>
          <t>CUST</t>
        </is>
      </c>
      <c r="B908" t="inlineStr">
        <is>
          <t>91282CNV9 Govt</t>
        </is>
      </c>
      <c r="C908" s="1" t="inlineStr">
        <is>
          <t>91282CNV9</t>
        </is>
      </c>
      <c r="D908" t="inlineStr">
        <is>
          <t>United States Treasury Note/Bo</t>
        </is>
      </c>
      <c r="E908">
        <f>BDP($B908,"LEGAL_ENTITY_IDENTIFIER")</f>
        <v/>
      </c>
      <c r="F908" t="inlineStr">
        <is>
          <t>United States Treasury Note/Bond 3.625% 08/31/2027</t>
        </is>
      </c>
      <c r="G908">
        <f>custodian!D908</f>
        <v/>
      </c>
      <c r="H908">
        <f>BDP($B908,"ID_ISIN")</f>
        <v/>
      </c>
      <c r="I908" s="1" t="inlineStr"/>
      <c r="J908">
        <f>BDP($B908,"CNTRY_OF_DOMICILE")</f>
        <v/>
      </c>
      <c r="K908" t="inlineStr">
        <is>
          <t>DBT</t>
        </is>
      </c>
      <c r="L908" t="inlineStr">
        <is>
          <t>UST</t>
        </is>
      </c>
      <c r="M908" t="inlineStr"/>
      <c r="N908" t="inlineStr"/>
      <c r="O908" s="1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s="1" t="inlineStr"/>
      <c r="AR908" s="1" t="inlineStr"/>
      <c r="AS908" s="1" t="inlineStr"/>
      <c r="AT908">
        <f>TEXT(BDP($B908,"MATURITY"),"yyyy-mm-dd")</f>
        <v/>
      </c>
      <c r="AU908">
        <f>BDP($B908,"CPN_TYP")</f>
        <v/>
      </c>
      <c r="AV908">
        <f>BDP($B908,"CPN")</f>
        <v/>
      </c>
      <c r="AW908" t="inlineStr"/>
      <c r="AX908" t="inlineStr"/>
      <c r="AY908" t="inlineStr"/>
    </row>
    <row r="909">
      <c r="A909" t="inlineStr">
        <is>
          <t>CUST</t>
        </is>
      </c>
      <c r="B909" t="inlineStr">
        <is>
          <t>91282CNY3 Govt</t>
        </is>
      </c>
      <c r="C909" s="1" t="inlineStr">
        <is>
          <t>91282CNY3</t>
        </is>
      </c>
      <c r="D909" t="inlineStr">
        <is>
          <t>United States Treasury Note/Bo</t>
        </is>
      </c>
      <c r="E909">
        <f>BDP($B909,"LEGAL_ENTITY_IDENTIFIER")</f>
        <v/>
      </c>
      <c r="F909" t="inlineStr">
        <is>
          <t>United States Treasury Note/Bond 3.375% 09/15/2028</t>
        </is>
      </c>
      <c r="G909">
        <f>custodian!D909</f>
        <v/>
      </c>
      <c r="H909">
        <f>BDP($B909,"ID_ISIN")</f>
        <v/>
      </c>
      <c r="I909" s="1" t="inlineStr"/>
      <c r="J909">
        <f>BDP($B909,"CNTRY_OF_DOMICILE")</f>
        <v/>
      </c>
      <c r="K909" t="inlineStr">
        <is>
          <t>DBT</t>
        </is>
      </c>
      <c r="L909" t="inlineStr">
        <is>
          <t>UST</t>
        </is>
      </c>
      <c r="M909" t="inlineStr"/>
      <c r="N909" t="inlineStr"/>
      <c r="O909" s="1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s="1" t="inlineStr"/>
      <c r="AR909" s="1" t="inlineStr"/>
      <c r="AS909" s="1" t="inlineStr"/>
      <c r="AT909">
        <f>TEXT(BDP($B909,"MATURITY"),"yyyy-mm-dd")</f>
        <v/>
      </c>
      <c r="AU909">
        <f>BDP($B909,"CPN_TYP")</f>
        <v/>
      </c>
      <c r="AV909">
        <f>BDP($B909,"CPN")</f>
        <v/>
      </c>
      <c r="AW909" t="inlineStr"/>
      <c r="AX909" t="inlineStr"/>
      <c r="AY909" t="inlineStr"/>
    </row>
    <row r="910">
      <c r="A910" t="inlineStr">
        <is>
          <t>CUST</t>
        </is>
      </c>
      <c r="B910" t="inlineStr">
        <is>
          <t>91282CPB1 Govt</t>
        </is>
      </c>
      <c r="C910" s="1" t="inlineStr">
        <is>
          <t>91282CPB1</t>
        </is>
      </c>
      <c r="D910" t="inlineStr">
        <is>
          <t>United States Treasury Note/Bo</t>
        </is>
      </c>
      <c r="E910">
        <f>BDP($B910,"LEGAL_ENTITY_IDENTIFIER")</f>
        <v/>
      </c>
      <c r="F910" t="inlineStr">
        <is>
          <t>United States Treasury Note/Bond 3.5% 09/30/2027</t>
        </is>
      </c>
      <c r="G910">
        <f>custodian!D910</f>
        <v/>
      </c>
      <c r="H910">
        <f>BDP($B910,"ID_ISIN")</f>
        <v/>
      </c>
      <c r="I910" s="1" t="inlineStr"/>
      <c r="J910">
        <f>BDP($B910,"CNTRY_OF_DOMICILE")</f>
        <v/>
      </c>
      <c r="K910" t="inlineStr">
        <is>
          <t>DBT</t>
        </is>
      </c>
      <c r="L910" t="inlineStr">
        <is>
          <t>UST</t>
        </is>
      </c>
      <c r="M910" t="inlineStr"/>
      <c r="N910" t="inlineStr"/>
      <c r="O910" s="1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s="1" t="inlineStr"/>
      <c r="AR910" s="1" t="inlineStr"/>
      <c r="AS910" s="1" t="inlineStr"/>
      <c r="AT910">
        <f>TEXT(BDP($B910,"MATURITY"),"yyyy-mm-dd")</f>
        <v/>
      </c>
      <c r="AU910">
        <f>BDP($B910,"CPN_TYP")</f>
        <v/>
      </c>
      <c r="AV910">
        <f>BDP($B910,"CPN")</f>
        <v/>
      </c>
      <c r="AW910" t="inlineStr"/>
      <c r="AX910" t="inlineStr"/>
      <c r="AY910" t="inlineStr"/>
    </row>
    <row r="911">
      <c r="A911" t="inlineStr">
        <is>
          <t>CUST</t>
        </is>
      </c>
      <c r="B911" t="inlineStr">
        <is>
          <t>91282CPC9 Govt</t>
        </is>
      </c>
      <c r="C911" s="1" t="inlineStr">
        <is>
          <t>91282CPC9</t>
        </is>
      </c>
      <c r="D911" t="inlineStr">
        <is>
          <t>United States Treasury Note/Bo</t>
        </is>
      </c>
      <c r="E911">
        <f>BDP($B911,"LEGAL_ENTITY_IDENTIFIER")</f>
        <v/>
      </c>
      <c r="F911" t="inlineStr">
        <is>
          <t>United States Treasury Note/Bond 3.5% 10/15/2028</t>
        </is>
      </c>
      <c r="G911">
        <f>custodian!D911</f>
        <v/>
      </c>
      <c r="H911">
        <f>BDP($B911,"ID_ISIN")</f>
        <v/>
      </c>
      <c r="I911" s="1" t="inlineStr"/>
      <c r="J911">
        <f>BDP($B911,"CNTRY_OF_DOMICILE")</f>
        <v/>
      </c>
      <c r="K911" t="inlineStr">
        <is>
          <t>DBT</t>
        </is>
      </c>
      <c r="L911" t="inlineStr">
        <is>
          <t>UST</t>
        </is>
      </c>
      <c r="M911" t="inlineStr"/>
      <c r="N911" t="inlineStr"/>
      <c r="O911" s="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s="1" t="inlineStr"/>
      <c r="AR911" s="1" t="inlineStr"/>
      <c r="AS911" s="1" t="inlineStr"/>
      <c r="AT911">
        <f>TEXT(BDP($B911,"MATURITY"),"yyyy-mm-dd")</f>
        <v/>
      </c>
      <c r="AU911">
        <f>BDP($B911,"CPN_TYP")</f>
        <v/>
      </c>
      <c r="AV911">
        <f>BDP($B911,"CPN")</f>
        <v/>
      </c>
      <c r="AW911" t="inlineStr"/>
      <c r="AX911" t="inlineStr"/>
      <c r="AY911" t="inlineStr"/>
    </row>
    <row r="912">
      <c r="A912" t="inlineStr">
        <is>
          <t>CUST</t>
        </is>
      </c>
      <c r="B912" t="inlineStr">
        <is>
          <t>91282CPE5 Govt</t>
        </is>
      </c>
      <c r="C912" s="1" t="inlineStr">
        <is>
          <t>91282CPE5</t>
        </is>
      </c>
      <c r="D912" t="inlineStr">
        <is>
          <t>United States Treasury Note/Bo</t>
        </is>
      </c>
      <c r="E912">
        <f>BDP($B912,"LEGAL_ENTITY_IDENTIFIER")</f>
        <v/>
      </c>
      <c r="F912" t="inlineStr">
        <is>
          <t>United States Treasury Note/Bond 3.5% 10/31/2027</t>
        </is>
      </c>
      <c r="G912">
        <f>custodian!D912</f>
        <v/>
      </c>
      <c r="H912">
        <f>BDP($B912,"ID_ISIN")</f>
        <v/>
      </c>
      <c r="I912" s="1" t="inlineStr"/>
      <c r="J912">
        <f>BDP($B912,"CNTRY_OF_DOMICILE")</f>
        <v/>
      </c>
      <c r="K912" t="inlineStr">
        <is>
          <t>DBT</t>
        </is>
      </c>
      <c r="L912" t="inlineStr">
        <is>
          <t>UST</t>
        </is>
      </c>
      <c r="M912" t="inlineStr"/>
      <c r="N912" t="inlineStr"/>
      <c r="O912" s="1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s="1" t="inlineStr"/>
      <c r="AR912" s="1" t="inlineStr"/>
      <c r="AS912" s="1" t="inlineStr"/>
      <c r="AT912">
        <f>TEXT(BDP($B912,"MATURITY"),"yyyy-mm-dd")</f>
        <v/>
      </c>
      <c r="AU912">
        <f>BDP($B912,"CPN_TYP")</f>
        <v/>
      </c>
      <c r="AV912">
        <f>BDP($B912,"CPN")</f>
        <v/>
      </c>
      <c r="AW912" t="inlineStr"/>
      <c r="AX912" t="inlineStr"/>
      <c r="AY912" t="inlineStr"/>
    </row>
    <row r="913">
      <c r="A913" t="inlineStr">
        <is>
          <t>CUST</t>
        </is>
      </c>
      <c r="B913" t="inlineStr">
        <is>
          <t>91282CPK1 Govt</t>
        </is>
      </c>
      <c r="C913" s="1" t="inlineStr">
        <is>
          <t>91282CPK1</t>
        </is>
      </c>
      <c r="D913" t="inlineStr">
        <is>
          <t>United States Treasury Note/Bo</t>
        </is>
      </c>
      <c r="E913">
        <f>BDP($B913,"LEGAL_ENTITY_IDENTIFIER")</f>
        <v/>
      </c>
      <c r="F913" t="inlineStr">
        <is>
          <t>United States Treasury Note/Bond 3.5% 11/15/2028</t>
        </is>
      </c>
      <c r="G913">
        <f>custodian!D913</f>
        <v/>
      </c>
      <c r="H913">
        <f>BDP($B913,"ID_ISIN")</f>
        <v/>
      </c>
      <c r="I913" s="1" t="inlineStr"/>
      <c r="J913">
        <f>BDP($B913,"CNTRY_OF_DOMICILE")</f>
        <v/>
      </c>
      <c r="K913" t="inlineStr">
        <is>
          <t>DBT</t>
        </is>
      </c>
      <c r="L913" t="inlineStr">
        <is>
          <t>UST</t>
        </is>
      </c>
      <c r="M913" t="inlineStr"/>
      <c r="N913" t="inlineStr"/>
      <c r="O913" s="1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s="1" t="inlineStr"/>
      <c r="AR913" s="1" t="inlineStr"/>
      <c r="AS913" s="1" t="inlineStr"/>
      <c r="AT913">
        <f>TEXT(BDP($B913,"MATURITY"),"yyyy-mm-dd")</f>
        <v/>
      </c>
      <c r="AU913">
        <f>BDP($B913,"CPN_TYP")</f>
        <v/>
      </c>
      <c r="AV913">
        <f>BDP($B913,"CPN")</f>
        <v/>
      </c>
      <c r="AW913" t="inlineStr"/>
      <c r="AX913" t="inlineStr"/>
      <c r="AY913" t="inlineStr"/>
    </row>
    <row r="914">
      <c r="A914" t="inlineStr">
        <is>
          <t>CUST</t>
        </is>
      </c>
      <c r="B914" t="inlineStr">
        <is>
          <t>91282CPL9 Govt</t>
        </is>
      </c>
      <c r="C914" s="1" t="inlineStr">
        <is>
          <t>91282CPL9</t>
        </is>
      </c>
      <c r="D914" t="inlineStr">
        <is>
          <t>United States Treasury Note/Bo</t>
        </is>
      </c>
      <c r="E914">
        <f>BDP($B914,"LEGAL_ENTITY_IDENTIFIER")</f>
        <v/>
      </c>
      <c r="F914" t="inlineStr">
        <is>
          <t>United States Treasury Note/Bond 3.375% 11/30/2027</t>
        </is>
      </c>
      <c r="G914">
        <f>custodian!D914</f>
        <v/>
      </c>
      <c r="H914">
        <f>BDP($B914,"ID_ISIN")</f>
        <v/>
      </c>
      <c r="I914" s="1" t="inlineStr"/>
      <c r="J914">
        <f>BDP($B914,"CNTRY_OF_DOMICILE")</f>
        <v/>
      </c>
      <c r="K914" t="inlineStr">
        <is>
          <t>DBT</t>
        </is>
      </c>
      <c r="L914" t="inlineStr">
        <is>
          <t>UST</t>
        </is>
      </c>
      <c r="M914" t="inlineStr"/>
      <c r="N914" t="inlineStr"/>
      <c r="O914" s="1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s="1" t="inlineStr"/>
      <c r="AR914" s="1" t="inlineStr"/>
      <c r="AS914" s="1" t="inlineStr"/>
      <c r="AT914">
        <f>TEXT(BDP($B914,"MATURITY"),"yyyy-mm-dd")</f>
        <v/>
      </c>
      <c r="AU914">
        <f>BDP($B914,"CPN_TYP")</f>
        <v/>
      </c>
      <c r="AV914">
        <f>BDP($B914,"CPN")</f>
        <v/>
      </c>
      <c r="AW914" t="inlineStr"/>
      <c r="AX914" t="inlineStr"/>
      <c r="AY914" t="inlineStr"/>
    </row>
    <row r="915">
      <c r="A915" t="inlineStr">
        <is>
          <t>CUST</t>
        </is>
      </c>
      <c r="B915" t="inlineStr">
        <is>
          <t>91282CPP0 Govt</t>
        </is>
      </c>
      <c r="C915" s="1" t="inlineStr">
        <is>
          <t>91282CPP0</t>
        </is>
      </c>
      <c r="D915" t="inlineStr">
        <is>
          <t>United States Treasury Note/Bo</t>
        </is>
      </c>
      <c r="E915">
        <f>BDP($B915,"LEGAL_ENTITY_IDENTIFIER")</f>
        <v/>
      </c>
      <c r="F915" t="inlineStr">
        <is>
          <t>United States Treasury Note/Bond 3.5% 12/15/2028</t>
        </is>
      </c>
      <c r="G915">
        <f>custodian!D915</f>
        <v/>
      </c>
      <c r="H915">
        <f>BDP($B915,"ID_ISIN")</f>
        <v/>
      </c>
      <c r="I915" s="1" t="inlineStr"/>
      <c r="J915">
        <f>BDP($B915,"CNTRY_OF_DOMICILE")</f>
        <v/>
      </c>
      <c r="K915" t="inlineStr">
        <is>
          <t>DBT</t>
        </is>
      </c>
      <c r="L915" t="inlineStr">
        <is>
          <t>UST</t>
        </is>
      </c>
      <c r="M915" t="inlineStr"/>
      <c r="N915" t="inlineStr"/>
      <c r="O915" s="1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s="1" t="inlineStr"/>
      <c r="AR915" s="1" t="inlineStr"/>
      <c r="AS915" s="1" t="inlineStr"/>
      <c r="AT915">
        <f>TEXT(BDP($B915,"MATURITY"),"yyyy-mm-dd")</f>
        <v/>
      </c>
      <c r="AU915">
        <f>BDP($B915,"CPN_TYP")</f>
        <v/>
      </c>
      <c r="AV915">
        <f>BDP($B915,"CPN")</f>
        <v/>
      </c>
      <c r="AW915" t="inlineStr"/>
      <c r="AX915" t="inlineStr"/>
      <c r="AY915" t="inlineStr"/>
    </row>
    <row r="916">
      <c r="A916" t="inlineStr">
        <is>
          <t>CUST</t>
        </is>
      </c>
      <c r="B916" t="inlineStr">
        <is>
          <t>91282CPS4 Govt</t>
        </is>
      </c>
      <c r="C916" s="1" t="inlineStr">
        <is>
          <t>91282CPS4</t>
        </is>
      </c>
      <c r="D916" t="inlineStr">
        <is>
          <t>United States Treasury Note/Bo</t>
        </is>
      </c>
      <c r="E916">
        <f>BDP($B916,"LEGAL_ENTITY_IDENTIFIER")</f>
        <v/>
      </c>
      <c r="F916" t="inlineStr">
        <is>
          <t>United States Treasury Note/Bond 3.375% 12/31/2027</t>
        </is>
      </c>
      <c r="G916">
        <f>custodian!D916</f>
        <v/>
      </c>
      <c r="H916">
        <f>BDP($B916,"ID_ISIN")</f>
        <v/>
      </c>
      <c r="I916" s="1" t="inlineStr"/>
      <c r="J916">
        <f>BDP($B916,"CNTRY_OF_DOMICILE")</f>
        <v/>
      </c>
      <c r="K916" t="inlineStr">
        <is>
          <t>DBT</t>
        </is>
      </c>
      <c r="L916" t="inlineStr">
        <is>
          <t>UST</t>
        </is>
      </c>
      <c r="M916" t="inlineStr"/>
      <c r="N916" t="inlineStr"/>
      <c r="O916" s="1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s="1" t="inlineStr"/>
      <c r="AR916" s="1" t="inlineStr"/>
      <c r="AS916" s="1" t="inlineStr"/>
      <c r="AT916">
        <f>TEXT(BDP($B916,"MATURITY"),"yyyy-mm-dd")</f>
        <v/>
      </c>
      <c r="AU916">
        <f>BDP($B916,"CPN_TYP")</f>
        <v/>
      </c>
      <c r="AV916">
        <f>BDP($B916,"CPN")</f>
        <v/>
      </c>
      <c r="AW916" t="inlineStr"/>
      <c r="AX916" t="inlineStr"/>
      <c r="AY916" t="inlineStr"/>
    </row>
    <row r="917">
      <c r="A917" t="inlineStr">
        <is>
          <t>CUST</t>
        </is>
      </c>
      <c r="B917" t="inlineStr">
        <is>
          <t>91282CPT2 Govt</t>
        </is>
      </c>
      <c r="C917" s="1" t="inlineStr">
        <is>
          <t>91282CPT2</t>
        </is>
      </c>
      <c r="D917" t="inlineStr">
        <is>
          <t>United States Treasury Note/Bo</t>
        </is>
      </c>
      <c r="E917">
        <f>BDP($B917,"LEGAL_ENTITY_IDENTIFIER")</f>
        <v/>
      </c>
      <c r="F917" t="inlineStr">
        <is>
          <t>United States Treasury Note/Bond 3.5% 01/15/2029</t>
        </is>
      </c>
      <c r="G917">
        <f>custodian!D917</f>
        <v/>
      </c>
      <c r="H917">
        <f>BDP($B917,"ID_ISIN")</f>
        <v/>
      </c>
      <c r="I917" s="1" t="inlineStr"/>
      <c r="J917">
        <f>BDP($B917,"CNTRY_OF_DOMICILE")</f>
        <v/>
      </c>
      <c r="K917" t="inlineStr">
        <is>
          <t>DBT</t>
        </is>
      </c>
      <c r="L917" t="inlineStr">
        <is>
          <t>UST</t>
        </is>
      </c>
      <c r="M917" t="inlineStr"/>
      <c r="N917" t="inlineStr"/>
      <c r="O917" s="1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s="1" t="inlineStr"/>
      <c r="AR917" s="1" t="inlineStr"/>
      <c r="AS917" s="1" t="inlineStr"/>
      <c r="AT917">
        <f>TEXT(BDP($B917,"MATURITY"),"yyyy-mm-dd")</f>
        <v/>
      </c>
      <c r="AU917">
        <f>BDP($B917,"CPN_TYP")</f>
        <v/>
      </c>
      <c r="AV917">
        <f>BDP($B917,"CPN")</f>
        <v/>
      </c>
      <c r="AW917" t="inlineStr"/>
      <c r="AX917" t="inlineStr"/>
      <c r="AY917" t="inlineStr"/>
    </row>
    <row r="918">
      <c r="A918" t="inlineStr">
        <is>
          <t>CUST</t>
        </is>
      </c>
      <c r="B918" t="inlineStr">
        <is>
          <t>91282CQA2 Govt</t>
        </is>
      </c>
      <c r="C918" s="1" t="inlineStr">
        <is>
          <t>91282CQA2</t>
        </is>
      </c>
      <c r="D918" t="inlineStr">
        <is>
          <t>United States Treasury Note/Bo</t>
        </is>
      </c>
      <c r="E918">
        <f>BDP($B918,"LEGAL_ENTITY_IDENTIFIER")</f>
        <v/>
      </c>
      <c r="F918" t="inlineStr">
        <is>
          <t>United States Treasury Note/Bond 3.5% 02/15/2029</t>
        </is>
      </c>
      <c r="G918">
        <f>custodian!D918</f>
        <v/>
      </c>
      <c r="H918">
        <f>BDP($B918,"ID_ISIN")</f>
        <v/>
      </c>
      <c r="I918" s="1" t="inlineStr"/>
      <c r="J918">
        <f>BDP($B918,"CNTRY_OF_DOMICILE")</f>
        <v/>
      </c>
      <c r="K918" t="inlineStr">
        <is>
          <t>DBT</t>
        </is>
      </c>
      <c r="L918" t="inlineStr">
        <is>
          <t>UST</t>
        </is>
      </c>
      <c r="M918" t="inlineStr"/>
      <c r="N918" t="inlineStr"/>
      <c r="O918" s="1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s="1" t="inlineStr"/>
      <c r="AR918" s="1" t="inlineStr"/>
      <c r="AS918" s="1" t="inlineStr"/>
      <c r="AT918">
        <f>TEXT(BDP($B918,"MATURITY"),"yyyy-mm-dd")</f>
        <v/>
      </c>
      <c r="AU918">
        <f>BDP($B918,"CPN_TYP")</f>
        <v/>
      </c>
      <c r="AV918">
        <f>BDP($B918,"CPN")</f>
        <v/>
      </c>
      <c r="AW918" t="inlineStr"/>
      <c r="AX918" t="inlineStr"/>
      <c r="AY918" t="inlineStr"/>
    </row>
    <row r="919">
      <c r="A919" t="inlineStr">
        <is>
          <t>CUST</t>
        </is>
      </c>
      <c r="B919" t="inlineStr">
        <is>
          <t>91282CQB0 Govt</t>
        </is>
      </c>
      <c r="C919" s="1" t="inlineStr">
        <is>
          <t>91282CQB0</t>
        </is>
      </c>
      <c r="D919" t="inlineStr">
        <is>
          <t>United States Treasury Note/Bo</t>
        </is>
      </c>
      <c r="E919">
        <f>BDP($B919,"LEGAL_ENTITY_IDENTIFIER")</f>
        <v/>
      </c>
      <c r="F919" t="inlineStr">
        <is>
          <t>United States Treasury Note/Bond 3.375% 02/29/2028</t>
        </is>
      </c>
      <c r="G919">
        <f>custodian!D919</f>
        <v/>
      </c>
      <c r="H919">
        <f>BDP($B919,"ID_ISIN")</f>
        <v/>
      </c>
      <c r="I919" s="1" t="inlineStr"/>
      <c r="J919">
        <f>BDP($B919,"CNTRY_OF_DOMICILE")</f>
        <v/>
      </c>
      <c r="K919" t="inlineStr">
        <is>
          <t>DBT</t>
        </is>
      </c>
      <c r="L919" t="inlineStr">
        <is>
          <t>UST</t>
        </is>
      </c>
      <c r="M919" t="inlineStr"/>
      <c r="N919" t="inlineStr"/>
      <c r="O919" s="1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s="1" t="inlineStr"/>
      <c r="AR919" s="1" t="inlineStr"/>
      <c r="AS919" s="1" t="inlineStr"/>
      <c r="AT919">
        <f>TEXT(BDP($B919,"MATURITY"),"yyyy-mm-dd")</f>
        <v/>
      </c>
      <c r="AU919">
        <f>BDP($B919,"CPN_TYP")</f>
        <v/>
      </c>
      <c r="AV919">
        <f>BDP($B919,"CPN")</f>
        <v/>
      </c>
      <c r="AW919" t="inlineStr"/>
      <c r="AX919" t="inlineStr"/>
      <c r="AY919" t="inlineStr"/>
    </row>
    <row r="920">
      <c r="A920" t="inlineStr">
        <is>
          <t>CUST</t>
        </is>
      </c>
      <c r="B920" t="inlineStr">
        <is>
          <t>91282CQE4 Govt</t>
        </is>
      </c>
      <c r="C920" s="1" t="inlineStr">
        <is>
          <t>91282CQE4</t>
        </is>
      </c>
      <c r="D920" t="inlineStr">
        <is>
          <t>United States Treasury Note/Bo</t>
        </is>
      </c>
      <c r="E920">
        <f>BDP($B920,"LEGAL_ENTITY_IDENTIFIER")</f>
        <v/>
      </c>
      <c r="F920" t="inlineStr">
        <is>
          <t>United States Treasury Note/Bond 3.5% 03/15/2029</t>
        </is>
      </c>
      <c r="G920">
        <f>custodian!D920</f>
        <v/>
      </c>
      <c r="H920">
        <f>BDP($B920,"ID_ISIN")</f>
        <v/>
      </c>
      <c r="I920" s="1" t="inlineStr"/>
      <c r="J920">
        <f>BDP($B920,"CNTRY_OF_DOMICILE")</f>
        <v/>
      </c>
      <c r="K920" t="inlineStr">
        <is>
          <t>DBT</t>
        </is>
      </c>
      <c r="L920" t="inlineStr">
        <is>
          <t>UST</t>
        </is>
      </c>
      <c r="M920" t="inlineStr"/>
      <c r="N920" t="inlineStr"/>
      <c r="O920" s="1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s="1" t="inlineStr"/>
      <c r="AR920" s="1" t="inlineStr"/>
      <c r="AS920" s="1" t="inlineStr"/>
      <c r="AT920">
        <f>TEXT(BDP($B920,"MATURITY"),"yyyy-mm-dd")</f>
        <v/>
      </c>
      <c r="AU920">
        <f>BDP($B920,"CPN_TYP")</f>
        <v/>
      </c>
      <c r="AV920">
        <f>BDP($B920,"CPN")</f>
        <v/>
      </c>
      <c r="AW920" t="inlineStr"/>
      <c r="AX920" t="inlineStr"/>
      <c r="AY920" t="inlineStr"/>
    </row>
    <row r="921">
      <c r="A921" t="inlineStr">
        <is>
          <t>CUST</t>
        </is>
      </c>
      <c r="B921" t="inlineStr">
        <is>
          <t>91282CQH7 Govt</t>
        </is>
      </c>
      <c r="C921" s="1" t="inlineStr">
        <is>
          <t>91282CQH7</t>
        </is>
      </c>
      <c r="D921" t="inlineStr">
        <is>
          <t>United States Treasury Note/Bo</t>
        </is>
      </c>
      <c r="E921">
        <f>BDP($B921,"LEGAL_ENTITY_IDENTIFIER")</f>
        <v/>
      </c>
      <c r="F921" t="inlineStr">
        <is>
          <t>United States Treasury Note/Bond 3.875% 03/31/2028</t>
        </is>
      </c>
      <c r="G921">
        <f>custodian!D921</f>
        <v/>
      </c>
      <c r="H921">
        <f>BDP($B921,"ID_ISIN")</f>
        <v/>
      </c>
      <c r="I921" s="1" t="inlineStr"/>
      <c r="J921">
        <f>BDP($B921,"CNTRY_OF_DOMICILE")</f>
        <v/>
      </c>
      <c r="K921" t="inlineStr">
        <is>
          <t>DBT</t>
        </is>
      </c>
      <c r="L921" t="inlineStr">
        <is>
          <t>UST</t>
        </is>
      </c>
      <c r="M921" t="inlineStr"/>
      <c r="N921" t="inlineStr"/>
      <c r="O921" s="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s="1" t="inlineStr"/>
      <c r="AR921" s="1" t="inlineStr"/>
      <c r="AS921" s="1" t="inlineStr"/>
      <c r="AT921">
        <f>TEXT(BDP($B921,"MATURITY"),"yyyy-mm-dd")</f>
        <v/>
      </c>
      <c r="AU921">
        <f>BDP($B921,"CPN_TYP")</f>
        <v/>
      </c>
      <c r="AV921">
        <f>BDP($B921,"CPN")</f>
        <v/>
      </c>
      <c r="AW921" t="inlineStr"/>
      <c r="AX921" t="inlineStr"/>
      <c r="AY921" t="inlineStr"/>
    </row>
    <row r="922">
      <c r="A922" t="inlineStr">
        <is>
          <t>CUST</t>
        </is>
      </c>
      <c r="B922" t="inlineStr">
        <is>
          <t>91282CQJ3 Govt</t>
        </is>
      </c>
      <c r="C922" s="1" t="inlineStr">
        <is>
          <t>91282CQJ3</t>
        </is>
      </c>
      <c r="D922" t="inlineStr">
        <is>
          <t>United States Treasury Note/Bo</t>
        </is>
      </c>
      <c r="E922">
        <f>BDP($B922,"LEGAL_ENTITY_IDENTIFIER")</f>
        <v/>
      </c>
      <c r="F922" t="inlineStr">
        <is>
          <t>United States Treasury Note/Bond 3.875% 04/15/2029</t>
        </is>
      </c>
      <c r="G922">
        <f>custodian!D922</f>
        <v/>
      </c>
      <c r="H922">
        <f>BDP($B922,"ID_ISIN")</f>
        <v/>
      </c>
      <c r="I922" s="1" t="inlineStr"/>
      <c r="J922">
        <f>BDP($B922,"CNTRY_OF_DOMICILE")</f>
        <v/>
      </c>
      <c r="K922" t="inlineStr">
        <is>
          <t>DBT</t>
        </is>
      </c>
      <c r="L922" t="inlineStr">
        <is>
          <t>UST</t>
        </is>
      </c>
      <c r="M922" t="inlineStr"/>
      <c r="N922" t="inlineStr"/>
      <c r="O922" s="1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s="1" t="inlineStr"/>
      <c r="AR922" s="1" t="inlineStr"/>
      <c r="AS922" s="1" t="inlineStr"/>
      <c r="AT922">
        <f>TEXT(BDP($B922,"MATURITY"),"yyyy-mm-dd")</f>
        <v/>
      </c>
      <c r="AU922">
        <f>BDP($B922,"CPN_TYP")</f>
        <v/>
      </c>
      <c r="AV922">
        <f>BDP($B922,"CPN")</f>
        <v/>
      </c>
      <c r="AW922" t="inlineStr"/>
      <c r="AX922" t="inlineStr"/>
      <c r="AY922" t="inlineStr"/>
    </row>
    <row r="923">
      <c r="A923" t="inlineStr">
        <is>
          <t>CUST</t>
        </is>
      </c>
      <c r="B923" t="inlineStr">
        <is>
          <t>91282CQL8 Govt</t>
        </is>
      </c>
      <c r="C923" s="1" t="inlineStr">
        <is>
          <t>91282CQL8</t>
        </is>
      </c>
      <c r="D923" t="inlineStr">
        <is>
          <t>United States Treasury Note/Bo</t>
        </is>
      </c>
      <c r="E923">
        <f>BDP($B923,"LEGAL_ENTITY_IDENTIFIER")</f>
        <v/>
      </c>
      <c r="F923" t="inlineStr">
        <is>
          <t>United States Treasury Note/Bond 3.75% 04/30/2028</t>
        </is>
      </c>
      <c r="G923">
        <f>custodian!D923</f>
        <v/>
      </c>
      <c r="H923">
        <f>BDP($B923,"ID_ISIN")</f>
        <v/>
      </c>
      <c r="I923" s="1" t="inlineStr"/>
      <c r="J923">
        <f>BDP($B923,"CNTRY_OF_DOMICILE")</f>
        <v/>
      </c>
      <c r="K923" t="inlineStr">
        <is>
          <t>DBT</t>
        </is>
      </c>
      <c r="L923" t="inlineStr">
        <is>
          <t>UST</t>
        </is>
      </c>
      <c r="M923" t="inlineStr"/>
      <c r="N923" t="inlineStr"/>
      <c r="O923" s="1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s="1" t="inlineStr"/>
      <c r="AR923" s="1" t="inlineStr"/>
      <c r="AS923" s="1" t="inlineStr"/>
      <c r="AT923">
        <f>TEXT(BDP($B923,"MATURITY"),"yyyy-mm-dd")</f>
        <v/>
      </c>
      <c r="AU923">
        <f>BDP($B923,"CPN_TYP")</f>
        <v/>
      </c>
      <c r="AV923">
        <f>BDP($B923,"CPN")</f>
        <v/>
      </c>
      <c r="AW923" t="inlineStr"/>
      <c r="AX923" t="inlineStr"/>
      <c r="AY923" t="inlineStr"/>
    </row>
    <row r="924">
      <c r="A924" t="inlineStr">
        <is>
          <t>CUST</t>
        </is>
      </c>
      <c r="B924" t="inlineStr">
        <is>
          <t>91282CQR5 Govt</t>
        </is>
      </c>
      <c r="C924" s="1" t="inlineStr">
        <is>
          <t>91282CQR5</t>
        </is>
      </c>
      <c r="D924" t="inlineStr">
        <is>
          <t>United States Treasury Note/Bo</t>
        </is>
      </c>
      <c r="E924">
        <f>BDP($B924,"LEGAL_ENTITY_IDENTIFIER")</f>
        <v/>
      </c>
      <c r="F924" t="inlineStr">
        <is>
          <t>United States Treasury Note/Bond 3.875% 05/15/2029</t>
        </is>
      </c>
      <c r="G924">
        <f>custodian!D924</f>
        <v/>
      </c>
      <c r="H924">
        <f>BDP($B924,"ID_ISIN")</f>
        <v/>
      </c>
      <c r="I924" s="1" t="inlineStr"/>
      <c r="J924">
        <f>BDP($B924,"CNTRY_OF_DOMICILE")</f>
        <v/>
      </c>
      <c r="K924" t="inlineStr">
        <is>
          <t>DBT</t>
        </is>
      </c>
      <c r="L924" t="inlineStr">
        <is>
          <t>UST</t>
        </is>
      </c>
      <c r="M924" t="inlineStr"/>
      <c r="N924" t="inlineStr"/>
      <c r="O924" s="1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s="1" t="inlineStr"/>
      <c r="AR924" s="1" t="inlineStr"/>
      <c r="AS924" s="1" t="inlineStr"/>
      <c r="AT924">
        <f>TEXT(BDP($B924,"MATURITY"),"yyyy-mm-dd")</f>
        <v/>
      </c>
      <c r="AU924">
        <f>BDP($B924,"CPN_TYP")</f>
        <v/>
      </c>
      <c r="AV924">
        <f>BDP($B924,"CPN")</f>
        <v/>
      </c>
      <c r="AW924" t="inlineStr"/>
      <c r="AX924" t="inlineStr"/>
      <c r="AY924" t="inlineStr"/>
    </row>
    <row r="925">
      <c r="A925" t="inlineStr">
        <is>
          <t>CUST</t>
        </is>
      </c>
      <c r="B925" t="inlineStr">
        <is>
          <t>FGXXX US Equity</t>
        </is>
      </c>
      <c r="C925" s="1" t="inlineStr">
        <is>
          <t>FGXXX</t>
        </is>
      </c>
      <c r="D925" t="inlineStr">
        <is>
          <t>First American Government Obli</t>
        </is>
      </c>
      <c r="E925">
        <f>BDP($B925,"LEGAL_ENTITY_IDENTIFIER")</f>
        <v/>
      </c>
      <c r="F925" t="inlineStr">
        <is>
          <t>First American Government Obligations Fund</t>
        </is>
      </c>
      <c r="G925">
        <f>custodian!D925</f>
        <v/>
      </c>
      <c r="H925">
        <f>BDP($B925,"ID_ISIN")</f>
        <v/>
      </c>
      <c r="I925" s="1" t="inlineStr">
        <is>
          <t>FGXXX</t>
        </is>
      </c>
      <c r="J925">
        <f>BDP($B925,"CNTRY_OF_DOMICILE")</f>
        <v/>
      </c>
      <c r="K925" t="inlineStr">
        <is>
          <t>STIV</t>
        </is>
      </c>
      <c r="L925" t="inlineStr">
        <is>
          <t>RF</t>
        </is>
      </c>
      <c r="M925" t="inlineStr"/>
      <c r="N925" t="inlineStr"/>
      <c r="O925" s="1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s="1" t="inlineStr"/>
      <c r="AR925" s="1" t="inlineStr"/>
      <c r="AS925" s="1" t="inlineStr"/>
      <c r="AT925" t="inlineStr"/>
      <c r="AU925" t="inlineStr"/>
      <c r="AV925" t="inlineStr"/>
      <c r="AW925" t="inlineStr"/>
      <c r="AX925" t="inlineStr"/>
      <c r="AY925" t="inlineStr"/>
    </row>
    <row r="926">
      <c r="A926" t="inlineStr">
        <is>
          <t>CUST</t>
        </is>
      </c>
      <c r="B926" t="inlineStr"/>
      <c r="C926" s="1" t="inlineStr">
        <is>
          <t>Cash&amp;Other</t>
        </is>
      </c>
      <c r="D926" t="inlineStr"/>
      <c r="E926" s="1" t="inlineStr"/>
      <c r="F926" t="inlineStr"/>
      <c r="G926">
        <f>custodian!D926</f>
        <v/>
      </c>
      <c r="H926" s="1" t="inlineStr"/>
      <c r="I926" s="1" t="inlineStr"/>
      <c r="J926" t="inlineStr"/>
      <c r="K926" t="inlineStr"/>
      <c r="L926" t="inlineStr"/>
      <c r="M926" t="inlineStr"/>
      <c r="N926" t="inlineStr"/>
      <c r="O926" s="1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s="1" t="inlineStr"/>
      <c r="AR926" s="1" t="inlineStr"/>
      <c r="AS926" s="1" t="inlineStr"/>
      <c r="AT926" t="inlineStr"/>
      <c r="AU926" t="inlineStr"/>
      <c r="AV926" t="inlineStr"/>
      <c r="AW926" t="inlineStr"/>
      <c r="AX926" t="inlineStr"/>
      <c r="AY926" t="inlineStr"/>
    </row>
    <row r="927">
      <c r="A927" t="inlineStr">
        <is>
          <t>DIPR</t>
        </is>
      </c>
      <c r="B927" t="inlineStr">
        <is>
          <t>ASTS US Equity</t>
        </is>
      </c>
      <c r="C927" s="1" t="inlineStr">
        <is>
          <t>ASTS</t>
        </is>
      </c>
      <c r="D927" t="inlineStr">
        <is>
          <t>AST SpaceMobile Inc</t>
        </is>
      </c>
      <c r="E927">
        <f>BDP($B927,"LEGAL_ENTITY_IDENTIFIER")</f>
        <v/>
      </c>
      <c r="F927" t="inlineStr">
        <is>
          <t>AST SpaceMobile Inc</t>
        </is>
      </c>
      <c r="G927">
        <f>custodian!D927</f>
        <v/>
      </c>
      <c r="H927">
        <f>BDP($B927,"ID_ISIN")</f>
        <v/>
      </c>
      <c r="I927" s="1" t="inlineStr">
        <is>
          <t>ASTS</t>
        </is>
      </c>
      <c r="J927">
        <f>BDP($B927,"CNTRY_OF_DOMICILE")</f>
        <v/>
      </c>
      <c r="K927" t="inlineStr">
        <is>
          <t>EC</t>
        </is>
      </c>
      <c r="L927" t="inlineStr">
        <is>
          <t>CORP</t>
        </is>
      </c>
      <c r="M927" t="inlineStr"/>
      <c r="N927" t="inlineStr"/>
      <c r="O927" s="1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s="1" t="inlineStr"/>
      <c r="AR927" s="1" t="inlineStr"/>
      <c r="AS927" s="1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DIPR</t>
        </is>
      </c>
      <c r="B928" t="inlineStr">
        <is>
          <t>BKSY US Equity</t>
        </is>
      </c>
      <c r="C928" s="1" t="inlineStr">
        <is>
          <t>BKSY</t>
        </is>
      </c>
      <c r="D928" t="inlineStr">
        <is>
          <t>BlackSky Technology Inc</t>
        </is>
      </c>
      <c r="E928">
        <f>BDP($B928,"LEGAL_ENTITY_IDENTIFIER")</f>
        <v/>
      </c>
      <c r="F928" t="inlineStr">
        <is>
          <t>BlackSky Technology Inc</t>
        </is>
      </c>
      <c r="G928">
        <f>custodian!D928</f>
        <v/>
      </c>
      <c r="H928">
        <f>BDP($B928,"ID_ISIN")</f>
        <v/>
      </c>
      <c r="I928" s="1" t="inlineStr">
        <is>
          <t>BKSY</t>
        </is>
      </c>
      <c r="J928">
        <f>BDP($B928,"CNTRY_OF_DOMICILE")</f>
        <v/>
      </c>
      <c r="K928" t="inlineStr">
        <is>
          <t>EC</t>
        </is>
      </c>
      <c r="L928" t="inlineStr">
        <is>
          <t>CORP</t>
        </is>
      </c>
      <c r="M928" t="inlineStr"/>
      <c r="N928" t="inlineStr"/>
      <c r="O928" s="1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s="1" t="inlineStr"/>
      <c r="AR928" s="1" t="inlineStr"/>
      <c r="AS928" s="1" t="inlineStr"/>
      <c r="AT928" t="inlineStr"/>
      <c r="AU928" t="inlineStr"/>
      <c r="AV928" t="inlineStr"/>
      <c r="AW928" t="inlineStr"/>
      <c r="AX928" t="inlineStr"/>
      <c r="AY928" t="inlineStr"/>
    </row>
    <row r="929">
      <c r="A929" t="inlineStr">
        <is>
          <t>DIPR</t>
        </is>
      </c>
      <c r="B929" t="inlineStr">
        <is>
          <t>BWXT US Equity</t>
        </is>
      </c>
      <c r="C929" s="1" t="inlineStr">
        <is>
          <t>BWXT</t>
        </is>
      </c>
      <c r="D929" t="inlineStr">
        <is>
          <t>BWX Technologies Inc</t>
        </is>
      </c>
      <c r="E929">
        <f>BDP($B929,"LEGAL_ENTITY_IDENTIFIER")</f>
        <v/>
      </c>
      <c r="F929" t="inlineStr">
        <is>
          <t>BWX Technologies Inc</t>
        </is>
      </c>
      <c r="G929">
        <f>custodian!D929</f>
        <v/>
      </c>
      <c r="H929">
        <f>BDP($B929,"ID_ISIN")</f>
        <v/>
      </c>
      <c r="I929" s="1" t="inlineStr">
        <is>
          <t>BWXT</t>
        </is>
      </c>
      <c r="J929">
        <f>BDP($B929,"CNTRY_OF_DOMICILE")</f>
        <v/>
      </c>
      <c r="K929" t="inlineStr">
        <is>
          <t>EC</t>
        </is>
      </c>
      <c r="L929" t="inlineStr">
        <is>
          <t>CORP</t>
        </is>
      </c>
      <c r="M929" t="inlineStr"/>
      <c r="N929" t="inlineStr"/>
      <c r="O929" s="1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s="1" t="inlineStr"/>
      <c r="AR929" s="1" t="inlineStr"/>
      <c r="AS929" s="1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DIPR</t>
        </is>
      </c>
      <c r="B930" t="inlineStr">
        <is>
          <t>ECHO US Equity</t>
        </is>
      </c>
      <c r="C930" s="1" t="inlineStr">
        <is>
          <t>ECHO</t>
        </is>
      </c>
      <c r="D930" t="inlineStr">
        <is>
          <t>EchoStar Corp</t>
        </is>
      </c>
      <c r="E930">
        <f>BDP($B930,"LEGAL_ENTITY_IDENTIFIER")</f>
        <v/>
      </c>
      <c r="F930" t="inlineStr">
        <is>
          <t>EchoStar Corp</t>
        </is>
      </c>
      <c r="G930">
        <f>custodian!D930</f>
        <v/>
      </c>
      <c r="H930">
        <f>BDP($B930,"ID_ISIN")</f>
        <v/>
      </c>
      <c r="I930" s="1" t="inlineStr">
        <is>
          <t>ECHO</t>
        </is>
      </c>
      <c r="J930">
        <f>BDP($B930,"CNTRY_OF_DOMICILE")</f>
        <v/>
      </c>
      <c r="K930" t="inlineStr">
        <is>
          <t>EC</t>
        </is>
      </c>
      <c r="L930" t="inlineStr">
        <is>
          <t>CORP</t>
        </is>
      </c>
      <c r="M930" t="inlineStr"/>
      <c r="N930" t="inlineStr"/>
      <c r="O930" s="1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s="1" t="inlineStr"/>
      <c r="AR930" s="1" t="inlineStr"/>
      <c r="AS930" s="1" t="inlineStr"/>
      <c r="AT930" t="inlineStr"/>
      <c r="AU930" t="inlineStr"/>
      <c r="AV930" t="inlineStr"/>
      <c r="AW930" t="inlineStr"/>
      <c r="AX930" t="inlineStr"/>
      <c r="AY930" t="inlineStr"/>
    </row>
    <row r="931">
      <c r="A931" t="inlineStr">
        <is>
          <t>DIPR</t>
        </is>
      </c>
      <c r="B931" t="inlineStr">
        <is>
          <t>FEIM US Equity</t>
        </is>
      </c>
      <c r="C931" s="1" t="inlineStr">
        <is>
          <t>FEIM</t>
        </is>
      </c>
      <c r="D931" t="inlineStr">
        <is>
          <t>Frequency Electronics Inc</t>
        </is>
      </c>
      <c r="E931">
        <f>BDP($B931,"LEGAL_ENTITY_IDENTIFIER")</f>
        <v/>
      </c>
      <c r="F931" t="inlineStr">
        <is>
          <t>Frequency Electronics Inc</t>
        </is>
      </c>
      <c r="G931">
        <f>custodian!D931</f>
        <v/>
      </c>
      <c r="H931">
        <f>BDP($B931,"ID_ISIN")</f>
        <v/>
      </c>
      <c r="I931" s="1" t="inlineStr">
        <is>
          <t>FEIM</t>
        </is>
      </c>
      <c r="J931">
        <f>BDP($B931,"CNTRY_OF_DOMICILE")</f>
        <v/>
      </c>
      <c r="K931" t="inlineStr">
        <is>
          <t>EC</t>
        </is>
      </c>
      <c r="L931" t="inlineStr">
        <is>
          <t>CORP</t>
        </is>
      </c>
      <c r="M931" t="inlineStr"/>
      <c r="N931" t="inlineStr"/>
      <c r="O931" s="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s="1" t="inlineStr"/>
      <c r="AR931" s="1" t="inlineStr"/>
      <c r="AS931" s="1" t="inlineStr"/>
      <c r="AT931" t="inlineStr"/>
      <c r="AU931" t="inlineStr"/>
      <c r="AV931" t="inlineStr"/>
      <c r="AW931" t="inlineStr"/>
      <c r="AX931" t="inlineStr"/>
      <c r="AY931" t="inlineStr"/>
    </row>
    <row r="932">
      <c r="A932" t="inlineStr">
        <is>
          <t>DIPR</t>
        </is>
      </c>
      <c r="B932" t="inlineStr">
        <is>
          <t>FGXXX US Equity</t>
        </is>
      </c>
      <c r="C932" s="1" t="inlineStr">
        <is>
          <t>FGXXX</t>
        </is>
      </c>
      <c r="D932" t="inlineStr">
        <is>
          <t>First American Government Obli</t>
        </is>
      </c>
      <c r="E932">
        <f>BDP($B932,"LEGAL_ENTITY_IDENTIFIER")</f>
        <v/>
      </c>
      <c r="F932" t="inlineStr">
        <is>
          <t>First American Government Obligations Fund</t>
        </is>
      </c>
      <c r="G932">
        <f>custodian!D932</f>
        <v/>
      </c>
      <c r="H932">
        <f>BDP($B932,"ID_ISIN")</f>
        <v/>
      </c>
      <c r="I932" s="1" t="inlineStr">
        <is>
          <t>FGXXX</t>
        </is>
      </c>
      <c r="J932">
        <f>BDP($B932,"CNTRY_OF_DOMICILE")</f>
        <v/>
      </c>
      <c r="K932" t="inlineStr">
        <is>
          <t>STIV</t>
        </is>
      </c>
      <c r="L932" t="inlineStr">
        <is>
          <t>RF</t>
        </is>
      </c>
      <c r="M932" t="inlineStr"/>
      <c r="N932" t="inlineStr"/>
      <c r="O932" s="1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s="1" t="inlineStr"/>
      <c r="AR932" s="1" t="inlineStr"/>
      <c r="AS932" s="1" t="inlineStr"/>
      <c r="AT932" t="inlineStr"/>
      <c r="AU932" t="inlineStr"/>
      <c r="AV932" t="inlineStr"/>
      <c r="AW932" t="inlineStr"/>
      <c r="AX932" t="inlineStr"/>
      <c r="AY932" t="inlineStr"/>
    </row>
    <row r="933">
      <c r="A933" t="inlineStr">
        <is>
          <t>DIPR</t>
        </is>
      </c>
      <c r="B933" t="inlineStr">
        <is>
          <t>FLY US Equity</t>
        </is>
      </c>
      <c r="C933" s="1" t="inlineStr">
        <is>
          <t>FLY</t>
        </is>
      </c>
      <c r="D933" t="inlineStr">
        <is>
          <t>Firefly Aerospace Inc</t>
        </is>
      </c>
      <c r="E933">
        <f>BDP($B933,"LEGAL_ENTITY_IDENTIFIER")</f>
        <v/>
      </c>
      <c r="F933" t="inlineStr">
        <is>
          <t>Firefly Aerospace Inc</t>
        </is>
      </c>
      <c r="G933">
        <f>custodian!D933</f>
        <v/>
      </c>
      <c r="H933">
        <f>BDP($B933,"ID_ISIN")</f>
        <v/>
      </c>
      <c r="I933" s="1" t="inlineStr">
        <is>
          <t>FLY</t>
        </is>
      </c>
      <c r="J933">
        <f>BDP($B933,"CNTRY_OF_DOMICILE")</f>
        <v/>
      </c>
      <c r="K933" t="inlineStr">
        <is>
          <t>EC</t>
        </is>
      </c>
      <c r="L933" t="inlineStr">
        <is>
          <t>CORP</t>
        </is>
      </c>
      <c r="M933" t="inlineStr"/>
      <c r="N933" t="inlineStr"/>
      <c r="O933" s="1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s="1" t="inlineStr"/>
      <c r="AR933" s="1" t="inlineStr"/>
      <c r="AS933" s="1" t="inlineStr"/>
      <c r="AT933" t="inlineStr"/>
      <c r="AU933" t="inlineStr"/>
      <c r="AV933" t="inlineStr"/>
      <c r="AW933" t="inlineStr"/>
      <c r="AX933" t="inlineStr"/>
      <c r="AY933" t="inlineStr"/>
    </row>
    <row r="934">
      <c r="A934" t="inlineStr">
        <is>
          <t>DIPR</t>
        </is>
      </c>
      <c r="B934" t="inlineStr">
        <is>
          <t>GILT US Equity</t>
        </is>
      </c>
      <c r="C934" s="1" t="inlineStr">
        <is>
          <t>GILT</t>
        </is>
      </c>
      <c r="D934" t="inlineStr">
        <is>
          <t>Gilat Satellite Networks Ltd</t>
        </is>
      </c>
      <c r="E934">
        <f>BDP($B934,"LEGAL_ENTITY_IDENTIFIER")</f>
        <v/>
      </c>
      <c r="F934" t="inlineStr">
        <is>
          <t>Gilat Satellite Networks Ltd</t>
        </is>
      </c>
      <c r="G934">
        <f>custodian!D934</f>
        <v/>
      </c>
      <c r="H934">
        <f>BDP($B934,"ID_ISIN")</f>
        <v/>
      </c>
      <c r="I934" s="1" t="inlineStr">
        <is>
          <t>GILT</t>
        </is>
      </c>
      <c r="J934">
        <f>BDP($B934,"CNTRY_OF_DOMICILE")</f>
        <v/>
      </c>
      <c r="K934" t="inlineStr">
        <is>
          <t>EC</t>
        </is>
      </c>
      <c r="L934" t="inlineStr">
        <is>
          <t>CORP</t>
        </is>
      </c>
      <c r="M934" t="inlineStr"/>
      <c r="N934" t="inlineStr"/>
      <c r="O934" s="1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s="1" t="inlineStr"/>
      <c r="AR934" s="1" t="inlineStr"/>
      <c r="AS934" s="1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DIPR</t>
        </is>
      </c>
      <c r="B935" t="inlineStr">
        <is>
          <t>GOGO US Equity</t>
        </is>
      </c>
      <c r="C935" s="1" t="inlineStr">
        <is>
          <t>GOGO</t>
        </is>
      </c>
      <c r="D935" t="inlineStr">
        <is>
          <t>Gogo Inc</t>
        </is>
      </c>
      <c r="E935">
        <f>BDP($B935,"LEGAL_ENTITY_IDENTIFIER")</f>
        <v/>
      </c>
      <c r="F935" t="inlineStr">
        <is>
          <t>Gogo Inc</t>
        </is>
      </c>
      <c r="G935">
        <f>custodian!D935</f>
        <v/>
      </c>
      <c r="H935">
        <f>BDP($B935,"ID_ISIN")</f>
        <v/>
      </c>
      <c r="I935" s="1" t="inlineStr">
        <is>
          <t>GOGO</t>
        </is>
      </c>
      <c r="J935">
        <f>BDP($B935,"CNTRY_OF_DOMICILE")</f>
        <v/>
      </c>
      <c r="K935" t="inlineStr">
        <is>
          <t>EC</t>
        </is>
      </c>
      <c r="L935" t="inlineStr">
        <is>
          <t>CORP</t>
        </is>
      </c>
      <c r="M935" t="inlineStr"/>
      <c r="N935" t="inlineStr"/>
      <c r="O935" s="1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s="1" t="inlineStr"/>
      <c r="AR935" s="1" t="inlineStr"/>
      <c r="AS935" s="1" t="inlineStr"/>
      <c r="AT935" t="inlineStr"/>
      <c r="AU935" t="inlineStr"/>
      <c r="AV935" t="inlineStr"/>
      <c r="AW935" t="inlineStr"/>
      <c r="AX935" t="inlineStr"/>
      <c r="AY935" t="inlineStr"/>
    </row>
    <row r="936">
      <c r="A936" t="inlineStr">
        <is>
          <t>DIPR</t>
        </is>
      </c>
      <c r="B936" t="inlineStr">
        <is>
          <t>GRMN US Equity</t>
        </is>
      </c>
      <c r="C936" s="1" t="inlineStr">
        <is>
          <t>GRMN</t>
        </is>
      </c>
      <c r="D936" t="inlineStr">
        <is>
          <t>Garmin Ltd</t>
        </is>
      </c>
      <c r="E936">
        <f>BDP($B936,"LEGAL_ENTITY_IDENTIFIER")</f>
        <v/>
      </c>
      <c r="F936" t="inlineStr">
        <is>
          <t>Garmin Ltd</t>
        </is>
      </c>
      <c r="G936">
        <f>custodian!D936</f>
        <v/>
      </c>
      <c r="H936">
        <f>BDP($B936,"ID_ISIN")</f>
        <v/>
      </c>
      <c r="I936" s="1" t="inlineStr">
        <is>
          <t>GRMN</t>
        </is>
      </c>
      <c r="J936">
        <f>BDP($B936,"CNTRY_OF_DOMICILE")</f>
        <v/>
      </c>
      <c r="K936" t="inlineStr">
        <is>
          <t>EC</t>
        </is>
      </c>
      <c r="L936" t="inlineStr">
        <is>
          <t>CORP</t>
        </is>
      </c>
      <c r="M936" t="inlineStr"/>
      <c r="N936" t="inlineStr"/>
      <c r="O936" s="1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s="1" t="inlineStr"/>
      <c r="AR936" s="1" t="inlineStr"/>
      <c r="AS936" s="1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DIPR</t>
        </is>
      </c>
      <c r="B937" t="inlineStr">
        <is>
          <t>GSAT US Equity</t>
        </is>
      </c>
      <c r="C937" s="1" t="inlineStr">
        <is>
          <t>GSAT</t>
        </is>
      </c>
      <c r="D937" t="inlineStr">
        <is>
          <t>Globalstar Inc</t>
        </is>
      </c>
      <c r="E937">
        <f>BDP($B937,"LEGAL_ENTITY_IDENTIFIER")</f>
        <v/>
      </c>
      <c r="F937" t="inlineStr">
        <is>
          <t>Globalstar Inc</t>
        </is>
      </c>
      <c r="G937">
        <f>custodian!D937</f>
        <v/>
      </c>
      <c r="H937">
        <f>BDP($B937,"ID_ISIN")</f>
        <v/>
      </c>
      <c r="I937" s="1" t="inlineStr">
        <is>
          <t>GSAT</t>
        </is>
      </c>
      <c r="J937">
        <f>BDP($B937,"CNTRY_OF_DOMICILE")</f>
        <v/>
      </c>
      <c r="K937" t="inlineStr">
        <is>
          <t>EC</t>
        </is>
      </c>
      <c r="L937" t="inlineStr">
        <is>
          <t>CORP</t>
        </is>
      </c>
      <c r="M937" t="inlineStr"/>
      <c r="N937" t="inlineStr"/>
      <c r="O937" s="1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s="1" t="inlineStr"/>
      <c r="AR937" s="1" t="inlineStr"/>
      <c r="AS937" s="1" t="inlineStr"/>
      <c r="AT937" t="inlineStr"/>
      <c r="AU937" t="inlineStr"/>
      <c r="AV937" t="inlineStr"/>
      <c r="AW937" t="inlineStr"/>
      <c r="AX937" t="inlineStr"/>
      <c r="AY937" t="inlineStr"/>
    </row>
    <row r="938">
      <c r="A938" t="inlineStr">
        <is>
          <t>DIPR</t>
        </is>
      </c>
      <c r="B938" t="inlineStr">
        <is>
          <t>IRDM US Equity</t>
        </is>
      </c>
      <c r="C938" s="1" t="inlineStr">
        <is>
          <t>IRDM</t>
        </is>
      </c>
      <c r="D938" t="inlineStr">
        <is>
          <t>Iridium Communications Inc</t>
        </is>
      </c>
      <c r="E938">
        <f>BDP($B938,"LEGAL_ENTITY_IDENTIFIER")</f>
        <v/>
      </c>
      <c r="F938" t="inlineStr">
        <is>
          <t>Iridium Communications Inc</t>
        </is>
      </c>
      <c r="G938">
        <f>custodian!D938</f>
        <v/>
      </c>
      <c r="H938">
        <f>BDP($B938,"ID_ISIN")</f>
        <v/>
      </c>
      <c r="I938" s="1" t="inlineStr">
        <is>
          <t>IRDM</t>
        </is>
      </c>
      <c r="J938">
        <f>BDP($B938,"CNTRY_OF_DOMICILE")</f>
        <v/>
      </c>
      <c r="K938" t="inlineStr">
        <is>
          <t>EC</t>
        </is>
      </c>
      <c r="L938" t="inlineStr">
        <is>
          <t>CORP</t>
        </is>
      </c>
      <c r="M938" t="inlineStr"/>
      <c r="N938" t="inlineStr"/>
      <c r="O938" s="1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s="1" t="inlineStr"/>
      <c r="AR938" s="1" t="inlineStr"/>
      <c r="AS938" s="1" t="inlineStr"/>
      <c r="AT938" t="inlineStr"/>
      <c r="AU938" t="inlineStr"/>
      <c r="AV938" t="inlineStr"/>
      <c r="AW938" t="inlineStr"/>
      <c r="AX938" t="inlineStr"/>
      <c r="AY938" t="inlineStr"/>
    </row>
    <row r="939">
      <c r="A939" t="inlineStr">
        <is>
          <t>DIPR</t>
        </is>
      </c>
      <c r="B939" t="inlineStr">
        <is>
          <t>LMT US Equity</t>
        </is>
      </c>
      <c r="C939" s="1" t="inlineStr">
        <is>
          <t>LMT</t>
        </is>
      </c>
      <c r="D939" t="inlineStr">
        <is>
          <t>Lockheed Martin Corp</t>
        </is>
      </c>
      <c r="E939">
        <f>BDP($B939,"LEGAL_ENTITY_IDENTIFIER")</f>
        <v/>
      </c>
      <c r="F939" t="inlineStr">
        <is>
          <t>Lockheed Martin Corp</t>
        </is>
      </c>
      <c r="G939">
        <f>custodian!D939</f>
        <v/>
      </c>
      <c r="H939">
        <f>BDP($B939,"ID_ISIN")</f>
        <v/>
      </c>
      <c r="I939" s="1" t="inlineStr">
        <is>
          <t>LMT</t>
        </is>
      </c>
      <c r="J939">
        <f>BDP($B939,"CNTRY_OF_DOMICILE")</f>
        <v/>
      </c>
      <c r="K939" t="inlineStr">
        <is>
          <t>EC</t>
        </is>
      </c>
      <c r="L939" t="inlineStr">
        <is>
          <t>CORP</t>
        </is>
      </c>
      <c r="M939" t="inlineStr"/>
      <c r="N939" t="inlineStr"/>
      <c r="O939" s="1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s="1" t="inlineStr"/>
      <c r="AR939" s="1" t="inlineStr"/>
      <c r="AS939" s="1" t="inlineStr"/>
      <c r="AT939" t="inlineStr"/>
      <c r="AU939" t="inlineStr"/>
      <c r="AV939" t="inlineStr"/>
      <c r="AW939" t="inlineStr"/>
      <c r="AX939" t="inlineStr"/>
      <c r="AY939" t="inlineStr"/>
    </row>
    <row r="940">
      <c r="A940" t="inlineStr">
        <is>
          <t>DIPR</t>
        </is>
      </c>
      <c r="B940" t="inlineStr">
        <is>
          <t>LUNR US Equity</t>
        </is>
      </c>
      <c r="C940" s="1" t="inlineStr">
        <is>
          <t>LUNR</t>
        </is>
      </c>
      <c r="D940" t="inlineStr">
        <is>
          <t>Intuitive Machines Inc</t>
        </is>
      </c>
      <c r="E940">
        <f>BDP($B940,"LEGAL_ENTITY_IDENTIFIER")</f>
        <v/>
      </c>
      <c r="F940" t="inlineStr">
        <is>
          <t>Intuitive Machines Inc</t>
        </is>
      </c>
      <c r="G940">
        <f>custodian!D940</f>
        <v/>
      </c>
      <c r="H940">
        <f>BDP($B940,"ID_ISIN")</f>
        <v/>
      </c>
      <c r="I940" s="1" t="inlineStr">
        <is>
          <t>LUNR</t>
        </is>
      </c>
      <c r="J940">
        <f>BDP($B940,"CNTRY_OF_DOMICILE")</f>
        <v/>
      </c>
      <c r="K940" t="inlineStr">
        <is>
          <t>EC</t>
        </is>
      </c>
      <c r="L940" t="inlineStr">
        <is>
          <t>CORP</t>
        </is>
      </c>
      <c r="M940" t="inlineStr"/>
      <c r="N940" t="inlineStr"/>
      <c r="O940" s="1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s="1" t="inlineStr"/>
      <c r="AR940" s="1" t="inlineStr"/>
      <c r="AS940" s="1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DIPR</t>
        </is>
      </c>
      <c r="B941" t="inlineStr">
        <is>
          <t>MDA US Equity</t>
        </is>
      </c>
      <c r="C941" s="1" t="inlineStr">
        <is>
          <t>MDA</t>
        </is>
      </c>
      <c r="D941" t="inlineStr">
        <is>
          <t>MDA Space Ltd</t>
        </is>
      </c>
      <c r="E941">
        <f>BDP($B941,"LEGAL_ENTITY_IDENTIFIER")</f>
        <v/>
      </c>
      <c r="F941" t="inlineStr">
        <is>
          <t>MDA Space Ltd</t>
        </is>
      </c>
      <c r="G941">
        <f>custodian!D941</f>
        <v/>
      </c>
      <c r="H941">
        <f>BDP($B941,"ID_ISIN")</f>
        <v/>
      </c>
      <c r="I941" s="1" t="inlineStr">
        <is>
          <t>MDA</t>
        </is>
      </c>
      <c r="J941">
        <f>BDP($B941,"CNTRY_OF_DOMICILE")</f>
        <v/>
      </c>
      <c r="K941" t="inlineStr">
        <is>
          <t>EC</t>
        </is>
      </c>
      <c r="L941" t="inlineStr">
        <is>
          <t>CORP</t>
        </is>
      </c>
      <c r="M941" t="inlineStr"/>
      <c r="N941" t="inlineStr"/>
      <c r="O941" s="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s="1" t="inlineStr"/>
      <c r="AR941" s="1" t="inlineStr"/>
      <c r="AS941" s="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DIPR</t>
        </is>
      </c>
      <c r="B942" t="inlineStr">
        <is>
          <t>MRCY US Equity</t>
        </is>
      </c>
      <c r="C942" s="1" t="inlineStr">
        <is>
          <t>MRCY</t>
        </is>
      </c>
      <c r="D942" t="inlineStr">
        <is>
          <t>Mercury Systems Inc</t>
        </is>
      </c>
      <c r="E942">
        <f>BDP($B942,"LEGAL_ENTITY_IDENTIFIER")</f>
        <v/>
      </c>
      <c r="F942" t="inlineStr">
        <is>
          <t>Mercury Systems Inc</t>
        </is>
      </c>
      <c r="G942">
        <f>custodian!D942</f>
        <v/>
      </c>
      <c r="H942">
        <f>BDP($B942,"ID_ISIN")</f>
        <v/>
      </c>
      <c r="I942" s="1" t="inlineStr">
        <is>
          <t>MRCY</t>
        </is>
      </c>
      <c r="J942">
        <f>BDP($B942,"CNTRY_OF_DOMICILE")</f>
        <v/>
      </c>
      <c r="K942" t="inlineStr">
        <is>
          <t>EC</t>
        </is>
      </c>
      <c r="L942" t="inlineStr">
        <is>
          <t>CORP</t>
        </is>
      </c>
      <c r="M942" t="inlineStr"/>
      <c r="N942" t="inlineStr"/>
      <c r="O942" s="1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s="1" t="inlineStr"/>
      <c r="AR942" s="1" t="inlineStr"/>
      <c r="AS942" s="1" t="inlineStr"/>
      <c r="AT942" t="inlineStr"/>
      <c r="AU942" t="inlineStr"/>
      <c r="AV942" t="inlineStr"/>
      <c r="AW942" t="inlineStr"/>
      <c r="AX942" t="inlineStr"/>
      <c r="AY942" t="inlineStr"/>
    </row>
    <row r="943">
      <c r="A943" t="inlineStr">
        <is>
          <t>DIPR</t>
        </is>
      </c>
      <c r="B943" t="inlineStr">
        <is>
          <t>MTSI US Equity</t>
        </is>
      </c>
      <c r="C943" s="1" t="inlineStr">
        <is>
          <t>MTSI</t>
        </is>
      </c>
      <c r="D943" t="inlineStr">
        <is>
          <t>MACOM Technology Solutions Hol</t>
        </is>
      </c>
      <c r="E943">
        <f>BDP($B943,"LEGAL_ENTITY_IDENTIFIER")</f>
        <v/>
      </c>
      <c r="F943" t="inlineStr">
        <is>
          <t>MACOM Technology Solutions Holdings Inc</t>
        </is>
      </c>
      <c r="G943">
        <f>custodian!D943</f>
        <v/>
      </c>
      <c r="H943">
        <f>BDP($B943,"ID_ISIN")</f>
        <v/>
      </c>
      <c r="I943" s="1" t="inlineStr">
        <is>
          <t>MTSI</t>
        </is>
      </c>
      <c r="J943">
        <f>BDP($B943,"CNTRY_OF_DOMICILE")</f>
        <v/>
      </c>
      <c r="K943" t="inlineStr">
        <is>
          <t>EC</t>
        </is>
      </c>
      <c r="L943" t="inlineStr">
        <is>
          <t>CORP</t>
        </is>
      </c>
      <c r="M943" t="inlineStr"/>
      <c r="N943" t="inlineStr"/>
      <c r="O943" s="1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s="1" t="inlineStr"/>
      <c r="AR943" s="1" t="inlineStr"/>
      <c r="AS943" s="1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DIPR</t>
        </is>
      </c>
      <c r="B944" t="inlineStr">
        <is>
          <t>PL US Equity</t>
        </is>
      </c>
      <c r="C944" s="1" t="inlineStr">
        <is>
          <t>PL</t>
        </is>
      </c>
      <c r="D944" t="inlineStr">
        <is>
          <t>Planet Labs PBC</t>
        </is>
      </c>
      <c r="E944">
        <f>BDP($B944,"LEGAL_ENTITY_IDENTIFIER")</f>
        <v/>
      </c>
      <c r="F944" t="inlineStr">
        <is>
          <t>Planet Labs PBC</t>
        </is>
      </c>
      <c r="G944">
        <f>custodian!D944</f>
        <v/>
      </c>
      <c r="H944">
        <f>BDP($B944,"ID_ISIN")</f>
        <v/>
      </c>
      <c r="I944" s="1" t="inlineStr">
        <is>
          <t>PL</t>
        </is>
      </c>
      <c r="J944">
        <f>BDP($B944,"CNTRY_OF_DOMICILE")</f>
        <v/>
      </c>
      <c r="K944" t="inlineStr">
        <is>
          <t>EC</t>
        </is>
      </c>
      <c r="L944" t="inlineStr">
        <is>
          <t>CORP</t>
        </is>
      </c>
      <c r="M944" t="inlineStr"/>
      <c r="N944" t="inlineStr"/>
      <c r="O944" s="1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s="1" t="inlineStr"/>
      <c r="AR944" s="1" t="inlineStr"/>
      <c r="AS944" s="1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DIPR</t>
        </is>
      </c>
      <c r="B945" t="inlineStr">
        <is>
          <t>RDW US Equity</t>
        </is>
      </c>
      <c r="C945" s="1" t="inlineStr">
        <is>
          <t>RDW</t>
        </is>
      </c>
      <c r="D945" t="inlineStr">
        <is>
          <t>Redwire Corp</t>
        </is>
      </c>
      <c r="E945">
        <f>BDP($B945,"LEGAL_ENTITY_IDENTIFIER")</f>
        <v/>
      </c>
      <c r="F945" t="inlineStr">
        <is>
          <t>Redwire Corp</t>
        </is>
      </c>
      <c r="G945">
        <f>custodian!D945</f>
        <v/>
      </c>
      <c r="H945">
        <f>BDP($B945,"ID_ISIN")</f>
        <v/>
      </c>
      <c r="I945" s="1" t="inlineStr">
        <is>
          <t>RDW</t>
        </is>
      </c>
      <c r="J945">
        <f>BDP($B945,"CNTRY_OF_DOMICILE")</f>
        <v/>
      </c>
      <c r="K945" t="inlineStr">
        <is>
          <t>EC</t>
        </is>
      </c>
      <c r="L945" t="inlineStr">
        <is>
          <t>CORP</t>
        </is>
      </c>
      <c r="M945" t="inlineStr"/>
      <c r="N945" t="inlineStr"/>
      <c r="O945" s="1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s="1" t="inlineStr"/>
      <c r="AR945" s="1" t="inlineStr"/>
      <c r="AS945" s="1" t="inlineStr"/>
      <c r="AT945" t="inlineStr"/>
      <c r="AU945" t="inlineStr"/>
      <c r="AV945" t="inlineStr"/>
      <c r="AW945" t="inlineStr"/>
      <c r="AX945" t="inlineStr"/>
      <c r="AY945" t="inlineStr"/>
    </row>
    <row r="946">
      <c r="A946" t="inlineStr">
        <is>
          <t>DIPR</t>
        </is>
      </c>
      <c r="B946" t="inlineStr">
        <is>
          <t>RKLB US Equity</t>
        </is>
      </c>
      <c r="C946" s="1" t="inlineStr">
        <is>
          <t>RKLB</t>
        </is>
      </c>
      <c r="D946" t="inlineStr">
        <is>
          <t>Rocket Lab Corp</t>
        </is>
      </c>
      <c r="E946">
        <f>BDP($B946,"LEGAL_ENTITY_IDENTIFIER")</f>
        <v/>
      </c>
      <c r="F946" t="inlineStr">
        <is>
          <t>Rocket Lab Corp</t>
        </is>
      </c>
      <c r="G946">
        <f>custodian!D946</f>
        <v/>
      </c>
      <c r="H946">
        <f>BDP($B946,"ID_ISIN")</f>
        <v/>
      </c>
      <c r="I946" s="1" t="inlineStr">
        <is>
          <t>RKLB</t>
        </is>
      </c>
      <c r="J946">
        <f>BDP($B946,"CNTRY_OF_DOMICILE")</f>
        <v/>
      </c>
      <c r="K946" t="inlineStr">
        <is>
          <t>EC</t>
        </is>
      </c>
      <c r="L946" t="inlineStr">
        <is>
          <t>CORP</t>
        </is>
      </c>
      <c r="M946" t="inlineStr"/>
      <c r="N946" t="inlineStr"/>
      <c r="O946" s="1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s="1" t="inlineStr"/>
      <c r="AR946" s="1" t="inlineStr"/>
      <c r="AS946" s="1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DIPR</t>
        </is>
      </c>
      <c r="B947" t="inlineStr">
        <is>
          <t>SATL US Equity</t>
        </is>
      </c>
      <c r="C947" s="1" t="inlineStr">
        <is>
          <t>SATL</t>
        </is>
      </c>
      <c r="D947" t="inlineStr">
        <is>
          <t>Satellogic Inc</t>
        </is>
      </c>
      <c r="E947">
        <f>BDP($B947,"LEGAL_ENTITY_IDENTIFIER")</f>
        <v/>
      </c>
      <c r="F947" t="inlineStr">
        <is>
          <t>Satellogic Inc</t>
        </is>
      </c>
      <c r="G947">
        <f>custodian!D947</f>
        <v/>
      </c>
      <c r="H947">
        <f>BDP($B947,"ID_ISIN")</f>
        <v/>
      </c>
      <c r="I947" s="1" t="inlineStr">
        <is>
          <t>SATL</t>
        </is>
      </c>
      <c r="J947">
        <f>BDP($B947,"CNTRY_OF_DOMICILE")</f>
        <v/>
      </c>
      <c r="K947" t="inlineStr">
        <is>
          <t>EC</t>
        </is>
      </c>
      <c r="L947" t="inlineStr">
        <is>
          <t>CORP</t>
        </is>
      </c>
      <c r="M947" t="inlineStr"/>
      <c r="N947" t="inlineStr"/>
      <c r="O947" s="1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s="1" t="inlineStr"/>
      <c r="AR947" s="1" t="inlineStr"/>
      <c r="AS947" s="1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DIPR</t>
        </is>
      </c>
      <c r="B948" t="inlineStr">
        <is>
          <t>SIDU US Equity</t>
        </is>
      </c>
      <c r="C948" s="1" t="inlineStr">
        <is>
          <t>SIDU</t>
        </is>
      </c>
      <c r="D948" t="inlineStr">
        <is>
          <t>Sidus Space Inc</t>
        </is>
      </c>
      <c r="E948">
        <f>BDP($B948,"LEGAL_ENTITY_IDENTIFIER")</f>
        <v/>
      </c>
      <c r="F948" t="inlineStr">
        <is>
          <t>Sidus Space Inc</t>
        </is>
      </c>
      <c r="G948">
        <f>custodian!D948</f>
        <v/>
      </c>
      <c r="H948">
        <f>BDP($B948,"ID_ISIN")</f>
        <v/>
      </c>
      <c r="I948" s="1" t="inlineStr">
        <is>
          <t>SIDU</t>
        </is>
      </c>
      <c r="J948">
        <f>BDP($B948,"CNTRY_OF_DOMICILE")</f>
        <v/>
      </c>
      <c r="K948" t="inlineStr">
        <is>
          <t>EC</t>
        </is>
      </c>
      <c r="L948" t="inlineStr">
        <is>
          <t>CORP</t>
        </is>
      </c>
      <c r="M948" t="inlineStr"/>
      <c r="N948" t="inlineStr"/>
      <c r="O948" s="1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s="1" t="inlineStr"/>
      <c r="AR948" s="1" t="inlineStr"/>
      <c r="AS948" s="1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DIPR</t>
        </is>
      </c>
      <c r="B949" t="inlineStr">
        <is>
          <t>SIRI US Equity</t>
        </is>
      </c>
      <c r="C949" s="1" t="inlineStr">
        <is>
          <t>SIRI</t>
        </is>
      </c>
      <c r="D949" t="inlineStr">
        <is>
          <t>Sirius XM Holdings Inc</t>
        </is>
      </c>
      <c r="E949">
        <f>BDP($B949,"LEGAL_ENTITY_IDENTIFIER")</f>
        <v/>
      </c>
      <c r="F949" t="inlineStr">
        <is>
          <t>Sirius XM Holdings Inc</t>
        </is>
      </c>
      <c r="G949">
        <f>custodian!D949</f>
        <v/>
      </c>
      <c r="H949">
        <f>BDP($B949,"ID_ISIN")</f>
        <v/>
      </c>
      <c r="I949" s="1" t="inlineStr">
        <is>
          <t>SIRI</t>
        </is>
      </c>
      <c r="J949">
        <f>BDP($B949,"CNTRY_OF_DOMICILE")</f>
        <v/>
      </c>
      <c r="K949" t="inlineStr">
        <is>
          <t>EC</t>
        </is>
      </c>
      <c r="L949" t="inlineStr">
        <is>
          <t>CORP</t>
        </is>
      </c>
      <c r="M949" t="inlineStr"/>
      <c r="N949" t="inlineStr"/>
      <c r="O949" s="1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s="1" t="inlineStr"/>
      <c r="AR949" s="1" t="inlineStr"/>
      <c r="AS949" s="1" t="inlineStr"/>
      <c r="AT949" t="inlineStr"/>
      <c r="AU949" t="inlineStr"/>
      <c r="AV949" t="inlineStr"/>
      <c r="AW949" t="inlineStr"/>
      <c r="AX949" t="inlineStr"/>
      <c r="AY949" t="inlineStr"/>
    </row>
    <row r="950">
      <c r="A950" t="inlineStr">
        <is>
          <t>DIPR</t>
        </is>
      </c>
      <c r="B950" t="inlineStr">
        <is>
          <t>SPCE US Equity</t>
        </is>
      </c>
      <c r="C950" s="1" t="inlineStr">
        <is>
          <t>SPCE</t>
        </is>
      </c>
      <c r="D950" t="inlineStr">
        <is>
          <t>Virgin Galactic Holdings Inc</t>
        </is>
      </c>
      <c r="E950">
        <f>BDP($B950,"LEGAL_ENTITY_IDENTIFIER")</f>
        <v/>
      </c>
      <c r="F950" t="inlineStr">
        <is>
          <t>Virgin Galactic Holdings Inc</t>
        </is>
      </c>
      <c r="G950">
        <f>custodian!D950</f>
        <v/>
      </c>
      <c r="H950">
        <f>BDP($B950,"ID_ISIN")</f>
        <v/>
      </c>
      <c r="I950" s="1" t="inlineStr">
        <is>
          <t>SPCE</t>
        </is>
      </c>
      <c r="J950">
        <f>BDP($B950,"CNTRY_OF_DOMICILE")</f>
        <v/>
      </c>
      <c r="K950" t="inlineStr">
        <is>
          <t>EC</t>
        </is>
      </c>
      <c r="L950" t="inlineStr">
        <is>
          <t>CORP</t>
        </is>
      </c>
      <c r="M950" t="inlineStr"/>
      <c r="N950" t="inlineStr"/>
      <c r="O950" s="1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s="1" t="inlineStr"/>
      <c r="AR950" s="1" t="inlineStr"/>
      <c r="AS950" s="1" t="inlineStr"/>
      <c r="AT950" t="inlineStr"/>
      <c r="AU950" t="inlineStr"/>
      <c r="AV950" t="inlineStr"/>
      <c r="AW950" t="inlineStr"/>
      <c r="AX950" t="inlineStr"/>
      <c r="AY950" t="inlineStr"/>
    </row>
    <row r="951">
      <c r="A951" t="inlineStr">
        <is>
          <t>DIPR</t>
        </is>
      </c>
      <c r="B951" t="inlineStr">
        <is>
          <t>SPIR US Equity</t>
        </is>
      </c>
      <c r="C951" s="1" t="inlineStr">
        <is>
          <t>SPIR</t>
        </is>
      </c>
      <c r="D951" t="inlineStr">
        <is>
          <t>Spire Global Inc</t>
        </is>
      </c>
      <c r="E951">
        <f>BDP($B951,"LEGAL_ENTITY_IDENTIFIER")</f>
        <v/>
      </c>
      <c r="F951" t="inlineStr">
        <is>
          <t>Spire Global Inc</t>
        </is>
      </c>
      <c r="G951">
        <f>custodian!D951</f>
        <v/>
      </c>
      <c r="H951">
        <f>BDP($B951,"ID_ISIN")</f>
        <v/>
      </c>
      <c r="I951" s="1" t="inlineStr">
        <is>
          <t>SPIR</t>
        </is>
      </c>
      <c r="J951">
        <f>BDP($B951,"CNTRY_OF_DOMICILE")</f>
        <v/>
      </c>
      <c r="K951" t="inlineStr">
        <is>
          <t>EC</t>
        </is>
      </c>
      <c r="L951" t="inlineStr">
        <is>
          <t>CORP</t>
        </is>
      </c>
      <c r="M951" t="inlineStr"/>
      <c r="N951" t="inlineStr"/>
      <c r="O951" s="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s="1" t="inlineStr"/>
      <c r="AR951" s="1" t="inlineStr"/>
      <c r="AS951" s="1" t="inlineStr"/>
      <c r="AT951" t="inlineStr"/>
      <c r="AU951" t="inlineStr"/>
      <c r="AV951" t="inlineStr"/>
      <c r="AW951" t="inlineStr"/>
      <c r="AX951" t="inlineStr"/>
      <c r="AY951" t="inlineStr"/>
    </row>
    <row r="952">
      <c r="A952" t="inlineStr">
        <is>
          <t>DIPR</t>
        </is>
      </c>
      <c r="B952" t="inlineStr">
        <is>
          <t>TRMB US Equity</t>
        </is>
      </c>
      <c r="C952" s="1" t="inlineStr">
        <is>
          <t>TRMB</t>
        </is>
      </c>
      <c r="D952" t="inlineStr">
        <is>
          <t>Trimble Inc</t>
        </is>
      </c>
      <c r="E952">
        <f>BDP($B952,"LEGAL_ENTITY_IDENTIFIER")</f>
        <v/>
      </c>
      <c r="F952" t="inlineStr">
        <is>
          <t>Trimble Inc</t>
        </is>
      </c>
      <c r="G952">
        <f>custodian!D952</f>
        <v/>
      </c>
      <c r="H952">
        <f>BDP($B952,"ID_ISIN")</f>
        <v/>
      </c>
      <c r="I952" s="1" t="inlineStr">
        <is>
          <t>TRMB</t>
        </is>
      </c>
      <c r="J952">
        <f>BDP($B952,"CNTRY_OF_DOMICILE")</f>
        <v/>
      </c>
      <c r="K952" t="inlineStr">
        <is>
          <t>EC</t>
        </is>
      </c>
      <c r="L952" t="inlineStr">
        <is>
          <t>CORP</t>
        </is>
      </c>
      <c r="M952" t="inlineStr"/>
      <c r="N952" t="inlineStr"/>
      <c r="O952" s="1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s="1" t="inlineStr"/>
      <c r="AR952" s="1" t="inlineStr"/>
      <c r="AS952" s="1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DIPR</t>
        </is>
      </c>
      <c r="B953" t="inlineStr">
        <is>
          <t>TSAT US Equity</t>
        </is>
      </c>
      <c r="C953" s="1" t="inlineStr">
        <is>
          <t>TSAT</t>
        </is>
      </c>
      <c r="D953" t="inlineStr">
        <is>
          <t>Telesat Corp</t>
        </is>
      </c>
      <c r="E953">
        <f>BDP($B953,"LEGAL_ENTITY_IDENTIFIER")</f>
        <v/>
      </c>
      <c r="F953" t="inlineStr">
        <is>
          <t>Telesat Corp</t>
        </is>
      </c>
      <c r="G953">
        <f>custodian!D953</f>
        <v/>
      </c>
      <c r="H953">
        <f>BDP($B953,"ID_ISIN")</f>
        <v/>
      </c>
      <c r="I953" s="1" t="inlineStr">
        <is>
          <t>TSAT</t>
        </is>
      </c>
      <c r="J953">
        <f>BDP($B953,"CNTRY_OF_DOMICILE")</f>
        <v/>
      </c>
      <c r="K953" t="inlineStr">
        <is>
          <t>EC</t>
        </is>
      </c>
      <c r="L953" t="inlineStr">
        <is>
          <t>CORP</t>
        </is>
      </c>
      <c r="M953" t="inlineStr"/>
      <c r="N953" t="inlineStr"/>
      <c r="O953" s="1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s="1" t="inlineStr"/>
      <c r="AR953" s="1" t="inlineStr"/>
      <c r="AS953" s="1" t="inlineStr"/>
      <c r="AT953" t="inlineStr"/>
      <c r="AU953" t="inlineStr"/>
      <c r="AV953" t="inlineStr"/>
      <c r="AW953" t="inlineStr"/>
      <c r="AX953" t="inlineStr"/>
      <c r="AY953" t="inlineStr"/>
    </row>
    <row r="954">
      <c r="A954" t="inlineStr">
        <is>
          <t>DIPR</t>
        </is>
      </c>
      <c r="B954" t="inlineStr">
        <is>
          <t>VOYG US Equity</t>
        </is>
      </c>
      <c r="C954" s="1" t="inlineStr">
        <is>
          <t>VOYG</t>
        </is>
      </c>
      <c r="D954" t="inlineStr">
        <is>
          <t>Voyager Technologies Inc</t>
        </is>
      </c>
      <c r="E954">
        <f>BDP($B954,"LEGAL_ENTITY_IDENTIFIER")</f>
        <v/>
      </c>
      <c r="F954" t="inlineStr">
        <is>
          <t>Voyager Technologies Inc</t>
        </is>
      </c>
      <c r="G954">
        <f>custodian!D954</f>
        <v/>
      </c>
      <c r="H954">
        <f>BDP($B954,"ID_ISIN")</f>
        <v/>
      </c>
      <c r="I954" s="1" t="inlineStr">
        <is>
          <t>VOYG</t>
        </is>
      </c>
      <c r="J954">
        <f>BDP($B954,"CNTRY_OF_DOMICILE")</f>
        <v/>
      </c>
      <c r="K954" t="inlineStr">
        <is>
          <t>EC</t>
        </is>
      </c>
      <c r="L954" t="inlineStr">
        <is>
          <t>CORP</t>
        </is>
      </c>
      <c r="M954" t="inlineStr"/>
      <c r="N954" t="inlineStr"/>
      <c r="O954" s="1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s="1" t="inlineStr"/>
      <c r="AR954" s="1" t="inlineStr"/>
      <c r="AS954" s="1" t="inlineStr"/>
      <c r="AT954" t="inlineStr"/>
      <c r="AU954" t="inlineStr"/>
      <c r="AV954" t="inlineStr"/>
      <c r="AW954" t="inlineStr"/>
      <c r="AX954" t="inlineStr"/>
      <c r="AY954" t="inlineStr"/>
    </row>
    <row r="955">
      <c r="A955" t="inlineStr">
        <is>
          <t>DIPR</t>
        </is>
      </c>
      <c r="B955" t="inlineStr">
        <is>
          <t>VSAT US Equity</t>
        </is>
      </c>
      <c r="C955" s="1" t="inlineStr">
        <is>
          <t>VSAT</t>
        </is>
      </c>
      <c r="D955" t="inlineStr">
        <is>
          <t>Viasat Inc</t>
        </is>
      </c>
      <c r="E955">
        <f>BDP($B955,"LEGAL_ENTITY_IDENTIFIER")</f>
        <v/>
      </c>
      <c r="F955" t="inlineStr">
        <is>
          <t>Viasat Inc</t>
        </is>
      </c>
      <c r="G955">
        <f>custodian!D955</f>
        <v/>
      </c>
      <c r="H955">
        <f>BDP($B955,"ID_ISIN")</f>
        <v/>
      </c>
      <c r="I955" s="1" t="inlineStr">
        <is>
          <t>VSAT</t>
        </is>
      </c>
      <c r="J955">
        <f>BDP($B955,"CNTRY_OF_DOMICILE")</f>
        <v/>
      </c>
      <c r="K955" t="inlineStr">
        <is>
          <t>EC</t>
        </is>
      </c>
      <c r="L955" t="inlineStr">
        <is>
          <t>CORP</t>
        </is>
      </c>
      <c r="M955" t="inlineStr"/>
      <c r="N955" t="inlineStr"/>
      <c r="O955" s="1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s="1" t="inlineStr"/>
      <c r="AR955" s="1" t="inlineStr"/>
      <c r="AS955" s="1" t="inlineStr"/>
      <c r="AT955" t="inlineStr"/>
      <c r="AU955" t="inlineStr"/>
      <c r="AV955" t="inlineStr"/>
      <c r="AW955" t="inlineStr"/>
      <c r="AX955" t="inlineStr"/>
      <c r="AY955" t="inlineStr"/>
    </row>
    <row r="956">
      <c r="A956" t="inlineStr">
        <is>
          <t>DIPR</t>
        </is>
      </c>
      <c r="B956" t="inlineStr">
        <is>
          <t>YSS US Equity</t>
        </is>
      </c>
      <c r="C956" s="1" t="inlineStr">
        <is>
          <t>YSS</t>
        </is>
      </c>
      <c r="D956" t="inlineStr">
        <is>
          <t>York Space Systems Inc</t>
        </is>
      </c>
      <c r="E956">
        <f>BDP($B956,"LEGAL_ENTITY_IDENTIFIER")</f>
        <v/>
      </c>
      <c r="F956" t="inlineStr">
        <is>
          <t>York Space Systems Inc</t>
        </is>
      </c>
      <c r="G956">
        <f>custodian!D956</f>
        <v/>
      </c>
      <c r="H956">
        <f>BDP($B956,"ID_ISIN")</f>
        <v/>
      </c>
      <c r="I956" s="1" t="inlineStr">
        <is>
          <t>YSS</t>
        </is>
      </c>
      <c r="J956">
        <f>BDP($B956,"CNTRY_OF_DOMICILE")</f>
        <v/>
      </c>
      <c r="K956" t="inlineStr">
        <is>
          <t>EC</t>
        </is>
      </c>
      <c r="L956" t="inlineStr">
        <is>
          <t>CORP</t>
        </is>
      </c>
      <c r="M956" t="inlineStr"/>
      <c r="N956" t="inlineStr"/>
      <c r="O956" s="1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s="1" t="inlineStr"/>
      <c r="AR956" s="1" t="inlineStr"/>
      <c r="AS956" s="1" t="inlineStr"/>
      <c r="AT956" t="inlineStr"/>
      <c r="AU956" t="inlineStr"/>
      <c r="AV956" t="inlineStr"/>
      <c r="AW956" t="inlineStr"/>
      <c r="AX956" t="inlineStr"/>
      <c r="AY956" t="inlineStr"/>
    </row>
    <row r="957">
      <c r="A957" t="inlineStr">
        <is>
          <t>DIPR</t>
        </is>
      </c>
      <c r="B957" t="inlineStr"/>
      <c r="C957" s="1" t="inlineStr">
        <is>
          <t>Cash&amp;Other</t>
        </is>
      </c>
      <c r="D957" t="inlineStr"/>
      <c r="E957" s="1" t="inlineStr"/>
      <c r="F957" t="inlineStr"/>
      <c r="G957">
        <f>custodian!D957</f>
        <v/>
      </c>
      <c r="H957" s="1" t="inlineStr"/>
      <c r="I957" s="1" t="inlineStr"/>
      <c r="J957" t="inlineStr"/>
      <c r="K957" t="inlineStr"/>
      <c r="L957" t="inlineStr"/>
      <c r="M957" t="inlineStr"/>
      <c r="N957" t="inlineStr"/>
      <c r="O957" s="1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s="1" t="inlineStr"/>
      <c r="AR957" s="1" t="inlineStr"/>
      <c r="AS957" s="1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DOCK</t>
        </is>
      </c>
      <c r="B958" t="inlineStr">
        <is>
          <t>ALSN US Equity</t>
        </is>
      </c>
      <c r="C958" s="1" t="inlineStr">
        <is>
          <t>ALSN</t>
        </is>
      </c>
      <c r="D958" t="inlineStr">
        <is>
          <t xml:space="preserve">Allison Transmission Holdings </t>
        </is>
      </c>
      <c r="E958">
        <f>BDP($B958,"LEGAL_ENTITY_IDENTIFIER")</f>
        <v/>
      </c>
      <c r="F958" t="inlineStr">
        <is>
          <t>Allison Transmission Holdings Inc</t>
        </is>
      </c>
      <c r="G958">
        <f>custodian!D958</f>
        <v/>
      </c>
      <c r="H958">
        <f>BDP($B958,"ID_ISIN")</f>
        <v/>
      </c>
      <c r="I958" s="1" t="inlineStr">
        <is>
          <t>ALSN</t>
        </is>
      </c>
      <c r="J958">
        <f>BDP($B958,"CNTRY_OF_DOMICILE")</f>
        <v/>
      </c>
      <c r="K958" t="inlineStr">
        <is>
          <t>EC</t>
        </is>
      </c>
      <c r="L958" t="inlineStr">
        <is>
          <t>CORP</t>
        </is>
      </c>
      <c r="M958" t="inlineStr"/>
      <c r="N958" t="inlineStr"/>
      <c r="O958" s="1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s="1" t="inlineStr"/>
      <c r="AR958" s="1" t="inlineStr"/>
      <c r="AS958" s="1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DOCK</t>
        </is>
      </c>
      <c r="B959" t="inlineStr">
        <is>
          <t>ARCB US Equity</t>
        </is>
      </c>
      <c r="C959" s="1" t="inlineStr">
        <is>
          <t>ARCB</t>
        </is>
      </c>
      <c r="D959" t="inlineStr">
        <is>
          <t>ArcBest Corp</t>
        </is>
      </c>
      <c r="E959">
        <f>BDP($B959,"LEGAL_ENTITY_IDENTIFIER")</f>
        <v/>
      </c>
      <c r="F959" t="inlineStr">
        <is>
          <t>ArcBest Corp</t>
        </is>
      </c>
      <c r="G959">
        <f>custodian!D959</f>
        <v/>
      </c>
      <c r="H959">
        <f>BDP($B959,"ID_ISIN")</f>
        <v/>
      </c>
      <c r="I959" s="1" t="inlineStr">
        <is>
          <t>ARCB</t>
        </is>
      </c>
      <c r="J959">
        <f>BDP($B959,"CNTRY_OF_DOMICILE")</f>
        <v/>
      </c>
      <c r="K959" t="inlineStr">
        <is>
          <t>EC</t>
        </is>
      </c>
      <c r="L959" t="inlineStr">
        <is>
          <t>CORP</t>
        </is>
      </c>
      <c r="M959" t="inlineStr"/>
      <c r="N959" t="inlineStr"/>
      <c r="O959" s="1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s="1" t="inlineStr"/>
      <c r="AR959" s="1" t="inlineStr"/>
      <c r="AS959" s="1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DOCK</t>
        </is>
      </c>
      <c r="B960" t="inlineStr">
        <is>
          <t>CHRW US Equity</t>
        </is>
      </c>
      <c r="C960" s="1" t="inlineStr">
        <is>
          <t>CHRW</t>
        </is>
      </c>
      <c r="D960" t="inlineStr">
        <is>
          <t>CH Robinson Worldwide Inc</t>
        </is>
      </c>
      <c r="E960">
        <f>BDP($B960,"LEGAL_ENTITY_IDENTIFIER")</f>
        <v/>
      </c>
      <c r="F960" t="inlineStr">
        <is>
          <t>CH Robinson Worldwide Inc</t>
        </is>
      </c>
      <c r="G960">
        <f>custodian!D960</f>
        <v/>
      </c>
      <c r="H960">
        <f>BDP($B960,"ID_ISIN")</f>
        <v/>
      </c>
      <c r="I960" s="1" t="inlineStr">
        <is>
          <t>CHRW</t>
        </is>
      </c>
      <c r="J960">
        <f>BDP($B960,"CNTRY_OF_DOMICILE")</f>
        <v/>
      </c>
      <c r="K960" t="inlineStr">
        <is>
          <t>EC</t>
        </is>
      </c>
      <c r="L960" t="inlineStr">
        <is>
          <t>CORP</t>
        </is>
      </c>
      <c r="M960" t="inlineStr"/>
      <c r="N960" t="inlineStr"/>
      <c r="O960" s="1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s="1" t="inlineStr"/>
      <c r="AR960" s="1" t="inlineStr"/>
      <c r="AS960" s="1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DOCK</t>
        </is>
      </c>
      <c r="B961" t="inlineStr">
        <is>
          <t>CMI US Equity</t>
        </is>
      </c>
      <c r="C961" s="1" t="inlineStr">
        <is>
          <t>CMI</t>
        </is>
      </c>
      <c r="D961" t="inlineStr">
        <is>
          <t>Cummins Inc</t>
        </is>
      </c>
      <c r="E961">
        <f>BDP($B961,"LEGAL_ENTITY_IDENTIFIER")</f>
        <v/>
      </c>
      <c r="F961" t="inlineStr">
        <is>
          <t>Cummins Inc</t>
        </is>
      </c>
      <c r="G961">
        <f>custodian!D961</f>
        <v/>
      </c>
      <c r="H961">
        <f>BDP($B961,"ID_ISIN")</f>
        <v/>
      </c>
      <c r="I961" s="1" t="inlineStr">
        <is>
          <t>CMI</t>
        </is>
      </c>
      <c r="J961">
        <f>BDP($B961,"CNTRY_OF_DOMICILE")</f>
        <v/>
      </c>
      <c r="K961" t="inlineStr">
        <is>
          <t>EC</t>
        </is>
      </c>
      <c r="L961" t="inlineStr">
        <is>
          <t>CORP</t>
        </is>
      </c>
      <c r="M961" t="inlineStr"/>
      <c r="N961" t="inlineStr"/>
      <c r="O961" s="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s="1" t="inlineStr"/>
      <c r="AR961" s="1" t="inlineStr"/>
      <c r="AS961" s="1" t="inlineStr"/>
      <c r="AT961" t="inlineStr"/>
      <c r="AU961" t="inlineStr"/>
      <c r="AV961" t="inlineStr"/>
      <c r="AW961" t="inlineStr"/>
      <c r="AX961" t="inlineStr"/>
      <c r="AY961" t="inlineStr"/>
    </row>
    <row r="962">
      <c r="A962" t="inlineStr">
        <is>
          <t>DOCK</t>
        </is>
      </c>
      <c r="B962" t="inlineStr">
        <is>
          <t>CMRE US Equity</t>
        </is>
      </c>
      <c r="C962" s="1" t="inlineStr">
        <is>
          <t>CMRE</t>
        </is>
      </c>
      <c r="D962" t="inlineStr">
        <is>
          <t>Costamare Inc</t>
        </is>
      </c>
      <c r="E962">
        <f>BDP($B962,"LEGAL_ENTITY_IDENTIFIER")</f>
        <v/>
      </c>
      <c r="F962" t="inlineStr">
        <is>
          <t>Costamare Inc</t>
        </is>
      </c>
      <c r="G962">
        <f>custodian!D962</f>
        <v/>
      </c>
      <c r="H962">
        <f>BDP($B962,"ID_ISIN")</f>
        <v/>
      </c>
      <c r="I962" s="1" t="inlineStr">
        <is>
          <t>CMRE</t>
        </is>
      </c>
      <c r="J962">
        <f>BDP($B962,"CNTRY_OF_DOMICILE")</f>
        <v/>
      </c>
      <c r="K962" t="inlineStr">
        <is>
          <t>EC</t>
        </is>
      </c>
      <c r="L962" t="inlineStr">
        <is>
          <t>CORP</t>
        </is>
      </c>
      <c r="M962" t="inlineStr"/>
      <c r="N962" t="inlineStr"/>
      <c r="O962" s="1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s="1" t="inlineStr"/>
      <c r="AR962" s="1" t="inlineStr"/>
      <c r="AS962" s="1" t="inlineStr"/>
      <c r="AT962" t="inlineStr"/>
      <c r="AU962" t="inlineStr"/>
      <c r="AV962" t="inlineStr"/>
      <c r="AW962" t="inlineStr"/>
      <c r="AX962" t="inlineStr"/>
      <c r="AY962" t="inlineStr"/>
    </row>
    <row r="963">
      <c r="A963" t="inlineStr">
        <is>
          <t>DOCK</t>
        </is>
      </c>
      <c r="B963" t="inlineStr">
        <is>
          <t>CNI US Equity</t>
        </is>
      </c>
      <c r="C963" s="1" t="inlineStr">
        <is>
          <t>CNI</t>
        </is>
      </c>
      <c r="D963" t="inlineStr">
        <is>
          <t>Canadian National Railway Co</t>
        </is>
      </c>
      <c r="E963">
        <f>BDP($B963,"LEGAL_ENTITY_IDENTIFIER")</f>
        <v/>
      </c>
      <c r="F963" t="inlineStr">
        <is>
          <t>Canadian National Railway Co</t>
        </is>
      </c>
      <c r="G963">
        <f>custodian!D963</f>
        <v/>
      </c>
      <c r="H963">
        <f>BDP($B963,"ID_ISIN")</f>
        <v/>
      </c>
      <c r="I963" s="1" t="inlineStr">
        <is>
          <t>CNI</t>
        </is>
      </c>
      <c r="J963">
        <f>BDP($B963,"CNTRY_OF_DOMICILE")</f>
        <v/>
      </c>
      <c r="K963" t="inlineStr">
        <is>
          <t>EC</t>
        </is>
      </c>
      <c r="L963" t="inlineStr">
        <is>
          <t>CORP</t>
        </is>
      </c>
      <c r="M963" t="inlineStr"/>
      <c r="N963" t="inlineStr"/>
      <c r="O963" s="1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s="1" t="inlineStr"/>
      <c r="AR963" s="1" t="inlineStr"/>
      <c r="AS963" s="1" t="inlineStr"/>
      <c r="AT963" t="inlineStr"/>
      <c r="AU963" t="inlineStr"/>
      <c r="AV963" t="inlineStr"/>
      <c r="AW963" t="inlineStr"/>
      <c r="AX963" t="inlineStr"/>
      <c r="AY963" t="inlineStr"/>
    </row>
    <row r="964">
      <c r="A964" t="inlineStr">
        <is>
          <t>DOCK</t>
        </is>
      </c>
      <c r="B964" t="inlineStr">
        <is>
          <t>CP US Equity</t>
        </is>
      </c>
      <c r="C964" s="1" t="inlineStr">
        <is>
          <t>CP</t>
        </is>
      </c>
      <c r="D964" t="inlineStr">
        <is>
          <t>Canadian Pacific Kansas City L</t>
        </is>
      </c>
      <c r="E964">
        <f>BDP($B964,"LEGAL_ENTITY_IDENTIFIER")</f>
        <v/>
      </c>
      <c r="F964" t="inlineStr">
        <is>
          <t>Canadian Pacific Kansas City Ltd</t>
        </is>
      </c>
      <c r="G964">
        <f>custodian!D964</f>
        <v/>
      </c>
      <c r="H964">
        <f>BDP($B964,"ID_ISIN")</f>
        <v/>
      </c>
      <c r="I964" s="1" t="inlineStr">
        <is>
          <t>CP</t>
        </is>
      </c>
      <c r="J964">
        <f>BDP($B964,"CNTRY_OF_DOMICILE")</f>
        <v/>
      </c>
      <c r="K964" t="inlineStr">
        <is>
          <t>EC</t>
        </is>
      </c>
      <c r="L964" t="inlineStr">
        <is>
          <t>CORP</t>
        </is>
      </c>
      <c r="M964" t="inlineStr"/>
      <c r="N964" t="inlineStr"/>
      <c r="O964" s="1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s="1" t="inlineStr"/>
      <c r="AR964" s="1" t="inlineStr"/>
      <c r="AS964" s="1" t="inlineStr"/>
      <c r="AT964" t="inlineStr"/>
      <c r="AU964" t="inlineStr"/>
      <c r="AV964" t="inlineStr"/>
      <c r="AW964" t="inlineStr"/>
      <c r="AX964" t="inlineStr"/>
      <c r="AY964" t="inlineStr"/>
    </row>
    <row r="965">
      <c r="A965" t="inlineStr">
        <is>
          <t>DOCK</t>
        </is>
      </c>
      <c r="B965" t="inlineStr">
        <is>
          <t>CSX US Equity</t>
        </is>
      </c>
      <c r="C965" s="1" t="inlineStr">
        <is>
          <t>CSX</t>
        </is>
      </c>
      <c r="D965" t="inlineStr">
        <is>
          <t>CSX Corp</t>
        </is>
      </c>
      <c r="E965">
        <f>BDP($B965,"LEGAL_ENTITY_IDENTIFIER")</f>
        <v/>
      </c>
      <c r="F965" t="inlineStr">
        <is>
          <t>CSX Corp</t>
        </is>
      </c>
      <c r="G965">
        <f>custodian!D965</f>
        <v/>
      </c>
      <c r="H965">
        <f>BDP($B965,"ID_ISIN")</f>
        <v/>
      </c>
      <c r="I965" s="1" t="inlineStr">
        <is>
          <t>CSX</t>
        </is>
      </c>
      <c r="J965">
        <f>BDP($B965,"CNTRY_OF_DOMICILE")</f>
        <v/>
      </c>
      <c r="K965" t="inlineStr">
        <is>
          <t>EC</t>
        </is>
      </c>
      <c r="L965" t="inlineStr">
        <is>
          <t>CORP</t>
        </is>
      </c>
      <c r="M965" t="inlineStr"/>
      <c r="N965" t="inlineStr"/>
      <c r="O965" s="1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s="1" t="inlineStr"/>
      <c r="AR965" s="1" t="inlineStr"/>
      <c r="AS965" s="1" t="inlineStr"/>
      <c r="AT965" t="inlineStr"/>
      <c r="AU965" t="inlineStr"/>
      <c r="AV965" t="inlineStr"/>
      <c r="AW965" t="inlineStr"/>
      <c r="AX965" t="inlineStr"/>
      <c r="AY965" t="inlineStr"/>
    </row>
    <row r="966">
      <c r="A966" t="inlineStr">
        <is>
          <t>DOCK</t>
        </is>
      </c>
      <c r="B966" t="inlineStr">
        <is>
          <t>CVLG US Equity</t>
        </is>
      </c>
      <c r="C966" s="1" t="inlineStr">
        <is>
          <t>CVLG</t>
        </is>
      </c>
      <c r="D966" t="inlineStr">
        <is>
          <t>COVENANT TRANS INC - CL A</t>
        </is>
      </c>
      <c r="E966">
        <f>BDP($B966,"LEGAL_ENTITY_IDENTIFIER")</f>
        <v/>
      </c>
      <c r="F966" t="inlineStr">
        <is>
          <t>COVENANT TRANS INC - CL A</t>
        </is>
      </c>
      <c r="G966">
        <f>custodian!D966</f>
        <v/>
      </c>
      <c r="H966">
        <f>BDP($B966,"ID_ISIN")</f>
        <v/>
      </c>
      <c r="I966" s="1" t="inlineStr">
        <is>
          <t>CVLG</t>
        </is>
      </c>
      <c r="J966">
        <f>BDP($B966,"CNTRY_OF_DOMICILE")</f>
        <v/>
      </c>
      <c r="K966" t="inlineStr">
        <is>
          <t>EC</t>
        </is>
      </c>
      <c r="L966" t="inlineStr">
        <is>
          <t>CORP</t>
        </is>
      </c>
      <c r="M966" t="inlineStr"/>
      <c r="N966" t="inlineStr"/>
      <c r="O966" s="1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s="1" t="inlineStr"/>
      <c r="AR966" s="1" t="inlineStr"/>
      <c r="AS966" s="1" t="inlineStr"/>
      <c r="AT966" t="inlineStr"/>
      <c r="AU966" t="inlineStr"/>
      <c r="AV966" t="inlineStr"/>
      <c r="AW966" t="inlineStr"/>
      <c r="AX966" t="inlineStr"/>
      <c r="AY966" t="inlineStr"/>
    </row>
    <row r="967">
      <c r="A967" t="inlineStr">
        <is>
          <t>DOCK</t>
        </is>
      </c>
      <c r="B967" t="inlineStr">
        <is>
          <t>DAC US Equity</t>
        </is>
      </c>
      <c r="C967" s="1" t="inlineStr">
        <is>
          <t>DAC</t>
        </is>
      </c>
      <c r="D967" t="inlineStr">
        <is>
          <t>Danaos Corp</t>
        </is>
      </c>
      <c r="E967">
        <f>BDP($B967,"LEGAL_ENTITY_IDENTIFIER")</f>
        <v/>
      </c>
      <c r="F967" t="inlineStr">
        <is>
          <t>Danaos Corp</t>
        </is>
      </c>
      <c r="G967">
        <f>custodian!D967</f>
        <v/>
      </c>
      <c r="H967">
        <f>BDP($B967,"ID_ISIN")</f>
        <v/>
      </c>
      <c r="I967" s="1" t="inlineStr">
        <is>
          <t>DAC</t>
        </is>
      </c>
      <c r="J967">
        <f>BDP($B967,"CNTRY_OF_DOMICILE")</f>
        <v/>
      </c>
      <c r="K967" t="inlineStr">
        <is>
          <t>EC</t>
        </is>
      </c>
      <c r="L967" t="inlineStr">
        <is>
          <t>CORP</t>
        </is>
      </c>
      <c r="M967" t="inlineStr"/>
      <c r="N967" t="inlineStr"/>
      <c r="O967" s="1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s="1" t="inlineStr"/>
      <c r="AR967" s="1" t="inlineStr"/>
      <c r="AS967" s="1" t="inlineStr"/>
      <c r="AT967" t="inlineStr"/>
      <c r="AU967" t="inlineStr"/>
      <c r="AV967" t="inlineStr"/>
      <c r="AW967" t="inlineStr"/>
      <c r="AX967" t="inlineStr"/>
      <c r="AY967" t="inlineStr"/>
    </row>
    <row r="968">
      <c r="A968" t="inlineStr">
        <is>
          <t>DOCK</t>
        </is>
      </c>
      <c r="B968" t="inlineStr">
        <is>
          <t>EXPD US Equity</t>
        </is>
      </c>
      <c r="C968" s="1" t="inlineStr">
        <is>
          <t>EXPD</t>
        </is>
      </c>
      <c r="D968" t="inlineStr">
        <is>
          <t>Expeditors International of Wa</t>
        </is>
      </c>
      <c r="E968">
        <f>BDP($B968,"LEGAL_ENTITY_IDENTIFIER")</f>
        <v/>
      </c>
      <c r="F968" t="inlineStr">
        <is>
          <t>Expeditors International of Washington Inc</t>
        </is>
      </c>
      <c r="G968">
        <f>custodian!D968</f>
        <v/>
      </c>
      <c r="H968">
        <f>BDP($B968,"ID_ISIN")</f>
        <v/>
      </c>
      <c r="I968" s="1" t="inlineStr">
        <is>
          <t>EXPD</t>
        </is>
      </c>
      <c r="J968">
        <f>BDP($B968,"CNTRY_OF_DOMICILE")</f>
        <v/>
      </c>
      <c r="K968" t="inlineStr">
        <is>
          <t>EC</t>
        </is>
      </c>
      <c r="L968" t="inlineStr">
        <is>
          <t>CORP</t>
        </is>
      </c>
      <c r="M968" t="inlineStr"/>
      <c r="N968" t="inlineStr"/>
      <c r="O968" s="1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s="1" t="inlineStr"/>
      <c r="AR968" s="1" t="inlineStr"/>
      <c r="AS968" s="1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DOCK</t>
        </is>
      </c>
      <c r="B969" t="inlineStr">
        <is>
          <t>FDX US Equity</t>
        </is>
      </c>
      <c r="C969" s="1" t="inlineStr">
        <is>
          <t>FDX</t>
        </is>
      </c>
      <c r="D969" t="inlineStr">
        <is>
          <t>FedEx Corp</t>
        </is>
      </c>
      <c r="E969">
        <f>BDP($B969,"LEGAL_ENTITY_IDENTIFIER")</f>
        <v/>
      </c>
      <c r="F969" t="inlineStr">
        <is>
          <t>FedEx Corp</t>
        </is>
      </c>
      <c r="G969">
        <f>custodian!D969</f>
        <v/>
      </c>
      <c r="H969">
        <f>BDP($B969,"ID_ISIN")</f>
        <v/>
      </c>
      <c r="I969" s="1" t="inlineStr">
        <is>
          <t>FDX</t>
        </is>
      </c>
      <c r="J969">
        <f>BDP($B969,"CNTRY_OF_DOMICILE")</f>
        <v/>
      </c>
      <c r="K969" t="inlineStr">
        <is>
          <t>EC</t>
        </is>
      </c>
      <c r="L969" t="inlineStr">
        <is>
          <t>CORP</t>
        </is>
      </c>
      <c r="M969" t="inlineStr"/>
      <c r="N969" t="inlineStr"/>
      <c r="O969" s="1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s="1" t="inlineStr"/>
      <c r="AR969" s="1" t="inlineStr"/>
      <c r="AS969" s="1" t="inlineStr"/>
      <c r="AT969" t="inlineStr"/>
      <c r="AU969" t="inlineStr"/>
      <c r="AV969" t="inlineStr"/>
      <c r="AW969" t="inlineStr"/>
      <c r="AX969" t="inlineStr"/>
      <c r="AY969" t="inlineStr"/>
    </row>
    <row r="970">
      <c r="A970" t="inlineStr">
        <is>
          <t>DOCK</t>
        </is>
      </c>
      <c r="B970" t="inlineStr">
        <is>
          <t>FDXF US Equity</t>
        </is>
      </c>
      <c r="C970" s="1" t="inlineStr">
        <is>
          <t>FDXF</t>
        </is>
      </c>
      <c r="D970" t="inlineStr">
        <is>
          <t>Fedex Freight Holding Co Inc</t>
        </is>
      </c>
      <c r="E970">
        <f>BDP($B970,"LEGAL_ENTITY_IDENTIFIER")</f>
        <v/>
      </c>
      <c r="F970" t="inlineStr">
        <is>
          <t>Fedex Freight Holding Co Inc</t>
        </is>
      </c>
      <c r="G970">
        <f>custodian!D970</f>
        <v/>
      </c>
      <c r="H970">
        <f>BDP($B970,"ID_ISIN")</f>
        <v/>
      </c>
      <c r="I970" s="1" t="inlineStr">
        <is>
          <t>FDXF</t>
        </is>
      </c>
      <c r="J970">
        <f>BDP($B970,"CNTRY_OF_DOMICILE")</f>
        <v/>
      </c>
      <c r="K970" t="inlineStr">
        <is>
          <t>EC</t>
        </is>
      </c>
      <c r="L970" t="inlineStr">
        <is>
          <t>CORP</t>
        </is>
      </c>
      <c r="M970" t="inlineStr"/>
      <c r="N970" t="inlineStr"/>
      <c r="O970" s="1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s="1" t="inlineStr"/>
      <c r="AR970" s="1" t="inlineStr"/>
      <c r="AS970" s="1" t="inlineStr"/>
      <c r="AT970" t="inlineStr"/>
      <c r="AU970" t="inlineStr"/>
      <c r="AV970" t="inlineStr"/>
      <c r="AW970" t="inlineStr"/>
      <c r="AX970" t="inlineStr"/>
      <c r="AY970" t="inlineStr"/>
    </row>
    <row r="971">
      <c r="A971" t="inlineStr">
        <is>
          <t>DOCK</t>
        </is>
      </c>
      <c r="B971" t="inlineStr">
        <is>
          <t>FGXXX US Equity</t>
        </is>
      </c>
      <c r="C971" s="1" t="inlineStr">
        <is>
          <t>FGXXX</t>
        </is>
      </c>
      <c r="D971" t="inlineStr">
        <is>
          <t>First American Government Obli</t>
        </is>
      </c>
      <c r="E971">
        <f>BDP($B971,"LEGAL_ENTITY_IDENTIFIER")</f>
        <v/>
      </c>
      <c r="F971" t="inlineStr">
        <is>
          <t>First American Government Obligations Fund</t>
        </is>
      </c>
      <c r="G971">
        <f>custodian!D971</f>
        <v/>
      </c>
      <c r="H971">
        <f>BDP($B971,"ID_ISIN")</f>
        <v/>
      </c>
      <c r="I971" s="1" t="inlineStr">
        <is>
          <t>FGXXX</t>
        </is>
      </c>
      <c r="J971">
        <f>BDP($B971,"CNTRY_OF_DOMICILE")</f>
        <v/>
      </c>
      <c r="K971" t="inlineStr">
        <is>
          <t>STIV</t>
        </is>
      </c>
      <c r="L971" t="inlineStr">
        <is>
          <t>RF</t>
        </is>
      </c>
      <c r="M971" t="inlineStr"/>
      <c r="N971" t="inlineStr"/>
      <c r="O971" s="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s="1" t="inlineStr"/>
      <c r="AR971" s="1" t="inlineStr"/>
      <c r="AS971" s="1" t="inlineStr"/>
      <c r="AT971" t="inlineStr"/>
      <c r="AU971" t="inlineStr"/>
      <c r="AV971" t="inlineStr"/>
      <c r="AW971" t="inlineStr"/>
      <c r="AX971" t="inlineStr"/>
      <c r="AY971" t="inlineStr"/>
    </row>
    <row r="972">
      <c r="A972" t="inlineStr">
        <is>
          <t>DOCK</t>
        </is>
      </c>
      <c r="B972" t="inlineStr">
        <is>
          <t>FWRD US Equity</t>
        </is>
      </c>
      <c r="C972" s="1" t="inlineStr">
        <is>
          <t>FWRD</t>
        </is>
      </c>
      <c r="D972" t="inlineStr">
        <is>
          <t>Forward Air Corp</t>
        </is>
      </c>
      <c r="E972">
        <f>BDP($B972,"LEGAL_ENTITY_IDENTIFIER")</f>
        <v/>
      </c>
      <c r="F972" t="inlineStr">
        <is>
          <t>Forward Air Corp</t>
        </is>
      </c>
      <c r="G972">
        <f>custodian!D972</f>
        <v/>
      </c>
      <c r="H972">
        <f>BDP($B972,"ID_ISIN")</f>
        <v/>
      </c>
      <c r="I972" s="1" t="inlineStr">
        <is>
          <t>FWRD</t>
        </is>
      </c>
      <c r="J972">
        <f>BDP($B972,"CNTRY_OF_DOMICILE")</f>
        <v/>
      </c>
      <c r="K972" t="inlineStr">
        <is>
          <t>EC</t>
        </is>
      </c>
      <c r="L972" t="inlineStr">
        <is>
          <t>CORP</t>
        </is>
      </c>
      <c r="M972" t="inlineStr"/>
      <c r="N972" t="inlineStr"/>
      <c r="O972" s="1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s="1" t="inlineStr"/>
      <c r="AR972" s="1" t="inlineStr"/>
      <c r="AS972" s="1" t="inlineStr"/>
      <c r="AT972" t="inlineStr"/>
      <c r="AU972" t="inlineStr"/>
      <c r="AV972" t="inlineStr"/>
      <c r="AW972" t="inlineStr"/>
      <c r="AX972" t="inlineStr"/>
      <c r="AY972" t="inlineStr"/>
    </row>
    <row r="973">
      <c r="A973" t="inlineStr">
        <is>
          <t>DOCK</t>
        </is>
      </c>
      <c r="B973" t="inlineStr">
        <is>
          <t>GATX US Equity</t>
        </is>
      </c>
      <c r="C973" s="1" t="inlineStr">
        <is>
          <t>GATX</t>
        </is>
      </c>
      <c r="D973" t="inlineStr">
        <is>
          <t>GATX Corp</t>
        </is>
      </c>
      <c r="E973">
        <f>BDP($B973,"LEGAL_ENTITY_IDENTIFIER")</f>
        <v/>
      </c>
      <c r="F973" t="inlineStr">
        <is>
          <t>GATX Corp</t>
        </is>
      </c>
      <c r="G973">
        <f>custodian!D973</f>
        <v/>
      </c>
      <c r="H973">
        <f>BDP($B973,"ID_ISIN")</f>
        <v/>
      </c>
      <c r="I973" s="1" t="inlineStr">
        <is>
          <t>GATX</t>
        </is>
      </c>
      <c r="J973">
        <f>BDP($B973,"CNTRY_OF_DOMICILE")</f>
        <v/>
      </c>
      <c r="K973" t="inlineStr">
        <is>
          <t>EC</t>
        </is>
      </c>
      <c r="L973" t="inlineStr">
        <is>
          <t>CORP</t>
        </is>
      </c>
      <c r="M973" t="inlineStr"/>
      <c r="N973" t="inlineStr"/>
      <c r="O973" s="1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s="1" t="inlineStr"/>
      <c r="AR973" s="1" t="inlineStr"/>
      <c r="AS973" s="1" t="inlineStr"/>
      <c r="AT973" t="inlineStr"/>
      <c r="AU973" t="inlineStr"/>
      <c r="AV973" t="inlineStr"/>
      <c r="AW973" t="inlineStr"/>
      <c r="AX973" t="inlineStr"/>
      <c r="AY973" t="inlineStr"/>
    </row>
    <row r="974">
      <c r="A974" t="inlineStr">
        <is>
          <t>DOCK</t>
        </is>
      </c>
      <c r="B974" t="inlineStr">
        <is>
          <t>GSL US Equity</t>
        </is>
      </c>
      <c r="C974" s="1" t="inlineStr">
        <is>
          <t>GSL</t>
        </is>
      </c>
      <c r="D974" t="inlineStr">
        <is>
          <t>Global Ship Lease Inc</t>
        </is>
      </c>
      <c r="E974">
        <f>BDP($B974,"LEGAL_ENTITY_IDENTIFIER")</f>
        <v/>
      </c>
      <c r="F974" t="inlineStr">
        <is>
          <t>Global Ship Lease Inc</t>
        </is>
      </c>
      <c r="G974">
        <f>custodian!D974</f>
        <v/>
      </c>
      <c r="H974">
        <f>BDP($B974,"ID_ISIN")</f>
        <v/>
      </c>
      <c r="I974" s="1" t="inlineStr">
        <is>
          <t>GSL</t>
        </is>
      </c>
      <c r="J974">
        <f>BDP($B974,"CNTRY_OF_DOMICILE")</f>
        <v/>
      </c>
      <c r="K974" t="inlineStr">
        <is>
          <t>EC</t>
        </is>
      </c>
      <c r="L974" t="inlineStr">
        <is>
          <t>CORP</t>
        </is>
      </c>
      <c r="M974" t="inlineStr"/>
      <c r="N974" t="inlineStr"/>
      <c r="O974" s="1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s="1" t="inlineStr"/>
      <c r="AR974" s="1" t="inlineStr"/>
      <c r="AS974" s="1" t="inlineStr"/>
      <c r="AT974" t="inlineStr"/>
      <c r="AU974" t="inlineStr"/>
      <c r="AV974" t="inlineStr"/>
      <c r="AW974" t="inlineStr"/>
      <c r="AX974" t="inlineStr"/>
      <c r="AY974" t="inlineStr"/>
    </row>
    <row r="975">
      <c r="A975" t="inlineStr">
        <is>
          <t>DOCK</t>
        </is>
      </c>
      <c r="B975" t="inlineStr">
        <is>
          <t>GXO US Equity</t>
        </is>
      </c>
      <c r="C975" s="1" t="inlineStr">
        <is>
          <t>GXO</t>
        </is>
      </c>
      <c r="D975" t="inlineStr">
        <is>
          <t>GXO Logistics Inc</t>
        </is>
      </c>
      <c r="E975">
        <f>BDP($B975,"LEGAL_ENTITY_IDENTIFIER")</f>
        <v/>
      </c>
      <c r="F975" t="inlineStr">
        <is>
          <t>GXO Logistics Inc</t>
        </is>
      </c>
      <c r="G975">
        <f>custodian!D975</f>
        <v/>
      </c>
      <c r="H975">
        <f>BDP($B975,"ID_ISIN")</f>
        <v/>
      </c>
      <c r="I975" s="1" t="inlineStr">
        <is>
          <t>GXO</t>
        </is>
      </c>
      <c r="J975">
        <f>BDP($B975,"CNTRY_OF_DOMICILE")</f>
        <v/>
      </c>
      <c r="K975" t="inlineStr">
        <is>
          <t>EC</t>
        </is>
      </c>
      <c r="L975" t="inlineStr">
        <is>
          <t>CORP</t>
        </is>
      </c>
      <c r="M975" t="inlineStr"/>
      <c r="N975" t="inlineStr"/>
      <c r="O975" s="1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s="1" t="inlineStr"/>
      <c r="AR975" s="1" t="inlineStr"/>
      <c r="AS975" s="1" t="inlineStr"/>
      <c r="AT975" t="inlineStr"/>
      <c r="AU975" t="inlineStr"/>
      <c r="AV975" t="inlineStr"/>
      <c r="AW975" t="inlineStr"/>
      <c r="AX975" t="inlineStr"/>
      <c r="AY975" t="inlineStr"/>
    </row>
    <row r="976">
      <c r="A976" t="inlineStr">
        <is>
          <t>DOCK</t>
        </is>
      </c>
      <c r="B976" t="inlineStr">
        <is>
          <t>HTLD US Equity</t>
        </is>
      </c>
      <c r="C976" s="1" t="inlineStr">
        <is>
          <t>HTLD</t>
        </is>
      </c>
      <c r="D976" t="inlineStr">
        <is>
          <t>Heartland Express Inc</t>
        </is>
      </c>
      <c r="E976">
        <f>BDP($B976,"LEGAL_ENTITY_IDENTIFIER")</f>
        <v/>
      </c>
      <c r="F976" t="inlineStr">
        <is>
          <t>Heartland Express Inc</t>
        </is>
      </c>
      <c r="G976">
        <f>custodian!D976</f>
        <v/>
      </c>
      <c r="H976">
        <f>BDP($B976,"ID_ISIN")</f>
        <v/>
      </c>
      <c r="I976" s="1" t="inlineStr">
        <is>
          <t>HTLD</t>
        </is>
      </c>
      <c r="J976">
        <f>BDP($B976,"CNTRY_OF_DOMICILE")</f>
        <v/>
      </c>
      <c r="K976" t="inlineStr">
        <is>
          <t>EC</t>
        </is>
      </c>
      <c r="L976" t="inlineStr">
        <is>
          <t>CORP</t>
        </is>
      </c>
      <c r="M976" t="inlineStr"/>
      <c r="N976" t="inlineStr"/>
      <c r="O976" s="1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s="1" t="inlineStr"/>
      <c r="AR976" s="1" t="inlineStr"/>
      <c r="AS976" s="1" t="inlineStr"/>
      <c r="AT976" t="inlineStr"/>
      <c r="AU976" t="inlineStr"/>
      <c r="AV976" t="inlineStr"/>
      <c r="AW976" t="inlineStr"/>
      <c r="AX976" t="inlineStr"/>
      <c r="AY976" t="inlineStr"/>
    </row>
    <row r="977">
      <c r="A977" t="inlineStr">
        <is>
          <t>DOCK</t>
        </is>
      </c>
      <c r="B977" t="inlineStr">
        <is>
          <t>HUBG US Equity</t>
        </is>
      </c>
      <c r="C977" s="1" t="inlineStr">
        <is>
          <t>HUBG</t>
        </is>
      </c>
      <c r="D977" t="inlineStr">
        <is>
          <t>Hub Group Inc</t>
        </is>
      </c>
      <c r="E977">
        <f>BDP($B977,"LEGAL_ENTITY_IDENTIFIER")</f>
        <v/>
      </c>
      <c r="F977" t="inlineStr">
        <is>
          <t>Hub Group Inc</t>
        </is>
      </c>
      <c r="G977">
        <f>custodian!D977</f>
        <v/>
      </c>
      <c r="H977">
        <f>BDP($B977,"ID_ISIN")</f>
        <v/>
      </c>
      <c r="I977" s="1" t="inlineStr">
        <is>
          <t>HUBG</t>
        </is>
      </c>
      <c r="J977">
        <f>BDP($B977,"CNTRY_OF_DOMICILE")</f>
        <v/>
      </c>
      <c r="K977" t="inlineStr">
        <is>
          <t>EC</t>
        </is>
      </c>
      <c r="L977" t="inlineStr">
        <is>
          <t>CORP</t>
        </is>
      </c>
      <c r="M977" t="inlineStr"/>
      <c r="N977" t="inlineStr"/>
      <c r="O977" s="1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s="1" t="inlineStr"/>
      <c r="AR977" s="1" t="inlineStr"/>
      <c r="AS977" s="1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DOCK</t>
        </is>
      </c>
      <c r="B978" t="inlineStr">
        <is>
          <t>JBHT US Equity</t>
        </is>
      </c>
      <c r="C978" s="1" t="inlineStr">
        <is>
          <t>JBHT</t>
        </is>
      </c>
      <c r="D978" t="inlineStr">
        <is>
          <t>JB Hunt Transport Services Inc</t>
        </is>
      </c>
      <c r="E978">
        <f>BDP($B978,"LEGAL_ENTITY_IDENTIFIER")</f>
        <v/>
      </c>
      <c r="F978" t="inlineStr">
        <is>
          <t>JB Hunt Transport Services Inc</t>
        </is>
      </c>
      <c r="G978">
        <f>custodian!D978</f>
        <v/>
      </c>
      <c r="H978">
        <f>BDP($B978,"ID_ISIN")</f>
        <v/>
      </c>
      <c r="I978" s="1" t="inlineStr">
        <is>
          <t>JBHT</t>
        </is>
      </c>
      <c r="J978">
        <f>BDP($B978,"CNTRY_OF_DOMICILE")</f>
        <v/>
      </c>
      <c r="K978" t="inlineStr">
        <is>
          <t>EC</t>
        </is>
      </c>
      <c r="L978" t="inlineStr">
        <is>
          <t>CORP</t>
        </is>
      </c>
      <c r="M978" t="inlineStr"/>
      <c r="N978" t="inlineStr"/>
      <c r="O978" s="1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s="1" t="inlineStr"/>
      <c r="AR978" s="1" t="inlineStr"/>
      <c r="AS978" s="1" t="inlineStr"/>
      <c r="AT978" t="inlineStr"/>
      <c r="AU978" t="inlineStr"/>
      <c r="AV978" t="inlineStr"/>
      <c r="AW978" t="inlineStr"/>
      <c r="AX978" t="inlineStr"/>
      <c r="AY978" t="inlineStr"/>
    </row>
    <row r="979">
      <c r="A979" t="inlineStr">
        <is>
          <t>DOCK</t>
        </is>
      </c>
      <c r="B979" t="inlineStr">
        <is>
          <t>KEX US Equity</t>
        </is>
      </c>
      <c r="C979" s="1" t="inlineStr">
        <is>
          <t>KEX</t>
        </is>
      </c>
      <c r="D979" t="inlineStr">
        <is>
          <t>Kirby Corp</t>
        </is>
      </c>
      <c r="E979">
        <f>BDP($B979,"LEGAL_ENTITY_IDENTIFIER")</f>
        <v/>
      </c>
      <c r="F979" t="inlineStr">
        <is>
          <t>Kirby Corp</t>
        </is>
      </c>
      <c r="G979">
        <f>custodian!D979</f>
        <v/>
      </c>
      <c r="H979">
        <f>BDP($B979,"ID_ISIN")</f>
        <v/>
      </c>
      <c r="I979" s="1" t="inlineStr">
        <is>
          <t>KEX</t>
        </is>
      </c>
      <c r="J979">
        <f>BDP($B979,"CNTRY_OF_DOMICILE")</f>
        <v/>
      </c>
      <c r="K979" t="inlineStr">
        <is>
          <t>EC</t>
        </is>
      </c>
      <c r="L979" t="inlineStr">
        <is>
          <t>CORP</t>
        </is>
      </c>
      <c r="M979" t="inlineStr"/>
      <c r="N979" t="inlineStr"/>
      <c r="O979" s="1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s="1" t="inlineStr"/>
      <c r="AR979" s="1" t="inlineStr"/>
      <c r="AS979" s="1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DOCK</t>
        </is>
      </c>
      <c r="B980" t="inlineStr">
        <is>
          <t>KNX US Equity</t>
        </is>
      </c>
      <c r="C980" s="1" t="inlineStr">
        <is>
          <t>KNX</t>
        </is>
      </c>
      <c r="D980" t="inlineStr">
        <is>
          <t>Knight-Swift Transportation Ho</t>
        </is>
      </c>
      <c r="E980">
        <f>BDP($B980,"LEGAL_ENTITY_IDENTIFIER")</f>
        <v/>
      </c>
      <c r="F980" t="inlineStr">
        <is>
          <t>Knight-Swift Transportation Holdings Inc</t>
        </is>
      </c>
      <c r="G980">
        <f>custodian!D980</f>
        <v/>
      </c>
      <c r="H980">
        <f>BDP($B980,"ID_ISIN")</f>
        <v/>
      </c>
      <c r="I980" s="1" t="inlineStr">
        <is>
          <t>KNX</t>
        </is>
      </c>
      <c r="J980">
        <f>BDP($B980,"CNTRY_OF_DOMICILE")</f>
        <v/>
      </c>
      <c r="K980" t="inlineStr">
        <is>
          <t>EC</t>
        </is>
      </c>
      <c r="L980" t="inlineStr">
        <is>
          <t>CORP</t>
        </is>
      </c>
      <c r="M980" t="inlineStr"/>
      <c r="N980" t="inlineStr"/>
      <c r="O980" s="1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s="1" t="inlineStr"/>
      <c r="AR980" s="1" t="inlineStr"/>
      <c r="AS980" s="1" t="inlineStr"/>
      <c r="AT980" t="inlineStr"/>
      <c r="AU980" t="inlineStr"/>
      <c r="AV980" t="inlineStr"/>
      <c r="AW980" t="inlineStr"/>
      <c r="AX980" t="inlineStr"/>
      <c r="AY980" t="inlineStr"/>
    </row>
    <row r="981">
      <c r="A981" t="inlineStr">
        <is>
          <t>DOCK</t>
        </is>
      </c>
      <c r="B981" t="inlineStr">
        <is>
          <t>LSTR US Equity</t>
        </is>
      </c>
      <c r="C981" s="1" t="inlineStr">
        <is>
          <t>LSTR</t>
        </is>
      </c>
      <c r="D981" t="inlineStr">
        <is>
          <t>Landstar System Inc</t>
        </is>
      </c>
      <c r="E981">
        <f>BDP($B981,"LEGAL_ENTITY_IDENTIFIER")</f>
        <v/>
      </c>
      <c r="F981" t="inlineStr">
        <is>
          <t>Landstar System Inc</t>
        </is>
      </c>
      <c r="G981">
        <f>custodian!D981</f>
        <v/>
      </c>
      <c r="H981">
        <f>BDP($B981,"ID_ISIN")</f>
        <v/>
      </c>
      <c r="I981" s="1" t="inlineStr">
        <is>
          <t>LSTR</t>
        </is>
      </c>
      <c r="J981">
        <f>BDP($B981,"CNTRY_OF_DOMICILE")</f>
        <v/>
      </c>
      <c r="K981" t="inlineStr">
        <is>
          <t>EC</t>
        </is>
      </c>
      <c r="L981" t="inlineStr">
        <is>
          <t>CORP</t>
        </is>
      </c>
      <c r="M981" t="inlineStr"/>
      <c r="N981" t="inlineStr"/>
      <c r="O981" s="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s="1" t="inlineStr"/>
      <c r="AR981" s="1" t="inlineStr"/>
      <c r="AS981" s="1" t="inlineStr"/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DOCK</t>
        </is>
      </c>
      <c r="B982" t="inlineStr">
        <is>
          <t>MANH US Equity</t>
        </is>
      </c>
      <c r="C982" s="1" t="inlineStr">
        <is>
          <t>MANH</t>
        </is>
      </c>
      <c r="D982" t="inlineStr">
        <is>
          <t>Manhattan Associates Inc</t>
        </is>
      </c>
      <c r="E982">
        <f>BDP($B982,"LEGAL_ENTITY_IDENTIFIER")</f>
        <v/>
      </c>
      <c r="F982" t="inlineStr">
        <is>
          <t>Manhattan Associates Inc</t>
        </is>
      </c>
      <c r="G982">
        <f>custodian!D982</f>
        <v/>
      </c>
      <c r="H982">
        <f>BDP($B982,"ID_ISIN")</f>
        <v/>
      </c>
      <c r="I982" s="1" t="inlineStr">
        <is>
          <t>MANH</t>
        </is>
      </c>
      <c r="J982">
        <f>BDP($B982,"CNTRY_OF_DOMICILE")</f>
        <v/>
      </c>
      <c r="K982" t="inlineStr">
        <is>
          <t>EC</t>
        </is>
      </c>
      <c r="L982" t="inlineStr">
        <is>
          <t>CORP</t>
        </is>
      </c>
      <c r="M982" t="inlineStr"/>
      <c r="N982" t="inlineStr"/>
      <c r="O982" s="1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s="1" t="inlineStr"/>
      <c r="AR982" s="1" t="inlineStr"/>
      <c r="AS982" s="1" t="inlineStr"/>
      <c r="AT982" t="inlineStr"/>
      <c r="AU982" t="inlineStr"/>
      <c r="AV982" t="inlineStr"/>
      <c r="AW982" t="inlineStr"/>
      <c r="AX982" t="inlineStr"/>
      <c r="AY982" t="inlineStr"/>
    </row>
    <row r="983">
      <c r="A983" t="inlineStr">
        <is>
          <t>DOCK</t>
        </is>
      </c>
      <c r="B983" t="inlineStr">
        <is>
          <t>MATX US Equity</t>
        </is>
      </c>
      <c r="C983" s="1" t="inlineStr">
        <is>
          <t>MATX</t>
        </is>
      </c>
      <c r="D983" t="inlineStr">
        <is>
          <t>Matson Inc</t>
        </is>
      </c>
      <c r="E983">
        <f>BDP($B983,"LEGAL_ENTITY_IDENTIFIER")</f>
        <v/>
      </c>
      <c r="F983" t="inlineStr">
        <is>
          <t>Matson Inc</t>
        </is>
      </c>
      <c r="G983">
        <f>custodian!D983</f>
        <v/>
      </c>
      <c r="H983">
        <f>BDP($B983,"ID_ISIN")</f>
        <v/>
      </c>
      <c r="I983" s="1" t="inlineStr">
        <is>
          <t>MATX</t>
        </is>
      </c>
      <c r="J983">
        <f>BDP($B983,"CNTRY_OF_DOMICILE")</f>
        <v/>
      </c>
      <c r="K983" t="inlineStr">
        <is>
          <t>EC</t>
        </is>
      </c>
      <c r="L983" t="inlineStr">
        <is>
          <t>CORP</t>
        </is>
      </c>
      <c r="M983" t="inlineStr"/>
      <c r="N983" t="inlineStr"/>
      <c r="O983" s="1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s="1" t="inlineStr"/>
      <c r="AR983" s="1" t="inlineStr"/>
      <c r="AS983" s="1" t="inlineStr"/>
      <c r="AT983" t="inlineStr"/>
      <c r="AU983" t="inlineStr"/>
      <c r="AV983" t="inlineStr"/>
      <c r="AW983" t="inlineStr"/>
      <c r="AX983" t="inlineStr"/>
      <c r="AY983" t="inlineStr"/>
    </row>
    <row r="984">
      <c r="A984" t="inlineStr">
        <is>
          <t>DOCK</t>
        </is>
      </c>
      <c r="B984" t="inlineStr">
        <is>
          <t>MRTN US Equity</t>
        </is>
      </c>
      <c r="C984" s="1" t="inlineStr">
        <is>
          <t>MRTN</t>
        </is>
      </c>
      <c r="D984" t="inlineStr">
        <is>
          <t>Marten Transport Ltd</t>
        </is>
      </c>
      <c r="E984">
        <f>BDP($B984,"LEGAL_ENTITY_IDENTIFIER")</f>
        <v/>
      </c>
      <c r="F984" t="inlineStr">
        <is>
          <t>Marten Transport Ltd</t>
        </is>
      </c>
      <c r="G984">
        <f>custodian!D984</f>
        <v/>
      </c>
      <c r="H984">
        <f>BDP($B984,"ID_ISIN")</f>
        <v/>
      </c>
      <c r="I984" s="1" t="inlineStr">
        <is>
          <t>MRTN</t>
        </is>
      </c>
      <c r="J984">
        <f>BDP($B984,"CNTRY_OF_DOMICILE")</f>
        <v/>
      </c>
      <c r="K984" t="inlineStr">
        <is>
          <t>EC</t>
        </is>
      </c>
      <c r="L984" t="inlineStr">
        <is>
          <t>CORP</t>
        </is>
      </c>
      <c r="M984" t="inlineStr"/>
      <c r="N984" t="inlineStr"/>
      <c r="O984" s="1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s="1" t="inlineStr"/>
      <c r="AR984" s="1" t="inlineStr"/>
      <c r="AS984" s="1" t="inlineStr"/>
      <c r="AT984" t="inlineStr"/>
      <c r="AU984" t="inlineStr"/>
      <c r="AV984" t="inlineStr"/>
      <c r="AW984" t="inlineStr"/>
      <c r="AX984" t="inlineStr"/>
      <c r="AY984" t="inlineStr"/>
    </row>
    <row r="985">
      <c r="A985" t="inlineStr">
        <is>
          <t>DOCK</t>
        </is>
      </c>
      <c r="B985" t="inlineStr">
        <is>
          <t>NSC US Equity</t>
        </is>
      </c>
      <c r="C985" s="1" t="inlineStr">
        <is>
          <t>NSC</t>
        </is>
      </c>
      <c r="D985" t="inlineStr">
        <is>
          <t>Norfolk Southern Corp</t>
        </is>
      </c>
      <c r="E985">
        <f>BDP($B985,"LEGAL_ENTITY_IDENTIFIER")</f>
        <v/>
      </c>
      <c r="F985" t="inlineStr">
        <is>
          <t>Norfolk Southern Corp</t>
        </is>
      </c>
      <c r="G985">
        <f>custodian!D985</f>
        <v/>
      </c>
      <c r="H985">
        <f>BDP($B985,"ID_ISIN")</f>
        <v/>
      </c>
      <c r="I985" s="1" t="inlineStr">
        <is>
          <t>NSC</t>
        </is>
      </c>
      <c r="J985">
        <f>BDP($B985,"CNTRY_OF_DOMICILE")</f>
        <v/>
      </c>
      <c r="K985" t="inlineStr">
        <is>
          <t>EC</t>
        </is>
      </c>
      <c r="L985" t="inlineStr">
        <is>
          <t>CORP</t>
        </is>
      </c>
      <c r="M985" t="inlineStr"/>
      <c r="N985" t="inlineStr"/>
      <c r="O985" s="1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s="1" t="inlineStr"/>
      <c r="AR985" s="1" t="inlineStr"/>
      <c r="AS985" s="1" t="inlineStr"/>
      <c r="AT985" t="inlineStr"/>
      <c r="AU985" t="inlineStr"/>
      <c r="AV985" t="inlineStr"/>
      <c r="AW985" t="inlineStr"/>
      <c r="AX985" t="inlineStr"/>
      <c r="AY985" t="inlineStr"/>
    </row>
    <row r="986">
      <c r="A986" t="inlineStr">
        <is>
          <t>DOCK</t>
        </is>
      </c>
      <c r="B986" t="inlineStr">
        <is>
          <t>ODFL US Equity</t>
        </is>
      </c>
      <c r="C986" s="1" t="inlineStr">
        <is>
          <t>ODFL</t>
        </is>
      </c>
      <c r="D986" t="inlineStr">
        <is>
          <t>Old Dominion Freight Line Inc</t>
        </is>
      </c>
      <c r="E986">
        <f>BDP($B986,"LEGAL_ENTITY_IDENTIFIER")</f>
        <v/>
      </c>
      <c r="F986" t="inlineStr">
        <is>
          <t>Old Dominion Freight Line Inc</t>
        </is>
      </c>
      <c r="G986">
        <f>custodian!D986</f>
        <v/>
      </c>
      <c r="H986">
        <f>BDP($B986,"ID_ISIN")</f>
        <v/>
      </c>
      <c r="I986" s="1" t="inlineStr">
        <is>
          <t>ODFL</t>
        </is>
      </c>
      <c r="J986">
        <f>BDP($B986,"CNTRY_OF_DOMICILE")</f>
        <v/>
      </c>
      <c r="K986" t="inlineStr">
        <is>
          <t>EC</t>
        </is>
      </c>
      <c r="L986" t="inlineStr">
        <is>
          <t>CORP</t>
        </is>
      </c>
      <c r="M986" t="inlineStr"/>
      <c r="N986" t="inlineStr"/>
      <c r="O986" s="1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s="1" t="inlineStr"/>
      <c r="AR986" s="1" t="inlineStr"/>
      <c r="AS986" s="1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DOCK</t>
        </is>
      </c>
      <c r="B987" t="inlineStr">
        <is>
          <t>PCAR US Equity</t>
        </is>
      </c>
      <c r="C987" s="1" t="inlineStr">
        <is>
          <t>PCAR</t>
        </is>
      </c>
      <c r="D987" t="inlineStr">
        <is>
          <t>PACCAR Inc</t>
        </is>
      </c>
      <c r="E987">
        <f>BDP($B987,"LEGAL_ENTITY_IDENTIFIER")</f>
        <v/>
      </c>
      <c r="F987" t="inlineStr">
        <is>
          <t>PACCAR Inc</t>
        </is>
      </c>
      <c r="G987">
        <f>custodian!D987</f>
        <v/>
      </c>
      <c r="H987">
        <f>BDP($B987,"ID_ISIN")</f>
        <v/>
      </c>
      <c r="I987" s="1" t="inlineStr">
        <is>
          <t>PCAR</t>
        </is>
      </c>
      <c r="J987">
        <f>BDP($B987,"CNTRY_OF_DOMICILE")</f>
        <v/>
      </c>
      <c r="K987" t="inlineStr">
        <is>
          <t>EC</t>
        </is>
      </c>
      <c r="L987" t="inlineStr">
        <is>
          <t>CORP</t>
        </is>
      </c>
      <c r="M987" t="inlineStr"/>
      <c r="N987" t="inlineStr"/>
      <c r="O987" s="1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s="1" t="inlineStr"/>
      <c r="AR987" s="1" t="inlineStr"/>
      <c r="AS987" s="1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DOCK</t>
        </is>
      </c>
      <c r="B988" t="inlineStr">
        <is>
          <t>R US Equity</t>
        </is>
      </c>
      <c r="C988" s="1" t="inlineStr">
        <is>
          <t>R</t>
        </is>
      </c>
      <c r="D988" t="inlineStr">
        <is>
          <t>Ryder System Inc</t>
        </is>
      </c>
      <c r="E988">
        <f>BDP($B988,"LEGAL_ENTITY_IDENTIFIER")</f>
        <v/>
      </c>
      <c r="F988" t="inlineStr">
        <is>
          <t>Ryder System Inc</t>
        </is>
      </c>
      <c r="G988">
        <f>custodian!D988</f>
        <v/>
      </c>
      <c r="H988">
        <f>BDP($B988,"ID_ISIN")</f>
        <v/>
      </c>
      <c r="I988" s="1" t="inlineStr">
        <is>
          <t>R</t>
        </is>
      </c>
      <c r="J988">
        <f>BDP($B988,"CNTRY_OF_DOMICILE")</f>
        <v/>
      </c>
      <c r="K988" t="inlineStr">
        <is>
          <t>EC</t>
        </is>
      </c>
      <c r="L988" t="inlineStr">
        <is>
          <t>CORP</t>
        </is>
      </c>
      <c r="M988" t="inlineStr"/>
      <c r="N988" t="inlineStr"/>
      <c r="O988" s="1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s="1" t="inlineStr"/>
      <c r="AR988" s="1" t="inlineStr"/>
      <c r="AS988" s="1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DOCK</t>
        </is>
      </c>
      <c r="B989" t="inlineStr">
        <is>
          <t>RAIL US Equity</t>
        </is>
      </c>
      <c r="C989" s="1" t="inlineStr">
        <is>
          <t>RAIL</t>
        </is>
      </c>
      <c r="D989" t="inlineStr">
        <is>
          <t>FreightCar America Inc</t>
        </is>
      </c>
      <c r="E989">
        <f>BDP($B989,"LEGAL_ENTITY_IDENTIFIER")</f>
        <v/>
      </c>
      <c r="F989" t="inlineStr">
        <is>
          <t>FreightCar America Inc</t>
        </is>
      </c>
      <c r="G989">
        <f>custodian!D989</f>
        <v/>
      </c>
      <c r="H989">
        <f>BDP($B989,"ID_ISIN")</f>
        <v/>
      </c>
      <c r="I989" s="1" t="inlineStr">
        <is>
          <t>RAIL</t>
        </is>
      </c>
      <c r="J989">
        <f>BDP($B989,"CNTRY_OF_DOMICILE")</f>
        <v/>
      </c>
      <c r="K989" t="inlineStr">
        <is>
          <t>EC</t>
        </is>
      </c>
      <c r="L989" t="inlineStr">
        <is>
          <t>CORP</t>
        </is>
      </c>
      <c r="M989" t="inlineStr"/>
      <c r="N989" t="inlineStr"/>
      <c r="O989" s="1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s="1" t="inlineStr"/>
      <c r="AR989" s="1" t="inlineStr"/>
      <c r="AS989" s="1" t="inlineStr"/>
      <c r="AT989" t="inlineStr"/>
      <c r="AU989" t="inlineStr"/>
      <c r="AV989" t="inlineStr"/>
      <c r="AW989" t="inlineStr"/>
      <c r="AX989" t="inlineStr"/>
      <c r="AY989" t="inlineStr"/>
    </row>
    <row r="990">
      <c r="A990" t="inlineStr">
        <is>
          <t>DOCK</t>
        </is>
      </c>
      <c r="B990" t="inlineStr">
        <is>
          <t>RLGT US Equity</t>
        </is>
      </c>
      <c r="C990" s="1" t="inlineStr">
        <is>
          <t>RLGT</t>
        </is>
      </c>
      <c r="D990" t="inlineStr">
        <is>
          <t>Radiant Logistics Inc</t>
        </is>
      </c>
      <c r="E990">
        <f>BDP($B990,"LEGAL_ENTITY_IDENTIFIER")</f>
        <v/>
      </c>
      <c r="F990" t="inlineStr">
        <is>
          <t>Radiant Logistics Inc</t>
        </is>
      </c>
      <c r="G990">
        <f>custodian!D990</f>
        <v/>
      </c>
      <c r="H990">
        <f>BDP($B990,"ID_ISIN")</f>
        <v/>
      </c>
      <c r="I990" s="1" t="inlineStr">
        <is>
          <t>RLGT</t>
        </is>
      </c>
      <c r="J990">
        <f>BDP($B990,"CNTRY_OF_DOMICILE")</f>
        <v/>
      </c>
      <c r="K990" t="inlineStr">
        <is>
          <t>EC</t>
        </is>
      </c>
      <c r="L990" t="inlineStr">
        <is>
          <t>CORP</t>
        </is>
      </c>
      <c r="M990" t="inlineStr"/>
      <c r="N990" t="inlineStr"/>
      <c r="O990" s="1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s="1" t="inlineStr"/>
      <c r="AR990" s="1" t="inlineStr"/>
      <c r="AS990" s="1" t="inlineStr"/>
      <c r="AT990" t="inlineStr"/>
      <c r="AU990" t="inlineStr"/>
      <c r="AV990" t="inlineStr"/>
      <c r="AW990" t="inlineStr"/>
      <c r="AX990" t="inlineStr"/>
      <c r="AY990" t="inlineStr"/>
    </row>
    <row r="991">
      <c r="A991" t="inlineStr">
        <is>
          <t>DOCK</t>
        </is>
      </c>
      <c r="B991" t="inlineStr">
        <is>
          <t>RXO US Equity</t>
        </is>
      </c>
      <c r="C991" s="1" t="inlineStr">
        <is>
          <t>RXO</t>
        </is>
      </c>
      <c r="D991" t="inlineStr">
        <is>
          <t>RXO Inc</t>
        </is>
      </c>
      <c r="E991">
        <f>BDP($B991,"LEGAL_ENTITY_IDENTIFIER")</f>
        <v/>
      </c>
      <c r="F991" t="inlineStr">
        <is>
          <t>RXO Inc</t>
        </is>
      </c>
      <c r="G991">
        <f>custodian!D991</f>
        <v/>
      </c>
      <c r="H991">
        <f>BDP($B991,"ID_ISIN")</f>
        <v/>
      </c>
      <c r="I991" s="1" t="inlineStr">
        <is>
          <t>RXO</t>
        </is>
      </c>
      <c r="J991">
        <f>BDP($B991,"CNTRY_OF_DOMICILE")</f>
        <v/>
      </c>
      <c r="K991" t="inlineStr">
        <is>
          <t>EC</t>
        </is>
      </c>
      <c r="L991" t="inlineStr">
        <is>
          <t>CORP</t>
        </is>
      </c>
      <c r="M991" t="inlineStr"/>
      <c r="N991" t="inlineStr"/>
      <c r="O991" s="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s="1" t="inlineStr"/>
      <c r="AR991" s="1" t="inlineStr"/>
      <c r="AS991" s="1" t="inlineStr"/>
      <c r="AT991" t="inlineStr"/>
      <c r="AU991" t="inlineStr"/>
      <c r="AV991" t="inlineStr"/>
      <c r="AW991" t="inlineStr"/>
      <c r="AX991" t="inlineStr"/>
      <c r="AY991" t="inlineStr"/>
    </row>
    <row r="992">
      <c r="A992" t="inlineStr">
        <is>
          <t>DOCK</t>
        </is>
      </c>
      <c r="B992" t="inlineStr">
        <is>
          <t>SAIA US Equity</t>
        </is>
      </c>
      <c r="C992" s="1" t="inlineStr">
        <is>
          <t>SAIA</t>
        </is>
      </c>
      <c r="D992" t="inlineStr">
        <is>
          <t>Saia Inc</t>
        </is>
      </c>
      <c r="E992">
        <f>BDP($B992,"LEGAL_ENTITY_IDENTIFIER")</f>
        <v/>
      </c>
      <c r="F992" t="inlineStr">
        <is>
          <t>Saia Inc</t>
        </is>
      </c>
      <c r="G992">
        <f>custodian!D992</f>
        <v/>
      </c>
      <c r="H992">
        <f>BDP($B992,"ID_ISIN")</f>
        <v/>
      </c>
      <c r="I992" s="1" t="inlineStr">
        <is>
          <t>SAIA</t>
        </is>
      </c>
      <c r="J992">
        <f>BDP($B992,"CNTRY_OF_DOMICILE")</f>
        <v/>
      </c>
      <c r="K992" t="inlineStr">
        <is>
          <t>EC</t>
        </is>
      </c>
      <c r="L992" t="inlineStr">
        <is>
          <t>CORP</t>
        </is>
      </c>
      <c r="M992" t="inlineStr"/>
      <c r="N992" t="inlineStr"/>
      <c r="O992" s="1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s="1" t="inlineStr"/>
      <c r="AR992" s="1" t="inlineStr"/>
      <c r="AS992" s="1" t="inlineStr"/>
      <c r="AT992" t="inlineStr"/>
      <c r="AU992" t="inlineStr"/>
      <c r="AV992" t="inlineStr"/>
      <c r="AW992" t="inlineStr"/>
      <c r="AX992" t="inlineStr"/>
      <c r="AY992" t="inlineStr"/>
    </row>
    <row r="993">
      <c r="A993" t="inlineStr">
        <is>
          <t>DOCK</t>
        </is>
      </c>
      <c r="B993" t="inlineStr">
        <is>
          <t>SNDR US Equity</t>
        </is>
      </c>
      <c r="C993" s="1" t="inlineStr">
        <is>
          <t>SNDR</t>
        </is>
      </c>
      <c r="D993" t="inlineStr">
        <is>
          <t>Schneider National Inc</t>
        </is>
      </c>
      <c r="E993">
        <f>BDP($B993,"LEGAL_ENTITY_IDENTIFIER")</f>
        <v/>
      </c>
      <c r="F993" t="inlineStr">
        <is>
          <t>Schneider National Inc</t>
        </is>
      </c>
      <c r="G993">
        <f>custodian!D993</f>
        <v/>
      </c>
      <c r="H993">
        <f>BDP($B993,"ID_ISIN")</f>
        <v/>
      </c>
      <c r="I993" s="1" t="inlineStr">
        <is>
          <t>SNDR</t>
        </is>
      </c>
      <c r="J993">
        <f>BDP($B993,"CNTRY_OF_DOMICILE")</f>
        <v/>
      </c>
      <c r="K993" t="inlineStr">
        <is>
          <t>EC</t>
        </is>
      </c>
      <c r="L993" t="inlineStr">
        <is>
          <t>CORP</t>
        </is>
      </c>
      <c r="M993" t="inlineStr"/>
      <c r="N993" t="inlineStr"/>
      <c r="O993" s="1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s="1" t="inlineStr"/>
      <c r="AR993" s="1" t="inlineStr"/>
      <c r="AS993" s="1" t="inlineStr"/>
      <c r="AT993" t="inlineStr"/>
      <c r="AU993" t="inlineStr"/>
      <c r="AV993" t="inlineStr"/>
      <c r="AW993" t="inlineStr"/>
      <c r="AX993" t="inlineStr"/>
      <c r="AY993" t="inlineStr"/>
    </row>
    <row r="994">
      <c r="A994" t="inlineStr">
        <is>
          <t>DOCK</t>
        </is>
      </c>
      <c r="B994" t="inlineStr">
        <is>
          <t>TEX US Equity</t>
        </is>
      </c>
      <c r="C994" s="1" t="inlineStr">
        <is>
          <t>TEX</t>
        </is>
      </c>
      <c r="D994" t="inlineStr">
        <is>
          <t>Terex Corp</t>
        </is>
      </c>
      <c r="E994">
        <f>BDP($B994,"LEGAL_ENTITY_IDENTIFIER")</f>
        <v/>
      </c>
      <c r="F994" t="inlineStr">
        <is>
          <t>Terex Corp</t>
        </is>
      </c>
      <c r="G994">
        <f>custodian!D994</f>
        <v/>
      </c>
      <c r="H994">
        <f>BDP($B994,"ID_ISIN")</f>
        <v/>
      </c>
      <c r="I994" s="1" t="inlineStr">
        <is>
          <t>TEX</t>
        </is>
      </c>
      <c r="J994">
        <f>BDP($B994,"CNTRY_OF_DOMICILE")</f>
        <v/>
      </c>
      <c r="K994" t="inlineStr">
        <is>
          <t>EC</t>
        </is>
      </c>
      <c r="L994" t="inlineStr">
        <is>
          <t>CORP</t>
        </is>
      </c>
      <c r="M994" t="inlineStr"/>
      <c r="N994" t="inlineStr"/>
      <c r="O994" s="1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s="1" t="inlineStr"/>
      <c r="AR994" s="1" t="inlineStr"/>
      <c r="AS994" s="1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DOCK</t>
        </is>
      </c>
      <c r="B995" t="inlineStr">
        <is>
          <t>TFII US Equity</t>
        </is>
      </c>
      <c r="C995" s="1" t="inlineStr">
        <is>
          <t>TFII</t>
        </is>
      </c>
      <c r="D995" t="inlineStr">
        <is>
          <t>TFI International Inc</t>
        </is>
      </c>
      <c r="E995">
        <f>BDP($B995,"LEGAL_ENTITY_IDENTIFIER")</f>
        <v/>
      </c>
      <c r="F995" t="inlineStr">
        <is>
          <t>TFI International Inc</t>
        </is>
      </c>
      <c r="G995">
        <f>custodian!D995</f>
        <v/>
      </c>
      <c r="H995">
        <f>BDP($B995,"ID_ISIN")</f>
        <v/>
      </c>
      <c r="I995" s="1" t="inlineStr">
        <is>
          <t>TFII</t>
        </is>
      </c>
      <c r="J995">
        <f>BDP($B995,"CNTRY_OF_DOMICILE")</f>
        <v/>
      </c>
      <c r="K995" t="inlineStr">
        <is>
          <t>EC</t>
        </is>
      </c>
      <c r="L995" t="inlineStr">
        <is>
          <t>CORP</t>
        </is>
      </c>
      <c r="M995" t="inlineStr"/>
      <c r="N995" t="inlineStr"/>
      <c r="O995" s="1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s="1" t="inlineStr"/>
      <c r="AR995" s="1" t="inlineStr"/>
      <c r="AS995" s="1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DOCK</t>
        </is>
      </c>
      <c r="B996" t="inlineStr">
        <is>
          <t>TRN US Equity</t>
        </is>
      </c>
      <c r="C996" s="1" t="inlineStr">
        <is>
          <t>TRN</t>
        </is>
      </c>
      <c r="D996" t="inlineStr">
        <is>
          <t>Trinity Industries Inc</t>
        </is>
      </c>
      <c r="E996">
        <f>BDP($B996,"LEGAL_ENTITY_IDENTIFIER")</f>
        <v/>
      </c>
      <c r="F996" t="inlineStr">
        <is>
          <t>Trinity Industries Inc</t>
        </is>
      </c>
      <c r="G996">
        <f>custodian!D996</f>
        <v/>
      </c>
      <c r="H996">
        <f>BDP($B996,"ID_ISIN")</f>
        <v/>
      </c>
      <c r="I996" s="1" t="inlineStr">
        <is>
          <t>TRN</t>
        </is>
      </c>
      <c r="J996">
        <f>BDP($B996,"CNTRY_OF_DOMICILE")</f>
        <v/>
      </c>
      <c r="K996" t="inlineStr">
        <is>
          <t>EC</t>
        </is>
      </c>
      <c r="L996" t="inlineStr">
        <is>
          <t>CORP</t>
        </is>
      </c>
      <c r="M996" t="inlineStr"/>
      <c r="N996" t="inlineStr"/>
      <c r="O996" s="1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s="1" t="inlineStr"/>
      <c r="AR996" s="1" t="inlineStr"/>
      <c r="AS996" s="1" t="inlineStr"/>
      <c r="AT996" t="inlineStr"/>
      <c r="AU996" t="inlineStr"/>
      <c r="AV996" t="inlineStr"/>
      <c r="AW996" t="inlineStr"/>
      <c r="AX996" t="inlineStr"/>
      <c r="AY996" t="inlineStr"/>
    </row>
    <row r="997">
      <c r="A997" t="inlineStr">
        <is>
          <t>DOCK</t>
        </is>
      </c>
      <c r="B997" t="inlineStr">
        <is>
          <t>UNP US Equity</t>
        </is>
      </c>
      <c r="C997" s="1" t="inlineStr">
        <is>
          <t>UNP</t>
        </is>
      </c>
      <c r="D997" t="inlineStr">
        <is>
          <t>Union Pacific Corp</t>
        </is>
      </c>
      <c r="E997">
        <f>BDP($B997,"LEGAL_ENTITY_IDENTIFIER")</f>
        <v/>
      </c>
      <c r="F997" t="inlineStr">
        <is>
          <t>Union Pacific Corp</t>
        </is>
      </c>
      <c r="G997">
        <f>custodian!D997</f>
        <v/>
      </c>
      <c r="H997">
        <f>BDP($B997,"ID_ISIN")</f>
        <v/>
      </c>
      <c r="I997" s="1" t="inlineStr">
        <is>
          <t>UNP</t>
        </is>
      </c>
      <c r="J997">
        <f>BDP($B997,"CNTRY_OF_DOMICILE")</f>
        <v/>
      </c>
      <c r="K997" t="inlineStr">
        <is>
          <t>EC</t>
        </is>
      </c>
      <c r="L997" t="inlineStr">
        <is>
          <t>CORP</t>
        </is>
      </c>
      <c r="M997" t="inlineStr"/>
      <c r="N997" t="inlineStr"/>
      <c r="O997" s="1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s="1" t="inlineStr"/>
      <c r="AR997" s="1" t="inlineStr"/>
      <c r="AS997" s="1" t="inlineStr"/>
      <c r="AT997" t="inlineStr"/>
      <c r="AU997" t="inlineStr"/>
      <c r="AV997" t="inlineStr"/>
      <c r="AW997" t="inlineStr"/>
      <c r="AX997" t="inlineStr"/>
      <c r="AY997" t="inlineStr"/>
    </row>
    <row r="998">
      <c r="A998" t="inlineStr">
        <is>
          <t>DOCK</t>
        </is>
      </c>
      <c r="B998" t="inlineStr">
        <is>
          <t>UPS US Equity</t>
        </is>
      </c>
      <c r="C998" s="1" t="inlineStr">
        <is>
          <t>UPS</t>
        </is>
      </c>
      <c r="D998" t="inlineStr">
        <is>
          <t>United Parcel Service Inc</t>
        </is>
      </c>
      <c r="E998">
        <f>BDP($B998,"LEGAL_ENTITY_IDENTIFIER")</f>
        <v/>
      </c>
      <c r="F998" t="inlineStr">
        <is>
          <t>United Parcel Service Inc</t>
        </is>
      </c>
      <c r="G998">
        <f>custodian!D998</f>
        <v/>
      </c>
      <c r="H998">
        <f>BDP($B998,"ID_ISIN")</f>
        <v/>
      </c>
      <c r="I998" s="1" t="inlineStr">
        <is>
          <t>UPS</t>
        </is>
      </c>
      <c r="J998">
        <f>BDP($B998,"CNTRY_OF_DOMICILE")</f>
        <v/>
      </c>
      <c r="K998" t="inlineStr">
        <is>
          <t>EC</t>
        </is>
      </c>
      <c r="L998" t="inlineStr">
        <is>
          <t>CORP</t>
        </is>
      </c>
      <c r="M998" t="inlineStr"/>
      <c r="N998" t="inlineStr"/>
      <c r="O998" s="1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s="1" t="inlineStr"/>
      <c r="AR998" s="1" t="inlineStr"/>
      <c r="AS998" s="1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DOCK</t>
        </is>
      </c>
      <c r="B999" t="inlineStr">
        <is>
          <t>WAB US Equity</t>
        </is>
      </c>
      <c r="C999" s="1" t="inlineStr">
        <is>
          <t>WAB</t>
        </is>
      </c>
      <c r="D999" t="inlineStr">
        <is>
          <t>Westinghouse Air Brake Technol</t>
        </is>
      </c>
      <c r="E999">
        <f>BDP($B999,"LEGAL_ENTITY_IDENTIFIER")</f>
        <v/>
      </c>
      <c r="F999" t="inlineStr">
        <is>
          <t>Westinghouse Air Brake Technologies Corp</t>
        </is>
      </c>
      <c r="G999">
        <f>custodian!D999</f>
        <v/>
      </c>
      <c r="H999">
        <f>BDP($B999,"ID_ISIN")</f>
        <v/>
      </c>
      <c r="I999" s="1" t="inlineStr">
        <is>
          <t>WAB</t>
        </is>
      </c>
      <c r="J999">
        <f>BDP($B999,"CNTRY_OF_DOMICILE")</f>
        <v/>
      </c>
      <c r="K999" t="inlineStr">
        <is>
          <t>EC</t>
        </is>
      </c>
      <c r="L999" t="inlineStr">
        <is>
          <t>CORP</t>
        </is>
      </c>
      <c r="M999" t="inlineStr"/>
      <c r="N999" t="inlineStr"/>
      <c r="O999" s="1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s="1" t="inlineStr"/>
      <c r="AR999" s="1" t="inlineStr"/>
      <c r="AS999" s="1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inlineStr">
        <is>
          <t>DOCK</t>
        </is>
      </c>
      <c r="B1000" t="inlineStr">
        <is>
          <t>WERN US Equity</t>
        </is>
      </c>
      <c r="C1000" s="1" t="inlineStr">
        <is>
          <t>WERN</t>
        </is>
      </c>
      <c r="D1000" t="inlineStr">
        <is>
          <t>Werner Enterprises Inc</t>
        </is>
      </c>
      <c r="E1000">
        <f>BDP($B1000,"LEGAL_ENTITY_IDENTIFIER")</f>
        <v/>
      </c>
      <c r="F1000" t="inlineStr">
        <is>
          <t>Werner Enterprises Inc</t>
        </is>
      </c>
      <c r="G1000">
        <f>custodian!D1000</f>
        <v/>
      </c>
      <c r="H1000">
        <f>BDP($B1000,"ID_ISIN")</f>
        <v/>
      </c>
      <c r="I1000" s="1" t="inlineStr">
        <is>
          <t>WERN</t>
        </is>
      </c>
      <c r="J1000">
        <f>BDP($B1000,"CNTRY_OF_DOMICILE")</f>
        <v/>
      </c>
      <c r="K1000" t="inlineStr">
        <is>
          <t>EC</t>
        </is>
      </c>
      <c r="L1000" t="inlineStr">
        <is>
          <t>CORP</t>
        </is>
      </c>
      <c r="M1000" t="inlineStr"/>
      <c r="N1000" t="inlineStr"/>
      <c r="O1000" s="1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s="1" t="inlineStr"/>
      <c r="AR1000" s="1" t="inlineStr"/>
      <c r="AS1000" s="1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inlineStr">
        <is>
          <t>DOCK</t>
        </is>
      </c>
      <c r="B1001" t="inlineStr">
        <is>
          <t>WNC US Equity</t>
        </is>
      </c>
      <c r="C1001" s="1" t="inlineStr">
        <is>
          <t>WNC</t>
        </is>
      </c>
      <c r="D1001" t="inlineStr">
        <is>
          <t>Wabash National Corp</t>
        </is>
      </c>
      <c r="E1001">
        <f>BDP($B1001,"LEGAL_ENTITY_IDENTIFIER")</f>
        <v/>
      </c>
      <c r="F1001" t="inlineStr">
        <is>
          <t>Wabash National Corp</t>
        </is>
      </c>
      <c r="G1001">
        <f>custodian!D1001</f>
        <v/>
      </c>
      <c r="H1001">
        <f>BDP($B1001,"ID_ISIN")</f>
        <v/>
      </c>
      <c r="I1001" s="1" t="inlineStr">
        <is>
          <t>WNC</t>
        </is>
      </c>
      <c r="J1001">
        <f>BDP($B1001,"CNTRY_OF_DOMICILE")</f>
        <v/>
      </c>
      <c r="K1001" t="inlineStr">
        <is>
          <t>EC</t>
        </is>
      </c>
      <c r="L1001" t="inlineStr">
        <is>
          <t>CORP</t>
        </is>
      </c>
      <c r="M1001" t="inlineStr"/>
      <c r="N1001" t="inlineStr"/>
      <c r="O1001" s="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s="1" t="inlineStr"/>
      <c r="AR1001" s="1" t="inlineStr"/>
      <c r="AS1001" s="1" t="inlineStr"/>
      <c r="AT1001" t="inlineStr"/>
      <c r="AU1001" t="inlineStr"/>
      <c r="AV1001" t="inlineStr"/>
      <c r="AW1001" t="inlineStr"/>
      <c r="AX1001" t="inlineStr"/>
      <c r="AY1001" t="inlineStr"/>
    </row>
    <row r="1002">
      <c r="A1002" t="inlineStr">
        <is>
          <t>DOCK</t>
        </is>
      </c>
      <c r="B1002" t="inlineStr">
        <is>
          <t>XPO US Equity</t>
        </is>
      </c>
      <c r="C1002" s="1" t="inlineStr">
        <is>
          <t>XPO</t>
        </is>
      </c>
      <c r="D1002" t="inlineStr">
        <is>
          <t>XPO Inc</t>
        </is>
      </c>
      <c r="E1002">
        <f>BDP($B1002,"LEGAL_ENTITY_IDENTIFIER")</f>
        <v/>
      </c>
      <c r="F1002" t="inlineStr">
        <is>
          <t>XPO Inc</t>
        </is>
      </c>
      <c r="G1002">
        <f>custodian!D1002</f>
        <v/>
      </c>
      <c r="H1002">
        <f>BDP($B1002,"ID_ISIN")</f>
        <v/>
      </c>
      <c r="I1002" s="1" t="inlineStr">
        <is>
          <t>XPO</t>
        </is>
      </c>
      <c r="J1002">
        <f>BDP($B1002,"CNTRY_OF_DOMICILE")</f>
        <v/>
      </c>
      <c r="K1002" t="inlineStr">
        <is>
          <t>EC</t>
        </is>
      </c>
      <c r="L1002" t="inlineStr">
        <is>
          <t>CORP</t>
        </is>
      </c>
      <c r="M1002" t="inlineStr"/>
      <c r="N1002" t="inlineStr"/>
      <c r="O1002" s="1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s="1" t="inlineStr"/>
      <c r="AR1002" s="1" t="inlineStr"/>
      <c r="AS1002" s="1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DOCK</t>
        </is>
      </c>
      <c r="B1003" t="inlineStr">
        <is>
          <t>ZIM US Equity</t>
        </is>
      </c>
      <c r="C1003" s="1" t="inlineStr">
        <is>
          <t>ZIM</t>
        </is>
      </c>
      <c r="D1003" t="inlineStr">
        <is>
          <t>ZIM Integrated Shipping Servic</t>
        </is>
      </c>
      <c r="E1003">
        <f>BDP($B1003,"LEGAL_ENTITY_IDENTIFIER")</f>
        <v/>
      </c>
      <c r="F1003" t="inlineStr">
        <is>
          <t>ZIM Integrated Shipping Services Ltd</t>
        </is>
      </c>
      <c r="G1003">
        <f>custodian!D1003</f>
        <v/>
      </c>
      <c r="H1003">
        <f>BDP($B1003,"ID_ISIN")</f>
        <v/>
      </c>
      <c r="I1003" s="1" t="inlineStr">
        <is>
          <t>ZIM</t>
        </is>
      </c>
      <c r="J1003">
        <f>BDP($B1003,"CNTRY_OF_DOMICILE")</f>
        <v/>
      </c>
      <c r="K1003" t="inlineStr">
        <is>
          <t>EC</t>
        </is>
      </c>
      <c r="L1003" t="inlineStr">
        <is>
          <t>CORP</t>
        </is>
      </c>
      <c r="M1003" t="inlineStr"/>
      <c r="N1003" t="inlineStr"/>
      <c r="O1003" s="1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s="1" t="inlineStr"/>
      <c r="AR1003" s="1" t="inlineStr"/>
      <c r="AS1003" s="1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DOCK</t>
        </is>
      </c>
      <c r="B1004" t="inlineStr"/>
      <c r="C1004" s="1" t="inlineStr">
        <is>
          <t>Cash&amp;Other</t>
        </is>
      </c>
      <c r="D1004" t="inlineStr"/>
      <c r="E1004" s="1" t="inlineStr"/>
      <c r="F1004" t="inlineStr"/>
      <c r="G1004">
        <f>custodian!D1004</f>
        <v/>
      </c>
      <c r="H1004" s="1" t="inlineStr"/>
      <c r="I1004" s="1" t="inlineStr"/>
      <c r="J1004" t="inlineStr"/>
      <c r="K1004" t="inlineStr"/>
      <c r="L1004" t="inlineStr"/>
      <c r="M1004" t="inlineStr"/>
      <c r="N1004" t="inlineStr"/>
      <c r="O1004" s="1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s="1" t="inlineStr"/>
      <c r="AR1004" s="1" t="inlineStr"/>
      <c r="AS1004" s="1" t="inlineStr"/>
      <c r="AT1004" t="inlineStr"/>
      <c r="AU1004" t="inlineStr"/>
      <c r="AV1004" t="inlineStr"/>
      <c r="AW1004" t="inlineStr"/>
      <c r="AX1004" t="inlineStr"/>
      <c r="AY1004" t="inlineStr"/>
    </row>
    <row r="1005">
      <c r="A1005" t="inlineStr">
        <is>
          <t>EMJN</t>
        </is>
      </c>
      <c r="B1005" t="inlineStr"/>
      <c r="C1005" s="1" t="inlineStr">
        <is>
          <t>2EEM  270528C00014020</t>
        </is>
      </c>
      <c r="D1005" t="inlineStr">
        <is>
          <t>EEM 05/28/2027 14.02 C</t>
        </is>
      </c>
      <c r="E1005" s="1" t="inlineStr">
        <is>
          <t>N/A</t>
        </is>
      </c>
      <c r="F1005" t="inlineStr">
        <is>
          <t>EEM 05/28/2027 14.02 C</t>
        </is>
      </c>
      <c r="G1005">
        <f>custodian!D1005</f>
        <v/>
      </c>
      <c r="H1005" s="1" t="inlineStr"/>
      <c r="I1005" s="1" t="inlineStr">
        <is>
          <t>EEM-C14.02-20270528</t>
        </is>
      </c>
      <c r="J1005" t="inlineStr">
        <is>
          <t>US</t>
        </is>
      </c>
      <c r="K1005" t="inlineStr">
        <is>
          <t>DE</t>
        </is>
      </c>
      <c r="L1005" t="inlineStr">
        <is>
          <t>CORP</t>
        </is>
      </c>
      <c r="M1005" t="inlineStr">
        <is>
          <t>OPT</t>
        </is>
      </c>
      <c r="N1005" t="inlineStr">
        <is>
          <t>The Options Clearing Corporation</t>
        </is>
      </c>
      <c r="O1005" s="1" t="inlineStr">
        <is>
          <t>549300CII6SLYGKNHA04</t>
        </is>
      </c>
      <c r="P1005" t="inlineStr">
        <is>
          <t>Call</t>
        </is>
      </c>
      <c r="Q1005" t="inlineStr">
        <is>
          <t>Purchased</t>
        </is>
      </c>
      <c r="R1005" t="inlineStr">
        <is>
          <t>14.02</t>
        </is>
      </c>
      <c r="S1005" t="inlineStr">
        <is>
          <t>USD</t>
        </is>
      </c>
      <c r="T1005" t="inlineStr">
        <is>
          <t>2027-05-28</t>
        </is>
      </c>
      <c r="U1005" t="inlineStr">
        <is>
          <t>N/A</t>
        </is>
      </c>
      <c r="V1005" t="inlineStr">
        <is>
          <t>indexBasket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-48450.10</t>
        </is>
      </c>
      <c r="AD1005" t="inlineStr">
        <is>
          <t>1149802.88</t>
        </is>
      </c>
      <c r="AE1005" t="inlineStr">
        <is>
          <t>79.14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s="1" t="inlineStr"/>
      <c r="AR1005" s="1" t="inlineStr"/>
      <c r="AS1005" s="1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EMJN</t>
        </is>
      </c>
      <c r="B1006" t="inlineStr"/>
      <c r="C1006" s="1" t="inlineStr">
        <is>
          <t>2EEM  270528C00087030</t>
        </is>
      </c>
      <c r="D1006" t="inlineStr">
        <is>
          <t>EEM 05/28/2027 87.03 C</t>
        </is>
      </c>
      <c r="E1006" s="1" t="inlineStr">
        <is>
          <t>N/A</t>
        </is>
      </c>
      <c r="F1006" t="inlineStr">
        <is>
          <t>EEM 05/28/2027 87.03 C</t>
        </is>
      </c>
      <c r="G1006">
        <f>custodian!D1006</f>
        <v/>
      </c>
      <c r="H1006" s="1" t="inlineStr"/>
      <c r="I1006" s="1" t="inlineStr">
        <is>
          <t>EEM-C87.03-20270528</t>
        </is>
      </c>
      <c r="J1006" t="inlineStr">
        <is>
          <t>US</t>
        </is>
      </c>
      <c r="K1006" t="inlineStr">
        <is>
          <t>DE</t>
        </is>
      </c>
      <c r="L1006" t="inlineStr">
        <is>
          <t>CORP</t>
        </is>
      </c>
      <c r="M1006" t="inlineStr">
        <is>
          <t>OPT</t>
        </is>
      </c>
      <c r="N1006" t="inlineStr">
        <is>
          <t>The Options Clearing Corporation</t>
        </is>
      </c>
      <c r="O1006" s="1" t="inlineStr">
        <is>
          <t>549300CII6SLYGKNHA04</t>
        </is>
      </c>
      <c r="P1006" t="inlineStr">
        <is>
          <t>Call</t>
        </is>
      </c>
      <c r="Q1006" t="inlineStr">
        <is>
          <t>Written</t>
        </is>
      </c>
      <c r="R1006" t="inlineStr">
        <is>
          <t>87.03</t>
        </is>
      </c>
      <c r="S1006" t="inlineStr">
        <is>
          <t>USD</t>
        </is>
      </c>
      <c r="T1006" t="inlineStr">
        <is>
          <t>2027-05-28</t>
        </is>
      </c>
      <c r="U1006" t="inlineStr">
        <is>
          <t>N/A</t>
        </is>
      </c>
      <c r="V1006" t="inlineStr">
        <is>
          <t>indexBasket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9820.30</t>
        </is>
      </c>
      <c r="AD1006" t="inlineStr">
        <is>
          <t>-55348.37</t>
        </is>
      </c>
      <c r="AE1006" t="inlineStr">
        <is>
          <t>-3.81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s="1" t="inlineStr"/>
      <c r="AR1006" s="1" t="inlineStr"/>
      <c r="AS1006" s="1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EMJN</t>
        </is>
      </c>
      <c r="B1007" t="inlineStr"/>
      <c r="C1007" s="1" t="inlineStr">
        <is>
          <t>2EEM  270528P00059570</t>
        </is>
      </c>
      <c r="D1007" t="inlineStr">
        <is>
          <t>EEM 05/28/2027 59.57 P</t>
        </is>
      </c>
      <c r="E1007" s="1" t="inlineStr">
        <is>
          <t>N/A</t>
        </is>
      </c>
      <c r="F1007" t="inlineStr">
        <is>
          <t>EEM 05/28/2027 59.57 P</t>
        </is>
      </c>
      <c r="G1007">
        <f>custodian!D1007</f>
        <v/>
      </c>
      <c r="H1007" s="1" t="inlineStr"/>
      <c r="I1007" s="1" t="inlineStr">
        <is>
          <t>EEM-P59.57-20270528</t>
        </is>
      </c>
      <c r="J1007" t="inlineStr">
        <is>
          <t>US</t>
        </is>
      </c>
      <c r="K1007" t="inlineStr">
        <is>
          <t>DE</t>
        </is>
      </c>
      <c r="L1007" t="inlineStr">
        <is>
          <t>CORP</t>
        </is>
      </c>
      <c r="M1007" t="inlineStr">
        <is>
          <t>OPT</t>
        </is>
      </c>
      <c r="N1007" t="inlineStr">
        <is>
          <t>The Options Clearing Corporation</t>
        </is>
      </c>
      <c r="O1007" s="1" t="inlineStr">
        <is>
          <t>549300CII6SLYGKNHA04</t>
        </is>
      </c>
      <c r="P1007" t="inlineStr">
        <is>
          <t>Put</t>
        </is>
      </c>
      <c r="Q1007" t="inlineStr">
        <is>
          <t>Written</t>
        </is>
      </c>
      <c r="R1007" t="inlineStr">
        <is>
          <t>59.57</t>
        </is>
      </c>
      <c r="S1007" t="inlineStr">
        <is>
          <t>USD</t>
        </is>
      </c>
      <c r="T1007" t="inlineStr">
        <is>
          <t>2027-05-28</t>
        </is>
      </c>
      <c r="U1007" t="inlineStr">
        <is>
          <t>N/A</t>
        </is>
      </c>
      <c r="V1007" t="inlineStr">
        <is>
          <t>indexBasket</t>
        </is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370.57</t>
        </is>
      </c>
      <c r="AD1007" t="inlineStr">
        <is>
          <t>-91640.68</t>
        </is>
      </c>
      <c r="AE1007" t="inlineStr">
        <is>
          <t>-6.31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s="1" t="inlineStr"/>
      <c r="AR1007" s="1" t="inlineStr"/>
      <c r="AS1007" s="1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EMJN</t>
        </is>
      </c>
      <c r="B1008" t="inlineStr"/>
      <c r="C1008" s="1" t="inlineStr">
        <is>
          <t>2EEM  270528P00070080</t>
        </is>
      </c>
      <c r="D1008" t="inlineStr">
        <is>
          <t>EEM 05/28/2027 70.08 P</t>
        </is>
      </c>
      <c r="E1008" s="1" t="inlineStr">
        <is>
          <t>N/A</t>
        </is>
      </c>
      <c r="F1008" t="inlineStr">
        <is>
          <t>EEM 05/28/2027 70.08 P</t>
        </is>
      </c>
      <c r="G1008">
        <f>custodian!D1008</f>
        <v/>
      </c>
      <c r="H1008" s="1" t="inlineStr"/>
      <c r="I1008" s="1" t="inlineStr">
        <is>
          <t>EEM-P70.08-20270528</t>
        </is>
      </c>
      <c r="J1008" t="inlineStr">
        <is>
          <t>US</t>
        </is>
      </c>
      <c r="K1008" t="inlineStr">
        <is>
          <t>DE</t>
        </is>
      </c>
      <c r="L1008" t="inlineStr">
        <is>
          <t>CORP</t>
        </is>
      </c>
      <c r="M1008" t="inlineStr">
        <is>
          <t>OPT</t>
        </is>
      </c>
      <c r="N1008" t="inlineStr">
        <is>
          <t>The Options Clearing Corporation</t>
        </is>
      </c>
      <c r="O1008" s="1" t="inlineStr">
        <is>
          <t>549300CII6SLYGKNHA04</t>
        </is>
      </c>
      <c r="P1008" t="inlineStr">
        <is>
          <t>Put</t>
        </is>
      </c>
      <c r="Q1008" t="inlineStr">
        <is>
          <t>Purchased</t>
        </is>
      </c>
      <c r="R1008" t="inlineStr">
        <is>
          <t>70.08</t>
        </is>
      </c>
      <c r="S1008" t="inlineStr">
        <is>
          <t>USD</t>
        </is>
      </c>
      <c r="T1008" t="inlineStr">
        <is>
          <t>2027-05-28</t>
        </is>
      </c>
      <c r="U1008" t="inlineStr">
        <is>
          <t>N/A</t>
        </is>
      </c>
      <c r="V1008" t="inlineStr">
        <is>
          <t>indexBasket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12191.21</t>
        </is>
      </c>
      <c r="AD1008" t="inlineStr">
        <is>
          <t>185222.19</t>
        </is>
      </c>
      <c r="AE1008" t="inlineStr">
        <is>
          <t>12.75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s="1" t="inlineStr"/>
      <c r="AR1008" s="1" t="inlineStr"/>
      <c r="AS1008" s="1" t="inlineStr"/>
      <c r="AT1008" t="inlineStr"/>
      <c r="AU1008" t="inlineStr"/>
      <c r="AV1008" t="inlineStr"/>
      <c r="AW1008" t="inlineStr"/>
      <c r="AX1008" t="inlineStr"/>
      <c r="AY1008" t="inlineStr"/>
    </row>
    <row r="1009">
      <c r="A1009" t="inlineStr">
        <is>
          <t>EMJN</t>
        </is>
      </c>
      <c r="B1009" t="inlineStr">
        <is>
          <t>912828ZS2 Govt</t>
        </is>
      </c>
      <c r="C1009" s="1" t="inlineStr">
        <is>
          <t>912828ZS2</t>
        </is>
      </c>
      <c r="D1009" t="inlineStr">
        <is>
          <t>United States Treasury Note/Bo</t>
        </is>
      </c>
      <c r="E1009">
        <f>BDP($B1009,"LEGAL_ENTITY_IDENTIFIER")</f>
        <v/>
      </c>
      <c r="F1009" t="inlineStr">
        <is>
          <t>United States Treasury Note/Bond 0.5% 05/31/2027</t>
        </is>
      </c>
      <c r="G1009">
        <f>custodian!D1009</f>
        <v/>
      </c>
      <c r="H1009">
        <f>BDP($B1009,"ID_ISIN")</f>
        <v/>
      </c>
      <c r="I1009" s="1" t="inlineStr"/>
      <c r="J1009">
        <f>BDP($B1009,"CNTRY_OF_DOMICILE")</f>
        <v/>
      </c>
      <c r="K1009" t="inlineStr">
        <is>
          <t>DBT</t>
        </is>
      </c>
      <c r="L1009" t="inlineStr">
        <is>
          <t>UST</t>
        </is>
      </c>
      <c r="M1009" t="inlineStr"/>
      <c r="N1009" t="inlineStr"/>
      <c r="O1009" s="1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s="1" t="inlineStr"/>
      <c r="AR1009" s="1" t="inlineStr"/>
      <c r="AS1009" s="1" t="inlineStr"/>
      <c r="AT1009">
        <f>TEXT(BDP($B1009,"MATURITY"),"yyyy-mm-dd")</f>
        <v/>
      </c>
      <c r="AU1009">
        <f>BDP($B1009,"CPN_TYP")</f>
        <v/>
      </c>
      <c r="AV1009">
        <f>BDP($B1009,"CPN")</f>
        <v/>
      </c>
      <c r="AW1009" t="inlineStr"/>
      <c r="AX1009" t="inlineStr"/>
      <c r="AY1009" t="inlineStr"/>
    </row>
    <row r="1010">
      <c r="A1010" t="inlineStr">
        <is>
          <t>EMJN</t>
        </is>
      </c>
      <c r="B1010" t="inlineStr">
        <is>
          <t>FGXXX US Equity</t>
        </is>
      </c>
      <c r="C1010" s="1" t="inlineStr">
        <is>
          <t>FGXXX</t>
        </is>
      </c>
      <c r="D1010" t="inlineStr">
        <is>
          <t>First American Government Obli</t>
        </is>
      </c>
      <c r="E1010">
        <f>BDP($B1010,"LEGAL_ENTITY_IDENTIFIER")</f>
        <v/>
      </c>
      <c r="F1010" t="inlineStr">
        <is>
          <t>First American Government Obligations Fund</t>
        </is>
      </c>
      <c r="G1010">
        <f>custodian!D1010</f>
        <v/>
      </c>
      <c r="H1010">
        <f>BDP($B1010,"ID_ISIN")</f>
        <v/>
      </c>
      <c r="I1010" s="1" t="inlineStr">
        <is>
          <t>FGXXX</t>
        </is>
      </c>
      <c r="J1010">
        <f>BDP($B1010,"CNTRY_OF_DOMICILE")</f>
        <v/>
      </c>
      <c r="K1010" t="inlineStr">
        <is>
          <t>STIV</t>
        </is>
      </c>
      <c r="L1010" t="inlineStr">
        <is>
          <t>RF</t>
        </is>
      </c>
      <c r="M1010" t="inlineStr"/>
      <c r="N1010" t="inlineStr"/>
      <c r="O1010" s="1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s="1" t="inlineStr"/>
      <c r="AR1010" s="1" t="inlineStr"/>
      <c r="AS1010" s="1" t="inlineStr"/>
      <c r="AT1010" t="inlineStr"/>
      <c r="AU1010" t="inlineStr"/>
      <c r="AV1010" t="inlineStr"/>
      <c r="AW1010" t="inlineStr"/>
      <c r="AX1010" t="inlineStr"/>
      <c r="AY1010" t="inlineStr"/>
    </row>
    <row r="1011">
      <c r="A1011" t="inlineStr">
        <is>
          <t>EMJN</t>
        </is>
      </c>
      <c r="B1011" t="inlineStr"/>
      <c r="C1011" s="1" t="inlineStr">
        <is>
          <t>Cash&amp;Other</t>
        </is>
      </c>
      <c r="D1011" t="inlineStr"/>
      <c r="E1011" s="1" t="inlineStr"/>
      <c r="F1011" t="inlineStr"/>
      <c r="G1011">
        <f>custodian!D1011</f>
        <v/>
      </c>
      <c r="H1011" s="1" t="inlineStr"/>
      <c r="I1011" s="1" t="inlineStr"/>
      <c r="J1011" t="inlineStr"/>
      <c r="K1011" t="inlineStr"/>
      <c r="L1011" t="inlineStr"/>
      <c r="M1011" t="inlineStr"/>
      <c r="N1011" t="inlineStr"/>
      <c r="O1011" s="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s="1" t="inlineStr"/>
      <c r="AR1011" s="1" t="inlineStr"/>
      <c r="AS1011" s="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EMMY</t>
        </is>
      </c>
      <c r="B1012" t="inlineStr"/>
      <c r="C1012" s="1" t="inlineStr">
        <is>
          <t>2EEM  270430C00013080</t>
        </is>
      </c>
      <c r="D1012" t="inlineStr">
        <is>
          <t>EEM 04/30/2027 13.08 C</t>
        </is>
      </c>
      <c r="E1012" s="1" t="inlineStr">
        <is>
          <t>N/A</t>
        </is>
      </c>
      <c r="F1012" t="inlineStr">
        <is>
          <t>EEM 04/30/2027 13.08 C</t>
        </is>
      </c>
      <c r="G1012">
        <f>custodian!D1012</f>
        <v/>
      </c>
      <c r="H1012" s="1" t="inlineStr"/>
      <c r="I1012" s="1" t="inlineStr">
        <is>
          <t>EEM-C13.08-20270430</t>
        </is>
      </c>
      <c r="J1012" t="inlineStr">
        <is>
          <t>US</t>
        </is>
      </c>
      <c r="K1012" t="inlineStr">
        <is>
          <t>DE</t>
        </is>
      </c>
      <c r="L1012" t="inlineStr">
        <is>
          <t>CORP</t>
        </is>
      </c>
      <c r="M1012" t="inlineStr">
        <is>
          <t>OPT</t>
        </is>
      </c>
      <c r="N1012" t="inlineStr">
        <is>
          <t>The Options Clearing Corporation</t>
        </is>
      </c>
      <c r="O1012" s="1" t="inlineStr">
        <is>
          <t>549300CII6SLYGKNHA04</t>
        </is>
      </c>
      <c r="P1012" t="inlineStr">
        <is>
          <t>Call</t>
        </is>
      </c>
      <c r="Q1012" t="inlineStr">
        <is>
          <t>Purchased</t>
        </is>
      </c>
      <c r="R1012" t="inlineStr">
        <is>
          <t>13.08</t>
        </is>
      </c>
      <c r="S1012" t="inlineStr">
        <is>
          <t>USD</t>
        </is>
      </c>
      <c r="T1012" t="inlineStr">
        <is>
          <t>2027-04-30</t>
        </is>
      </c>
      <c r="U1012" t="inlineStr">
        <is>
          <t>N/A</t>
        </is>
      </c>
      <c r="V1012" t="inlineStr">
        <is>
          <t>indexBasket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-66410.38</t>
        </is>
      </c>
      <c r="AD1012" t="inlineStr">
        <is>
          <t>4257702.33</t>
        </is>
      </c>
      <c r="AE1012" t="inlineStr">
        <is>
          <t>82.37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s="1" t="inlineStr"/>
      <c r="AR1012" s="1" t="inlineStr"/>
      <c r="AS1012" s="1" t="inlineStr"/>
      <c r="AT1012" t="inlineStr"/>
      <c r="AU1012" t="inlineStr"/>
      <c r="AV1012" t="inlineStr"/>
      <c r="AW1012" t="inlineStr"/>
      <c r="AX1012" t="inlineStr"/>
      <c r="AY1012" t="inlineStr"/>
    </row>
    <row r="1013">
      <c r="A1013" t="inlineStr">
        <is>
          <t>EMMY</t>
        </is>
      </c>
      <c r="B1013" t="inlineStr"/>
      <c r="C1013" s="1" t="inlineStr">
        <is>
          <t>2EEM  270430C00081100</t>
        </is>
      </c>
      <c r="D1013" t="inlineStr">
        <is>
          <t>EEM 04/30/2027 81.1 C</t>
        </is>
      </c>
      <c r="E1013" s="1" t="inlineStr">
        <is>
          <t>N/A</t>
        </is>
      </c>
      <c r="F1013" t="inlineStr">
        <is>
          <t>EEM 04/30/2027 81.1 C</t>
        </is>
      </c>
      <c r="G1013">
        <f>custodian!D1013</f>
        <v/>
      </c>
      <c r="H1013" s="1" t="inlineStr"/>
      <c r="I1013" s="1" t="inlineStr">
        <is>
          <t>EEM-C81.1-20270430</t>
        </is>
      </c>
      <c r="J1013" t="inlineStr">
        <is>
          <t>US</t>
        </is>
      </c>
      <c r="K1013" t="inlineStr">
        <is>
          <t>DE</t>
        </is>
      </c>
      <c r="L1013" t="inlineStr">
        <is>
          <t>CORP</t>
        </is>
      </c>
      <c r="M1013" t="inlineStr">
        <is>
          <t>OPT</t>
        </is>
      </c>
      <c r="N1013" t="inlineStr">
        <is>
          <t>The Options Clearing Corporation</t>
        </is>
      </c>
      <c r="O1013" s="1" t="inlineStr">
        <is>
          <t>549300CII6SLYGKNHA04</t>
        </is>
      </c>
      <c r="P1013" t="inlineStr">
        <is>
          <t>Call</t>
        </is>
      </c>
      <c r="Q1013" t="inlineStr">
        <is>
          <t>Written</t>
        </is>
      </c>
      <c r="R1013" t="inlineStr">
        <is>
          <t>81.1</t>
        </is>
      </c>
      <c r="S1013" t="inlineStr">
        <is>
          <t>USD</t>
        </is>
      </c>
      <c r="T1013" t="inlineStr">
        <is>
          <t>2027-04-30</t>
        </is>
      </c>
      <c r="U1013" t="inlineStr">
        <is>
          <t>N/A</t>
        </is>
      </c>
      <c r="V1013" t="inlineStr">
        <is>
          <t>indexBasket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-78689.04</t>
        </is>
      </c>
      <c r="AD1013" t="inlineStr">
        <is>
          <t>-288637.49</t>
        </is>
      </c>
      <c r="AE1013" t="inlineStr">
        <is>
          <t>-5.58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s="1" t="inlineStr"/>
      <c r="AR1013" s="1" t="inlineStr"/>
      <c r="AS1013" s="1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EMMY</t>
        </is>
      </c>
      <c r="B1014" t="inlineStr"/>
      <c r="C1014" s="1" t="inlineStr">
        <is>
          <t>2EEM  270430P00055590</t>
        </is>
      </c>
      <c r="D1014" t="inlineStr">
        <is>
          <t>EEM 04/30/2027 55.59 P</t>
        </is>
      </c>
      <c r="E1014" s="1" t="inlineStr">
        <is>
          <t>N/A</t>
        </is>
      </c>
      <c r="F1014" t="inlineStr">
        <is>
          <t>EEM 04/30/2027 55.59 P</t>
        </is>
      </c>
      <c r="G1014">
        <f>custodian!D1014</f>
        <v/>
      </c>
      <c r="H1014" s="1" t="inlineStr"/>
      <c r="I1014" s="1" t="inlineStr">
        <is>
          <t>EEM-P55.59-20270430</t>
        </is>
      </c>
      <c r="J1014" t="inlineStr">
        <is>
          <t>US</t>
        </is>
      </c>
      <c r="K1014" t="inlineStr">
        <is>
          <t>DE</t>
        </is>
      </c>
      <c r="L1014" t="inlineStr">
        <is>
          <t>CORP</t>
        </is>
      </c>
      <c r="M1014" t="inlineStr">
        <is>
          <t>OPT</t>
        </is>
      </c>
      <c r="N1014" t="inlineStr">
        <is>
          <t>The Options Clearing Corporation</t>
        </is>
      </c>
      <c r="O1014" s="1" t="inlineStr">
        <is>
          <t>549300CII6SLYGKNHA04</t>
        </is>
      </c>
      <c r="P1014" t="inlineStr">
        <is>
          <t>Put</t>
        </is>
      </c>
      <c r="Q1014" t="inlineStr">
        <is>
          <t>Written</t>
        </is>
      </c>
      <c r="R1014" t="inlineStr">
        <is>
          <t>55.59</t>
        </is>
      </c>
      <c r="S1014" t="inlineStr">
        <is>
          <t>USD</t>
        </is>
      </c>
      <c r="T1014" t="inlineStr">
        <is>
          <t>2027-04-30</t>
        </is>
      </c>
      <c r="U1014" t="inlineStr">
        <is>
          <t>N/A</t>
        </is>
      </c>
      <c r="V1014" t="inlineStr">
        <is>
          <t>indexBasket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-51169.53</t>
        </is>
      </c>
      <c r="AD1014" t="inlineStr">
        <is>
          <t>-240555.76</t>
        </is>
      </c>
      <c r="AE1014" t="inlineStr">
        <is>
          <t>-4.65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s="1" t="inlineStr"/>
      <c r="AR1014" s="1" t="inlineStr"/>
      <c r="AS1014" s="1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EMMY</t>
        </is>
      </c>
      <c r="B1015" t="inlineStr"/>
      <c r="C1015" s="1" t="inlineStr">
        <is>
          <t>2EEM  270430P00065400</t>
        </is>
      </c>
      <c r="D1015" t="inlineStr">
        <is>
          <t>EEM 04/30/2027 65.4 P</t>
        </is>
      </c>
      <c r="E1015" s="1" t="inlineStr">
        <is>
          <t>N/A</t>
        </is>
      </c>
      <c r="F1015" t="inlineStr">
        <is>
          <t>EEM 04/30/2027 65.4 P</t>
        </is>
      </c>
      <c r="G1015">
        <f>custodian!D1015</f>
        <v/>
      </c>
      <c r="H1015" s="1" t="inlineStr"/>
      <c r="I1015" s="1" t="inlineStr">
        <is>
          <t>EEM-P65.4-20270430</t>
        </is>
      </c>
      <c r="J1015" t="inlineStr">
        <is>
          <t>US</t>
        </is>
      </c>
      <c r="K1015" t="inlineStr">
        <is>
          <t>DE</t>
        </is>
      </c>
      <c r="L1015" t="inlineStr">
        <is>
          <t>CORP</t>
        </is>
      </c>
      <c r="M1015" t="inlineStr">
        <is>
          <t>OPT</t>
        </is>
      </c>
      <c r="N1015" t="inlineStr">
        <is>
          <t>The Options Clearing Corporation</t>
        </is>
      </c>
      <c r="O1015" s="1" t="inlineStr">
        <is>
          <t>549300CII6SLYGKNHA04</t>
        </is>
      </c>
      <c r="P1015" t="inlineStr">
        <is>
          <t>Put</t>
        </is>
      </c>
      <c r="Q1015" t="inlineStr">
        <is>
          <t>Purchased</t>
        </is>
      </c>
      <c r="R1015" t="inlineStr">
        <is>
          <t>65.4</t>
        </is>
      </c>
      <c r="S1015" t="inlineStr">
        <is>
          <t>USD</t>
        </is>
      </c>
      <c r="T1015" t="inlineStr">
        <is>
          <t>2027-04-30</t>
        </is>
      </c>
      <c r="U1015" t="inlineStr">
        <is>
          <t>N/A</t>
        </is>
      </c>
      <c r="V1015" t="inlineStr">
        <is>
          <t>indexBasket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111607.48</t>
        </is>
      </c>
      <c r="AD1015" t="inlineStr">
        <is>
          <t>509559.68</t>
        </is>
      </c>
      <c r="AE1015" t="inlineStr">
        <is>
          <t>9.86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s="1" t="inlineStr"/>
      <c r="AR1015" s="1" t="inlineStr"/>
      <c r="AS1015" s="1" t="inlineStr"/>
      <c r="AT1015" t="inlineStr"/>
      <c r="AU1015" t="inlineStr"/>
      <c r="AV1015" t="inlineStr"/>
      <c r="AW1015" t="inlineStr"/>
      <c r="AX1015" t="inlineStr"/>
      <c r="AY1015" t="inlineStr"/>
    </row>
    <row r="1016">
      <c r="A1016" t="inlineStr">
        <is>
          <t>EMMY</t>
        </is>
      </c>
      <c r="B1016" t="inlineStr">
        <is>
          <t>91282CMY4 Govt</t>
        </is>
      </c>
      <c r="C1016" s="1" t="inlineStr">
        <is>
          <t>91282CMY4</t>
        </is>
      </c>
      <c r="D1016" t="inlineStr">
        <is>
          <t>United States Treasury Note/Bo</t>
        </is>
      </c>
      <c r="E1016">
        <f>BDP($B1016,"LEGAL_ENTITY_IDENTIFIER")</f>
        <v/>
      </c>
      <c r="F1016" t="inlineStr">
        <is>
          <t>United States Treasury Note/Bond 3.75% 04/30/2027</t>
        </is>
      </c>
      <c r="G1016">
        <f>custodian!D1016</f>
        <v/>
      </c>
      <c r="H1016">
        <f>BDP($B1016,"ID_ISIN")</f>
        <v/>
      </c>
      <c r="I1016" s="1" t="inlineStr"/>
      <c r="J1016">
        <f>BDP($B1016,"CNTRY_OF_DOMICILE")</f>
        <v/>
      </c>
      <c r="K1016" t="inlineStr">
        <is>
          <t>DBT</t>
        </is>
      </c>
      <c r="L1016" t="inlineStr">
        <is>
          <t>UST</t>
        </is>
      </c>
      <c r="M1016" t="inlineStr"/>
      <c r="N1016" t="inlineStr"/>
      <c r="O1016" s="1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s="1" t="inlineStr"/>
      <c r="AR1016" s="1" t="inlineStr"/>
      <c r="AS1016" s="1" t="inlineStr"/>
      <c r="AT1016">
        <f>TEXT(BDP($B1016,"MATURITY"),"yyyy-mm-dd")</f>
        <v/>
      </c>
      <c r="AU1016">
        <f>BDP($B1016,"CPN_TYP")</f>
        <v/>
      </c>
      <c r="AV1016">
        <f>BDP($B1016,"CPN")</f>
        <v/>
      </c>
      <c r="AW1016" t="inlineStr"/>
      <c r="AX1016" t="inlineStr"/>
      <c r="AY1016" t="inlineStr"/>
    </row>
    <row r="1017">
      <c r="A1017" t="inlineStr">
        <is>
          <t>EMMY</t>
        </is>
      </c>
      <c r="B1017" t="inlineStr">
        <is>
          <t>FGXXX US Equity</t>
        </is>
      </c>
      <c r="C1017" s="1" t="inlineStr">
        <is>
          <t>FGXXX</t>
        </is>
      </c>
      <c r="D1017" t="inlineStr">
        <is>
          <t>First American Government Obli</t>
        </is>
      </c>
      <c r="E1017">
        <f>BDP($B1017,"LEGAL_ENTITY_IDENTIFIER")</f>
        <v/>
      </c>
      <c r="F1017" t="inlineStr">
        <is>
          <t>First American Government Obligations Fund</t>
        </is>
      </c>
      <c r="G1017">
        <f>custodian!D1017</f>
        <v/>
      </c>
      <c r="H1017">
        <f>BDP($B1017,"ID_ISIN")</f>
        <v/>
      </c>
      <c r="I1017" s="1" t="inlineStr">
        <is>
          <t>FGXXX</t>
        </is>
      </c>
      <c r="J1017">
        <f>BDP($B1017,"CNTRY_OF_DOMICILE")</f>
        <v/>
      </c>
      <c r="K1017" t="inlineStr">
        <is>
          <t>STIV</t>
        </is>
      </c>
      <c r="L1017" t="inlineStr">
        <is>
          <t>RF</t>
        </is>
      </c>
      <c r="M1017" t="inlineStr"/>
      <c r="N1017" t="inlineStr"/>
      <c r="O1017" s="1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s="1" t="inlineStr"/>
      <c r="AR1017" s="1" t="inlineStr"/>
      <c r="AS1017" s="1" t="inlineStr"/>
      <c r="AT1017" t="inlineStr"/>
      <c r="AU1017" t="inlineStr"/>
      <c r="AV1017" t="inlineStr"/>
      <c r="AW1017" t="inlineStr"/>
      <c r="AX1017" t="inlineStr"/>
      <c r="AY1017" t="inlineStr"/>
    </row>
    <row r="1018">
      <c r="A1018" t="inlineStr">
        <is>
          <t>EMMY</t>
        </is>
      </c>
      <c r="B1018" t="inlineStr"/>
      <c r="C1018" s="1" t="inlineStr">
        <is>
          <t>Cash&amp;Other</t>
        </is>
      </c>
      <c r="D1018" t="inlineStr"/>
      <c r="E1018" s="1" t="inlineStr"/>
      <c r="F1018" t="inlineStr"/>
      <c r="G1018">
        <f>custodian!D1018</f>
        <v/>
      </c>
      <c r="H1018" s="1" t="inlineStr"/>
      <c r="I1018" s="1" t="inlineStr"/>
      <c r="J1018" t="inlineStr"/>
      <c r="K1018" t="inlineStr"/>
      <c r="L1018" t="inlineStr"/>
      <c r="M1018" t="inlineStr"/>
      <c r="N1018" t="inlineStr"/>
      <c r="O1018" s="1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s="1" t="inlineStr"/>
      <c r="AR1018" s="1" t="inlineStr"/>
      <c r="AS1018" s="1" t="inlineStr"/>
      <c r="AT1018" t="inlineStr"/>
      <c r="AU1018" t="inlineStr"/>
      <c r="AV1018" t="inlineStr"/>
      <c r="AW1018" t="inlineStr"/>
      <c r="AX1018" t="inlineStr"/>
      <c r="AY1018" t="inlineStr"/>
    </row>
    <row r="1019">
      <c r="A1019" t="inlineStr">
        <is>
          <t>EMXX</t>
        </is>
      </c>
      <c r="B1019" t="inlineStr">
        <is>
          <t>922042858 Equity</t>
        </is>
      </c>
      <c r="C1019" s="1" t="inlineStr">
        <is>
          <t>922042858-TRS-07/07/27-L-CLST</t>
        </is>
      </c>
      <c r="D1019" t="inlineStr">
        <is>
          <t>N/A</t>
        </is>
      </c>
      <c r="E1019" s="1" t="inlineStr">
        <is>
          <t>N/A</t>
        </is>
      </c>
      <c r="F1019" t="inlineStr">
        <is>
          <t>VANGUARD EMERGING MARKETS STOCK INDEX FUND-SWAP-CLST-L</t>
        </is>
      </c>
      <c r="G1019">
        <f>custodian!D1019</f>
        <v/>
      </c>
      <c r="H1019" s="1" t="inlineStr"/>
      <c r="I1019" s="1" t="inlineStr">
        <is>
          <t>922042858-TRS-07/07/27-L-CLST</t>
        </is>
      </c>
      <c r="J1019" t="inlineStr">
        <is>
          <t>US</t>
        </is>
      </c>
      <c r="K1019" t="inlineStr">
        <is>
          <t>DE</t>
        </is>
      </c>
      <c r="L1019" t="inlineStr">
        <is>
          <t>OTHER</t>
        </is>
      </c>
      <c r="M1019" t="inlineStr">
        <is>
          <t>SWP</t>
        </is>
      </c>
      <c r="N1019" t="inlineStr"/>
      <c r="O1019" s="1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otherRefInst</t>
        </is>
      </c>
      <c r="W1019" t="inlineStr"/>
      <c r="X1019" t="inlineStr"/>
      <c r="Y1019" t="inlineStr">
        <is>
          <t>Y</t>
        </is>
      </c>
      <c r="Z1019" t="inlineStr">
        <is>
          <t>2027-07-07</t>
        </is>
      </c>
      <c r="AA1019" t="inlineStr">
        <is>
          <t>921524.19</t>
        </is>
      </c>
      <c r="AB1019" t="inlineStr">
        <is>
          <t>USD</t>
        </is>
      </c>
      <c r="AC1019" t="inlineStr">
        <is>
          <t>-17817.91</t>
        </is>
      </c>
      <c r="AD1019" t="inlineStr">
        <is>
          <t>-17817.91</t>
        </is>
      </c>
      <c r="AE1019" t="inlineStr">
        <is>
          <t>-3.87</t>
        </is>
      </c>
      <c r="AF1019" t="inlineStr"/>
      <c r="AG1019" t="inlineStr"/>
      <c r="AH1019" t="inlineStr">
        <is>
          <t>Floating</t>
        </is>
      </c>
      <c r="AI1019" t="inlineStr"/>
      <c r="AJ1019" t="inlineStr"/>
      <c r="AK1019" t="inlineStr">
        <is>
          <t>921524.19</t>
        </is>
      </c>
      <c r="AL1019" t="inlineStr">
        <is>
          <t>USD</t>
        </is>
      </c>
      <c r="AM1019" t="inlineStr"/>
      <c r="AN1019" t="inlineStr"/>
      <c r="AO1019">
        <f>BDP($B1019,"ISSUER")</f>
        <v/>
      </c>
      <c r="AP1019">
        <f>BDP($B1019,"NAME")</f>
        <v/>
      </c>
      <c r="AQ1019" s="1" t="inlineStr">
        <is>
          <t>922042858</t>
        </is>
      </c>
      <c r="AR1019">
        <f>BDP($B1019,"ID_ISIN")</f>
        <v/>
      </c>
      <c r="AS1019">
        <f>BDP($B1019,"TICKER")</f>
        <v/>
      </c>
      <c r="AT1019" t="inlineStr"/>
      <c r="AU1019" t="inlineStr"/>
      <c r="AV1019" t="inlineStr"/>
      <c r="AW1019" t="inlineStr"/>
      <c r="AX1019" t="inlineStr"/>
      <c r="AY1019" t="inlineStr"/>
    </row>
    <row r="1020">
      <c r="A1020" t="inlineStr">
        <is>
          <t>EMXX</t>
        </is>
      </c>
      <c r="B1020" t="inlineStr">
        <is>
          <t>FGXXX US Equity</t>
        </is>
      </c>
      <c r="C1020" s="1" t="inlineStr">
        <is>
          <t>FGXXX</t>
        </is>
      </c>
      <c r="D1020" t="inlineStr">
        <is>
          <t>First American Government Obli</t>
        </is>
      </c>
      <c r="E1020">
        <f>BDP($B1020,"LEGAL_ENTITY_IDENTIFIER")</f>
        <v/>
      </c>
      <c r="F1020" t="inlineStr">
        <is>
          <t>First American Government Obligations Fund</t>
        </is>
      </c>
      <c r="G1020">
        <f>custodian!D1020</f>
        <v/>
      </c>
      <c r="H1020">
        <f>BDP($B1020,"ID_ISIN")</f>
        <v/>
      </c>
      <c r="I1020" s="1" t="inlineStr">
        <is>
          <t>FGXXX</t>
        </is>
      </c>
      <c r="J1020">
        <f>BDP($B1020,"CNTRY_OF_DOMICILE")</f>
        <v/>
      </c>
      <c r="K1020" t="inlineStr">
        <is>
          <t>STIV</t>
        </is>
      </c>
      <c r="L1020" t="inlineStr">
        <is>
          <t>RF</t>
        </is>
      </c>
      <c r="M1020" t="inlineStr"/>
      <c r="N1020" t="inlineStr"/>
      <c r="O1020" s="1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s="1" t="inlineStr"/>
      <c r="AR1020" s="1" t="inlineStr"/>
      <c r="AS1020" s="1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EMXX</t>
        </is>
      </c>
      <c r="B1021" t="inlineStr"/>
      <c r="C1021" s="1" t="inlineStr">
        <is>
          <t>Cash&amp;Other</t>
        </is>
      </c>
      <c r="D1021" t="inlineStr"/>
      <c r="E1021" s="1" t="inlineStr"/>
      <c r="F1021" t="inlineStr"/>
      <c r="G1021">
        <f>custodian!D1021</f>
        <v/>
      </c>
      <c r="H1021" s="1" t="inlineStr"/>
      <c r="I1021" s="1" t="inlineStr"/>
      <c r="J1021" t="inlineStr"/>
      <c r="K1021" t="inlineStr"/>
      <c r="L1021" t="inlineStr"/>
      <c r="M1021" t="inlineStr"/>
      <c r="N1021" t="inlineStr"/>
      <c r="O1021" s="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s="1" t="inlineStr"/>
      <c r="AR1021" s="1" t="inlineStr"/>
      <c r="AS1021" s="1" t="inlineStr"/>
      <c r="AT1021" t="inlineStr"/>
      <c r="AU1021" t="inlineStr"/>
      <c r="AV1021" t="inlineStr"/>
      <c r="AW1021" t="inlineStr"/>
      <c r="AX1021" t="inlineStr"/>
      <c r="AY1021" t="inlineStr"/>
    </row>
    <row r="1022">
      <c r="A1022" t="inlineStr">
        <is>
          <t>EUV</t>
        </is>
      </c>
      <c r="B1022" t="inlineStr">
        <is>
          <t>AAOI US Equity</t>
        </is>
      </c>
      <c r="C1022" s="1" t="inlineStr">
        <is>
          <t>AAOI</t>
        </is>
      </c>
      <c r="D1022" t="inlineStr">
        <is>
          <t>Applied Optoelectronics Inc</t>
        </is>
      </c>
      <c r="E1022">
        <f>BDP($B1022,"LEGAL_ENTITY_IDENTIFIER")</f>
        <v/>
      </c>
      <c r="F1022" t="inlineStr">
        <is>
          <t>Applied Optoelectronics Inc</t>
        </is>
      </c>
      <c r="G1022">
        <f>custodian!D1022</f>
        <v/>
      </c>
      <c r="H1022">
        <f>BDP($B1022,"ID_ISIN")</f>
        <v/>
      </c>
      <c r="I1022" s="1" t="inlineStr">
        <is>
          <t>AAOI</t>
        </is>
      </c>
      <c r="J1022">
        <f>BDP($B1022,"CNTRY_OF_DOMICILE")</f>
        <v/>
      </c>
      <c r="K1022" t="inlineStr">
        <is>
          <t>EC</t>
        </is>
      </c>
      <c r="L1022" t="inlineStr">
        <is>
          <t>CORP</t>
        </is>
      </c>
      <c r="M1022" t="inlineStr"/>
      <c r="N1022" t="inlineStr"/>
      <c r="O1022" s="1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s="1" t="inlineStr"/>
      <c r="AR1022" s="1" t="inlineStr"/>
      <c r="AS1022" s="1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EUV</t>
        </is>
      </c>
      <c r="B1023" t="inlineStr">
        <is>
          <t>ADTN US Equity</t>
        </is>
      </c>
      <c r="C1023" s="1" t="inlineStr">
        <is>
          <t>ADTN</t>
        </is>
      </c>
      <c r="D1023" t="inlineStr">
        <is>
          <t>ADTRAN Holdings Inc</t>
        </is>
      </c>
      <c r="E1023">
        <f>BDP($B1023,"LEGAL_ENTITY_IDENTIFIER")</f>
        <v/>
      </c>
      <c r="F1023" t="inlineStr">
        <is>
          <t>ADTRAN Holdings Inc</t>
        </is>
      </c>
      <c r="G1023">
        <f>custodian!D1023</f>
        <v/>
      </c>
      <c r="H1023">
        <f>BDP($B1023,"ID_ISIN")</f>
        <v/>
      </c>
      <c r="I1023" s="1" t="inlineStr">
        <is>
          <t>ADTN</t>
        </is>
      </c>
      <c r="J1023">
        <f>BDP($B1023,"CNTRY_OF_DOMICILE")</f>
        <v/>
      </c>
      <c r="K1023" t="inlineStr">
        <is>
          <t>EC</t>
        </is>
      </c>
      <c r="L1023" t="inlineStr">
        <is>
          <t>CORP</t>
        </is>
      </c>
      <c r="M1023" t="inlineStr"/>
      <c r="N1023" t="inlineStr"/>
      <c r="O1023" s="1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s="1" t="inlineStr"/>
      <c r="AR1023" s="1" t="inlineStr"/>
      <c r="AS1023" s="1" t="inlineStr"/>
      <c r="AT1023" t="inlineStr"/>
      <c r="AU1023" t="inlineStr"/>
      <c r="AV1023" t="inlineStr"/>
      <c r="AW1023" t="inlineStr"/>
      <c r="AX1023" t="inlineStr"/>
      <c r="AY1023" t="inlineStr"/>
    </row>
    <row r="1024">
      <c r="A1024" t="inlineStr">
        <is>
          <t>EUV</t>
        </is>
      </c>
      <c r="B1024" t="inlineStr">
        <is>
          <t>AEHR US Equity</t>
        </is>
      </c>
      <c r="C1024" s="1" t="inlineStr">
        <is>
          <t>AEHR</t>
        </is>
      </c>
      <c r="D1024" t="inlineStr">
        <is>
          <t>Aehr Test Systems</t>
        </is>
      </c>
      <c r="E1024">
        <f>BDP($B1024,"LEGAL_ENTITY_IDENTIFIER")</f>
        <v/>
      </c>
      <c r="F1024" t="inlineStr">
        <is>
          <t>Aehr Test Systems</t>
        </is>
      </c>
      <c r="G1024">
        <f>custodian!D1024</f>
        <v/>
      </c>
      <c r="H1024">
        <f>BDP($B1024,"ID_ISIN")</f>
        <v/>
      </c>
      <c r="I1024" s="1" t="inlineStr">
        <is>
          <t>AEHR</t>
        </is>
      </c>
      <c r="J1024">
        <f>BDP($B1024,"CNTRY_OF_DOMICILE")</f>
        <v/>
      </c>
      <c r="K1024" t="inlineStr">
        <is>
          <t>EC</t>
        </is>
      </c>
      <c r="L1024" t="inlineStr">
        <is>
          <t>CORP</t>
        </is>
      </c>
      <c r="M1024" t="inlineStr"/>
      <c r="N1024" t="inlineStr"/>
      <c r="O1024" s="1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s="1" t="inlineStr"/>
      <c r="AR1024" s="1" t="inlineStr"/>
      <c r="AS1024" s="1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EUV</t>
        </is>
      </c>
      <c r="B1025" t="inlineStr">
        <is>
          <t>AEVA US Equity</t>
        </is>
      </c>
      <c r="C1025" s="1" t="inlineStr">
        <is>
          <t>AEVA</t>
        </is>
      </c>
      <c r="D1025" t="inlineStr">
        <is>
          <t>Aeva Technologies Inc</t>
        </is>
      </c>
      <c r="E1025">
        <f>BDP($B1025,"LEGAL_ENTITY_IDENTIFIER")</f>
        <v/>
      </c>
      <c r="F1025" t="inlineStr">
        <is>
          <t>Aeva Technologies Inc</t>
        </is>
      </c>
      <c r="G1025">
        <f>custodian!D1025</f>
        <v/>
      </c>
      <c r="H1025">
        <f>BDP($B1025,"ID_ISIN")</f>
        <v/>
      </c>
      <c r="I1025" s="1" t="inlineStr">
        <is>
          <t>AEVA</t>
        </is>
      </c>
      <c r="J1025">
        <f>BDP($B1025,"CNTRY_OF_DOMICILE")</f>
        <v/>
      </c>
      <c r="K1025" t="inlineStr">
        <is>
          <t>EC</t>
        </is>
      </c>
      <c r="L1025" t="inlineStr">
        <is>
          <t>CORP</t>
        </is>
      </c>
      <c r="M1025" t="inlineStr"/>
      <c r="N1025" t="inlineStr"/>
      <c r="O1025" s="1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s="1" t="inlineStr"/>
      <c r="AR1025" s="1" t="inlineStr"/>
      <c r="AS1025" s="1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EUV</t>
        </is>
      </c>
      <c r="B1026" t="inlineStr">
        <is>
          <t>AMAT US Equity</t>
        </is>
      </c>
      <c r="C1026" s="1" t="inlineStr">
        <is>
          <t>AMAT</t>
        </is>
      </c>
      <c r="D1026" t="inlineStr">
        <is>
          <t>Applied Materials Inc</t>
        </is>
      </c>
      <c r="E1026">
        <f>BDP($B1026,"LEGAL_ENTITY_IDENTIFIER")</f>
        <v/>
      </c>
      <c r="F1026" t="inlineStr">
        <is>
          <t>Applied Materials Inc</t>
        </is>
      </c>
      <c r="G1026">
        <f>custodian!D1026</f>
        <v/>
      </c>
      <c r="H1026">
        <f>BDP($B1026,"ID_ISIN")</f>
        <v/>
      </c>
      <c r="I1026" s="1" t="inlineStr">
        <is>
          <t>AMAT</t>
        </is>
      </c>
      <c r="J1026">
        <f>BDP($B1026,"CNTRY_OF_DOMICILE")</f>
        <v/>
      </c>
      <c r="K1026" t="inlineStr">
        <is>
          <t>EC</t>
        </is>
      </c>
      <c r="L1026" t="inlineStr">
        <is>
          <t>CORP</t>
        </is>
      </c>
      <c r="M1026" t="inlineStr"/>
      <c r="N1026" t="inlineStr"/>
      <c r="O1026" s="1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s="1" t="inlineStr"/>
      <c r="AR1026" s="1" t="inlineStr"/>
      <c r="AS1026" s="1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EUV</t>
        </is>
      </c>
      <c r="B1027" t="inlineStr">
        <is>
          <t>ASML US Equity</t>
        </is>
      </c>
      <c r="C1027" s="1" t="inlineStr">
        <is>
          <t>ASML</t>
        </is>
      </c>
      <c r="D1027" t="inlineStr">
        <is>
          <t>ASML Holding NV</t>
        </is>
      </c>
      <c r="E1027">
        <f>BDP($B1027,"LEGAL_ENTITY_IDENTIFIER")</f>
        <v/>
      </c>
      <c r="F1027" t="inlineStr">
        <is>
          <t>ASML Holding NV</t>
        </is>
      </c>
      <c r="G1027">
        <f>custodian!D1027</f>
        <v/>
      </c>
      <c r="H1027">
        <f>BDP($B1027,"ID_ISIN")</f>
        <v/>
      </c>
      <c r="I1027" s="1" t="inlineStr">
        <is>
          <t>ASML</t>
        </is>
      </c>
      <c r="J1027">
        <f>BDP($B1027,"CNTRY_OF_DOMICILE")</f>
        <v/>
      </c>
      <c r="K1027" t="inlineStr">
        <is>
          <t>EC</t>
        </is>
      </c>
      <c r="L1027" t="inlineStr">
        <is>
          <t>CORP</t>
        </is>
      </c>
      <c r="M1027" t="inlineStr"/>
      <c r="N1027" t="inlineStr"/>
      <c r="O1027" s="1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s="1" t="inlineStr"/>
      <c r="AR1027" s="1" t="inlineStr"/>
      <c r="AS1027" s="1" t="inlineStr"/>
      <c r="AT1027" t="inlineStr"/>
      <c r="AU1027" t="inlineStr"/>
      <c r="AV1027" t="inlineStr"/>
      <c r="AW1027" t="inlineStr"/>
      <c r="AX1027" t="inlineStr"/>
      <c r="AY1027" t="inlineStr"/>
    </row>
    <row r="1028">
      <c r="A1028" t="inlineStr">
        <is>
          <t>EUV</t>
        </is>
      </c>
      <c r="B1028" t="inlineStr">
        <is>
          <t>AXTI US Equity</t>
        </is>
      </c>
      <c r="C1028" s="1" t="inlineStr">
        <is>
          <t>AXTI</t>
        </is>
      </c>
      <c r="D1028" t="inlineStr">
        <is>
          <t>AXT Inc</t>
        </is>
      </c>
      <c r="E1028">
        <f>BDP($B1028,"LEGAL_ENTITY_IDENTIFIER")</f>
        <v/>
      </c>
      <c r="F1028" t="inlineStr">
        <is>
          <t>AXT Inc</t>
        </is>
      </c>
      <c r="G1028">
        <f>custodian!D1028</f>
        <v/>
      </c>
      <c r="H1028">
        <f>BDP($B1028,"ID_ISIN")</f>
        <v/>
      </c>
      <c r="I1028" s="1" t="inlineStr">
        <is>
          <t>AXTI</t>
        </is>
      </c>
      <c r="J1028">
        <f>BDP($B1028,"CNTRY_OF_DOMICILE")</f>
        <v/>
      </c>
      <c r="K1028" t="inlineStr">
        <is>
          <t>EC</t>
        </is>
      </c>
      <c r="L1028" t="inlineStr">
        <is>
          <t>CORP</t>
        </is>
      </c>
      <c r="M1028" t="inlineStr"/>
      <c r="N1028" t="inlineStr"/>
      <c r="O1028" s="1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s="1" t="inlineStr"/>
      <c r="AR1028" s="1" t="inlineStr"/>
      <c r="AS1028" s="1" t="inlineStr"/>
      <c r="AT1028" t="inlineStr"/>
      <c r="AU1028" t="inlineStr"/>
      <c r="AV1028" t="inlineStr"/>
      <c r="AW1028" t="inlineStr"/>
      <c r="AX1028" t="inlineStr"/>
      <c r="AY1028" t="inlineStr"/>
    </row>
    <row r="1029">
      <c r="A1029" t="inlineStr">
        <is>
          <t>EUV</t>
        </is>
      </c>
      <c r="B1029" t="inlineStr">
        <is>
          <t>CAMT US Equity</t>
        </is>
      </c>
      <c r="C1029" s="1" t="inlineStr">
        <is>
          <t>CAMT</t>
        </is>
      </c>
      <c r="D1029" t="inlineStr">
        <is>
          <t>Camtek Ltd/Israel</t>
        </is>
      </c>
      <c r="E1029">
        <f>BDP($B1029,"LEGAL_ENTITY_IDENTIFIER")</f>
        <v/>
      </c>
      <c r="F1029" t="inlineStr">
        <is>
          <t>Camtek Ltd/Israel</t>
        </is>
      </c>
      <c r="G1029">
        <f>custodian!D1029</f>
        <v/>
      </c>
      <c r="H1029">
        <f>BDP($B1029,"ID_ISIN")</f>
        <v/>
      </c>
      <c r="I1029" s="1" t="inlineStr">
        <is>
          <t>CAMT</t>
        </is>
      </c>
      <c r="J1029">
        <f>BDP($B1029,"CNTRY_OF_DOMICILE")</f>
        <v/>
      </c>
      <c r="K1029" t="inlineStr">
        <is>
          <t>EC</t>
        </is>
      </c>
      <c r="L1029" t="inlineStr">
        <is>
          <t>CORP</t>
        </is>
      </c>
      <c r="M1029" t="inlineStr"/>
      <c r="N1029" t="inlineStr"/>
      <c r="O1029" s="1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s="1" t="inlineStr"/>
      <c r="AR1029" s="1" t="inlineStr"/>
      <c r="AS1029" s="1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EUV</t>
        </is>
      </c>
      <c r="B1030" t="inlineStr">
        <is>
          <t>CIEN US Equity</t>
        </is>
      </c>
      <c r="C1030" s="1" t="inlineStr">
        <is>
          <t>CIEN</t>
        </is>
      </c>
      <c r="D1030" t="inlineStr">
        <is>
          <t>Ciena Corp</t>
        </is>
      </c>
      <c r="E1030">
        <f>BDP($B1030,"LEGAL_ENTITY_IDENTIFIER")</f>
        <v/>
      </c>
      <c r="F1030" t="inlineStr">
        <is>
          <t>Ciena Corp</t>
        </is>
      </c>
      <c r="G1030">
        <f>custodian!D1030</f>
        <v/>
      </c>
      <c r="H1030">
        <f>BDP($B1030,"ID_ISIN")</f>
        <v/>
      </c>
      <c r="I1030" s="1" t="inlineStr">
        <is>
          <t>CIEN</t>
        </is>
      </c>
      <c r="J1030">
        <f>BDP($B1030,"CNTRY_OF_DOMICILE")</f>
        <v/>
      </c>
      <c r="K1030" t="inlineStr">
        <is>
          <t>EC</t>
        </is>
      </c>
      <c r="L1030" t="inlineStr">
        <is>
          <t>CORP</t>
        </is>
      </c>
      <c r="M1030" t="inlineStr"/>
      <c r="N1030" t="inlineStr"/>
      <c r="O1030" s="1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s="1" t="inlineStr"/>
      <c r="AR1030" s="1" t="inlineStr"/>
      <c r="AS1030" s="1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EUV</t>
        </is>
      </c>
      <c r="B1031" t="inlineStr">
        <is>
          <t>COHR US Equity</t>
        </is>
      </c>
      <c r="C1031" s="1" t="inlineStr">
        <is>
          <t>COHR</t>
        </is>
      </c>
      <c r="D1031" t="inlineStr">
        <is>
          <t>Coherent Corp</t>
        </is>
      </c>
      <c r="E1031">
        <f>BDP($B1031,"LEGAL_ENTITY_IDENTIFIER")</f>
        <v/>
      </c>
      <c r="F1031" t="inlineStr">
        <is>
          <t>Coherent Corp</t>
        </is>
      </c>
      <c r="G1031">
        <f>custodian!D1031</f>
        <v/>
      </c>
      <c r="H1031">
        <f>BDP($B1031,"ID_ISIN")</f>
        <v/>
      </c>
      <c r="I1031" s="1" t="inlineStr">
        <is>
          <t>COHR</t>
        </is>
      </c>
      <c r="J1031">
        <f>BDP($B1031,"CNTRY_OF_DOMICILE")</f>
        <v/>
      </c>
      <c r="K1031" t="inlineStr">
        <is>
          <t>EC</t>
        </is>
      </c>
      <c r="L1031" t="inlineStr">
        <is>
          <t>CORP</t>
        </is>
      </c>
      <c r="M1031" t="inlineStr"/>
      <c r="N1031" t="inlineStr"/>
      <c r="O1031" s="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s="1" t="inlineStr"/>
      <c r="AR1031" s="1" t="inlineStr"/>
      <c r="AS1031" s="1" t="inlineStr"/>
      <c r="AT1031" t="inlineStr"/>
      <c r="AU1031" t="inlineStr"/>
      <c r="AV1031" t="inlineStr"/>
      <c r="AW1031" t="inlineStr"/>
      <c r="AX1031" t="inlineStr"/>
      <c r="AY1031" t="inlineStr"/>
    </row>
    <row r="1032">
      <c r="A1032" t="inlineStr">
        <is>
          <t>EUV</t>
        </is>
      </c>
      <c r="B1032" t="inlineStr">
        <is>
          <t>CRDO US Equity</t>
        </is>
      </c>
      <c r="C1032" s="1" t="inlineStr">
        <is>
          <t>CRDO</t>
        </is>
      </c>
      <c r="D1032" t="inlineStr">
        <is>
          <t>Credo Technology Group Holding</t>
        </is>
      </c>
      <c r="E1032">
        <f>BDP($B1032,"LEGAL_ENTITY_IDENTIFIER")</f>
        <v/>
      </c>
      <c r="F1032" t="inlineStr">
        <is>
          <t>Credo Technology Group Holding Ltd</t>
        </is>
      </c>
      <c r="G1032">
        <f>custodian!D1032</f>
        <v/>
      </c>
      <c r="H1032">
        <f>BDP($B1032,"ID_ISIN")</f>
        <v/>
      </c>
      <c r="I1032" s="1" t="inlineStr">
        <is>
          <t>CRDO</t>
        </is>
      </c>
      <c r="J1032">
        <f>BDP($B1032,"CNTRY_OF_DOMICILE")</f>
        <v/>
      </c>
      <c r="K1032" t="inlineStr">
        <is>
          <t>EC</t>
        </is>
      </c>
      <c r="L1032" t="inlineStr">
        <is>
          <t>CORP</t>
        </is>
      </c>
      <c r="M1032" t="inlineStr"/>
      <c r="N1032" t="inlineStr"/>
      <c r="O1032" s="1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s="1" t="inlineStr"/>
      <c r="AR1032" s="1" t="inlineStr"/>
      <c r="AS1032" s="1" t="inlineStr"/>
      <c r="AT1032" t="inlineStr"/>
      <c r="AU1032" t="inlineStr"/>
      <c r="AV1032" t="inlineStr"/>
      <c r="AW1032" t="inlineStr"/>
      <c r="AX1032" t="inlineStr"/>
      <c r="AY1032" t="inlineStr"/>
    </row>
    <row r="1033">
      <c r="A1033" t="inlineStr">
        <is>
          <t>EUV</t>
        </is>
      </c>
      <c r="B1033" t="inlineStr">
        <is>
          <t>ENTG US Equity</t>
        </is>
      </c>
      <c r="C1033" s="1" t="inlineStr">
        <is>
          <t>ENTG</t>
        </is>
      </c>
      <c r="D1033" t="inlineStr">
        <is>
          <t>Entegris Inc</t>
        </is>
      </c>
      <c r="E1033">
        <f>BDP($B1033,"LEGAL_ENTITY_IDENTIFIER")</f>
        <v/>
      </c>
      <c r="F1033" t="inlineStr">
        <is>
          <t>Entegris Inc</t>
        </is>
      </c>
      <c r="G1033">
        <f>custodian!D1033</f>
        <v/>
      </c>
      <c r="H1033">
        <f>BDP($B1033,"ID_ISIN")</f>
        <v/>
      </c>
      <c r="I1033" s="1" t="inlineStr">
        <is>
          <t>ENTG</t>
        </is>
      </c>
      <c r="J1033">
        <f>BDP($B1033,"CNTRY_OF_DOMICILE")</f>
        <v/>
      </c>
      <c r="K1033" t="inlineStr">
        <is>
          <t>EC</t>
        </is>
      </c>
      <c r="L1033" t="inlineStr">
        <is>
          <t>CORP</t>
        </is>
      </c>
      <c r="M1033" t="inlineStr"/>
      <c r="N1033" t="inlineStr"/>
      <c r="O1033" s="1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s="1" t="inlineStr"/>
      <c r="AR1033" s="1" t="inlineStr"/>
      <c r="AS1033" s="1" t="inlineStr"/>
      <c r="AT1033" t="inlineStr"/>
      <c r="AU1033" t="inlineStr"/>
      <c r="AV1033" t="inlineStr"/>
      <c r="AW1033" t="inlineStr"/>
      <c r="AX1033" t="inlineStr"/>
      <c r="AY1033" t="inlineStr"/>
    </row>
    <row r="1034">
      <c r="A1034" t="inlineStr">
        <is>
          <t>EUV</t>
        </is>
      </c>
      <c r="B1034" t="inlineStr">
        <is>
          <t>FGXXX US Equity</t>
        </is>
      </c>
      <c r="C1034" s="1" t="inlineStr">
        <is>
          <t>FGXXX</t>
        </is>
      </c>
      <c r="D1034" t="inlineStr">
        <is>
          <t>First American Government Obli</t>
        </is>
      </c>
      <c r="E1034">
        <f>BDP($B1034,"LEGAL_ENTITY_IDENTIFIER")</f>
        <v/>
      </c>
      <c r="F1034" t="inlineStr">
        <is>
          <t>First American Government Obligations Fund</t>
        </is>
      </c>
      <c r="G1034">
        <f>custodian!D1034</f>
        <v/>
      </c>
      <c r="H1034">
        <f>BDP($B1034,"ID_ISIN")</f>
        <v/>
      </c>
      <c r="I1034" s="1" t="inlineStr">
        <is>
          <t>FGXXX</t>
        </is>
      </c>
      <c r="J1034">
        <f>BDP($B1034,"CNTRY_OF_DOMICILE")</f>
        <v/>
      </c>
      <c r="K1034" t="inlineStr">
        <is>
          <t>STIV</t>
        </is>
      </c>
      <c r="L1034" t="inlineStr">
        <is>
          <t>RF</t>
        </is>
      </c>
      <c r="M1034" t="inlineStr"/>
      <c r="N1034" t="inlineStr"/>
      <c r="O1034" s="1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s="1" t="inlineStr"/>
      <c r="AR1034" s="1" t="inlineStr"/>
      <c r="AS1034" s="1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EUV</t>
        </is>
      </c>
      <c r="B1035" t="inlineStr">
        <is>
          <t>FN US Equity</t>
        </is>
      </c>
      <c r="C1035" s="1" t="inlineStr">
        <is>
          <t>FN</t>
        </is>
      </c>
      <c r="D1035" t="inlineStr">
        <is>
          <t>Fabrinet</t>
        </is>
      </c>
      <c r="E1035">
        <f>BDP($B1035,"LEGAL_ENTITY_IDENTIFIER")</f>
        <v/>
      </c>
      <c r="F1035" t="inlineStr">
        <is>
          <t>Fabrinet</t>
        </is>
      </c>
      <c r="G1035">
        <f>custodian!D1035</f>
        <v/>
      </c>
      <c r="H1035">
        <f>BDP($B1035,"ID_ISIN")</f>
        <v/>
      </c>
      <c r="I1035" s="1" t="inlineStr">
        <is>
          <t>FN</t>
        </is>
      </c>
      <c r="J1035">
        <f>BDP($B1035,"CNTRY_OF_DOMICILE")</f>
        <v/>
      </c>
      <c r="K1035" t="inlineStr">
        <is>
          <t>EC</t>
        </is>
      </c>
      <c r="L1035" t="inlineStr">
        <is>
          <t>CORP</t>
        </is>
      </c>
      <c r="M1035" t="inlineStr"/>
      <c r="N1035" t="inlineStr"/>
      <c r="O1035" s="1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s="1" t="inlineStr"/>
      <c r="AR1035" s="1" t="inlineStr"/>
      <c r="AS1035" s="1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EUV</t>
        </is>
      </c>
      <c r="B1036" t="inlineStr">
        <is>
          <t>FORM US Equity</t>
        </is>
      </c>
      <c r="C1036" s="1" t="inlineStr">
        <is>
          <t>FORM</t>
        </is>
      </c>
      <c r="D1036" t="inlineStr">
        <is>
          <t>FormFactor Inc</t>
        </is>
      </c>
      <c r="E1036">
        <f>BDP($B1036,"LEGAL_ENTITY_IDENTIFIER")</f>
        <v/>
      </c>
      <c r="F1036" t="inlineStr">
        <is>
          <t>FormFactor Inc</t>
        </is>
      </c>
      <c r="G1036">
        <f>custodian!D1036</f>
        <v/>
      </c>
      <c r="H1036">
        <f>BDP($B1036,"ID_ISIN")</f>
        <v/>
      </c>
      <c r="I1036" s="1" t="inlineStr">
        <is>
          <t>FORM</t>
        </is>
      </c>
      <c r="J1036">
        <f>BDP($B1036,"CNTRY_OF_DOMICILE")</f>
        <v/>
      </c>
      <c r="K1036" t="inlineStr">
        <is>
          <t>EC</t>
        </is>
      </c>
      <c r="L1036" t="inlineStr">
        <is>
          <t>CORP</t>
        </is>
      </c>
      <c r="M1036" t="inlineStr"/>
      <c r="N1036" t="inlineStr"/>
      <c r="O1036" s="1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s="1" t="inlineStr"/>
      <c r="AR1036" s="1" t="inlineStr"/>
      <c r="AS1036" s="1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EUV</t>
        </is>
      </c>
      <c r="B1037" t="inlineStr">
        <is>
          <t>GFS US Equity</t>
        </is>
      </c>
      <c r="C1037" s="1" t="inlineStr">
        <is>
          <t>GFS</t>
        </is>
      </c>
      <c r="D1037" t="inlineStr">
        <is>
          <t>GLOBALFOUNDRIES Inc</t>
        </is>
      </c>
      <c r="E1037">
        <f>BDP($B1037,"LEGAL_ENTITY_IDENTIFIER")</f>
        <v/>
      </c>
      <c r="F1037" t="inlineStr">
        <is>
          <t>GLOBALFOUNDRIES Inc</t>
        </is>
      </c>
      <c r="G1037">
        <f>custodian!D1037</f>
        <v/>
      </c>
      <c r="H1037">
        <f>BDP($B1037,"ID_ISIN")</f>
        <v/>
      </c>
      <c r="I1037" s="1" t="inlineStr">
        <is>
          <t>GFS</t>
        </is>
      </c>
      <c r="J1037">
        <f>BDP($B1037,"CNTRY_OF_DOMICILE")</f>
        <v/>
      </c>
      <c r="K1037" t="inlineStr">
        <is>
          <t>EC</t>
        </is>
      </c>
      <c r="L1037" t="inlineStr">
        <is>
          <t>CORP</t>
        </is>
      </c>
      <c r="M1037" t="inlineStr"/>
      <c r="N1037" t="inlineStr"/>
      <c r="O1037" s="1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s="1" t="inlineStr"/>
      <c r="AR1037" s="1" t="inlineStr"/>
      <c r="AS1037" s="1" t="inlineStr"/>
      <c r="AT1037" t="inlineStr"/>
      <c r="AU1037" t="inlineStr"/>
      <c r="AV1037" t="inlineStr"/>
      <c r="AW1037" t="inlineStr"/>
      <c r="AX1037" t="inlineStr"/>
      <c r="AY1037" t="inlineStr"/>
    </row>
    <row r="1038">
      <c r="A1038" t="inlineStr">
        <is>
          <t>EUV</t>
        </is>
      </c>
      <c r="B1038" t="inlineStr">
        <is>
          <t>GLW US Equity</t>
        </is>
      </c>
      <c r="C1038" s="1" t="inlineStr">
        <is>
          <t>GLW</t>
        </is>
      </c>
      <c r="D1038" t="inlineStr">
        <is>
          <t>Corning Inc</t>
        </is>
      </c>
      <c r="E1038">
        <f>BDP($B1038,"LEGAL_ENTITY_IDENTIFIER")</f>
        <v/>
      </c>
      <c r="F1038" t="inlineStr">
        <is>
          <t>Corning Inc</t>
        </is>
      </c>
      <c r="G1038">
        <f>custodian!D1038</f>
        <v/>
      </c>
      <c r="H1038">
        <f>BDP($B1038,"ID_ISIN")</f>
        <v/>
      </c>
      <c r="I1038" s="1" t="inlineStr">
        <is>
          <t>GLW</t>
        </is>
      </c>
      <c r="J1038">
        <f>BDP($B1038,"CNTRY_OF_DOMICILE")</f>
        <v/>
      </c>
      <c r="K1038" t="inlineStr">
        <is>
          <t>EC</t>
        </is>
      </c>
      <c r="L1038" t="inlineStr">
        <is>
          <t>CORP</t>
        </is>
      </c>
      <c r="M1038" t="inlineStr"/>
      <c r="N1038" t="inlineStr"/>
      <c r="O1038" s="1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s="1" t="inlineStr"/>
      <c r="AR1038" s="1" t="inlineStr"/>
      <c r="AS1038" s="1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EUV</t>
        </is>
      </c>
      <c r="B1039" t="inlineStr">
        <is>
          <t>HSAI US Equity</t>
        </is>
      </c>
      <c r="C1039" s="1" t="inlineStr">
        <is>
          <t>HSAI</t>
        </is>
      </c>
      <c r="D1039" t="inlineStr">
        <is>
          <t>Hesai Group</t>
        </is>
      </c>
      <c r="E1039">
        <f>BDP($B1039,"LEGAL_ENTITY_IDENTIFIER")</f>
        <v/>
      </c>
      <c r="F1039" t="inlineStr">
        <is>
          <t>Hesai Group</t>
        </is>
      </c>
      <c r="G1039">
        <f>custodian!D1039</f>
        <v/>
      </c>
      <c r="H1039">
        <f>BDP($B1039,"ID_ISIN")</f>
        <v/>
      </c>
      <c r="I1039" s="1" t="inlineStr">
        <is>
          <t>HSAI</t>
        </is>
      </c>
      <c r="J1039">
        <f>BDP($B1039,"CNTRY_OF_DOMICILE")</f>
        <v/>
      </c>
      <c r="K1039" t="inlineStr">
        <is>
          <t>EC</t>
        </is>
      </c>
      <c r="L1039" t="inlineStr">
        <is>
          <t>CORP</t>
        </is>
      </c>
      <c r="M1039" t="inlineStr"/>
      <c r="N1039" t="inlineStr"/>
      <c r="O1039" s="1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s="1" t="inlineStr"/>
      <c r="AR1039" s="1" t="inlineStr"/>
      <c r="AS1039" s="1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EUV</t>
        </is>
      </c>
      <c r="B1040" t="inlineStr">
        <is>
          <t>IPGP US Equity</t>
        </is>
      </c>
      <c r="C1040" s="1" t="inlineStr">
        <is>
          <t>IPGP</t>
        </is>
      </c>
      <c r="D1040" t="inlineStr">
        <is>
          <t>IPG Photonics Corp</t>
        </is>
      </c>
      <c r="E1040">
        <f>BDP($B1040,"LEGAL_ENTITY_IDENTIFIER")</f>
        <v/>
      </c>
      <c r="F1040" t="inlineStr">
        <is>
          <t>IPG Photonics Corp</t>
        </is>
      </c>
      <c r="G1040">
        <f>custodian!D1040</f>
        <v/>
      </c>
      <c r="H1040">
        <f>BDP($B1040,"ID_ISIN")</f>
        <v/>
      </c>
      <c r="I1040" s="1" t="inlineStr">
        <is>
          <t>IPGP</t>
        </is>
      </c>
      <c r="J1040">
        <f>BDP($B1040,"CNTRY_OF_DOMICILE")</f>
        <v/>
      </c>
      <c r="K1040" t="inlineStr">
        <is>
          <t>EC</t>
        </is>
      </c>
      <c r="L1040" t="inlineStr">
        <is>
          <t>CORP</t>
        </is>
      </c>
      <c r="M1040" t="inlineStr"/>
      <c r="N1040" t="inlineStr"/>
      <c r="O1040" s="1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s="1" t="inlineStr"/>
      <c r="AR1040" s="1" t="inlineStr"/>
      <c r="AS1040" s="1" t="inlineStr"/>
      <c r="AT1040" t="inlineStr"/>
      <c r="AU1040" t="inlineStr"/>
      <c r="AV1040" t="inlineStr"/>
      <c r="AW1040" t="inlineStr"/>
      <c r="AX1040" t="inlineStr"/>
      <c r="AY1040" t="inlineStr"/>
    </row>
    <row r="1041">
      <c r="A1041" t="inlineStr">
        <is>
          <t>EUV</t>
        </is>
      </c>
      <c r="B1041" t="inlineStr">
        <is>
          <t>KLAC US Equity</t>
        </is>
      </c>
      <c r="C1041" s="1" t="inlineStr">
        <is>
          <t>KLAC</t>
        </is>
      </c>
      <c r="D1041" t="inlineStr">
        <is>
          <t>KLA CORP</t>
        </is>
      </c>
      <c r="E1041">
        <f>BDP($B1041,"LEGAL_ENTITY_IDENTIFIER")</f>
        <v/>
      </c>
      <c r="F1041" t="inlineStr">
        <is>
          <t>KLA CORP</t>
        </is>
      </c>
      <c r="G1041">
        <f>custodian!D1041</f>
        <v/>
      </c>
      <c r="H1041">
        <f>BDP($B1041,"ID_ISIN")</f>
        <v/>
      </c>
      <c r="I1041" s="1" t="inlineStr">
        <is>
          <t>KLAC</t>
        </is>
      </c>
      <c r="J1041">
        <f>BDP($B1041,"CNTRY_OF_DOMICILE")</f>
        <v/>
      </c>
      <c r="K1041" t="inlineStr">
        <is>
          <t>EC</t>
        </is>
      </c>
      <c r="L1041" t="inlineStr">
        <is>
          <t>CORP</t>
        </is>
      </c>
      <c r="M1041" t="inlineStr"/>
      <c r="N1041" t="inlineStr"/>
      <c r="O1041" s="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s="1" t="inlineStr"/>
      <c r="AR1041" s="1" t="inlineStr"/>
      <c r="AS1041" s="1" t="inlineStr"/>
      <c r="AT1041" t="inlineStr"/>
      <c r="AU1041" t="inlineStr"/>
      <c r="AV1041" t="inlineStr"/>
      <c r="AW1041" t="inlineStr"/>
      <c r="AX1041" t="inlineStr"/>
      <c r="AY1041" t="inlineStr"/>
    </row>
    <row r="1042">
      <c r="A1042" t="inlineStr">
        <is>
          <t>EUV</t>
        </is>
      </c>
      <c r="B1042" t="inlineStr">
        <is>
          <t>LASR US Equity</t>
        </is>
      </c>
      <c r="C1042" s="1" t="inlineStr">
        <is>
          <t>LASR</t>
        </is>
      </c>
      <c r="D1042" t="inlineStr">
        <is>
          <t>nLight Inc</t>
        </is>
      </c>
      <c r="E1042">
        <f>BDP($B1042,"LEGAL_ENTITY_IDENTIFIER")</f>
        <v/>
      </c>
      <c r="F1042" t="inlineStr">
        <is>
          <t>nLight Inc</t>
        </is>
      </c>
      <c r="G1042">
        <f>custodian!D1042</f>
        <v/>
      </c>
      <c r="H1042">
        <f>BDP($B1042,"ID_ISIN")</f>
        <v/>
      </c>
      <c r="I1042" s="1" t="inlineStr">
        <is>
          <t>LASR</t>
        </is>
      </c>
      <c r="J1042">
        <f>BDP($B1042,"CNTRY_OF_DOMICILE")</f>
        <v/>
      </c>
      <c r="K1042" t="inlineStr">
        <is>
          <t>EC</t>
        </is>
      </c>
      <c r="L1042" t="inlineStr">
        <is>
          <t>CORP</t>
        </is>
      </c>
      <c r="M1042" t="inlineStr"/>
      <c r="N1042" t="inlineStr"/>
      <c r="O1042" s="1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s="1" t="inlineStr"/>
      <c r="AR1042" s="1" t="inlineStr"/>
      <c r="AS1042" s="1" t="inlineStr"/>
      <c r="AT1042" t="inlineStr"/>
      <c r="AU1042" t="inlineStr"/>
      <c r="AV1042" t="inlineStr"/>
      <c r="AW1042" t="inlineStr"/>
      <c r="AX1042" t="inlineStr"/>
      <c r="AY1042" t="inlineStr"/>
    </row>
    <row r="1043">
      <c r="A1043" t="inlineStr">
        <is>
          <t>EUV</t>
        </is>
      </c>
      <c r="B1043" t="inlineStr">
        <is>
          <t>LITE US Equity</t>
        </is>
      </c>
      <c r="C1043" s="1" t="inlineStr">
        <is>
          <t>LITE</t>
        </is>
      </c>
      <c r="D1043" t="inlineStr">
        <is>
          <t>Lumentum Holdings Inc</t>
        </is>
      </c>
      <c r="E1043">
        <f>BDP($B1043,"LEGAL_ENTITY_IDENTIFIER")</f>
        <v/>
      </c>
      <c r="F1043" t="inlineStr">
        <is>
          <t>Lumentum Holdings Inc</t>
        </is>
      </c>
      <c r="G1043">
        <f>custodian!D1043</f>
        <v/>
      </c>
      <c r="H1043">
        <f>BDP($B1043,"ID_ISIN")</f>
        <v/>
      </c>
      <c r="I1043" s="1" t="inlineStr">
        <is>
          <t>LITE</t>
        </is>
      </c>
      <c r="J1043">
        <f>BDP($B1043,"CNTRY_OF_DOMICILE")</f>
        <v/>
      </c>
      <c r="K1043" t="inlineStr">
        <is>
          <t>EC</t>
        </is>
      </c>
      <c r="L1043" t="inlineStr">
        <is>
          <t>CORP</t>
        </is>
      </c>
      <c r="M1043" t="inlineStr"/>
      <c r="N1043" t="inlineStr"/>
      <c r="O1043" s="1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s="1" t="inlineStr"/>
      <c r="AR1043" s="1" t="inlineStr"/>
      <c r="AS1043" s="1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EUV</t>
        </is>
      </c>
      <c r="B1044" t="inlineStr">
        <is>
          <t>LRCX US Equity</t>
        </is>
      </c>
      <c r="C1044" s="1" t="inlineStr">
        <is>
          <t>LRCX</t>
        </is>
      </c>
      <c r="D1044" t="inlineStr">
        <is>
          <t>Lam Research Corp</t>
        </is>
      </c>
      <c r="E1044">
        <f>BDP($B1044,"LEGAL_ENTITY_IDENTIFIER")</f>
        <v/>
      </c>
      <c r="F1044" t="inlineStr">
        <is>
          <t>Lam Research Corp</t>
        </is>
      </c>
      <c r="G1044">
        <f>custodian!D1044</f>
        <v/>
      </c>
      <c r="H1044">
        <f>BDP($B1044,"ID_ISIN")</f>
        <v/>
      </c>
      <c r="I1044" s="1" t="inlineStr">
        <is>
          <t>LRCX</t>
        </is>
      </c>
      <c r="J1044">
        <f>BDP($B1044,"CNTRY_OF_DOMICILE")</f>
        <v/>
      </c>
      <c r="K1044" t="inlineStr">
        <is>
          <t>EC</t>
        </is>
      </c>
      <c r="L1044" t="inlineStr">
        <is>
          <t>CORP</t>
        </is>
      </c>
      <c r="M1044" t="inlineStr"/>
      <c r="N1044" t="inlineStr"/>
      <c r="O1044" s="1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s="1" t="inlineStr"/>
      <c r="AR1044" s="1" t="inlineStr"/>
      <c r="AS1044" s="1" t="inlineStr"/>
      <c r="AT1044" t="inlineStr"/>
      <c r="AU1044" t="inlineStr"/>
      <c r="AV1044" t="inlineStr"/>
      <c r="AW1044" t="inlineStr"/>
      <c r="AX1044" t="inlineStr"/>
      <c r="AY1044" t="inlineStr"/>
    </row>
    <row r="1045">
      <c r="A1045" t="inlineStr">
        <is>
          <t>EUV</t>
        </is>
      </c>
      <c r="B1045" t="inlineStr">
        <is>
          <t>LWLG US Equity</t>
        </is>
      </c>
      <c r="C1045" s="1" t="inlineStr">
        <is>
          <t>LWLG</t>
        </is>
      </c>
      <c r="D1045" t="inlineStr">
        <is>
          <t>Lightwave Logic Inc</t>
        </is>
      </c>
      <c r="E1045">
        <f>BDP($B1045,"LEGAL_ENTITY_IDENTIFIER")</f>
        <v/>
      </c>
      <c r="F1045" t="inlineStr">
        <is>
          <t>Lightwave Logic Inc</t>
        </is>
      </c>
      <c r="G1045">
        <f>custodian!D1045</f>
        <v/>
      </c>
      <c r="H1045">
        <f>BDP($B1045,"ID_ISIN")</f>
        <v/>
      </c>
      <c r="I1045" s="1" t="inlineStr">
        <is>
          <t>LWLG</t>
        </is>
      </c>
      <c r="J1045">
        <f>BDP($B1045,"CNTRY_OF_DOMICILE")</f>
        <v/>
      </c>
      <c r="K1045" t="inlineStr">
        <is>
          <t>EC</t>
        </is>
      </c>
      <c r="L1045" t="inlineStr">
        <is>
          <t>CORP</t>
        </is>
      </c>
      <c r="M1045" t="inlineStr"/>
      <c r="N1045" t="inlineStr"/>
      <c r="O1045" s="1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s="1" t="inlineStr"/>
      <c r="AR1045" s="1" t="inlineStr"/>
      <c r="AS1045" s="1" t="inlineStr"/>
      <c r="AT1045" t="inlineStr"/>
      <c r="AU1045" t="inlineStr"/>
      <c r="AV1045" t="inlineStr"/>
      <c r="AW1045" t="inlineStr"/>
      <c r="AX1045" t="inlineStr"/>
      <c r="AY1045" t="inlineStr"/>
    </row>
    <row r="1046">
      <c r="A1046" t="inlineStr">
        <is>
          <t>EUV</t>
        </is>
      </c>
      <c r="B1046" t="inlineStr">
        <is>
          <t>MRVL US Equity</t>
        </is>
      </c>
      <c r="C1046" s="1" t="inlineStr">
        <is>
          <t>MRVL</t>
        </is>
      </c>
      <c r="D1046" t="inlineStr">
        <is>
          <t>MARVELL TECHNOLOGY INC</t>
        </is>
      </c>
      <c r="E1046">
        <f>BDP($B1046,"LEGAL_ENTITY_IDENTIFIER")</f>
        <v/>
      </c>
      <c r="F1046" t="inlineStr">
        <is>
          <t>MARVELL TECHNOLOGY INC</t>
        </is>
      </c>
      <c r="G1046">
        <f>custodian!D1046</f>
        <v/>
      </c>
      <c r="H1046">
        <f>BDP($B1046,"ID_ISIN")</f>
        <v/>
      </c>
      <c r="I1046" s="1" t="inlineStr">
        <is>
          <t>MRVL</t>
        </is>
      </c>
      <c r="J1046">
        <f>BDP($B1046,"CNTRY_OF_DOMICILE")</f>
        <v/>
      </c>
      <c r="K1046" t="inlineStr">
        <is>
          <t>EC</t>
        </is>
      </c>
      <c r="L1046" t="inlineStr">
        <is>
          <t>CORP</t>
        </is>
      </c>
      <c r="M1046" t="inlineStr"/>
      <c r="N1046" t="inlineStr"/>
      <c r="O1046" s="1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s="1" t="inlineStr"/>
      <c r="AR1046" s="1" t="inlineStr"/>
      <c r="AS1046" s="1" t="inlineStr"/>
      <c r="AT1046" t="inlineStr"/>
      <c r="AU1046" t="inlineStr"/>
      <c r="AV1046" t="inlineStr"/>
      <c r="AW1046" t="inlineStr"/>
      <c r="AX1046" t="inlineStr"/>
      <c r="AY1046" t="inlineStr"/>
    </row>
    <row r="1047">
      <c r="A1047" t="inlineStr">
        <is>
          <t>EUV</t>
        </is>
      </c>
      <c r="B1047" t="inlineStr">
        <is>
          <t>MTRN US Equity</t>
        </is>
      </c>
      <c r="C1047" s="1" t="inlineStr">
        <is>
          <t>MTRN</t>
        </is>
      </c>
      <c r="D1047" t="inlineStr">
        <is>
          <t>Materion Corp</t>
        </is>
      </c>
      <c r="E1047">
        <f>BDP($B1047,"LEGAL_ENTITY_IDENTIFIER")</f>
        <v/>
      </c>
      <c r="F1047" t="inlineStr">
        <is>
          <t>Materion Corp</t>
        </is>
      </c>
      <c r="G1047">
        <f>custodian!D1047</f>
        <v/>
      </c>
      <c r="H1047">
        <f>BDP($B1047,"ID_ISIN")</f>
        <v/>
      </c>
      <c r="I1047" s="1" t="inlineStr">
        <is>
          <t>MTRN</t>
        </is>
      </c>
      <c r="J1047">
        <f>BDP($B1047,"CNTRY_OF_DOMICILE")</f>
        <v/>
      </c>
      <c r="K1047" t="inlineStr">
        <is>
          <t>EC</t>
        </is>
      </c>
      <c r="L1047" t="inlineStr">
        <is>
          <t>CORP</t>
        </is>
      </c>
      <c r="M1047" t="inlineStr"/>
      <c r="N1047" t="inlineStr"/>
      <c r="O1047" s="1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s="1" t="inlineStr"/>
      <c r="AR1047" s="1" t="inlineStr"/>
      <c r="AS1047" s="1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EUV</t>
        </is>
      </c>
      <c r="B1048" t="inlineStr">
        <is>
          <t>MTSI US Equity</t>
        </is>
      </c>
      <c r="C1048" s="1" t="inlineStr">
        <is>
          <t>MTSI</t>
        </is>
      </c>
      <c r="D1048" t="inlineStr">
        <is>
          <t>MACOM Technology Solutions Hol</t>
        </is>
      </c>
      <c r="E1048">
        <f>BDP($B1048,"LEGAL_ENTITY_IDENTIFIER")</f>
        <v/>
      </c>
      <c r="F1048" t="inlineStr">
        <is>
          <t>MACOM Technology Solutions Holdings Inc</t>
        </is>
      </c>
      <c r="G1048">
        <f>custodian!D1048</f>
        <v/>
      </c>
      <c r="H1048">
        <f>BDP($B1048,"ID_ISIN")</f>
        <v/>
      </c>
      <c r="I1048" s="1" t="inlineStr">
        <is>
          <t>MTSI</t>
        </is>
      </c>
      <c r="J1048">
        <f>BDP($B1048,"CNTRY_OF_DOMICILE")</f>
        <v/>
      </c>
      <c r="K1048" t="inlineStr">
        <is>
          <t>EC</t>
        </is>
      </c>
      <c r="L1048" t="inlineStr">
        <is>
          <t>CORP</t>
        </is>
      </c>
      <c r="M1048" t="inlineStr"/>
      <c r="N1048" t="inlineStr"/>
      <c r="O1048" s="1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s="1" t="inlineStr"/>
      <c r="AR1048" s="1" t="inlineStr"/>
      <c r="AS1048" s="1" t="inlineStr"/>
      <c r="AT1048" t="inlineStr"/>
      <c r="AU1048" t="inlineStr"/>
      <c r="AV1048" t="inlineStr"/>
      <c r="AW1048" t="inlineStr"/>
      <c r="AX1048" t="inlineStr"/>
      <c r="AY1048" t="inlineStr"/>
    </row>
    <row r="1049">
      <c r="A1049" t="inlineStr">
        <is>
          <t>EUV</t>
        </is>
      </c>
      <c r="B1049" t="inlineStr">
        <is>
          <t>NOVT US Equity</t>
        </is>
      </c>
      <c r="C1049" s="1" t="inlineStr">
        <is>
          <t>NOVT</t>
        </is>
      </c>
      <c r="D1049" t="inlineStr">
        <is>
          <t>Novanta Inc</t>
        </is>
      </c>
      <c r="E1049">
        <f>BDP($B1049,"LEGAL_ENTITY_IDENTIFIER")</f>
        <v/>
      </c>
      <c r="F1049" t="inlineStr">
        <is>
          <t>Novanta Inc</t>
        </is>
      </c>
      <c r="G1049">
        <f>custodian!D1049</f>
        <v/>
      </c>
      <c r="H1049">
        <f>BDP($B1049,"ID_ISIN")</f>
        <v/>
      </c>
      <c r="I1049" s="1" t="inlineStr">
        <is>
          <t>NOVT</t>
        </is>
      </c>
      <c r="J1049">
        <f>BDP($B1049,"CNTRY_OF_DOMICILE")</f>
        <v/>
      </c>
      <c r="K1049" t="inlineStr">
        <is>
          <t>EC</t>
        </is>
      </c>
      <c r="L1049" t="inlineStr">
        <is>
          <t>CORP</t>
        </is>
      </c>
      <c r="M1049" t="inlineStr"/>
      <c r="N1049" t="inlineStr"/>
      <c r="O1049" s="1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s="1" t="inlineStr"/>
      <c r="AR1049" s="1" t="inlineStr"/>
      <c r="AS1049" s="1" t="inlineStr"/>
      <c r="AT1049" t="inlineStr"/>
      <c r="AU1049" t="inlineStr"/>
      <c r="AV1049" t="inlineStr"/>
      <c r="AW1049" t="inlineStr"/>
      <c r="AX1049" t="inlineStr"/>
      <c r="AY1049" t="inlineStr"/>
    </row>
    <row r="1050">
      <c r="A1050" t="inlineStr">
        <is>
          <t>EUV</t>
        </is>
      </c>
      <c r="B1050" t="inlineStr">
        <is>
          <t>NVMI US Equity</t>
        </is>
      </c>
      <c r="C1050" s="1" t="inlineStr">
        <is>
          <t>NVMI</t>
        </is>
      </c>
      <c r="D1050" t="inlineStr">
        <is>
          <t>Nova Ltd</t>
        </is>
      </c>
      <c r="E1050">
        <f>BDP($B1050,"LEGAL_ENTITY_IDENTIFIER")</f>
        <v/>
      </c>
      <c r="F1050" t="inlineStr">
        <is>
          <t>Nova Ltd</t>
        </is>
      </c>
      <c r="G1050">
        <f>custodian!D1050</f>
        <v/>
      </c>
      <c r="H1050">
        <f>BDP($B1050,"ID_ISIN")</f>
        <v/>
      </c>
      <c r="I1050" s="1" t="inlineStr">
        <is>
          <t>NVMI</t>
        </is>
      </c>
      <c r="J1050">
        <f>BDP($B1050,"CNTRY_OF_DOMICILE")</f>
        <v/>
      </c>
      <c r="K1050" t="inlineStr">
        <is>
          <t>EC</t>
        </is>
      </c>
      <c r="L1050" t="inlineStr">
        <is>
          <t>CORP</t>
        </is>
      </c>
      <c r="M1050" t="inlineStr"/>
      <c r="N1050" t="inlineStr"/>
      <c r="O1050" s="1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s="1" t="inlineStr"/>
      <c r="AR1050" s="1" t="inlineStr"/>
      <c r="AS1050" s="1" t="inlineStr"/>
      <c r="AT1050" t="inlineStr"/>
      <c r="AU1050" t="inlineStr"/>
      <c r="AV1050" t="inlineStr"/>
      <c r="AW1050" t="inlineStr"/>
      <c r="AX1050" t="inlineStr"/>
      <c r="AY1050" t="inlineStr"/>
    </row>
    <row r="1051">
      <c r="A1051" t="inlineStr">
        <is>
          <t>EUV</t>
        </is>
      </c>
      <c r="B1051" t="inlineStr">
        <is>
          <t>ONTO US Equity</t>
        </is>
      </c>
      <c r="C1051" s="1" t="inlineStr">
        <is>
          <t>ONTO</t>
        </is>
      </c>
      <c r="D1051" t="inlineStr">
        <is>
          <t>Onto Innovation Inc</t>
        </is>
      </c>
      <c r="E1051">
        <f>BDP($B1051,"LEGAL_ENTITY_IDENTIFIER")</f>
        <v/>
      </c>
      <c r="F1051" t="inlineStr">
        <is>
          <t>Onto Innovation Inc</t>
        </is>
      </c>
      <c r="G1051">
        <f>custodian!D1051</f>
        <v/>
      </c>
      <c r="H1051">
        <f>BDP($B1051,"ID_ISIN")</f>
        <v/>
      </c>
      <c r="I1051" s="1" t="inlineStr">
        <is>
          <t>ONTO</t>
        </is>
      </c>
      <c r="J1051">
        <f>BDP($B1051,"CNTRY_OF_DOMICILE")</f>
        <v/>
      </c>
      <c r="K1051" t="inlineStr">
        <is>
          <t>EC</t>
        </is>
      </c>
      <c r="L1051" t="inlineStr">
        <is>
          <t>CORP</t>
        </is>
      </c>
      <c r="M1051" t="inlineStr"/>
      <c r="N1051" t="inlineStr"/>
      <c r="O1051" s="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s="1" t="inlineStr"/>
      <c r="AR1051" s="1" t="inlineStr"/>
      <c r="AS1051" s="1" t="inlineStr"/>
      <c r="AT1051" t="inlineStr"/>
      <c r="AU1051" t="inlineStr"/>
      <c r="AV1051" t="inlineStr"/>
      <c r="AW1051" t="inlineStr"/>
      <c r="AX1051" t="inlineStr"/>
      <c r="AY1051" t="inlineStr"/>
    </row>
    <row r="1052">
      <c r="A1052" t="inlineStr">
        <is>
          <t>EUV</t>
        </is>
      </c>
      <c r="B1052" t="inlineStr">
        <is>
          <t>OUST US Equity</t>
        </is>
      </c>
      <c r="C1052" s="1" t="inlineStr">
        <is>
          <t>OUST</t>
        </is>
      </c>
      <c r="D1052" t="inlineStr">
        <is>
          <t>Ouster Inc</t>
        </is>
      </c>
      <c r="E1052">
        <f>BDP($B1052,"LEGAL_ENTITY_IDENTIFIER")</f>
        <v/>
      </c>
      <c r="F1052" t="inlineStr">
        <is>
          <t>Ouster Inc</t>
        </is>
      </c>
      <c r="G1052">
        <f>custodian!D1052</f>
        <v/>
      </c>
      <c r="H1052">
        <f>BDP($B1052,"ID_ISIN")</f>
        <v/>
      </c>
      <c r="I1052" s="1" t="inlineStr">
        <is>
          <t>OUST</t>
        </is>
      </c>
      <c r="J1052">
        <f>BDP($B1052,"CNTRY_OF_DOMICILE")</f>
        <v/>
      </c>
      <c r="K1052" t="inlineStr">
        <is>
          <t>EC</t>
        </is>
      </c>
      <c r="L1052" t="inlineStr">
        <is>
          <t>CORP</t>
        </is>
      </c>
      <c r="M1052" t="inlineStr"/>
      <c r="N1052" t="inlineStr"/>
      <c r="O1052" s="1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s="1" t="inlineStr"/>
      <c r="AR1052" s="1" t="inlineStr"/>
      <c r="AS1052" s="1" t="inlineStr"/>
      <c r="AT1052" t="inlineStr"/>
      <c r="AU1052" t="inlineStr"/>
      <c r="AV1052" t="inlineStr"/>
      <c r="AW1052" t="inlineStr"/>
      <c r="AX1052" t="inlineStr"/>
      <c r="AY1052" t="inlineStr"/>
    </row>
    <row r="1053">
      <c r="A1053" t="inlineStr">
        <is>
          <t>EUV</t>
        </is>
      </c>
      <c r="B1053" t="inlineStr">
        <is>
          <t>PDFS US Equity</t>
        </is>
      </c>
      <c r="C1053" s="1" t="inlineStr">
        <is>
          <t>PDFS</t>
        </is>
      </c>
      <c r="D1053" t="inlineStr">
        <is>
          <t>PDF Solutions Inc</t>
        </is>
      </c>
      <c r="E1053">
        <f>BDP($B1053,"LEGAL_ENTITY_IDENTIFIER")</f>
        <v/>
      </c>
      <c r="F1053" t="inlineStr">
        <is>
          <t>PDF Solutions Inc</t>
        </is>
      </c>
      <c r="G1053">
        <f>custodian!D1053</f>
        <v/>
      </c>
      <c r="H1053">
        <f>BDP($B1053,"ID_ISIN")</f>
        <v/>
      </c>
      <c r="I1053" s="1" t="inlineStr">
        <is>
          <t>PDFS</t>
        </is>
      </c>
      <c r="J1053">
        <f>BDP($B1053,"CNTRY_OF_DOMICILE")</f>
        <v/>
      </c>
      <c r="K1053" t="inlineStr">
        <is>
          <t>EC</t>
        </is>
      </c>
      <c r="L1053" t="inlineStr">
        <is>
          <t>CORP</t>
        </is>
      </c>
      <c r="M1053" t="inlineStr"/>
      <c r="N1053" t="inlineStr"/>
      <c r="O1053" s="1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s="1" t="inlineStr"/>
      <c r="AR1053" s="1" t="inlineStr"/>
      <c r="AS1053" s="1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EUV</t>
        </is>
      </c>
      <c r="B1054" t="inlineStr">
        <is>
          <t>PLAB US Equity</t>
        </is>
      </c>
      <c r="C1054" s="1" t="inlineStr">
        <is>
          <t>PLAB</t>
        </is>
      </c>
      <c r="D1054" t="inlineStr">
        <is>
          <t>Photronics Inc</t>
        </is>
      </c>
      <c r="E1054">
        <f>BDP($B1054,"LEGAL_ENTITY_IDENTIFIER")</f>
        <v/>
      </c>
      <c r="F1054" t="inlineStr">
        <is>
          <t>Photronics Inc</t>
        </is>
      </c>
      <c r="G1054">
        <f>custodian!D1054</f>
        <v/>
      </c>
      <c r="H1054">
        <f>BDP($B1054,"ID_ISIN")</f>
        <v/>
      </c>
      <c r="I1054" s="1" t="inlineStr">
        <is>
          <t>PLAB</t>
        </is>
      </c>
      <c r="J1054">
        <f>BDP($B1054,"CNTRY_OF_DOMICILE")</f>
        <v/>
      </c>
      <c r="K1054" t="inlineStr">
        <is>
          <t>EC</t>
        </is>
      </c>
      <c r="L1054" t="inlineStr">
        <is>
          <t>CORP</t>
        </is>
      </c>
      <c r="M1054" t="inlineStr"/>
      <c r="N1054" t="inlineStr"/>
      <c r="O1054" s="1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s="1" t="inlineStr"/>
      <c r="AR1054" s="1" t="inlineStr"/>
      <c r="AS1054" s="1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EUV</t>
        </is>
      </c>
      <c r="B1055" t="inlineStr">
        <is>
          <t>POET US Equity</t>
        </is>
      </c>
      <c r="C1055" s="1" t="inlineStr">
        <is>
          <t>POET</t>
        </is>
      </c>
      <c r="D1055" t="inlineStr">
        <is>
          <t>POET Technologies Inc</t>
        </is>
      </c>
      <c r="E1055">
        <f>BDP($B1055,"LEGAL_ENTITY_IDENTIFIER")</f>
        <v/>
      </c>
      <c r="F1055" t="inlineStr">
        <is>
          <t>POET Technologies Inc</t>
        </is>
      </c>
      <c r="G1055">
        <f>custodian!D1055</f>
        <v/>
      </c>
      <c r="H1055">
        <f>BDP($B1055,"ID_ISIN")</f>
        <v/>
      </c>
      <c r="I1055" s="1" t="inlineStr">
        <is>
          <t>POET</t>
        </is>
      </c>
      <c r="J1055">
        <f>BDP($B1055,"CNTRY_OF_DOMICILE")</f>
        <v/>
      </c>
      <c r="K1055" t="inlineStr">
        <is>
          <t>EC</t>
        </is>
      </c>
      <c r="L1055" t="inlineStr">
        <is>
          <t>CORP</t>
        </is>
      </c>
      <c r="M1055" t="inlineStr"/>
      <c r="N1055" t="inlineStr"/>
      <c r="O1055" s="1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s="1" t="inlineStr"/>
      <c r="AR1055" s="1" t="inlineStr"/>
      <c r="AS1055" s="1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EUV</t>
        </is>
      </c>
      <c r="B1056" t="inlineStr">
        <is>
          <t>TDY US Equity</t>
        </is>
      </c>
      <c r="C1056" s="1" t="inlineStr">
        <is>
          <t>TDY</t>
        </is>
      </c>
      <c r="D1056" t="inlineStr">
        <is>
          <t>Teledyne Technologies Inc</t>
        </is>
      </c>
      <c r="E1056">
        <f>BDP($B1056,"LEGAL_ENTITY_IDENTIFIER")</f>
        <v/>
      </c>
      <c r="F1056" t="inlineStr">
        <is>
          <t>Teledyne Technologies Inc</t>
        </is>
      </c>
      <c r="G1056">
        <f>custodian!D1056</f>
        <v/>
      </c>
      <c r="H1056">
        <f>BDP($B1056,"ID_ISIN")</f>
        <v/>
      </c>
      <c r="I1056" s="1" t="inlineStr">
        <is>
          <t>TDY</t>
        </is>
      </c>
      <c r="J1056">
        <f>BDP($B1056,"CNTRY_OF_DOMICILE")</f>
        <v/>
      </c>
      <c r="K1056" t="inlineStr">
        <is>
          <t>EC</t>
        </is>
      </c>
      <c r="L1056" t="inlineStr">
        <is>
          <t>CORP</t>
        </is>
      </c>
      <c r="M1056" t="inlineStr"/>
      <c r="N1056" t="inlineStr"/>
      <c r="O1056" s="1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s="1" t="inlineStr"/>
      <c r="AR1056" s="1" t="inlineStr"/>
      <c r="AS1056" s="1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EUV</t>
        </is>
      </c>
      <c r="B1057" t="inlineStr">
        <is>
          <t>TSEM US Equity</t>
        </is>
      </c>
      <c r="C1057" s="1" t="inlineStr">
        <is>
          <t>TSEM</t>
        </is>
      </c>
      <c r="D1057" t="inlineStr">
        <is>
          <t>Tower Semiconductor Ltd</t>
        </is>
      </c>
      <c r="E1057">
        <f>BDP($B1057,"LEGAL_ENTITY_IDENTIFIER")</f>
        <v/>
      </c>
      <c r="F1057" t="inlineStr">
        <is>
          <t>Tower Semiconductor Ltd</t>
        </is>
      </c>
      <c r="G1057">
        <f>custodian!D1057</f>
        <v/>
      </c>
      <c r="H1057">
        <f>BDP($B1057,"ID_ISIN")</f>
        <v/>
      </c>
      <c r="I1057" s="1" t="inlineStr">
        <is>
          <t>TSEM</t>
        </is>
      </c>
      <c r="J1057">
        <f>BDP($B1057,"CNTRY_OF_DOMICILE")</f>
        <v/>
      </c>
      <c r="K1057" t="inlineStr">
        <is>
          <t>EC</t>
        </is>
      </c>
      <c r="L1057" t="inlineStr">
        <is>
          <t>CORP</t>
        </is>
      </c>
      <c r="M1057" t="inlineStr"/>
      <c r="N1057" t="inlineStr"/>
      <c r="O1057" s="1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s="1" t="inlineStr"/>
      <c r="AR1057" s="1" t="inlineStr"/>
      <c r="AS1057" s="1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EUV</t>
        </is>
      </c>
      <c r="B1058" t="inlineStr">
        <is>
          <t>TSM US Equity</t>
        </is>
      </c>
      <c r="C1058" s="1" t="inlineStr">
        <is>
          <t>TSM</t>
        </is>
      </c>
      <c r="D1058" t="inlineStr">
        <is>
          <t>Taiwan Semiconductor Manufactu</t>
        </is>
      </c>
      <c r="E1058">
        <f>BDP($B1058,"LEGAL_ENTITY_IDENTIFIER")</f>
        <v/>
      </c>
      <c r="F1058" t="inlineStr">
        <is>
          <t>Taiwan Semiconductor Manufacturing Co Ltd</t>
        </is>
      </c>
      <c r="G1058">
        <f>custodian!D1058</f>
        <v/>
      </c>
      <c r="H1058">
        <f>BDP($B1058,"ID_ISIN")</f>
        <v/>
      </c>
      <c r="I1058" s="1" t="inlineStr">
        <is>
          <t>TSM</t>
        </is>
      </c>
      <c r="J1058">
        <f>BDP($B1058,"CNTRY_OF_DOMICILE")</f>
        <v/>
      </c>
      <c r="K1058" t="inlineStr">
        <is>
          <t>EC</t>
        </is>
      </c>
      <c r="L1058" t="inlineStr">
        <is>
          <t>CORP</t>
        </is>
      </c>
      <c r="M1058" t="inlineStr"/>
      <c r="N1058" t="inlineStr"/>
      <c r="O1058" s="1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s="1" t="inlineStr"/>
      <c r="AR1058" s="1" t="inlineStr"/>
      <c r="AS1058" s="1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EUV</t>
        </is>
      </c>
      <c r="B1059" t="inlineStr">
        <is>
          <t>UCTT US Equity</t>
        </is>
      </c>
      <c r="C1059" s="1" t="inlineStr">
        <is>
          <t>UCTT</t>
        </is>
      </c>
      <c r="D1059" t="inlineStr">
        <is>
          <t>Ultra Clean Holdings Inc</t>
        </is>
      </c>
      <c r="E1059">
        <f>BDP($B1059,"LEGAL_ENTITY_IDENTIFIER")</f>
        <v/>
      </c>
      <c r="F1059" t="inlineStr">
        <is>
          <t>Ultra Clean Holdings Inc</t>
        </is>
      </c>
      <c r="G1059">
        <f>custodian!D1059</f>
        <v/>
      </c>
      <c r="H1059">
        <f>BDP($B1059,"ID_ISIN")</f>
        <v/>
      </c>
      <c r="I1059" s="1" t="inlineStr">
        <is>
          <t>UCTT</t>
        </is>
      </c>
      <c r="J1059">
        <f>BDP($B1059,"CNTRY_OF_DOMICILE")</f>
        <v/>
      </c>
      <c r="K1059" t="inlineStr">
        <is>
          <t>EC</t>
        </is>
      </c>
      <c r="L1059" t="inlineStr">
        <is>
          <t>CORP</t>
        </is>
      </c>
      <c r="M1059" t="inlineStr"/>
      <c r="N1059" t="inlineStr"/>
      <c r="O1059" s="1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s="1" t="inlineStr"/>
      <c r="AR1059" s="1" t="inlineStr"/>
      <c r="AS1059" s="1" t="inlineStr"/>
      <c r="AT1059" t="inlineStr"/>
      <c r="AU1059" t="inlineStr"/>
      <c r="AV1059" t="inlineStr"/>
      <c r="AW1059" t="inlineStr"/>
      <c r="AX1059" t="inlineStr"/>
      <c r="AY1059" t="inlineStr"/>
    </row>
    <row r="1060">
      <c r="A1060" t="inlineStr">
        <is>
          <t>EUV</t>
        </is>
      </c>
      <c r="B1060" t="inlineStr">
        <is>
          <t>VECO US Equity</t>
        </is>
      </c>
      <c r="C1060" s="1" t="inlineStr">
        <is>
          <t>VECO</t>
        </is>
      </c>
      <c r="D1060" t="inlineStr">
        <is>
          <t>Veeco Instruments Inc</t>
        </is>
      </c>
      <c r="E1060">
        <f>BDP($B1060,"LEGAL_ENTITY_IDENTIFIER")</f>
        <v/>
      </c>
      <c r="F1060" t="inlineStr">
        <is>
          <t>Veeco Instruments Inc</t>
        </is>
      </c>
      <c r="G1060">
        <f>custodian!D1060</f>
        <v/>
      </c>
      <c r="H1060">
        <f>BDP($B1060,"ID_ISIN")</f>
        <v/>
      </c>
      <c r="I1060" s="1" t="inlineStr">
        <is>
          <t>VECO</t>
        </is>
      </c>
      <c r="J1060">
        <f>BDP($B1060,"CNTRY_OF_DOMICILE")</f>
        <v/>
      </c>
      <c r="K1060" t="inlineStr">
        <is>
          <t>EC</t>
        </is>
      </c>
      <c r="L1060" t="inlineStr">
        <is>
          <t>CORP</t>
        </is>
      </c>
      <c r="M1060" t="inlineStr"/>
      <c r="N1060" t="inlineStr"/>
      <c r="O1060" s="1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s="1" t="inlineStr"/>
      <c r="AR1060" s="1" t="inlineStr"/>
      <c r="AS1060" s="1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EUV</t>
        </is>
      </c>
      <c r="B1061" t="inlineStr">
        <is>
          <t>VIAV US Equity</t>
        </is>
      </c>
      <c r="C1061" s="1" t="inlineStr">
        <is>
          <t>VIAV</t>
        </is>
      </c>
      <c r="D1061" t="inlineStr">
        <is>
          <t>Viavi Solutions Inc</t>
        </is>
      </c>
      <c r="E1061">
        <f>BDP($B1061,"LEGAL_ENTITY_IDENTIFIER")</f>
        <v/>
      </c>
      <c r="F1061" t="inlineStr">
        <is>
          <t>Viavi Solutions Inc</t>
        </is>
      </c>
      <c r="G1061">
        <f>custodian!D1061</f>
        <v/>
      </c>
      <c r="H1061">
        <f>BDP($B1061,"ID_ISIN")</f>
        <v/>
      </c>
      <c r="I1061" s="1" t="inlineStr">
        <is>
          <t>VIAV</t>
        </is>
      </c>
      <c r="J1061">
        <f>BDP($B1061,"CNTRY_OF_DOMICILE")</f>
        <v/>
      </c>
      <c r="K1061" t="inlineStr">
        <is>
          <t>EC</t>
        </is>
      </c>
      <c r="L1061" t="inlineStr">
        <is>
          <t>CORP</t>
        </is>
      </c>
      <c r="M1061" t="inlineStr"/>
      <c r="N1061" t="inlineStr"/>
      <c r="O1061" s="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s="1" t="inlineStr"/>
      <c r="AR1061" s="1" t="inlineStr"/>
      <c r="AS1061" s="1" t="inlineStr"/>
      <c r="AT1061" t="inlineStr"/>
      <c r="AU1061" t="inlineStr"/>
      <c r="AV1061" t="inlineStr"/>
      <c r="AW1061" t="inlineStr"/>
      <c r="AX1061" t="inlineStr"/>
      <c r="AY1061" t="inlineStr"/>
    </row>
    <row r="1062">
      <c r="A1062" t="inlineStr">
        <is>
          <t>EUV</t>
        </is>
      </c>
      <c r="B1062" t="inlineStr"/>
      <c r="C1062" s="1" t="inlineStr">
        <is>
          <t>Cash&amp;Other</t>
        </is>
      </c>
      <c r="D1062" t="inlineStr"/>
      <c r="E1062" s="1" t="inlineStr"/>
      <c r="F1062" t="inlineStr"/>
      <c r="G1062">
        <f>custodian!D1062</f>
        <v/>
      </c>
      <c r="H1062" s="1" t="inlineStr"/>
      <c r="I1062" s="1" t="inlineStr"/>
      <c r="J1062" t="inlineStr"/>
      <c r="K1062" t="inlineStr"/>
      <c r="L1062" t="inlineStr"/>
      <c r="M1062" t="inlineStr"/>
      <c r="N1062" t="inlineStr"/>
      <c r="O1062" s="1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s="1" t="inlineStr"/>
      <c r="AR1062" s="1" t="inlineStr"/>
      <c r="AS1062" s="1" t="inlineStr"/>
      <c r="AT1062" t="inlineStr"/>
      <c r="AU1062" t="inlineStr"/>
      <c r="AV1062" t="inlineStr"/>
      <c r="AW1062" t="inlineStr"/>
      <c r="AX1062" t="inlineStr"/>
      <c r="AY1062" t="inlineStr"/>
    </row>
    <row r="1063">
      <c r="A1063" t="inlineStr">
        <is>
          <t>EUVX</t>
        </is>
      </c>
      <c r="B1063" t="inlineStr">
        <is>
          <t>218946663 Equity</t>
        </is>
      </c>
      <c r="C1063" s="1" t="inlineStr">
        <is>
          <t>218946663-TRS-07/07/27-L-CLST</t>
        </is>
      </c>
      <c r="D1063" t="inlineStr">
        <is>
          <t>N/A</t>
        </is>
      </c>
      <c r="E1063" s="1" t="inlineStr">
        <is>
          <t>N/A</t>
        </is>
      </c>
      <c r="F1063" t="inlineStr">
        <is>
          <t>EUROVEST EUV FUND MASTER FIC FIM-SWAP-CLST-L</t>
        </is>
      </c>
      <c r="G1063">
        <f>custodian!D1063</f>
        <v/>
      </c>
      <c r="H1063" s="1" t="inlineStr"/>
      <c r="I1063" s="1" t="inlineStr">
        <is>
          <t>218946663-TRS-07/07/27-L-CLST</t>
        </is>
      </c>
      <c r="J1063" t="inlineStr">
        <is>
          <t>US</t>
        </is>
      </c>
      <c r="K1063" t="inlineStr">
        <is>
          <t>DE</t>
        </is>
      </c>
      <c r="L1063" t="inlineStr">
        <is>
          <t>OTHER</t>
        </is>
      </c>
      <c r="M1063" t="inlineStr">
        <is>
          <t>SWP</t>
        </is>
      </c>
      <c r="N1063" t="inlineStr"/>
      <c r="O1063" s="1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otherRefInst</t>
        </is>
      </c>
      <c r="W1063" t="inlineStr"/>
      <c r="X1063" t="inlineStr"/>
      <c r="Y1063" t="inlineStr">
        <is>
          <t>Y</t>
        </is>
      </c>
      <c r="Z1063" t="inlineStr">
        <is>
          <t>2027-07-07</t>
        </is>
      </c>
      <c r="AA1063" t="inlineStr">
        <is>
          <t>3880404.00</t>
        </is>
      </c>
      <c r="AB1063" t="inlineStr">
        <is>
          <t>USD</t>
        </is>
      </c>
      <c r="AC1063" t="inlineStr">
        <is>
          <t>46668.61</t>
        </is>
      </c>
      <c r="AD1063" t="inlineStr">
        <is>
          <t>46668.61</t>
        </is>
      </c>
      <c r="AE1063" t="inlineStr">
        <is>
          <t>2.40</t>
        </is>
      </c>
      <c r="AF1063" t="inlineStr"/>
      <c r="AG1063" t="inlineStr"/>
      <c r="AH1063" t="inlineStr">
        <is>
          <t>Floating</t>
        </is>
      </c>
      <c r="AI1063" t="inlineStr"/>
      <c r="AJ1063" t="inlineStr"/>
      <c r="AK1063" t="inlineStr">
        <is>
          <t>3880404.00</t>
        </is>
      </c>
      <c r="AL1063" t="inlineStr">
        <is>
          <t>USD</t>
        </is>
      </c>
      <c r="AM1063" t="inlineStr"/>
      <c r="AN1063" t="inlineStr"/>
      <c r="AO1063">
        <f>BDP($B1063,"ISSUER")</f>
        <v/>
      </c>
      <c r="AP1063">
        <f>BDP($B1063,"NAME")</f>
        <v/>
      </c>
      <c r="AQ1063" s="1" t="inlineStr">
        <is>
          <t>218946663</t>
        </is>
      </c>
      <c r="AR1063">
        <f>BDP($B1063,"ID_ISIN")</f>
        <v/>
      </c>
      <c r="AS1063">
        <f>BDP($B1063,"TICKER")</f>
        <v/>
      </c>
      <c r="AT1063" t="inlineStr"/>
      <c r="AU1063" t="inlineStr"/>
      <c r="AV1063" t="inlineStr"/>
      <c r="AW1063" t="inlineStr"/>
      <c r="AX1063" t="inlineStr"/>
      <c r="AY1063" t="inlineStr"/>
    </row>
    <row r="1064">
      <c r="A1064" t="inlineStr">
        <is>
          <t>EUVX</t>
        </is>
      </c>
      <c r="B1064" t="inlineStr">
        <is>
          <t>FGXXX US Equity</t>
        </is>
      </c>
      <c r="C1064" s="1" t="inlineStr">
        <is>
          <t>FGXXX</t>
        </is>
      </c>
      <c r="D1064" t="inlineStr">
        <is>
          <t>First American Government Obli</t>
        </is>
      </c>
      <c r="E1064">
        <f>BDP($B1064,"LEGAL_ENTITY_IDENTIFIER")</f>
        <v/>
      </c>
      <c r="F1064" t="inlineStr">
        <is>
          <t>First American Government Obligations Fund</t>
        </is>
      </c>
      <c r="G1064">
        <f>custodian!D1064</f>
        <v/>
      </c>
      <c r="H1064">
        <f>BDP($B1064,"ID_ISIN")</f>
        <v/>
      </c>
      <c r="I1064" s="1" t="inlineStr">
        <is>
          <t>FGXXX</t>
        </is>
      </c>
      <c r="J1064">
        <f>BDP($B1064,"CNTRY_OF_DOMICILE")</f>
        <v/>
      </c>
      <c r="K1064" t="inlineStr">
        <is>
          <t>STIV</t>
        </is>
      </c>
      <c r="L1064" t="inlineStr">
        <is>
          <t>RF</t>
        </is>
      </c>
      <c r="M1064" t="inlineStr"/>
      <c r="N1064" t="inlineStr"/>
      <c r="O1064" s="1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s="1" t="inlineStr"/>
      <c r="AR1064" s="1" t="inlineStr"/>
      <c r="AS1064" s="1" t="inlineStr"/>
      <c r="AT1064" t="inlineStr"/>
      <c r="AU1064" t="inlineStr"/>
      <c r="AV1064" t="inlineStr"/>
      <c r="AW1064" t="inlineStr"/>
      <c r="AX1064" t="inlineStr"/>
      <c r="AY1064" t="inlineStr"/>
    </row>
    <row r="1065">
      <c r="A1065" t="inlineStr">
        <is>
          <t>EUVX</t>
        </is>
      </c>
      <c r="B1065" t="inlineStr"/>
      <c r="C1065" s="1" t="inlineStr">
        <is>
          <t>Cash&amp;Other</t>
        </is>
      </c>
      <c r="D1065" t="inlineStr"/>
      <c r="E1065" s="1" t="inlineStr"/>
      <c r="F1065" t="inlineStr"/>
      <c r="G1065">
        <f>custodian!D1065</f>
        <v/>
      </c>
      <c r="H1065" s="1" t="inlineStr"/>
      <c r="I1065" s="1" t="inlineStr"/>
      <c r="J1065" t="inlineStr"/>
      <c r="K1065" t="inlineStr"/>
      <c r="L1065" t="inlineStr"/>
      <c r="M1065" t="inlineStr"/>
      <c r="N1065" t="inlineStr"/>
      <c r="O1065" s="1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s="1" t="inlineStr"/>
      <c r="AR1065" s="1" t="inlineStr"/>
      <c r="AS1065" s="1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EYES</t>
        </is>
      </c>
      <c r="B1066" t="inlineStr">
        <is>
          <t>ADT US Equity</t>
        </is>
      </c>
      <c r="C1066" s="1" t="inlineStr">
        <is>
          <t>ADT</t>
        </is>
      </c>
      <c r="D1066" t="inlineStr">
        <is>
          <t>ADT Inc</t>
        </is>
      </c>
      <c r="E1066">
        <f>BDP($B1066,"LEGAL_ENTITY_IDENTIFIER")</f>
        <v/>
      </c>
      <c r="F1066" t="inlineStr">
        <is>
          <t>ADT Inc</t>
        </is>
      </c>
      <c r="G1066">
        <f>custodian!D1066</f>
        <v/>
      </c>
      <c r="H1066">
        <f>BDP($B1066,"ID_ISIN")</f>
        <v/>
      </c>
      <c r="I1066" s="1" t="inlineStr">
        <is>
          <t>ADT</t>
        </is>
      </c>
      <c r="J1066">
        <f>BDP($B1066,"CNTRY_OF_DOMICILE")</f>
        <v/>
      </c>
      <c r="K1066" t="inlineStr">
        <is>
          <t>EC</t>
        </is>
      </c>
      <c r="L1066" t="inlineStr">
        <is>
          <t>CORP</t>
        </is>
      </c>
      <c r="M1066" t="inlineStr"/>
      <c r="N1066" t="inlineStr"/>
      <c r="O1066" s="1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s="1" t="inlineStr"/>
      <c r="AR1066" s="1" t="inlineStr"/>
      <c r="AS1066" s="1" t="inlineStr"/>
      <c r="AT1066" t="inlineStr"/>
      <c r="AU1066" t="inlineStr"/>
      <c r="AV1066" t="inlineStr"/>
      <c r="AW1066" t="inlineStr"/>
      <c r="AX1066" t="inlineStr"/>
      <c r="AY1066" t="inlineStr"/>
    </row>
    <row r="1067">
      <c r="A1067" t="inlineStr">
        <is>
          <t>EYES</t>
        </is>
      </c>
      <c r="B1067" t="inlineStr">
        <is>
          <t>AIOT US Equity</t>
        </is>
      </c>
      <c r="C1067" s="1" t="inlineStr">
        <is>
          <t>AIOT</t>
        </is>
      </c>
      <c r="D1067" t="inlineStr">
        <is>
          <t>Powerfleet Inc NJ</t>
        </is>
      </c>
      <c r="E1067">
        <f>BDP($B1067,"LEGAL_ENTITY_IDENTIFIER")</f>
        <v/>
      </c>
      <c r="F1067" t="inlineStr">
        <is>
          <t>Powerfleet Inc NJ</t>
        </is>
      </c>
      <c r="G1067">
        <f>custodian!D1067</f>
        <v/>
      </c>
      <c r="H1067">
        <f>BDP($B1067,"ID_ISIN")</f>
        <v/>
      </c>
      <c r="I1067" s="1" t="inlineStr">
        <is>
          <t>AIOT</t>
        </is>
      </c>
      <c r="J1067">
        <f>BDP($B1067,"CNTRY_OF_DOMICILE")</f>
        <v/>
      </c>
      <c r="K1067" t="inlineStr">
        <is>
          <t>EC</t>
        </is>
      </c>
      <c r="L1067" t="inlineStr">
        <is>
          <t>CORP</t>
        </is>
      </c>
      <c r="M1067" t="inlineStr"/>
      <c r="N1067" t="inlineStr"/>
      <c r="O1067" s="1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s="1" t="inlineStr"/>
      <c r="AR1067" s="1" t="inlineStr"/>
      <c r="AS1067" s="1" t="inlineStr"/>
      <c r="AT1067" t="inlineStr"/>
      <c r="AU1067" t="inlineStr"/>
      <c r="AV1067" t="inlineStr"/>
      <c r="AW1067" t="inlineStr"/>
      <c r="AX1067" t="inlineStr"/>
      <c r="AY1067" t="inlineStr"/>
    </row>
    <row r="1068">
      <c r="A1068" t="inlineStr">
        <is>
          <t>EYES</t>
        </is>
      </c>
      <c r="B1068" t="inlineStr">
        <is>
          <t>AXON US Equity</t>
        </is>
      </c>
      <c r="C1068" s="1" t="inlineStr">
        <is>
          <t>AXON</t>
        </is>
      </c>
      <c r="D1068" t="inlineStr">
        <is>
          <t>Axon Enterprise Inc</t>
        </is>
      </c>
      <c r="E1068">
        <f>BDP($B1068,"LEGAL_ENTITY_IDENTIFIER")</f>
        <v/>
      </c>
      <c r="F1068" t="inlineStr">
        <is>
          <t>Axon Enterprise Inc</t>
        </is>
      </c>
      <c r="G1068">
        <f>custodian!D1068</f>
        <v/>
      </c>
      <c r="H1068">
        <f>BDP($B1068,"ID_ISIN")</f>
        <v/>
      </c>
      <c r="I1068" s="1" t="inlineStr">
        <is>
          <t>AXON</t>
        </is>
      </c>
      <c r="J1068">
        <f>BDP($B1068,"CNTRY_OF_DOMICILE")</f>
        <v/>
      </c>
      <c r="K1068" t="inlineStr">
        <is>
          <t>EC</t>
        </is>
      </c>
      <c r="L1068" t="inlineStr">
        <is>
          <t>CORP</t>
        </is>
      </c>
      <c r="M1068" t="inlineStr"/>
      <c r="N1068" t="inlineStr"/>
      <c r="O1068" s="1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s="1" t="inlineStr"/>
      <c r="AR1068" s="1" t="inlineStr"/>
      <c r="AS1068" s="1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EYES</t>
        </is>
      </c>
      <c r="B1069" t="inlineStr">
        <is>
          <t>BAH US Equity</t>
        </is>
      </c>
      <c r="C1069" s="1" t="inlineStr">
        <is>
          <t>BAH</t>
        </is>
      </c>
      <c r="D1069" t="inlineStr">
        <is>
          <t>Booz Allen Hamilton Holding Co</t>
        </is>
      </c>
      <c r="E1069">
        <f>BDP($B1069,"LEGAL_ENTITY_IDENTIFIER")</f>
        <v/>
      </c>
      <c r="F1069" t="inlineStr">
        <is>
          <t>Booz Allen Hamilton Holding Corp</t>
        </is>
      </c>
      <c r="G1069">
        <f>custodian!D1069</f>
        <v/>
      </c>
      <c r="H1069">
        <f>BDP($B1069,"ID_ISIN")</f>
        <v/>
      </c>
      <c r="I1069" s="1" t="inlineStr">
        <is>
          <t>BAH</t>
        </is>
      </c>
      <c r="J1069">
        <f>BDP($B1069,"CNTRY_OF_DOMICILE")</f>
        <v/>
      </c>
      <c r="K1069" t="inlineStr">
        <is>
          <t>EC</t>
        </is>
      </c>
      <c r="L1069" t="inlineStr">
        <is>
          <t>CORP</t>
        </is>
      </c>
      <c r="M1069" t="inlineStr"/>
      <c r="N1069" t="inlineStr"/>
      <c r="O1069" s="1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s="1" t="inlineStr"/>
      <c r="AR1069" s="1" t="inlineStr"/>
      <c r="AS1069" s="1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EYES</t>
        </is>
      </c>
      <c r="B1070" t="inlineStr">
        <is>
          <t>BBAI US Equity</t>
        </is>
      </c>
      <c r="C1070" s="1" t="inlineStr">
        <is>
          <t>BBAI</t>
        </is>
      </c>
      <c r="D1070" t="inlineStr">
        <is>
          <t>BIGBEAR.AI HOLDINGS INC</t>
        </is>
      </c>
      <c r="E1070">
        <f>BDP($B1070,"LEGAL_ENTITY_IDENTIFIER")</f>
        <v/>
      </c>
      <c r="F1070" t="inlineStr">
        <is>
          <t>BIGBEAR.AI HOLDINGS INC</t>
        </is>
      </c>
      <c r="G1070">
        <f>custodian!D1070</f>
        <v/>
      </c>
      <c r="H1070">
        <f>BDP($B1070,"ID_ISIN")</f>
        <v/>
      </c>
      <c r="I1070" s="1" t="inlineStr">
        <is>
          <t>BBAI</t>
        </is>
      </c>
      <c r="J1070">
        <f>BDP($B1070,"CNTRY_OF_DOMICILE")</f>
        <v/>
      </c>
      <c r="K1070" t="inlineStr">
        <is>
          <t>EC</t>
        </is>
      </c>
      <c r="L1070" t="inlineStr">
        <is>
          <t>CORP</t>
        </is>
      </c>
      <c r="M1070" t="inlineStr"/>
      <c r="N1070" t="inlineStr"/>
      <c r="O1070" s="1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s="1" t="inlineStr"/>
      <c r="AR1070" s="1" t="inlineStr"/>
      <c r="AS1070" s="1" t="inlineStr"/>
      <c r="AT1070" t="inlineStr"/>
      <c r="AU1070" t="inlineStr"/>
      <c r="AV1070" t="inlineStr"/>
      <c r="AW1070" t="inlineStr"/>
      <c r="AX1070" t="inlineStr"/>
      <c r="AY1070" t="inlineStr"/>
    </row>
    <row r="1071">
      <c r="A1071" t="inlineStr">
        <is>
          <t>EYES</t>
        </is>
      </c>
      <c r="B1071" t="inlineStr">
        <is>
          <t>BKSY US Equity</t>
        </is>
      </c>
      <c r="C1071" s="1" t="inlineStr">
        <is>
          <t>BKSY</t>
        </is>
      </c>
      <c r="D1071" t="inlineStr">
        <is>
          <t>BlackSky Technology Inc</t>
        </is>
      </c>
      <c r="E1071">
        <f>BDP($B1071,"LEGAL_ENTITY_IDENTIFIER")</f>
        <v/>
      </c>
      <c r="F1071" t="inlineStr">
        <is>
          <t>BlackSky Technology Inc</t>
        </is>
      </c>
      <c r="G1071">
        <f>custodian!D1071</f>
        <v/>
      </c>
      <c r="H1071">
        <f>BDP($B1071,"ID_ISIN")</f>
        <v/>
      </c>
      <c r="I1071" s="1" t="inlineStr">
        <is>
          <t>BKSY</t>
        </is>
      </c>
      <c r="J1071">
        <f>BDP($B1071,"CNTRY_OF_DOMICILE")</f>
        <v/>
      </c>
      <c r="K1071" t="inlineStr">
        <is>
          <t>EC</t>
        </is>
      </c>
      <c r="L1071" t="inlineStr">
        <is>
          <t>CORP</t>
        </is>
      </c>
      <c r="M1071" t="inlineStr"/>
      <c r="N1071" t="inlineStr"/>
      <c r="O1071" s="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s="1" t="inlineStr"/>
      <c r="AR1071" s="1" t="inlineStr"/>
      <c r="AS1071" s="1" t="inlineStr"/>
      <c r="AT1071" t="inlineStr"/>
      <c r="AU1071" t="inlineStr"/>
      <c r="AV1071" t="inlineStr"/>
      <c r="AW1071" t="inlineStr"/>
      <c r="AX1071" t="inlineStr"/>
      <c r="AY1071" t="inlineStr"/>
    </row>
    <row r="1072">
      <c r="A1072" t="inlineStr">
        <is>
          <t>EYES</t>
        </is>
      </c>
      <c r="B1072" t="inlineStr">
        <is>
          <t>CACI US Equity</t>
        </is>
      </c>
      <c r="C1072" s="1" t="inlineStr">
        <is>
          <t>CACI</t>
        </is>
      </c>
      <c r="D1072" t="inlineStr">
        <is>
          <t>CACI International Inc</t>
        </is>
      </c>
      <c r="E1072">
        <f>BDP($B1072,"LEGAL_ENTITY_IDENTIFIER")</f>
        <v/>
      </c>
      <c r="F1072" t="inlineStr">
        <is>
          <t>CACI International Inc</t>
        </is>
      </c>
      <c r="G1072">
        <f>custodian!D1072</f>
        <v/>
      </c>
      <c r="H1072">
        <f>BDP($B1072,"ID_ISIN")</f>
        <v/>
      </c>
      <c r="I1072" s="1" t="inlineStr">
        <is>
          <t>CACI</t>
        </is>
      </c>
      <c r="J1072">
        <f>BDP($B1072,"CNTRY_OF_DOMICILE")</f>
        <v/>
      </c>
      <c r="K1072" t="inlineStr">
        <is>
          <t>EC</t>
        </is>
      </c>
      <c r="L1072" t="inlineStr">
        <is>
          <t>CORP</t>
        </is>
      </c>
      <c r="M1072" t="inlineStr"/>
      <c r="N1072" t="inlineStr"/>
      <c r="O1072" s="1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s="1" t="inlineStr"/>
      <c r="AR1072" s="1" t="inlineStr"/>
      <c r="AS1072" s="1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EYES</t>
        </is>
      </c>
      <c r="B1073" t="inlineStr">
        <is>
          <t>CGNT US Equity</t>
        </is>
      </c>
      <c r="C1073" s="1" t="inlineStr">
        <is>
          <t>CGNT</t>
        </is>
      </c>
      <c r="D1073" t="inlineStr">
        <is>
          <t>Cognyte Software Ltd</t>
        </is>
      </c>
      <c r="E1073">
        <f>BDP($B1073,"LEGAL_ENTITY_IDENTIFIER")</f>
        <v/>
      </c>
      <c r="F1073" t="inlineStr">
        <is>
          <t>Cognyte Software Ltd</t>
        </is>
      </c>
      <c r="G1073">
        <f>custodian!D1073</f>
        <v/>
      </c>
      <c r="H1073">
        <f>BDP($B1073,"ID_ISIN")</f>
        <v/>
      </c>
      <c r="I1073" s="1" t="inlineStr">
        <is>
          <t>CGNT</t>
        </is>
      </c>
      <c r="J1073">
        <f>BDP($B1073,"CNTRY_OF_DOMICILE")</f>
        <v/>
      </c>
      <c r="K1073" t="inlineStr">
        <is>
          <t>EC</t>
        </is>
      </c>
      <c r="L1073" t="inlineStr">
        <is>
          <t>CORP</t>
        </is>
      </c>
      <c r="M1073" t="inlineStr"/>
      <c r="N1073" t="inlineStr"/>
      <c r="O1073" s="1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s="1" t="inlineStr"/>
      <c r="AR1073" s="1" t="inlineStr"/>
      <c r="AS1073" s="1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EYES</t>
        </is>
      </c>
      <c r="B1074" t="inlineStr">
        <is>
          <t>CLBT US Equity</t>
        </is>
      </c>
      <c r="C1074" s="1" t="inlineStr">
        <is>
          <t>CLBT</t>
        </is>
      </c>
      <c r="D1074" t="inlineStr">
        <is>
          <t>Cellebrite DI Ltd</t>
        </is>
      </c>
      <c r="E1074">
        <f>BDP($B1074,"LEGAL_ENTITY_IDENTIFIER")</f>
        <v/>
      </c>
      <c r="F1074" t="inlineStr">
        <is>
          <t>Cellebrite DI Ltd</t>
        </is>
      </c>
      <c r="G1074">
        <f>custodian!D1074</f>
        <v/>
      </c>
      <c r="H1074">
        <f>BDP($B1074,"ID_ISIN")</f>
        <v/>
      </c>
      <c r="I1074" s="1" t="inlineStr">
        <is>
          <t>CLBT</t>
        </is>
      </c>
      <c r="J1074">
        <f>BDP($B1074,"CNTRY_OF_DOMICILE")</f>
        <v/>
      </c>
      <c r="K1074" t="inlineStr">
        <is>
          <t>EC</t>
        </is>
      </c>
      <c r="L1074" t="inlineStr">
        <is>
          <t>CORP</t>
        </is>
      </c>
      <c r="M1074" t="inlineStr"/>
      <c r="N1074" t="inlineStr"/>
      <c r="O1074" s="1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s="1" t="inlineStr"/>
      <c r="AR1074" s="1" t="inlineStr"/>
      <c r="AS1074" s="1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EYES</t>
        </is>
      </c>
      <c r="B1075" t="inlineStr">
        <is>
          <t>DDOG US Equity</t>
        </is>
      </c>
      <c r="C1075" s="1" t="inlineStr">
        <is>
          <t>DDOG</t>
        </is>
      </c>
      <c r="D1075" t="inlineStr">
        <is>
          <t>Datadog Inc</t>
        </is>
      </c>
      <c r="E1075">
        <f>BDP($B1075,"LEGAL_ENTITY_IDENTIFIER")</f>
        <v/>
      </c>
      <c r="F1075" t="inlineStr">
        <is>
          <t>Datadog Inc</t>
        </is>
      </c>
      <c r="G1075">
        <f>custodian!D1075</f>
        <v/>
      </c>
      <c r="H1075">
        <f>BDP($B1075,"ID_ISIN")</f>
        <v/>
      </c>
      <c r="I1075" s="1" t="inlineStr">
        <is>
          <t>DDOG</t>
        </is>
      </c>
      <c r="J1075">
        <f>BDP($B1075,"CNTRY_OF_DOMICILE")</f>
        <v/>
      </c>
      <c r="K1075" t="inlineStr">
        <is>
          <t>EC</t>
        </is>
      </c>
      <c r="L1075" t="inlineStr">
        <is>
          <t>CORP</t>
        </is>
      </c>
      <c r="M1075" t="inlineStr"/>
      <c r="N1075" t="inlineStr"/>
      <c r="O1075" s="1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s="1" t="inlineStr"/>
      <c r="AR1075" s="1" t="inlineStr"/>
      <c r="AS1075" s="1" t="inlineStr"/>
      <c r="AT1075" t="inlineStr"/>
      <c r="AU1075" t="inlineStr"/>
      <c r="AV1075" t="inlineStr"/>
      <c r="AW1075" t="inlineStr"/>
      <c r="AX1075" t="inlineStr"/>
      <c r="AY1075" t="inlineStr"/>
    </row>
    <row r="1076">
      <c r="A1076" t="inlineStr">
        <is>
          <t>EYES</t>
        </is>
      </c>
      <c r="B1076" t="inlineStr">
        <is>
          <t>DGII US Equity</t>
        </is>
      </c>
      <c r="C1076" s="1" t="inlineStr">
        <is>
          <t>DGII</t>
        </is>
      </c>
      <c r="D1076" t="inlineStr">
        <is>
          <t>Digi International Inc</t>
        </is>
      </c>
      <c r="E1076">
        <f>BDP($B1076,"LEGAL_ENTITY_IDENTIFIER")</f>
        <v/>
      </c>
      <c r="F1076" t="inlineStr">
        <is>
          <t>Digi International Inc</t>
        </is>
      </c>
      <c r="G1076">
        <f>custodian!D1076</f>
        <v/>
      </c>
      <c r="H1076">
        <f>BDP($B1076,"ID_ISIN")</f>
        <v/>
      </c>
      <c r="I1076" s="1" t="inlineStr">
        <is>
          <t>DGII</t>
        </is>
      </c>
      <c r="J1076">
        <f>BDP($B1076,"CNTRY_OF_DOMICILE")</f>
        <v/>
      </c>
      <c r="K1076" t="inlineStr">
        <is>
          <t>EC</t>
        </is>
      </c>
      <c r="L1076" t="inlineStr">
        <is>
          <t>CORP</t>
        </is>
      </c>
      <c r="M1076" t="inlineStr"/>
      <c r="N1076" t="inlineStr"/>
      <c r="O1076" s="1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s="1" t="inlineStr"/>
      <c r="AR1076" s="1" t="inlineStr"/>
      <c r="AS1076" s="1" t="inlineStr"/>
      <c r="AT1076" t="inlineStr"/>
      <c r="AU1076" t="inlineStr"/>
      <c r="AV1076" t="inlineStr"/>
      <c r="AW1076" t="inlineStr"/>
      <c r="AX1076" t="inlineStr"/>
      <c r="AY1076" t="inlineStr"/>
    </row>
    <row r="1077">
      <c r="A1077" t="inlineStr">
        <is>
          <t>EYES</t>
        </is>
      </c>
      <c r="B1077" t="inlineStr">
        <is>
          <t>DT US Equity</t>
        </is>
      </c>
      <c r="C1077" s="1" t="inlineStr">
        <is>
          <t>DT</t>
        </is>
      </c>
      <c r="D1077" t="inlineStr">
        <is>
          <t>Dynatrace Inc</t>
        </is>
      </c>
      <c r="E1077">
        <f>BDP($B1077,"LEGAL_ENTITY_IDENTIFIER")</f>
        <v/>
      </c>
      <c r="F1077" t="inlineStr">
        <is>
          <t>Dynatrace Inc</t>
        </is>
      </c>
      <c r="G1077">
        <f>custodian!D1077</f>
        <v/>
      </c>
      <c r="H1077">
        <f>BDP($B1077,"ID_ISIN")</f>
        <v/>
      </c>
      <c r="I1077" s="1" t="inlineStr">
        <is>
          <t>DT</t>
        </is>
      </c>
      <c r="J1077">
        <f>BDP($B1077,"CNTRY_OF_DOMICILE")</f>
        <v/>
      </c>
      <c r="K1077" t="inlineStr">
        <is>
          <t>EC</t>
        </is>
      </c>
      <c r="L1077" t="inlineStr">
        <is>
          <t>CORP</t>
        </is>
      </c>
      <c r="M1077" t="inlineStr"/>
      <c r="N1077" t="inlineStr"/>
      <c r="O1077" s="1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s="1" t="inlineStr"/>
      <c r="AR1077" s="1" t="inlineStr"/>
      <c r="AS1077" s="1" t="inlineStr"/>
      <c r="AT1077" t="inlineStr"/>
      <c r="AU1077" t="inlineStr"/>
      <c r="AV1077" t="inlineStr"/>
      <c r="AW1077" t="inlineStr"/>
      <c r="AX1077" t="inlineStr"/>
      <c r="AY1077" t="inlineStr"/>
    </row>
    <row r="1078">
      <c r="A1078" t="inlineStr">
        <is>
          <t>EYES</t>
        </is>
      </c>
      <c r="B1078" t="inlineStr">
        <is>
          <t>ESTC US Equity</t>
        </is>
      </c>
      <c r="C1078" s="1" t="inlineStr">
        <is>
          <t>ESTC</t>
        </is>
      </c>
      <c r="D1078" t="inlineStr">
        <is>
          <t>Elastic NV</t>
        </is>
      </c>
      <c r="E1078">
        <f>BDP($B1078,"LEGAL_ENTITY_IDENTIFIER")</f>
        <v/>
      </c>
      <c r="F1078" t="inlineStr">
        <is>
          <t>Elastic NV</t>
        </is>
      </c>
      <c r="G1078">
        <f>custodian!D1078</f>
        <v/>
      </c>
      <c r="H1078">
        <f>BDP($B1078,"ID_ISIN")</f>
        <v/>
      </c>
      <c r="I1078" s="1" t="inlineStr">
        <is>
          <t>ESTC</t>
        </is>
      </c>
      <c r="J1078">
        <f>BDP($B1078,"CNTRY_OF_DOMICILE")</f>
        <v/>
      </c>
      <c r="K1078" t="inlineStr">
        <is>
          <t>EC</t>
        </is>
      </c>
      <c r="L1078" t="inlineStr">
        <is>
          <t>CORP</t>
        </is>
      </c>
      <c r="M1078" t="inlineStr"/>
      <c r="N1078" t="inlineStr"/>
      <c r="O1078" s="1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s="1" t="inlineStr"/>
      <c r="AR1078" s="1" t="inlineStr"/>
      <c r="AS1078" s="1" t="inlineStr"/>
      <c r="AT1078" t="inlineStr"/>
      <c r="AU1078" t="inlineStr"/>
      <c r="AV1078" t="inlineStr"/>
      <c r="AW1078" t="inlineStr"/>
      <c r="AX1078" t="inlineStr"/>
      <c r="AY1078" t="inlineStr"/>
    </row>
    <row r="1079">
      <c r="A1079" t="inlineStr">
        <is>
          <t>EYES</t>
        </is>
      </c>
      <c r="B1079" t="inlineStr">
        <is>
          <t>FGXXX US Equity</t>
        </is>
      </c>
      <c r="C1079" s="1" t="inlineStr">
        <is>
          <t>FGXXX</t>
        </is>
      </c>
      <c r="D1079" t="inlineStr">
        <is>
          <t>First American Government Obli</t>
        </is>
      </c>
      <c r="E1079">
        <f>BDP($B1079,"LEGAL_ENTITY_IDENTIFIER")</f>
        <v/>
      </c>
      <c r="F1079" t="inlineStr">
        <is>
          <t>First American Government Obligations Fund</t>
        </is>
      </c>
      <c r="G1079">
        <f>custodian!D1079</f>
        <v/>
      </c>
      <c r="H1079">
        <f>BDP($B1079,"ID_ISIN")</f>
        <v/>
      </c>
      <c r="I1079" s="1" t="inlineStr">
        <is>
          <t>FGXXX</t>
        </is>
      </c>
      <c r="J1079">
        <f>BDP($B1079,"CNTRY_OF_DOMICILE")</f>
        <v/>
      </c>
      <c r="K1079" t="inlineStr">
        <is>
          <t>STIV</t>
        </is>
      </c>
      <c r="L1079" t="inlineStr">
        <is>
          <t>RF</t>
        </is>
      </c>
      <c r="M1079" t="inlineStr"/>
      <c r="N1079" t="inlineStr"/>
      <c r="O1079" s="1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s="1" t="inlineStr"/>
      <c r="AR1079" s="1" t="inlineStr"/>
      <c r="AS1079" s="1" t="inlineStr"/>
      <c r="AT1079" t="inlineStr"/>
      <c r="AU1079" t="inlineStr"/>
      <c r="AV1079" t="inlineStr"/>
      <c r="AW1079" t="inlineStr"/>
      <c r="AX1079" t="inlineStr"/>
      <c r="AY1079" t="inlineStr"/>
    </row>
    <row r="1080">
      <c r="A1080" t="inlineStr">
        <is>
          <t>EYES</t>
        </is>
      </c>
      <c r="B1080" t="inlineStr">
        <is>
          <t>INVE US Equity</t>
        </is>
      </c>
      <c r="C1080" s="1" t="inlineStr">
        <is>
          <t>INVE</t>
        </is>
      </c>
      <c r="D1080" t="inlineStr">
        <is>
          <t>Identiv Inc</t>
        </is>
      </c>
      <c r="E1080">
        <f>BDP($B1080,"LEGAL_ENTITY_IDENTIFIER")</f>
        <v/>
      </c>
      <c r="F1080" t="inlineStr">
        <is>
          <t>Identiv Inc</t>
        </is>
      </c>
      <c r="G1080">
        <f>custodian!D1080</f>
        <v/>
      </c>
      <c r="H1080">
        <f>BDP($B1080,"ID_ISIN")</f>
        <v/>
      </c>
      <c r="I1080" s="1" t="inlineStr">
        <is>
          <t>INVE</t>
        </is>
      </c>
      <c r="J1080">
        <f>BDP($B1080,"CNTRY_OF_DOMICILE")</f>
        <v/>
      </c>
      <c r="K1080" t="inlineStr">
        <is>
          <t>EC</t>
        </is>
      </c>
      <c r="L1080" t="inlineStr">
        <is>
          <t>CORP</t>
        </is>
      </c>
      <c r="M1080" t="inlineStr"/>
      <c r="N1080" t="inlineStr"/>
      <c r="O1080" s="1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s="1" t="inlineStr"/>
      <c r="AR1080" s="1" t="inlineStr"/>
      <c r="AS1080" s="1" t="inlineStr"/>
      <c r="AT1080" t="inlineStr"/>
      <c r="AU1080" t="inlineStr"/>
      <c r="AV1080" t="inlineStr"/>
      <c r="AW1080" t="inlineStr"/>
      <c r="AX1080" t="inlineStr"/>
      <c r="AY1080" t="inlineStr"/>
    </row>
    <row r="1081">
      <c r="A1081" t="inlineStr">
        <is>
          <t>EYES</t>
        </is>
      </c>
      <c r="B1081" t="inlineStr">
        <is>
          <t>IOT US Equity</t>
        </is>
      </c>
      <c r="C1081" s="1" t="inlineStr">
        <is>
          <t>IOT</t>
        </is>
      </c>
      <c r="D1081" t="inlineStr">
        <is>
          <t>Samsara Inc</t>
        </is>
      </c>
      <c r="E1081">
        <f>BDP($B1081,"LEGAL_ENTITY_IDENTIFIER")</f>
        <v/>
      </c>
      <c r="F1081" t="inlineStr">
        <is>
          <t>Samsara Inc</t>
        </is>
      </c>
      <c r="G1081">
        <f>custodian!D1081</f>
        <v/>
      </c>
      <c r="H1081">
        <f>BDP($B1081,"ID_ISIN")</f>
        <v/>
      </c>
      <c r="I1081" s="1" t="inlineStr">
        <is>
          <t>IOT</t>
        </is>
      </c>
      <c r="J1081">
        <f>BDP($B1081,"CNTRY_OF_DOMICILE")</f>
        <v/>
      </c>
      <c r="K1081" t="inlineStr">
        <is>
          <t>EC</t>
        </is>
      </c>
      <c r="L1081" t="inlineStr">
        <is>
          <t>CORP</t>
        </is>
      </c>
      <c r="M1081" t="inlineStr"/>
      <c r="N1081" t="inlineStr"/>
      <c r="O1081" s="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s="1" t="inlineStr"/>
      <c r="AR1081" s="1" t="inlineStr"/>
      <c r="AS1081" s="1" t="inlineStr"/>
      <c r="AT1081" t="inlineStr"/>
      <c r="AU1081" t="inlineStr"/>
      <c r="AV1081" t="inlineStr"/>
      <c r="AW1081" t="inlineStr"/>
      <c r="AX1081" t="inlineStr"/>
      <c r="AY1081" t="inlineStr"/>
    </row>
    <row r="1082">
      <c r="A1082" t="inlineStr">
        <is>
          <t>EYES</t>
        </is>
      </c>
      <c r="B1082" t="inlineStr">
        <is>
          <t>LDOS US Equity</t>
        </is>
      </c>
      <c r="C1082" s="1" t="inlineStr">
        <is>
          <t>LDOS</t>
        </is>
      </c>
      <c r="D1082" t="inlineStr">
        <is>
          <t>Leidos Holdings Inc</t>
        </is>
      </c>
      <c r="E1082">
        <f>BDP($B1082,"LEGAL_ENTITY_IDENTIFIER")</f>
        <v/>
      </c>
      <c r="F1082" t="inlineStr">
        <is>
          <t>Leidos Holdings Inc</t>
        </is>
      </c>
      <c r="G1082">
        <f>custodian!D1082</f>
        <v/>
      </c>
      <c r="H1082">
        <f>BDP($B1082,"ID_ISIN")</f>
        <v/>
      </c>
      <c r="I1082" s="1" t="inlineStr">
        <is>
          <t>LDOS</t>
        </is>
      </c>
      <c r="J1082">
        <f>BDP($B1082,"CNTRY_OF_DOMICILE")</f>
        <v/>
      </c>
      <c r="K1082" t="inlineStr">
        <is>
          <t>EC</t>
        </is>
      </c>
      <c r="L1082" t="inlineStr">
        <is>
          <t>CORP</t>
        </is>
      </c>
      <c r="M1082" t="inlineStr"/>
      <c r="N1082" t="inlineStr"/>
      <c r="O1082" s="1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s="1" t="inlineStr"/>
      <c r="AR1082" s="1" t="inlineStr"/>
      <c r="AS1082" s="1" t="inlineStr"/>
      <c r="AT1082" t="inlineStr"/>
      <c r="AU1082" t="inlineStr"/>
      <c r="AV1082" t="inlineStr"/>
      <c r="AW1082" t="inlineStr"/>
      <c r="AX1082" t="inlineStr"/>
      <c r="AY1082" t="inlineStr"/>
    </row>
    <row r="1083">
      <c r="A1083" t="inlineStr">
        <is>
          <t>EYES</t>
        </is>
      </c>
      <c r="B1083" t="inlineStr">
        <is>
          <t>LHX US Equity</t>
        </is>
      </c>
      <c r="C1083" s="1" t="inlineStr">
        <is>
          <t>LHX</t>
        </is>
      </c>
      <c r="D1083" t="inlineStr">
        <is>
          <t>L3Harris Technologies Inc</t>
        </is>
      </c>
      <c r="E1083">
        <f>BDP($B1083,"LEGAL_ENTITY_IDENTIFIER")</f>
        <v/>
      </c>
      <c r="F1083" t="inlineStr">
        <is>
          <t>L3Harris Technologies Inc</t>
        </is>
      </c>
      <c r="G1083">
        <f>custodian!D1083</f>
        <v/>
      </c>
      <c r="H1083">
        <f>BDP($B1083,"ID_ISIN")</f>
        <v/>
      </c>
      <c r="I1083" s="1" t="inlineStr">
        <is>
          <t>LHX</t>
        </is>
      </c>
      <c r="J1083">
        <f>BDP($B1083,"CNTRY_OF_DOMICILE")</f>
        <v/>
      </c>
      <c r="K1083" t="inlineStr">
        <is>
          <t>EC</t>
        </is>
      </c>
      <c r="L1083" t="inlineStr">
        <is>
          <t>CORP</t>
        </is>
      </c>
      <c r="M1083" t="inlineStr"/>
      <c r="N1083" t="inlineStr"/>
      <c r="O1083" s="1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s="1" t="inlineStr"/>
      <c r="AR1083" s="1" t="inlineStr"/>
      <c r="AS1083" s="1" t="inlineStr"/>
      <c r="AT1083" t="inlineStr"/>
      <c r="AU1083" t="inlineStr"/>
      <c r="AV1083" t="inlineStr"/>
      <c r="AW1083" t="inlineStr"/>
      <c r="AX1083" t="inlineStr"/>
      <c r="AY1083" t="inlineStr"/>
    </row>
    <row r="1084">
      <c r="A1084" t="inlineStr">
        <is>
          <t>EYES</t>
        </is>
      </c>
      <c r="B1084" t="inlineStr">
        <is>
          <t>MITK US Equity</t>
        </is>
      </c>
      <c r="C1084" s="1" t="inlineStr">
        <is>
          <t>MITK</t>
        </is>
      </c>
      <c r="D1084" t="inlineStr">
        <is>
          <t>Mitek Systems Inc</t>
        </is>
      </c>
      <c r="E1084">
        <f>BDP($B1084,"LEGAL_ENTITY_IDENTIFIER")</f>
        <v/>
      </c>
      <c r="F1084" t="inlineStr">
        <is>
          <t>Mitek Systems Inc</t>
        </is>
      </c>
      <c r="G1084">
        <f>custodian!D1084</f>
        <v/>
      </c>
      <c r="H1084">
        <f>BDP($B1084,"ID_ISIN")</f>
        <v/>
      </c>
      <c r="I1084" s="1" t="inlineStr">
        <is>
          <t>MITK</t>
        </is>
      </c>
      <c r="J1084">
        <f>BDP($B1084,"CNTRY_OF_DOMICILE")</f>
        <v/>
      </c>
      <c r="K1084" t="inlineStr">
        <is>
          <t>EC</t>
        </is>
      </c>
      <c r="L1084" t="inlineStr">
        <is>
          <t>CORP</t>
        </is>
      </c>
      <c r="M1084" t="inlineStr"/>
      <c r="N1084" t="inlineStr"/>
      <c r="O1084" s="1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s="1" t="inlineStr"/>
      <c r="AR1084" s="1" t="inlineStr"/>
      <c r="AS1084" s="1" t="inlineStr"/>
      <c r="AT1084" t="inlineStr"/>
      <c r="AU1084" t="inlineStr"/>
      <c r="AV1084" t="inlineStr"/>
      <c r="AW1084" t="inlineStr"/>
      <c r="AX1084" t="inlineStr"/>
      <c r="AY1084" t="inlineStr"/>
    </row>
    <row r="1085">
      <c r="A1085" t="inlineStr">
        <is>
          <t>EYES</t>
        </is>
      </c>
      <c r="B1085" t="inlineStr">
        <is>
          <t>MSI US Equity</t>
        </is>
      </c>
      <c r="C1085" s="1" t="inlineStr">
        <is>
          <t>MSI</t>
        </is>
      </c>
      <c r="D1085" t="inlineStr">
        <is>
          <t>Motorola Solutions Inc</t>
        </is>
      </c>
      <c r="E1085">
        <f>BDP($B1085,"LEGAL_ENTITY_IDENTIFIER")</f>
        <v/>
      </c>
      <c r="F1085" t="inlineStr">
        <is>
          <t>Motorola Solutions Inc</t>
        </is>
      </c>
      <c r="G1085">
        <f>custodian!D1085</f>
        <v/>
      </c>
      <c r="H1085">
        <f>BDP($B1085,"ID_ISIN")</f>
        <v/>
      </c>
      <c r="I1085" s="1" t="inlineStr">
        <is>
          <t>MSI</t>
        </is>
      </c>
      <c r="J1085">
        <f>BDP($B1085,"CNTRY_OF_DOMICILE")</f>
        <v/>
      </c>
      <c r="K1085" t="inlineStr">
        <is>
          <t>EC</t>
        </is>
      </c>
      <c r="L1085" t="inlineStr">
        <is>
          <t>CORP</t>
        </is>
      </c>
      <c r="M1085" t="inlineStr"/>
      <c r="N1085" t="inlineStr"/>
      <c r="O1085" s="1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s="1" t="inlineStr"/>
      <c r="AR1085" s="1" t="inlineStr"/>
      <c r="AS1085" s="1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EYES</t>
        </is>
      </c>
      <c r="B1086" t="inlineStr">
        <is>
          <t>NIQ US Equity</t>
        </is>
      </c>
      <c r="C1086" s="1" t="inlineStr">
        <is>
          <t>NIQ</t>
        </is>
      </c>
      <c r="D1086" t="inlineStr">
        <is>
          <t>NIQ Global Intelligence Plc</t>
        </is>
      </c>
      <c r="E1086">
        <f>BDP($B1086,"LEGAL_ENTITY_IDENTIFIER")</f>
        <v/>
      </c>
      <c r="F1086" t="inlineStr">
        <is>
          <t>NIQ Global Intelligence Plc</t>
        </is>
      </c>
      <c r="G1086">
        <f>custodian!D1086</f>
        <v/>
      </c>
      <c r="H1086">
        <f>BDP($B1086,"ID_ISIN")</f>
        <v/>
      </c>
      <c r="I1086" s="1" t="inlineStr">
        <is>
          <t>NIQ</t>
        </is>
      </c>
      <c r="J1086">
        <f>BDP($B1086,"CNTRY_OF_DOMICILE")</f>
        <v/>
      </c>
      <c r="K1086" t="inlineStr">
        <is>
          <t>EC</t>
        </is>
      </c>
      <c r="L1086" t="inlineStr">
        <is>
          <t>CORP</t>
        </is>
      </c>
      <c r="M1086" t="inlineStr"/>
      <c r="N1086" t="inlineStr"/>
      <c r="O1086" s="1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s="1" t="inlineStr"/>
      <c r="AR1086" s="1" t="inlineStr"/>
      <c r="AS1086" s="1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EYES</t>
        </is>
      </c>
      <c r="B1087" t="inlineStr">
        <is>
          <t>OSIS US Equity</t>
        </is>
      </c>
      <c r="C1087" s="1" t="inlineStr">
        <is>
          <t>OSIS</t>
        </is>
      </c>
      <c r="D1087" t="inlineStr">
        <is>
          <t>OSI Systems Inc</t>
        </is>
      </c>
      <c r="E1087">
        <f>BDP($B1087,"LEGAL_ENTITY_IDENTIFIER")</f>
        <v/>
      </c>
      <c r="F1087" t="inlineStr">
        <is>
          <t>OSI Systems Inc</t>
        </is>
      </c>
      <c r="G1087">
        <f>custodian!D1087</f>
        <v/>
      </c>
      <c r="H1087">
        <f>BDP($B1087,"ID_ISIN")</f>
        <v/>
      </c>
      <c r="I1087" s="1" t="inlineStr">
        <is>
          <t>OSIS</t>
        </is>
      </c>
      <c r="J1087">
        <f>BDP($B1087,"CNTRY_OF_DOMICILE")</f>
        <v/>
      </c>
      <c r="K1087" t="inlineStr">
        <is>
          <t>EC</t>
        </is>
      </c>
      <c r="L1087" t="inlineStr">
        <is>
          <t>CORP</t>
        </is>
      </c>
      <c r="M1087" t="inlineStr"/>
      <c r="N1087" t="inlineStr"/>
      <c r="O1087" s="1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s="1" t="inlineStr"/>
      <c r="AR1087" s="1" t="inlineStr"/>
      <c r="AS1087" s="1" t="inlineStr"/>
      <c r="AT1087" t="inlineStr"/>
      <c r="AU1087" t="inlineStr"/>
      <c r="AV1087" t="inlineStr"/>
      <c r="AW1087" t="inlineStr"/>
      <c r="AX1087" t="inlineStr"/>
      <c r="AY1087" t="inlineStr"/>
    </row>
    <row r="1088">
      <c r="A1088" t="inlineStr">
        <is>
          <t>EYES</t>
        </is>
      </c>
      <c r="B1088" t="inlineStr">
        <is>
          <t>PI US Equity</t>
        </is>
      </c>
      <c r="C1088" s="1" t="inlineStr">
        <is>
          <t>PI</t>
        </is>
      </c>
      <c r="D1088" t="inlineStr">
        <is>
          <t>Impinj Inc</t>
        </is>
      </c>
      <c r="E1088">
        <f>BDP($B1088,"LEGAL_ENTITY_IDENTIFIER")</f>
        <v/>
      </c>
      <c r="F1088" t="inlineStr">
        <is>
          <t>Impinj Inc</t>
        </is>
      </c>
      <c r="G1088">
        <f>custodian!D1088</f>
        <v/>
      </c>
      <c r="H1088">
        <f>BDP($B1088,"ID_ISIN")</f>
        <v/>
      </c>
      <c r="I1088" s="1" t="inlineStr">
        <is>
          <t>PI</t>
        </is>
      </c>
      <c r="J1088">
        <f>BDP($B1088,"CNTRY_OF_DOMICILE")</f>
        <v/>
      </c>
      <c r="K1088" t="inlineStr">
        <is>
          <t>EC</t>
        </is>
      </c>
      <c r="L1088" t="inlineStr">
        <is>
          <t>CORP</t>
        </is>
      </c>
      <c r="M1088" t="inlineStr"/>
      <c r="N1088" t="inlineStr"/>
      <c r="O1088" s="1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s="1" t="inlineStr"/>
      <c r="AR1088" s="1" t="inlineStr"/>
      <c r="AS1088" s="1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EYES</t>
        </is>
      </c>
      <c r="B1089" t="inlineStr">
        <is>
          <t>PL US Equity</t>
        </is>
      </c>
      <c r="C1089" s="1" t="inlineStr">
        <is>
          <t>PL</t>
        </is>
      </c>
      <c r="D1089" t="inlineStr">
        <is>
          <t>Planet Labs PBC</t>
        </is>
      </c>
      <c r="E1089">
        <f>BDP($B1089,"LEGAL_ENTITY_IDENTIFIER")</f>
        <v/>
      </c>
      <c r="F1089" t="inlineStr">
        <is>
          <t>Planet Labs PBC</t>
        </is>
      </c>
      <c r="G1089">
        <f>custodian!D1089</f>
        <v/>
      </c>
      <c r="H1089">
        <f>BDP($B1089,"ID_ISIN")</f>
        <v/>
      </c>
      <c r="I1089" s="1" t="inlineStr">
        <is>
          <t>PL</t>
        </is>
      </c>
      <c r="J1089">
        <f>BDP($B1089,"CNTRY_OF_DOMICILE")</f>
        <v/>
      </c>
      <c r="K1089" t="inlineStr">
        <is>
          <t>EC</t>
        </is>
      </c>
      <c r="L1089" t="inlineStr">
        <is>
          <t>CORP</t>
        </is>
      </c>
      <c r="M1089" t="inlineStr"/>
      <c r="N1089" t="inlineStr"/>
      <c r="O1089" s="1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s="1" t="inlineStr"/>
      <c r="AR1089" s="1" t="inlineStr"/>
      <c r="AS1089" s="1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EYES</t>
        </is>
      </c>
      <c r="B1090" t="inlineStr">
        <is>
          <t>PLTR US Equity</t>
        </is>
      </c>
      <c r="C1090" s="1" t="inlineStr">
        <is>
          <t>PLTR</t>
        </is>
      </c>
      <c r="D1090" t="inlineStr">
        <is>
          <t>Palantir Technologies Inc</t>
        </is>
      </c>
      <c r="E1090">
        <f>BDP($B1090,"LEGAL_ENTITY_IDENTIFIER")</f>
        <v/>
      </c>
      <c r="F1090" t="inlineStr">
        <is>
          <t>Palantir Technologies Inc</t>
        </is>
      </c>
      <c r="G1090">
        <f>custodian!D1090</f>
        <v/>
      </c>
      <c r="H1090">
        <f>BDP($B1090,"ID_ISIN")</f>
        <v/>
      </c>
      <c r="I1090" s="1" t="inlineStr">
        <is>
          <t>PLTR</t>
        </is>
      </c>
      <c r="J1090">
        <f>BDP($B1090,"CNTRY_OF_DOMICILE")</f>
        <v/>
      </c>
      <c r="K1090" t="inlineStr">
        <is>
          <t>EC</t>
        </is>
      </c>
      <c r="L1090" t="inlineStr">
        <is>
          <t>CORP</t>
        </is>
      </c>
      <c r="M1090" t="inlineStr"/>
      <c r="N1090" t="inlineStr"/>
      <c r="O1090" s="1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s="1" t="inlineStr"/>
      <c r="AR1090" s="1" t="inlineStr"/>
      <c r="AS1090" s="1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EYES</t>
        </is>
      </c>
      <c r="B1091" t="inlineStr">
        <is>
          <t>RSKD US Equity</t>
        </is>
      </c>
      <c r="C1091" s="1" t="inlineStr">
        <is>
          <t>RSKD</t>
        </is>
      </c>
      <c r="D1091" t="inlineStr">
        <is>
          <t>Riskified Ltd</t>
        </is>
      </c>
      <c r="E1091">
        <f>BDP($B1091,"LEGAL_ENTITY_IDENTIFIER")</f>
        <v/>
      </c>
      <c r="F1091" t="inlineStr">
        <is>
          <t>Riskified Ltd</t>
        </is>
      </c>
      <c r="G1091">
        <f>custodian!D1091</f>
        <v/>
      </c>
      <c r="H1091">
        <f>BDP($B1091,"ID_ISIN")</f>
        <v/>
      </c>
      <c r="I1091" s="1" t="inlineStr">
        <is>
          <t>RSKD</t>
        </is>
      </c>
      <c r="J1091">
        <f>BDP($B1091,"CNTRY_OF_DOMICILE")</f>
        <v/>
      </c>
      <c r="K1091" t="inlineStr">
        <is>
          <t>EC</t>
        </is>
      </c>
      <c r="L1091" t="inlineStr">
        <is>
          <t>CORP</t>
        </is>
      </c>
      <c r="M1091" t="inlineStr"/>
      <c r="N1091" t="inlineStr"/>
      <c r="O1091" s="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s="1" t="inlineStr"/>
      <c r="AR1091" s="1" t="inlineStr"/>
      <c r="AS1091" s="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EYES</t>
        </is>
      </c>
      <c r="B1092" t="inlineStr">
        <is>
          <t>SAIL US Equity</t>
        </is>
      </c>
      <c r="C1092" s="1" t="inlineStr">
        <is>
          <t>SAIL</t>
        </is>
      </c>
      <c r="D1092" t="inlineStr">
        <is>
          <t>SailPoint Inc</t>
        </is>
      </c>
      <c r="E1092">
        <f>BDP($B1092,"LEGAL_ENTITY_IDENTIFIER")</f>
        <v/>
      </c>
      <c r="F1092" t="inlineStr">
        <is>
          <t>SailPoint Inc</t>
        </is>
      </c>
      <c r="G1092">
        <f>custodian!D1092</f>
        <v/>
      </c>
      <c r="H1092">
        <f>BDP($B1092,"ID_ISIN")</f>
        <v/>
      </c>
      <c r="I1092" s="1" t="inlineStr">
        <is>
          <t>SAIL</t>
        </is>
      </c>
      <c r="J1092">
        <f>BDP($B1092,"CNTRY_OF_DOMICILE")</f>
        <v/>
      </c>
      <c r="K1092" t="inlineStr">
        <is>
          <t>EC</t>
        </is>
      </c>
      <c r="L1092" t="inlineStr">
        <is>
          <t>CORP</t>
        </is>
      </c>
      <c r="M1092" t="inlineStr"/>
      <c r="N1092" t="inlineStr"/>
      <c r="O1092" s="1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s="1" t="inlineStr"/>
      <c r="AR1092" s="1" t="inlineStr"/>
      <c r="AS1092" s="1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EYES</t>
        </is>
      </c>
      <c r="B1093" t="inlineStr">
        <is>
          <t>SATL US Equity</t>
        </is>
      </c>
      <c r="C1093" s="1" t="inlineStr">
        <is>
          <t>SATL</t>
        </is>
      </c>
      <c r="D1093" t="inlineStr">
        <is>
          <t>Satellogic Inc</t>
        </is>
      </c>
      <c r="E1093">
        <f>BDP($B1093,"LEGAL_ENTITY_IDENTIFIER")</f>
        <v/>
      </c>
      <c r="F1093" t="inlineStr">
        <is>
          <t>Satellogic Inc</t>
        </is>
      </c>
      <c r="G1093">
        <f>custodian!D1093</f>
        <v/>
      </c>
      <c r="H1093">
        <f>BDP($B1093,"ID_ISIN")</f>
        <v/>
      </c>
      <c r="I1093" s="1" t="inlineStr">
        <is>
          <t>SATL</t>
        </is>
      </c>
      <c r="J1093">
        <f>BDP($B1093,"CNTRY_OF_DOMICILE")</f>
        <v/>
      </c>
      <c r="K1093" t="inlineStr">
        <is>
          <t>EC</t>
        </is>
      </c>
      <c r="L1093" t="inlineStr">
        <is>
          <t>CORP</t>
        </is>
      </c>
      <c r="M1093" t="inlineStr"/>
      <c r="N1093" t="inlineStr"/>
      <c r="O1093" s="1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s="1" t="inlineStr"/>
      <c r="AR1093" s="1" t="inlineStr"/>
      <c r="AS1093" s="1" t="inlineStr"/>
      <c r="AT1093" t="inlineStr"/>
      <c r="AU1093" t="inlineStr"/>
      <c r="AV1093" t="inlineStr"/>
      <c r="AW1093" t="inlineStr"/>
      <c r="AX1093" t="inlineStr"/>
      <c r="AY1093" t="inlineStr"/>
    </row>
    <row r="1094">
      <c r="A1094" t="inlineStr">
        <is>
          <t>EYES</t>
        </is>
      </c>
      <c r="B1094" t="inlineStr">
        <is>
          <t>SPIR US Equity</t>
        </is>
      </c>
      <c r="C1094" s="1" t="inlineStr">
        <is>
          <t>SPIR</t>
        </is>
      </c>
      <c r="D1094" t="inlineStr">
        <is>
          <t>Spire Global Inc</t>
        </is>
      </c>
      <c r="E1094">
        <f>BDP($B1094,"LEGAL_ENTITY_IDENTIFIER")</f>
        <v/>
      </c>
      <c r="F1094" t="inlineStr">
        <is>
          <t>Spire Global Inc</t>
        </is>
      </c>
      <c r="G1094">
        <f>custodian!D1094</f>
        <v/>
      </c>
      <c r="H1094">
        <f>BDP($B1094,"ID_ISIN")</f>
        <v/>
      </c>
      <c r="I1094" s="1" t="inlineStr">
        <is>
          <t>SPIR</t>
        </is>
      </c>
      <c r="J1094">
        <f>BDP($B1094,"CNTRY_OF_DOMICILE")</f>
        <v/>
      </c>
      <c r="K1094" t="inlineStr">
        <is>
          <t>EC</t>
        </is>
      </c>
      <c r="L1094" t="inlineStr">
        <is>
          <t>CORP</t>
        </is>
      </c>
      <c r="M1094" t="inlineStr"/>
      <c r="N1094" t="inlineStr"/>
      <c r="O1094" s="1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s="1" t="inlineStr"/>
      <c r="AR1094" s="1" t="inlineStr"/>
      <c r="AS1094" s="1" t="inlineStr"/>
      <c r="AT1094" t="inlineStr"/>
      <c r="AU1094" t="inlineStr"/>
      <c r="AV1094" t="inlineStr"/>
      <c r="AW1094" t="inlineStr"/>
      <c r="AX1094" t="inlineStr"/>
      <c r="AY1094" t="inlineStr"/>
    </row>
    <row r="1095">
      <c r="A1095" t="inlineStr">
        <is>
          <t>EYES</t>
        </is>
      </c>
      <c r="B1095" t="inlineStr">
        <is>
          <t>TDY US Equity</t>
        </is>
      </c>
      <c r="C1095" s="1" t="inlineStr">
        <is>
          <t>TDY</t>
        </is>
      </c>
      <c r="D1095" t="inlineStr">
        <is>
          <t>Teledyne Technologies Inc</t>
        </is>
      </c>
      <c r="E1095">
        <f>BDP($B1095,"LEGAL_ENTITY_IDENTIFIER")</f>
        <v/>
      </c>
      <c r="F1095" t="inlineStr">
        <is>
          <t>Teledyne Technologies Inc</t>
        </is>
      </c>
      <c r="G1095">
        <f>custodian!D1095</f>
        <v/>
      </c>
      <c r="H1095">
        <f>BDP($B1095,"ID_ISIN")</f>
        <v/>
      </c>
      <c r="I1095" s="1" t="inlineStr">
        <is>
          <t>TDY</t>
        </is>
      </c>
      <c r="J1095">
        <f>BDP($B1095,"CNTRY_OF_DOMICILE")</f>
        <v/>
      </c>
      <c r="K1095" t="inlineStr">
        <is>
          <t>EC</t>
        </is>
      </c>
      <c r="L1095" t="inlineStr">
        <is>
          <t>CORP</t>
        </is>
      </c>
      <c r="M1095" t="inlineStr"/>
      <c r="N1095" t="inlineStr"/>
      <c r="O1095" s="1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s="1" t="inlineStr"/>
      <c r="AR1095" s="1" t="inlineStr"/>
      <c r="AS1095" s="1" t="inlineStr"/>
      <c r="AT1095" t="inlineStr"/>
      <c r="AU1095" t="inlineStr"/>
      <c r="AV1095" t="inlineStr"/>
      <c r="AW1095" t="inlineStr"/>
      <c r="AX1095" t="inlineStr"/>
      <c r="AY1095" t="inlineStr"/>
    </row>
    <row r="1096">
      <c r="A1096" t="inlineStr">
        <is>
          <t>EYES</t>
        </is>
      </c>
      <c r="B1096" t="inlineStr">
        <is>
          <t>TRMB US Equity</t>
        </is>
      </c>
      <c r="C1096" s="1" t="inlineStr">
        <is>
          <t>TRMB</t>
        </is>
      </c>
      <c r="D1096" t="inlineStr">
        <is>
          <t>Trimble Inc</t>
        </is>
      </c>
      <c r="E1096">
        <f>BDP($B1096,"LEGAL_ENTITY_IDENTIFIER")</f>
        <v/>
      </c>
      <c r="F1096" t="inlineStr">
        <is>
          <t>Trimble Inc</t>
        </is>
      </c>
      <c r="G1096">
        <f>custodian!D1096</f>
        <v/>
      </c>
      <c r="H1096">
        <f>BDP($B1096,"ID_ISIN")</f>
        <v/>
      </c>
      <c r="I1096" s="1" t="inlineStr">
        <is>
          <t>TRMB</t>
        </is>
      </c>
      <c r="J1096">
        <f>BDP($B1096,"CNTRY_OF_DOMICILE")</f>
        <v/>
      </c>
      <c r="K1096" t="inlineStr">
        <is>
          <t>EC</t>
        </is>
      </c>
      <c r="L1096" t="inlineStr">
        <is>
          <t>CORP</t>
        </is>
      </c>
      <c r="M1096" t="inlineStr"/>
      <c r="N1096" t="inlineStr"/>
      <c r="O1096" s="1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s="1" t="inlineStr"/>
      <c r="AR1096" s="1" t="inlineStr"/>
      <c r="AS1096" s="1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EYES</t>
        </is>
      </c>
      <c r="B1097" t="inlineStr">
        <is>
          <t>TYL US Equity</t>
        </is>
      </c>
      <c r="C1097" s="1" t="inlineStr">
        <is>
          <t>TYL</t>
        </is>
      </c>
      <c r="D1097" t="inlineStr">
        <is>
          <t>Tyler Technologies Inc</t>
        </is>
      </c>
      <c r="E1097">
        <f>BDP($B1097,"LEGAL_ENTITY_IDENTIFIER")</f>
        <v/>
      </c>
      <c r="F1097" t="inlineStr">
        <is>
          <t>Tyler Technologies Inc</t>
        </is>
      </c>
      <c r="G1097">
        <f>custodian!D1097</f>
        <v/>
      </c>
      <c r="H1097">
        <f>BDP($B1097,"ID_ISIN")</f>
        <v/>
      </c>
      <c r="I1097" s="1" t="inlineStr">
        <is>
          <t>TYL</t>
        </is>
      </c>
      <c r="J1097">
        <f>BDP($B1097,"CNTRY_OF_DOMICILE")</f>
        <v/>
      </c>
      <c r="K1097" t="inlineStr">
        <is>
          <t>EC</t>
        </is>
      </c>
      <c r="L1097" t="inlineStr">
        <is>
          <t>CORP</t>
        </is>
      </c>
      <c r="M1097" t="inlineStr"/>
      <c r="N1097" t="inlineStr"/>
      <c r="O1097" s="1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s="1" t="inlineStr"/>
      <c r="AR1097" s="1" t="inlineStr"/>
      <c r="AS1097" s="1" t="inlineStr"/>
      <c r="AT1097" t="inlineStr"/>
      <c r="AU1097" t="inlineStr"/>
      <c r="AV1097" t="inlineStr"/>
      <c r="AW1097" t="inlineStr"/>
      <c r="AX1097" t="inlineStr"/>
      <c r="AY1097" t="inlineStr"/>
    </row>
    <row r="1098">
      <c r="A1098" t="inlineStr">
        <is>
          <t>EYES</t>
        </is>
      </c>
      <c r="B1098" t="inlineStr">
        <is>
          <t>VRNS US Equity</t>
        </is>
      </c>
      <c r="C1098" s="1" t="inlineStr">
        <is>
          <t>VRNS</t>
        </is>
      </c>
      <c r="D1098" t="inlineStr">
        <is>
          <t>Varonis Systems Inc</t>
        </is>
      </c>
      <c r="E1098">
        <f>BDP($B1098,"LEGAL_ENTITY_IDENTIFIER")</f>
        <v/>
      </c>
      <c r="F1098" t="inlineStr">
        <is>
          <t>Varonis Systems Inc</t>
        </is>
      </c>
      <c r="G1098">
        <f>custodian!D1098</f>
        <v/>
      </c>
      <c r="H1098">
        <f>BDP($B1098,"ID_ISIN")</f>
        <v/>
      </c>
      <c r="I1098" s="1" t="inlineStr">
        <is>
          <t>VRNS</t>
        </is>
      </c>
      <c r="J1098">
        <f>BDP($B1098,"CNTRY_OF_DOMICILE")</f>
        <v/>
      </c>
      <c r="K1098" t="inlineStr">
        <is>
          <t>EC</t>
        </is>
      </c>
      <c r="L1098" t="inlineStr">
        <is>
          <t>CORP</t>
        </is>
      </c>
      <c r="M1098" t="inlineStr"/>
      <c r="N1098" t="inlineStr"/>
      <c r="O1098" s="1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s="1" t="inlineStr"/>
      <c r="AR1098" s="1" t="inlineStr"/>
      <c r="AS1098" s="1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EYES</t>
        </is>
      </c>
      <c r="B1099" t="inlineStr">
        <is>
          <t>YOU US Equity</t>
        </is>
      </c>
      <c r="C1099" s="1" t="inlineStr">
        <is>
          <t>YOU</t>
        </is>
      </c>
      <c r="D1099" t="inlineStr">
        <is>
          <t>Clear Secure Inc</t>
        </is>
      </c>
      <c r="E1099">
        <f>BDP($B1099,"LEGAL_ENTITY_IDENTIFIER")</f>
        <v/>
      </c>
      <c r="F1099" t="inlineStr">
        <is>
          <t>Clear Secure Inc</t>
        </is>
      </c>
      <c r="G1099">
        <f>custodian!D1099</f>
        <v/>
      </c>
      <c r="H1099">
        <f>BDP($B1099,"ID_ISIN")</f>
        <v/>
      </c>
      <c r="I1099" s="1" t="inlineStr">
        <is>
          <t>YOU</t>
        </is>
      </c>
      <c r="J1099">
        <f>BDP($B1099,"CNTRY_OF_DOMICILE")</f>
        <v/>
      </c>
      <c r="K1099" t="inlineStr">
        <is>
          <t>EC</t>
        </is>
      </c>
      <c r="L1099" t="inlineStr">
        <is>
          <t>CORP</t>
        </is>
      </c>
      <c r="M1099" t="inlineStr"/>
      <c r="N1099" t="inlineStr"/>
      <c r="O1099" s="1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s="1" t="inlineStr"/>
      <c r="AR1099" s="1" t="inlineStr"/>
      <c r="AS1099" s="1" t="inlineStr"/>
      <c r="AT1099" t="inlineStr"/>
      <c r="AU1099" t="inlineStr"/>
      <c r="AV1099" t="inlineStr"/>
      <c r="AW1099" t="inlineStr"/>
      <c r="AX1099" t="inlineStr"/>
      <c r="AY1099" t="inlineStr"/>
    </row>
    <row r="1100">
      <c r="A1100" t="inlineStr">
        <is>
          <t>EYES</t>
        </is>
      </c>
      <c r="B1100" t="inlineStr">
        <is>
          <t>ZBRA US Equity</t>
        </is>
      </c>
      <c r="C1100" s="1" t="inlineStr">
        <is>
          <t>ZBRA</t>
        </is>
      </c>
      <c r="D1100" t="inlineStr">
        <is>
          <t>Zebra Technologies Corp</t>
        </is>
      </c>
      <c r="E1100">
        <f>BDP($B1100,"LEGAL_ENTITY_IDENTIFIER")</f>
        <v/>
      </c>
      <c r="F1100" t="inlineStr">
        <is>
          <t>Zebra Technologies Corp</t>
        </is>
      </c>
      <c r="G1100">
        <f>custodian!D1100</f>
        <v/>
      </c>
      <c r="H1100">
        <f>BDP($B1100,"ID_ISIN")</f>
        <v/>
      </c>
      <c r="I1100" s="1" t="inlineStr">
        <is>
          <t>ZBRA</t>
        </is>
      </c>
      <c r="J1100">
        <f>BDP($B1100,"CNTRY_OF_DOMICILE")</f>
        <v/>
      </c>
      <c r="K1100" t="inlineStr">
        <is>
          <t>EC</t>
        </is>
      </c>
      <c r="L1100" t="inlineStr">
        <is>
          <t>CORP</t>
        </is>
      </c>
      <c r="M1100" t="inlineStr"/>
      <c r="N1100" t="inlineStr"/>
      <c r="O1100" s="1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s="1" t="inlineStr"/>
      <c r="AR1100" s="1" t="inlineStr"/>
      <c r="AS1100" s="1" t="inlineStr"/>
      <c r="AT1100" t="inlineStr"/>
      <c r="AU1100" t="inlineStr"/>
      <c r="AV1100" t="inlineStr"/>
      <c r="AW1100" t="inlineStr"/>
      <c r="AX1100" t="inlineStr"/>
      <c r="AY1100" t="inlineStr"/>
    </row>
    <row r="1101">
      <c r="A1101" t="inlineStr">
        <is>
          <t>EYES</t>
        </is>
      </c>
      <c r="B1101" t="inlineStr"/>
      <c r="C1101" s="1" t="inlineStr">
        <is>
          <t>Cash&amp;Other</t>
        </is>
      </c>
      <c r="D1101" t="inlineStr"/>
      <c r="E1101" s="1" t="inlineStr"/>
      <c r="F1101" t="inlineStr"/>
      <c r="G1101">
        <f>custodian!D1101</f>
        <v/>
      </c>
      <c r="H1101" s="1" t="inlineStr"/>
      <c r="I1101" s="1" t="inlineStr"/>
      <c r="J1101" t="inlineStr"/>
      <c r="K1101" t="inlineStr"/>
      <c r="L1101" t="inlineStr"/>
      <c r="M1101" t="inlineStr"/>
      <c r="N1101" t="inlineStr"/>
      <c r="O1101" s="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s="1" t="inlineStr"/>
      <c r="AR1101" s="1" t="inlineStr"/>
      <c r="AS1101" s="1" t="inlineStr"/>
      <c r="AT1101" t="inlineStr"/>
      <c r="AU1101" t="inlineStr"/>
      <c r="AV1101" t="inlineStr"/>
      <c r="AW1101" t="inlineStr"/>
      <c r="AX1101" t="inlineStr"/>
      <c r="AY1101" t="inlineStr"/>
    </row>
    <row r="1102">
      <c r="A1102" t="inlineStr">
        <is>
          <t>FDRS</t>
        </is>
      </c>
      <c r="B1102" t="inlineStr">
        <is>
          <t>ABNB US Equity</t>
        </is>
      </c>
      <c r="C1102" s="1" t="inlineStr">
        <is>
          <t>ABNB</t>
        </is>
      </c>
      <c r="D1102" t="inlineStr">
        <is>
          <t>Airbnb Inc</t>
        </is>
      </c>
      <c r="E1102">
        <f>BDP($B1102,"LEGAL_ENTITY_IDENTIFIER")</f>
        <v/>
      </c>
      <c r="F1102" t="inlineStr">
        <is>
          <t>Airbnb Inc</t>
        </is>
      </c>
      <c r="G1102">
        <f>custodian!D1102</f>
        <v/>
      </c>
      <c r="H1102">
        <f>BDP($B1102,"ID_ISIN")</f>
        <v/>
      </c>
      <c r="I1102" s="1" t="inlineStr">
        <is>
          <t>ABNB</t>
        </is>
      </c>
      <c r="J1102">
        <f>BDP($B1102,"CNTRY_OF_DOMICILE")</f>
        <v/>
      </c>
      <c r="K1102" t="inlineStr">
        <is>
          <t>EC</t>
        </is>
      </c>
      <c r="L1102" t="inlineStr">
        <is>
          <t>CORP</t>
        </is>
      </c>
      <c r="M1102" t="inlineStr"/>
      <c r="N1102" t="inlineStr"/>
      <c r="O1102" s="1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s="1" t="inlineStr"/>
      <c r="AR1102" s="1" t="inlineStr"/>
      <c r="AS1102" s="1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FDRS</t>
        </is>
      </c>
      <c r="B1103" t="inlineStr">
        <is>
          <t>ALAB US Equity</t>
        </is>
      </c>
      <c r="C1103" s="1" t="inlineStr">
        <is>
          <t>ALAB</t>
        </is>
      </c>
      <c r="D1103" t="inlineStr">
        <is>
          <t>Astera Labs Inc</t>
        </is>
      </c>
      <c r="E1103">
        <f>BDP($B1103,"LEGAL_ENTITY_IDENTIFIER")</f>
        <v/>
      </c>
      <c r="F1103" t="inlineStr">
        <is>
          <t>Astera Labs Inc</t>
        </is>
      </c>
      <c r="G1103">
        <f>custodian!D1103</f>
        <v/>
      </c>
      <c r="H1103">
        <f>BDP($B1103,"ID_ISIN")</f>
        <v/>
      </c>
      <c r="I1103" s="1" t="inlineStr">
        <is>
          <t>ALAB</t>
        </is>
      </c>
      <c r="J1103">
        <f>BDP($B1103,"CNTRY_OF_DOMICILE")</f>
        <v/>
      </c>
      <c r="K1103" t="inlineStr">
        <is>
          <t>EC</t>
        </is>
      </c>
      <c r="L1103" t="inlineStr">
        <is>
          <t>CORP</t>
        </is>
      </c>
      <c r="M1103" t="inlineStr"/>
      <c r="N1103" t="inlineStr"/>
      <c r="O1103" s="1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s="1" t="inlineStr"/>
      <c r="AR1103" s="1" t="inlineStr"/>
      <c r="AS1103" s="1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FDRS</t>
        </is>
      </c>
      <c r="B1104" t="inlineStr">
        <is>
          <t>ANET US Equity</t>
        </is>
      </c>
      <c r="C1104" s="1" t="inlineStr">
        <is>
          <t>ANET</t>
        </is>
      </c>
      <c r="D1104" t="inlineStr">
        <is>
          <t>Arista Networks Inc</t>
        </is>
      </c>
      <c r="E1104">
        <f>BDP($B1104,"LEGAL_ENTITY_IDENTIFIER")</f>
        <v/>
      </c>
      <c r="F1104" t="inlineStr">
        <is>
          <t>Arista Networks Inc</t>
        </is>
      </c>
      <c r="G1104">
        <f>custodian!D1104</f>
        <v/>
      </c>
      <c r="H1104">
        <f>BDP($B1104,"ID_ISIN")</f>
        <v/>
      </c>
      <c r="I1104" s="1" t="inlineStr">
        <is>
          <t>ANET</t>
        </is>
      </c>
      <c r="J1104">
        <f>BDP($B1104,"CNTRY_OF_DOMICILE")</f>
        <v/>
      </c>
      <c r="K1104" t="inlineStr">
        <is>
          <t>EC</t>
        </is>
      </c>
      <c r="L1104" t="inlineStr">
        <is>
          <t>CORP</t>
        </is>
      </c>
      <c r="M1104" t="inlineStr"/>
      <c r="N1104" t="inlineStr"/>
      <c r="O1104" s="1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s="1" t="inlineStr"/>
      <c r="AR1104" s="1" t="inlineStr"/>
      <c r="AS1104" s="1" t="inlineStr"/>
      <c r="AT1104" t="inlineStr"/>
      <c r="AU1104" t="inlineStr"/>
      <c r="AV1104" t="inlineStr"/>
      <c r="AW1104" t="inlineStr"/>
      <c r="AX1104" t="inlineStr"/>
      <c r="AY1104" t="inlineStr"/>
    </row>
    <row r="1105">
      <c r="A1105" t="inlineStr">
        <is>
          <t>FDRS</t>
        </is>
      </c>
      <c r="B1105" t="inlineStr">
        <is>
          <t>APO US Equity</t>
        </is>
      </c>
      <c r="C1105" s="1" t="inlineStr">
        <is>
          <t>APO</t>
        </is>
      </c>
      <c r="D1105" t="inlineStr">
        <is>
          <t>Apollo Global Management Inc</t>
        </is>
      </c>
      <c r="E1105">
        <f>BDP($B1105,"LEGAL_ENTITY_IDENTIFIER")</f>
        <v/>
      </c>
      <c r="F1105" t="inlineStr">
        <is>
          <t>Apollo Global Management Inc</t>
        </is>
      </c>
      <c r="G1105">
        <f>custodian!D1105</f>
        <v/>
      </c>
      <c r="H1105">
        <f>BDP($B1105,"ID_ISIN")</f>
        <v/>
      </c>
      <c r="I1105" s="1" t="inlineStr">
        <is>
          <t>APO</t>
        </is>
      </c>
      <c r="J1105">
        <f>BDP($B1105,"CNTRY_OF_DOMICILE")</f>
        <v/>
      </c>
      <c r="K1105" t="inlineStr">
        <is>
          <t>EC</t>
        </is>
      </c>
      <c r="L1105" t="inlineStr">
        <is>
          <t>CORP</t>
        </is>
      </c>
      <c r="M1105" t="inlineStr"/>
      <c r="N1105" t="inlineStr"/>
      <c r="O1105" s="1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s="1" t="inlineStr"/>
      <c r="AR1105" s="1" t="inlineStr"/>
      <c r="AS1105" s="1" t="inlineStr"/>
      <c r="AT1105" t="inlineStr"/>
      <c r="AU1105" t="inlineStr"/>
      <c r="AV1105" t="inlineStr"/>
      <c r="AW1105" t="inlineStr"/>
      <c r="AX1105" t="inlineStr"/>
      <c r="AY1105" t="inlineStr"/>
    </row>
    <row r="1106">
      <c r="A1106" t="inlineStr">
        <is>
          <t>FDRS</t>
        </is>
      </c>
      <c r="B1106" t="inlineStr">
        <is>
          <t>APP US Equity</t>
        </is>
      </c>
      <c r="C1106" s="1" t="inlineStr">
        <is>
          <t>APP</t>
        </is>
      </c>
      <c r="D1106" t="inlineStr">
        <is>
          <t>AppLovin Corp</t>
        </is>
      </c>
      <c r="E1106">
        <f>BDP($B1106,"LEGAL_ENTITY_IDENTIFIER")</f>
        <v/>
      </c>
      <c r="F1106" t="inlineStr">
        <is>
          <t>AppLovin Corp</t>
        </is>
      </c>
      <c r="G1106">
        <f>custodian!D1106</f>
        <v/>
      </c>
      <c r="H1106">
        <f>BDP($B1106,"ID_ISIN")</f>
        <v/>
      </c>
      <c r="I1106" s="1" t="inlineStr">
        <is>
          <t>APP</t>
        </is>
      </c>
      <c r="J1106">
        <f>BDP($B1106,"CNTRY_OF_DOMICILE")</f>
        <v/>
      </c>
      <c r="K1106" t="inlineStr">
        <is>
          <t>EC</t>
        </is>
      </c>
      <c r="L1106" t="inlineStr">
        <is>
          <t>CORP</t>
        </is>
      </c>
      <c r="M1106" t="inlineStr"/>
      <c r="N1106" t="inlineStr"/>
      <c r="O1106" s="1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s="1" t="inlineStr"/>
      <c r="AR1106" s="1" t="inlineStr"/>
      <c r="AS1106" s="1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FDRS</t>
        </is>
      </c>
      <c r="B1107" t="inlineStr">
        <is>
          <t>ARES US Equity</t>
        </is>
      </c>
      <c r="C1107" s="1" t="inlineStr">
        <is>
          <t>ARES</t>
        </is>
      </c>
      <c r="D1107" t="inlineStr">
        <is>
          <t>Ares Management Corp</t>
        </is>
      </c>
      <c r="E1107">
        <f>BDP($B1107,"LEGAL_ENTITY_IDENTIFIER")</f>
        <v/>
      </c>
      <c r="F1107" t="inlineStr">
        <is>
          <t>Ares Management Corp</t>
        </is>
      </c>
      <c r="G1107">
        <f>custodian!D1107</f>
        <v/>
      </c>
      <c r="H1107">
        <f>BDP($B1107,"ID_ISIN")</f>
        <v/>
      </c>
      <c r="I1107" s="1" t="inlineStr">
        <is>
          <t>ARES</t>
        </is>
      </c>
      <c r="J1107">
        <f>BDP($B1107,"CNTRY_OF_DOMICILE")</f>
        <v/>
      </c>
      <c r="K1107" t="inlineStr">
        <is>
          <t>EC</t>
        </is>
      </c>
      <c r="L1107" t="inlineStr">
        <is>
          <t>CORP</t>
        </is>
      </c>
      <c r="M1107" t="inlineStr"/>
      <c r="N1107" t="inlineStr"/>
      <c r="O1107" s="1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s="1" t="inlineStr"/>
      <c r="AR1107" s="1" t="inlineStr"/>
      <c r="AS1107" s="1" t="inlineStr"/>
      <c r="AT1107" t="inlineStr"/>
      <c r="AU1107" t="inlineStr"/>
      <c r="AV1107" t="inlineStr"/>
      <c r="AW1107" t="inlineStr"/>
      <c r="AX1107" t="inlineStr"/>
      <c r="AY1107" t="inlineStr"/>
    </row>
    <row r="1108">
      <c r="A1108" t="inlineStr">
        <is>
          <t>FDRS</t>
        </is>
      </c>
      <c r="B1108" t="inlineStr">
        <is>
          <t>ASTS US Equity</t>
        </is>
      </c>
      <c r="C1108" s="1" t="inlineStr">
        <is>
          <t>ASTS</t>
        </is>
      </c>
      <c r="D1108" t="inlineStr">
        <is>
          <t>AST SpaceMobile Inc</t>
        </is>
      </c>
      <c r="E1108">
        <f>BDP($B1108,"LEGAL_ENTITY_IDENTIFIER")</f>
        <v/>
      </c>
      <c r="F1108" t="inlineStr">
        <is>
          <t>AST SpaceMobile Inc</t>
        </is>
      </c>
      <c r="G1108">
        <f>custodian!D1108</f>
        <v/>
      </c>
      <c r="H1108">
        <f>BDP($B1108,"ID_ISIN")</f>
        <v/>
      </c>
      <c r="I1108" s="1" t="inlineStr">
        <is>
          <t>ASTS</t>
        </is>
      </c>
      <c r="J1108">
        <f>BDP($B1108,"CNTRY_OF_DOMICILE")</f>
        <v/>
      </c>
      <c r="K1108" t="inlineStr">
        <is>
          <t>EC</t>
        </is>
      </c>
      <c r="L1108" t="inlineStr">
        <is>
          <t>CORP</t>
        </is>
      </c>
      <c r="M1108" t="inlineStr"/>
      <c r="N1108" t="inlineStr"/>
      <c r="O1108" s="1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s="1" t="inlineStr"/>
      <c r="AR1108" s="1" t="inlineStr"/>
      <c r="AS1108" s="1" t="inlineStr"/>
      <c r="AT1108" t="inlineStr"/>
      <c r="AU1108" t="inlineStr"/>
      <c r="AV1108" t="inlineStr"/>
      <c r="AW1108" t="inlineStr"/>
      <c r="AX1108" t="inlineStr"/>
      <c r="AY1108" t="inlineStr"/>
    </row>
    <row r="1109">
      <c r="A1109" t="inlineStr">
        <is>
          <t>FDRS</t>
        </is>
      </c>
      <c r="B1109" t="inlineStr">
        <is>
          <t>AXON US Equity</t>
        </is>
      </c>
      <c r="C1109" s="1" t="inlineStr">
        <is>
          <t>AXON</t>
        </is>
      </c>
      <c r="D1109" t="inlineStr">
        <is>
          <t>Axon Enterprise Inc</t>
        </is>
      </c>
      <c r="E1109">
        <f>BDP($B1109,"LEGAL_ENTITY_IDENTIFIER")</f>
        <v/>
      </c>
      <c r="F1109" t="inlineStr">
        <is>
          <t>Axon Enterprise Inc</t>
        </is>
      </c>
      <c r="G1109">
        <f>custodian!D1109</f>
        <v/>
      </c>
      <c r="H1109">
        <f>BDP($B1109,"ID_ISIN")</f>
        <v/>
      </c>
      <c r="I1109" s="1" t="inlineStr">
        <is>
          <t>AXON</t>
        </is>
      </c>
      <c r="J1109">
        <f>BDP($B1109,"CNTRY_OF_DOMICILE")</f>
        <v/>
      </c>
      <c r="K1109" t="inlineStr">
        <is>
          <t>EC</t>
        </is>
      </c>
      <c r="L1109" t="inlineStr">
        <is>
          <t>CORP</t>
        </is>
      </c>
      <c r="M1109" t="inlineStr"/>
      <c r="N1109" t="inlineStr"/>
      <c r="O1109" s="1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s="1" t="inlineStr"/>
      <c r="AR1109" s="1" t="inlineStr"/>
      <c r="AS1109" s="1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FDRS</t>
        </is>
      </c>
      <c r="B1110" t="inlineStr">
        <is>
          <t>BE US Equity</t>
        </is>
      </c>
      <c r="C1110" s="1" t="inlineStr">
        <is>
          <t>BE</t>
        </is>
      </c>
      <c r="D1110" t="inlineStr">
        <is>
          <t>Bloom Energy Corp</t>
        </is>
      </c>
      <c r="E1110">
        <f>BDP($B1110,"LEGAL_ENTITY_IDENTIFIER")</f>
        <v/>
      </c>
      <c r="F1110" t="inlineStr">
        <is>
          <t>Bloom Energy Corp</t>
        </is>
      </c>
      <c r="G1110">
        <f>custodian!D1110</f>
        <v/>
      </c>
      <c r="H1110">
        <f>BDP($B1110,"ID_ISIN")</f>
        <v/>
      </c>
      <c r="I1110" s="1" t="inlineStr">
        <is>
          <t>BE</t>
        </is>
      </c>
      <c r="J1110">
        <f>BDP($B1110,"CNTRY_OF_DOMICILE")</f>
        <v/>
      </c>
      <c r="K1110" t="inlineStr">
        <is>
          <t>EC</t>
        </is>
      </c>
      <c r="L1110" t="inlineStr">
        <is>
          <t>CORP</t>
        </is>
      </c>
      <c r="M1110" t="inlineStr"/>
      <c r="N1110" t="inlineStr"/>
      <c r="O1110" s="1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s="1" t="inlineStr"/>
      <c r="AR1110" s="1" t="inlineStr"/>
      <c r="AS1110" s="1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FDRS</t>
        </is>
      </c>
      <c r="B1111" t="inlineStr">
        <is>
          <t>BLK US Equity</t>
        </is>
      </c>
      <c r="C1111" s="1" t="inlineStr">
        <is>
          <t>BLK</t>
        </is>
      </c>
      <c r="D1111" t="inlineStr">
        <is>
          <t>Blackrock Inc</t>
        </is>
      </c>
      <c r="E1111">
        <f>BDP($B1111,"LEGAL_ENTITY_IDENTIFIER")</f>
        <v/>
      </c>
      <c r="F1111" t="inlineStr">
        <is>
          <t>Blackrock Inc</t>
        </is>
      </c>
      <c r="G1111">
        <f>custodian!D1111</f>
        <v/>
      </c>
      <c r="H1111">
        <f>BDP($B1111,"ID_ISIN")</f>
        <v/>
      </c>
      <c r="I1111" s="1" t="inlineStr">
        <is>
          <t>BLK</t>
        </is>
      </c>
      <c r="J1111">
        <f>BDP($B1111,"CNTRY_OF_DOMICILE")</f>
        <v/>
      </c>
      <c r="K1111" t="inlineStr">
        <is>
          <t>EC</t>
        </is>
      </c>
      <c r="L1111" t="inlineStr">
        <is>
          <t>CORP</t>
        </is>
      </c>
      <c r="M1111" t="inlineStr"/>
      <c r="N1111" t="inlineStr"/>
      <c r="O1111" s="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s="1" t="inlineStr"/>
      <c r="AR1111" s="1" t="inlineStr"/>
      <c r="AS1111" s="1" t="inlineStr"/>
      <c r="AT1111" t="inlineStr"/>
      <c r="AU1111" t="inlineStr"/>
      <c r="AV1111" t="inlineStr"/>
      <c r="AW1111" t="inlineStr"/>
      <c r="AX1111" t="inlineStr"/>
      <c r="AY1111" t="inlineStr"/>
    </row>
    <row r="1112">
      <c r="A1112" t="inlineStr">
        <is>
          <t>FDRS</t>
        </is>
      </c>
      <c r="B1112" t="inlineStr">
        <is>
          <t>BX US Equity</t>
        </is>
      </c>
      <c r="C1112" s="1" t="inlineStr">
        <is>
          <t>BX</t>
        </is>
      </c>
      <c r="D1112" t="inlineStr">
        <is>
          <t>Blackstone Inc</t>
        </is>
      </c>
      <c r="E1112">
        <f>BDP($B1112,"LEGAL_ENTITY_IDENTIFIER")</f>
        <v/>
      </c>
      <c r="F1112" t="inlineStr">
        <is>
          <t>Blackstone Inc</t>
        </is>
      </c>
      <c r="G1112">
        <f>custodian!D1112</f>
        <v/>
      </c>
      <c r="H1112">
        <f>BDP($B1112,"ID_ISIN")</f>
        <v/>
      </c>
      <c r="I1112" s="1" t="inlineStr">
        <is>
          <t>BX</t>
        </is>
      </c>
      <c r="J1112">
        <f>BDP($B1112,"CNTRY_OF_DOMICILE")</f>
        <v/>
      </c>
      <c r="K1112" t="inlineStr">
        <is>
          <t>EC</t>
        </is>
      </c>
      <c r="L1112" t="inlineStr">
        <is>
          <t>CORP</t>
        </is>
      </c>
      <c r="M1112" t="inlineStr"/>
      <c r="N1112" t="inlineStr"/>
      <c r="O1112" s="1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s="1" t="inlineStr"/>
      <c r="AR1112" s="1" t="inlineStr"/>
      <c r="AS1112" s="1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FDRS</t>
        </is>
      </c>
      <c r="B1113" t="inlineStr">
        <is>
          <t>COF US Equity</t>
        </is>
      </c>
      <c r="C1113" s="1" t="inlineStr">
        <is>
          <t>COF</t>
        </is>
      </c>
      <c r="D1113" t="inlineStr">
        <is>
          <t>Capital One Financial Corp</t>
        </is>
      </c>
      <c r="E1113">
        <f>BDP($B1113,"LEGAL_ENTITY_IDENTIFIER")</f>
        <v/>
      </c>
      <c r="F1113" t="inlineStr">
        <is>
          <t>Capital One Financial Corp</t>
        </is>
      </c>
      <c r="G1113">
        <f>custodian!D1113</f>
        <v/>
      </c>
      <c r="H1113">
        <f>BDP($B1113,"ID_ISIN")</f>
        <v/>
      </c>
      <c r="I1113" s="1" t="inlineStr">
        <is>
          <t>COF</t>
        </is>
      </c>
      <c r="J1113">
        <f>BDP($B1113,"CNTRY_OF_DOMICILE")</f>
        <v/>
      </c>
      <c r="K1113" t="inlineStr">
        <is>
          <t>EC</t>
        </is>
      </c>
      <c r="L1113" t="inlineStr">
        <is>
          <t>CORP</t>
        </is>
      </c>
      <c r="M1113" t="inlineStr"/>
      <c r="N1113" t="inlineStr"/>
      <c r="O1113" s="1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s="1" t="inlineStr"/>
      <c r="AR1113" s="1" t="inlineStr"/>
      <c r="AS1113" s="1" t="inlineStr"/>
      <c r="AT1113" t="inlineStr"/>
      <c r="AU1113" t="inlineStr"/>
      <c r="AV1113" t="inlineStr"/>
      <c r="AW1113" t="inlineStr"/>
      <c r="AX1113" t="inlineStr"/>
      <c r="AY1113" t="inlineStr"/>
    </row>
    <row r="1114">
      <c r="A1114" t="inlineStr">
        <is>
          <t>FDRS</t>
        </is>
      </c>
      <c r="B1114" t="inlineStr">
        <is>
          <t>COIN US Equity</t>
        </is>
      </c>
      <c r="C1114" s="1" t="inlineStr">
        <is>
          <t>COIN</t>
        </is>
      </c>
      <c r="D1114" t="inlineStr">
        <is>
          <t>Coinbase Global Inc</t>
        </is>
      </c>
      <c r="E1114">
        <f>BDP($B1114,"LEGAL_ENTITY_IDENTIFIER")</f>
        <v/>
      </c>
      <c r="F1114" t="inlineStr">
        <is>
          <t>Coinbase Global Inc</t>
        </is>
      </c>
      <c r="G1114">
        <f>custodian!D1114</f>
        <v/>
      </c>
      <c r="H1114">
        <f>BDP($B1114,"ID_ISIN")</f>
        <v/>
      </c>
      <c r="I1114" s="1" t="inlineStr">
        <is>
          <t>COIN</t>
        </is>
      </c>
      <c r="J1114">
        <f>BDP($B1114,"CNTRY_OF_DOMICILE")</f>
        <v/>
      </c>
      <c r="K1114" t="inlineStr">
        <is>
          <t>EC</t>
        </is>
      </c>
      <c r="L1114" t="inlineStr">
        <is>
          <t>CORP</t>
        </is>
      </c>
      <c r="M1114" t="inlineStr"/>
      <c r="N1114" t="inlineStr"/>
      <c r="O1114" s="1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s="1" t="inlineStr"/>
      <c r="AR1114" s="1" t="inlineStr"/>
      <c r="AS1114" s="1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FDRS</t>
        </is>
      </c>
      <c r="B1115" t="inlineStr">
        <is>
          <t>CPNG US Equity</t>
        </is>
      </c>
      <c r="C1115" s="1" t="inlineStr">
        <is>
          <t>CPNG</t>
        </is>
      </c>
      <c r="D1115" t="inlineStr">
        <is>
          <t>Coupang Inc</t>
        </is>
      </c>
      <c r="E1115">
        <f>BDP($B1115,"LEGAL_ENTITY_IDENTIFIER")</f>
        <v/>
      </c>
      <c r="F1115" t="inlineStr">
        <is>
          <t>Coupang Inc</t>
        </is>
      </c>
      <c r="G1115">
        <f>custodian!D1115</f>
        <v/>
      </c>
      <c r="H1115">
        <f>BDP($B1115,"ID_ISIN")</f>
        <v/>
      </c>
      <c r="I1115" s="1" t="inlineStr">
        <is>
          <t>CPNG</t>
        </is>
      </c>
      <c r="J1115">
        <f>BDP($B1115,"CNTRY_OF_DOMICILE")</f>
        <v/>
      </c>
      <c r="K1115" t="inlineStr">
        <is>
          <t>EC</t>
        </is>
      </c>
      <c r="L1115" t="inlineStr">
        <is>
          <t>CORP</t>
        </is>
      </c>
      <c r="M1115" t="inlineStr"/>
      <c r="N1115" t="inlineStr"/>
      <c r="O1115" s="1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s="1" t="inlineStr"/>
      <c r="AR1115" s="1" t="inlineStr"/>
      <c r="AS1115" s="1" t="inlineStr"/>
      <c r="AT1115" t="inlineStr"/>
      <c r="AU1115" t="inlineStr"/>
      <c r="AV1115" t="inlineStr"/>
      <c r="AW1115" t="inlineStr"/>
      <c r="AX1115" t="inlineStr"/>
      <c r="AY1115" t="inlineStr"/>
    </row>
    <row r="1116">
      <c r="A1116" t="inlineStr">
        <is>
          <t>FDRS</t>
        </is>
      </c>
      <c r="B1116" t="inlineStr">
        <is>
          <t>CRDO US Equity</t>
        </is>
      </c>
      <c r="C1116" s="1" t="inlineStr">
        <is>
          <t>CRDO</t>
        </is>
      </c>
      <c r="D1116" t="inlineStr">
        <is>
          <t>Credo Technology Group Holding</t>
        </is>
      </c>
      <c r="E1116">
        <f>BDP($B1116,"LEGAL_ENTITY_IDENTIFIER")</f>
        <v/>
      </c>
      <c r="F1116" t="inlineStr">
        <is>
          <t>Credo Technology Group Holding Ltd</t>
        </is>
      </c>
      <c r="G1116">
        <f>custodian!D1116</f>
        <v/>
      </c>
      <c r="H1116">
        <f>BDP($B1116,"ID_ISIN")</f>
        <v/>
      </c>
      <c r="I1116" s="1" t="inlineStr">
        <is>
          <t>CRDO</t>
        </is>
      </c>
      <c r="J1116">
        <f>BDP($B1116,"CNTRY_OF_DOMICILE")</f>
        <v/>
      </c>
      <c r="K1116" t="inlineStr">
        <is>
          <t>EC</t>
        </is>
      </c>
      <c r="L1116" t="inlineStr">
        <is>
          <t>CORP</t>
        </is>
      </c>
      <c r="M1116" t="inlineStr"/>
      <c r="N1116" t="inlineStr"/>
      <c r="O1116" s="1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s="1" t="inlineStr"/>
      <c r="AR1116" s="1" t="inlineStr"/>
      <c r="AS1116" s="1" t="inlineStr"/>
      <c r="AT1116" t="inlineStr"/>
      <c r="AU1116" t="inlineStr"/>
      <c r="AV1116" t="inlineStr"/>
      <c r="AW1116" t="inlineStr"/>
      <c r="AX1116" t="inlineStr"/>
      <c r="AY1116" t="inlineStr"/>
    </row>
    <row r="1117">
      <c r="A1117" t="inlineStr">
        <is>
          <t>FDRS</t>
        </is>
      </c>
      <c r="B1117" t="inlineStr">
        <is>
          <t>CRM US Equity</t>
        </is>
      </c>
      <c r="C1117" s="1" t="inlineStr">
        <is>
          <t>CRM</t>
        </is>
      </c>
      <c r="D1117" t="inlineStr">
        <is>
          <t>Salesforce Inc</t>
        </is>
      </c>
      <c r="E1117">
        <f>BDP($B1117,"LEGAL_ENTITY_IDENTIFIER")</f>
        <v/>
      </c>
      <c r="F1117" t="inlineStr">
        <is>
          <t>Salesforce Inc</t>
        </is>
      </c>
      <c r="G1117">
        <f>custodian!D1117</f>
        <v/>
      </c>
      <c r="H1117">
        <f>BDP($B1117,"ID_ISIN")</f>
        <v/>
      </c>
      <c r="I1117" s="1" t="inlineStr">
        <is>
          <t>CRM</t>
        </is>
      </c>
      <c r="J1117">
        <f>BDP($B1117,"CNTRY_OF_DOMICILE")</f>
        <v/>
      </c>
      <c r="K1117" t="inlineStr">
        <is>
          <t>EC</t>
        </is>
      </c>
      <c r="L1117" t="inlineStr">
        <is>
          <t>CORP</t>
        </is>
      </c>
      <c r="M1117" t="inlineStr"/>
      <c r="N1117" t="inlineStr"/>
      <c r="O1117" s="1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s="1" t="inlineStr"/>
      <c r="AR1117" s="1" t="inlineStr"/>
      <c r="AS1117" s="1" t="inlineStr"/>
      <c r="AT1117" t="inlineStr"/>
      <c r="AU1117" t="inlineStr"/>
      <c r="AV1117" t="inlineStr"/>
      <c r="AW1117" t="inlineStr"/>
      <c r="AX1117" t="inlineStr"/>
      <c r="AY1117" t="inlineStr"/>
    </row>
    <row r="1118">
      <c r="A1118" t="inlineStr">
        <is>
          <t>FDRS</t>
        </is>
      </c>
      <c r="B1118" t="inlineStr">
        <is>
          <t>CRWD US Equity</t>
        </is>
      </c>
      <c r="C1118" s="1" t="inlineStr">
        <is>
          <t>CRWD</t>
        </is>
      </c>
      <c r="D1118" t="inlineStr">
        <is>
          <t>Crowdstrike Holdings Inc</t>
        </is>
      </c>
      <c r="E1118">
        <f>BDP($B1118,"LEGAL_ENTITY_IDENTIFIER")</f>
        <v/>
      </c>
      <c r="F1118" t="inlineStr">
        <is>
          <t>Crowdstrike Holdings Inc</t>
        </is>
      </c>
      <c r="G1118">
        <f>custodian!D1118</f>
        <v/>
      </c>
      <c r="H1118">
        <f>BDP($B1118,"ID_ISIN")</f>
        <v/>
      </c>
      <c r="I1118" s="1" t="inlineStr">
        <is>
          <t>CRWD</t>
        </is>
      </c>
      <c r="J1118">
        <f>BDP($B1118,"CNTRY_OF_DOMICILE")</f>
        <v/>
      </c>
      <c r="K1118" t="inlineStr">
        <is>
          <t>EC</t>
        </is>
      </c>
      <c r="L1118" t="inlineStr">
        <is>
          <t>CORP</t>
        </is>
      </c>
      <c r="M1118" t="inlineStr"/>
      <c r="N1118" t="inlineStr"/>
      <c r="O1118" s="1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s="1" t="inlineStr"/>
      <c r="AR1118" s="1" t="inlineStr"/>
      <c r="AS1118" s="1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FDRS</t>
        </is>
      </c>
      <c r="B1119" t="inlineStr">
        <is>
          <t>CRWV US Equity</t>
        </is>
      </c>
      <c r="C1119" s="1" t="inlineStr">
        <is>
          <t>CRWV</t>
        </is>
      </c>
      <c r="D1119" t="inlineStr">
        <is>
          <t>CoreWeave Inc</t>
        </is>
      </c>
      <c r="E1119">
        <f>BDP($B1119,"LEGAL_ENTITY_IDENTIFIER")</f>
        <v/>
      </c>
      <c r="F1119" t="inlineStr">
        <is>
          <t>CoreWeave Inc</t>
        </is>
      </c>
      <c r="G1119">
        <f>custodian!D1119</f>
        <v/>
      </c>
      <c r="H1119">
        <f>BDP($B1119,"ID_ISIN")</f>
        <v/>
      </c>
      <c r="I1119" s="1" t="inlineStr">
        <is>
          <t>CRWV</t>
        </is>
      </c>
      <c r="J1119">
        <f>BDP($B1119,"CNTRY_OF_DOMICILE")</f>
        <v/>
      </c>
      <c r="K1119" t="inlineStr">
        <is>
          <t>EC</t>
        </is>
      </c>
      <c r="L1119" t="inlineStr">
        <is>
          <t>CORP</t>
        </is>
      </c>
      <c r="M1119" t="inlineStr"/>
      <c r="N1119" t="inlineStr"/>
      <c r="O1119" s="1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s="1" t="inlineStr"/>
      <c r="AR1119" s="1" t="inlineStr"/>
      <c r="AS1119" s="1" t="inlineStr"/>
      <c r="AT1119" t="inlineStr"/>
      <c r="AU1119" t="inlineStr"/>
      <c r="AV1119" t="inlineStr"/>
      <c r="AW1119" t="inlineStr"/>
      <c r="AX1119" t="inlineStr"/>
      <c r="AY1119" t="inlineStr"/>
    </row>
    <row r="1120">
      <c r="A1120" t="inlineStr">
        <is>
          <t>FDRS</t>
        </is>
      </c>
      <c r="B1120" t="inlineStr">
        <is>
          <t>CVNA US Equity</t>
        </is>
      </c>
      <c r="C1120" s="1" t="inlineStr">
        <is>
          <t>CVNA</t>
        </is>
      </c>
      <c r="D1120" t="inlineStr">
        <is>
          <t>Carvana Co</t>
        </is>
      </c>
      <c r="E1120">
        <f>BDP($B1120,"LEGAL_ENTITY_IDENTIFIER")</f>
        <v/>
      </c>
      <c r="F1120" t="inlineStr">
        <is>
          <t>Carvana Co</t>
        </is>
      </c>
      <c r="G1120">
        <f>custodian!D1120</f>
        <v/>
      </c>
      <c r="H1120">
        <f>BDP($B1120,"ID_ISIN")</f>
        <v/>
      </c>
      <c r="I1120" s="1" t="inlineStr">
        <is>
          <t>CVNA</t>
        </is>
      </c>
      <c r="J1120">
        <f>BDP($B1120,"CNTRY_OF_DOMICILE")</f>
        <v/>
      </c>
      <c r="K1120" t="inlineStr">
        <is>
          <t>EC</t>
        </is>
      </c>
      <c r="L1120" t="inlineStr">
        <is>
          <t>CORP</t>
        </is>
      </c>
      <c r="M1120" t="inlineStr"/>
      <c r="N1120" t="inlineStr"/>
      <c r="O1120" s="1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s="1" t="inlineStr"/>
      <c r="AR1120" s="1" t="inlineStr"/>
      <c r="AS1120" s="1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FDRS</t>
        </is>
      </c>
      <c r="B1121" t="inlineStr">
        <is>
          <t>DASH US Equity</t>
        </is>
      </c>
      <c r="C1121" s="1" t="inlineStr">
        <is>
          <t>DASH</t>
        </is>
      </c>
      <c r="D1121" t="inlineStr">
        <is>
          <t>DoorDash Inc</t>
        </is>
      </c>
      <c r="E1121">
        <f>BDP($B1121,"LEGAL_ENTITY_IDENTIFIER")</f>
        <v/>
      </c>
      <c r="F1121" t="inlineStr">
        <is>
          <t>DoorDash Inc</t>
        </is>
      </c>
      <c r="G1121">
        <f>custodian!D1121</f>
        <v/>
      </c>
      <c r="H1121">
        <f>BDP($B1121,"ID_ISIN")</f>
        <v/>
      </c>
      <c r="I1121" s="1" t="inlineStr">
        <is>
          <t>DASH</t>
        </is>
      </c>
      <c r="J1121">
        <f>BDP($B1121,"CNTRY_OF_DOMICILE")</f>
        <v/>
      </c>
      <c r="K1121" t="inlineStr">
        <is>
          <t>EC</t>
        </is>
      </c>
      <c r="L1121" t="inlineStr">
        <is>
          <t>CORP</t>
        </is>
      </c>
      <c r="M1121" t="inlineStr"/>
      <c r="N1121" t="inlineStr"/>
      <c r="O1121" s="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s="1" t="inlineStr"/>
      <c r="AR1121" s="1" t="inlineStr"/>
      <c r="AS1121" s="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FDRS</t>
        </is>
      </c>
      <c r="B1122" t="inlineStr">
        <is>
          <t>DDOG US Equity</t>
        </is>
      </c>
      <c r="C1122" s="1" t="inlineStr">
        <is>
          <t>DDOG</t>
        </is>
      </c>
      <c r="D1122" t="inlineStr">
        <is>
          <t>Datadog Inc</t>
        </is>
      </c>
      <c r="E1122">
        <f>BDP($B1122,"LEGAL_ENTITY_IDENTIFIER")</f>
        <v/>
      </c>
      <c r="F1122" t="inlineStr">
        <is>
          <t>Datadog Inc</t>
        </is>
      </c>
      <c r="G1122">
        <f>custodian!D1122</f>
        <v/>
      </c>
      <c r="H1122">
        <f>BDP($B1122,"ID_ISIN")</f>
        <v/>
      </c>
      <c r="I1122" s="1" t="inlineStr">
        <is>
          <t>DDOG</t>
        </is>
      </c>
      <c r="J1122">
        <f>BDP($B1122,"CNTRY_OF_DOMICILE")</f>
        <v/>
      </c>
      <c r="K1122" t="inlineStr">
        <is>
          <t>EC</t>
        </is>
      </c>
      <c r="L1122" t="inlineStr">
        <is>
          <t>CORP</t>
        </is>
      </c>
      <c r="M1122" t="inlineStr"/>
      <c r="N1122" t="inlineStr"/>
      <c r="O1122" s="1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s="1" t="inlineStr"/>
      <c r="AR1122" s="1" t="inlineStr"/>
      <c r="AS1122" s="1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FDRS</t>
        </is>
      </c>
      <c r="B1123" t="inlineStr">
        <is>
          <t>DELL US Equity</t>
        </is>
      </c>
      <c r="C1123" s="1" t="inlineStr">
        <is>
          <t>DELL</t>
        </is>
      </c>
      <c r="D1123" t="inlineStr">
        <is>
          <t>Dell Technologies Inc</t>
        </is>
      </c>
      <c r="E1123">
        <f>BDP($B1123,"LEGAL_ENTITY_IDENTIFIER")</f>
        <v/>
      </c>
      <c r="F1123" t="inlineStr">
        <is>
          <t>Dell Technologies Inc</t>
        </is>
      </c>
      <c r="G1123">
        <f>custodian!D1123</f>
        <v/>
      </c>
      <c r="H1123">
        <f>BDP($B1123,"ID_ISIN")</f>
        <v/>
      </c>
      <c r="I1123" s="1" t="inlineStr">
        <is>
          <t>DELL</t>
        </is>
      </c>
      <c r="J1123">
        <f>BDP($B1123,"CNTRY_OF_DOMICILE")</f>
        <v/>
      </c>
      <c r="K1123" t="inlineStr">
        <is>
          <t>EC</t>
        </is>
      </c>
      <c r="L1123" t="inlineStr">
        <is>
          <t>CORP</t>
        </is>
      </c>
      <c r="M1123" t="inlineStr"/>
      <c r="N1123" t="inlineStr"/>
      <c r="O1123" s="1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s="1" t="inlineStr"/>
      <c r="AR1123" s="1" t="inlineStr"/>
      <c r="AS1123" s="1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FDRS</t>
        </is>
      </c>
      <c r="B1124" t="inlineStr">
        <is>
          <t>FGXXX US Equity</t>
        </is>
      </c>
      <c r="C1124" s="1" t="inlineStr">
        <is>
          <t>FGXXX</t>
        </is>
      </c>
      <c r="D1124" t="inlineStr">
        <is>
          <t>First American Government Obli</t>
        </is>
      </c>
      <c r="E1124">
        <f>BDP($B1124,"LEGAL_ENTITY_IDENTIFIER")</f>
        <v/>
      </c>
      <c r="F1124" t="inlineStr">
        <is>
          <t>First American Government Obligations Fund</t>
        </is>
      </c>
      <c r="G1124">
        <f>custodian!D1124</f>
        <v/>
      </c>
      <c r="H1124">
        <f>BDP($B1124,"ID_ISIN")</f>
        <v/>
      </c>
      <c r="I1124" s="1" t="inlineStr">
        <is>
          <t>FGXXX</t>
        </is>
      </c>
      <c r="J1124">
        <f>BDP($B1124,"CNTRY_OF_DOMICILE")</f>
        <v/>
      </c>
      <c r="K1124" t="inlineStr">
        <is>
          <t>STIV</t>
        </is>
      </c>
      <c r="L1124" t="inlineStr">
        <is>
          <t>RF</t>
        </is>
      </c>
      <c r="M1124" t="inlineStr"/>
      <c r="N1124" t="inlineStr"/>
      <c r="O1124" s="1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s="1" t="inlineStr"/>
      <c r="AR1124" s="1" t="inlineStr"/>
      <c r="AS1124" s="1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FDRS</t>
        </is>
      </c>
      <c r="B1125" t="inlineStr">
        <is>
          <t>FTNT US Equity</t>
        </is>
      </c>
      <c r="C1125" s="1" t="inlineStr">
        <is>
          <t>FTNT</t>
        </is>
      </c>
      <c r="D1125" t="inlineStr">
        <is>
          <t>Fortinet Inc</t>
        </is>
      </c>
      <c r="E1125">
        <f>BDP($B1125,"LEGAL_ENTITY_IDENTIFIER")</f>
        <v/>
      </c>
      <c r="F1125" t="inlineStr">
        <is>
          <t>Fortinet Inc</t>
        </is>
      </c>
      <c r="G1125">
        <f>custodian!D1125</f>
        <v/>
      </c>
      <c r="H1125">
        <f>BDP($B1125,"ID_ISIN")</f>
        <v/>
      </c>
      <c r="I1125" s="1" t="inlineStr">
        <is>
          <t>FTNT</t>
        </is>
      </c>
      <c r="J1125">
        <f>BDP($B1125,"CNTRY_OF_DOMICILE")</f>
        <v/>
      </c>
      <c r="K1125" t="inlineStr">
        <is>
          <t>EC</t>
        </is>
      </c>
      <c r="L1125" t="inlineStr">
        <is>
          <t>CORP</t>
        </is>
      </c>
      <c r="M1125" t="inlineStr"/>
      <c r="N1125" t="inlineStr"/>
      <c r="O1125" s="1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s="1" t="inlineStr"/>
      <c r="AR1125" s="1" t="inlineStr"/>
      <c r="AS1125" s="1" t="inlineStr"/>
      <c r="AT1125" t="inlineStr"/>
      <c r="AU1125" t="inlineStr"/>
      <c r="AV1125" t="inlineStr"/>
      <c r="AW1125" t="inlineStr"/>
      <c r="AX1125" t="inlineStr"/>
      <c r="AY1125" t="inlineStr"/>
    </row>
    <row r="1126">
      <c r="A1126" t="inlineStr">
        <is>
          <t>FDRS</t>
        </is>
      </c>
      <c r="B1126" t="inlineStr">
        <is>
          <t>HOOD US Equity</t>
        </is>
      </c>
      <c r="C1126" s="1" t="inlineStr">
        <is>
          <t>HOOD</t>
        </is>
      </c>
      <c r="D1126" t="inlineStr">
        <is>
          <t>Robinhood Markets Inc</t>
        </is>
      </c>
      <c r="E1126">
        <f>BDP($B1126,"LEGAL_ENTITY_IDENTIFIER")</f>
        <v/>
      </c>
      <c r="F1126" t="inlineStr">
        <is>
          <t>Robinhood Markets Inc</t>
        </is>
      </c>
      <c r="G1126">
        <f>custodian!D1126</f>
        <v/>
      </c>
      <c r="H1126">
        <f>BDP($B1126,"ID_ISIN")</f>
        <v/>
      </c>
      <c r="I1126" s="1" t="inlineStr">
        <is>
          <t>HOOD</t>
        </is>
      </c>
      <c r="J1126">
        <f>BDP($B1126,"CNTRY_OF_DOMICILE")</f>
        <v/>
      </c>
      <c r="K1126" t="inlineStr">
        <is>
          <t>EC</t>
        </is>
      </c>
      <c r="L1126" t="inlineStr">
        <is>
          <t>CORP</t>
        </is>
      </c>
      <c r="M1126" t="inlineStr"/>
      <c r="N1126" t="inlineStr"/>
      <c r="O1126" s="1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s="1" t="inlineStr"/>
      <c r="AR1126" s="1" t="inlineStr"/>
      <c r="AS1126" s="1" t="inlineStr"/>
      <c r="AT1126" t="inlineStr"/>
      <c r="AU1126" t="inlineStr"/>
      <c r="AV1126" t="inlineStr"/>
      <c r="AW1126" t="inlineStr"/>
      <c r="AX1126" t="inlineStr"/>
      <c r="AY1126" t="inlineStr"/>
    </row>
    <row r="1127">
      <c r="A1127" t="inlineStr">
        <is>
          <t>FDRS</t>
        </is>
      </c>
      <c r="B1127" t="inlineStr">
        <is>
          <t>ICE US Equity</t>
        </is>
      </c>
      <c r="C1127" s="1" t="inlineStr">
        <is>
          <t>ICE</t>
        </is>
      </c>
      <c r="D1127" t="inlineStr">
        <is>
          <t>Intercontinental Exchange Inc</t>
        </is>
      </c>
      <c r="E1127">
        <f>BDP($B1127,"LEGAL_ENTITY_IDENTIFIER")</f>
        <v/>
      </c>
      <c r="F1127" t="inlineStr">
        <is>
          <t>Intercontinental Exchange Inc</t>
        </is>
      </c>
      <c r="G1127">
        <f>custodian!D1127</f>
        <v/>
      </c>
      <c r="H1127">
        <f>BDP($B1127,"ID_ISIN")</f>
        <v/>
      </c>
      <c r="I1127" s="1" t="inlineStr">
        <is>
          <t>ICE</t>
        </is>
      </c>
      <c r="J1127">
        <f>BDP($B1127,"CNTRY_OF_DOMICILE")</f>
        <v/>
      </c>
      <c r="K1127" t="inlineStr">
        <is>
          <t>EC</t>
        </is>
      </c>
      <c r="L1127" t="inlineStr">
        <is>
          <t>CORP</t>
        </is>
      </c>
      <c r="M1127" t="inlineStr"/>
      <c r="N1127" t="inlineStr"/>
      <c r="O1127" s="1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s="1" t="inlineStr"/>
      <c r="AR1127" s="1" t="inlineStr"/>
      <c r="AS1127" s="1" t="inlineStr"/>
      <c r="AT1127" t="inlineStr"/>
      <c r="AU1127" t="inlineStr"/>
      <c r="AV1127" t="inlineStr"/>
      <c r="AW1127" t="inlineStr"/>
      <c r="AX1127" t="inlineStr"/>
      <c r="AY1127" t="inlineStr"/>
    </row>
    <row r="1128">
      <c r="A1128" t="inlineStr">
        <is>
          <t>FDRS</t>
        </is>
      </c>
      <c r="B1128" t="inlineStr">
        <is>
          <t>META US Equity</t>
        </is>
      </c>
      <c r="C1128" s="1" t="inlineStr">
        <is>
          <t>META</t>
        </is>
      </c>
      <c r="D1128" t="inlineStr">
        <is>
          <t>Meta Platforms Inc</t>
        </is>
      </c>
      <c r="E1128">
        <f>BDP($B1128,"LEGAL_ENTITY_IDENTIFIER")</f>
        <v/>
      </c>
      <c r="F1128" t="inlineStr">
        <is>
          <t>Meta Platforms Inc</t>
        </is>
      </c>
      <c r="G1128">
        <f>custodian!D1128</f>
        <v/>
      </c>
      <c r="H1128">
        <f>BDP($B1128,"ID_ISIN")</f>
        <v/>
      </c>
      <c r="I1128" s="1" t="inlineStr">
        <is>
          <t>META</t>
        </is>
      </c>
      <c r="J1128">
        <f>BDP($B1128,"CNTRY_OF_DOMICILE")</f>
        <v/>
      </c>
      <c r="K1128" t="inlineStr">
        <is>
          <t>EC</t>
        </is>
      </c>
      <c r="L1128" t="inlineStr">
        <is>
          <t>CORP</t>
        </is>
      </c>
      <c r="M1128" t="inlineStr"/>
      <c r="N1128" t="inlineStr"/>
      <c r="O1128" s="1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s="1" t="inlineStr"/>
      <c r="AR1128" s="1" t="inlineStr"/>
      <c r="AS1128" s="1" t="inlineStr"/>
      <c r="AT1128" t="inlineStr"/>
      <c r="AU1128" t="inlineStr"/>
      <c r="AV1128" t="inlineStr"/>
      <c r="AW1128" t="inlineStr"/>
      <c r="AX1128" t="inlineStr"/>
      <c r="AY1128" t="inlineStr"/>
    </row>
    <row r="1129">
      <c r="A1129" t="inlineStr">
        <is>
          <t>FDRS</t>
        </is>
      </c>
      <c r="B1129" t="inlineStr">
        <is>
          <t>MPWR US Equity</t>
        </is>
      </c>
      <c r="C1129" s="1" t="inlineStr">
        <is>
          <t>MPWR</t>
        </is>
      </c>
      <c r="D1129" t="inlineStr">
        <is>
          <t>Monolithic Power Systems Inc</t>
        </is>
      </c>
      <c r="E1129">
        <f>BDP($B1129,"LEGAL_ENTITY_IDENTIFIER")</f>
        <v/>
      </c>
      <c r="F1129" t="inlineStr">
        <is>
          <t>Monolithic Power Systems Inc</t>
        </is>
      </c>
      <c r="G1129">
        <f>custodian!D1129</f>
        <v/>
      </c>
      <c r="H1129">
        <f>BDP($B1129,"ID_ISIN")</f>
        <v/>
      </c>
      <c r="I1129" s="1" t="inlineStr">
        <is>
          <t>MPWR</t>
        </is>
      </c>
      <c r="J1129">
        <f>BDP($B1129,"CNTRY_OF_DOMICILE")</f>
        <v/>
      </c>
      <c r="K1129" t="inlineStr">
        <is>
          <t>EC</t>
        </is>
      </c>
      <c r="L1129" t="inlineStr">
        <is>
          <t>CORP</t>
        </is>
      </c>
      <c r="M1129" t="inlineStr"/>
      <c r="N1129" t="inlineStr"/>
      <c r="O1129" s="1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s="1" t="inlineStr"/>
      <c r="AR1129" s="1" t="inlineStr"/>
      <c r="AS1129" s="1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FDRS</t>
        </is>
      </c>
      <c r="B1130" t="inlineStr">
        <is>
          <t>MSTR US Equity</t>
        </is>
      </c>
      <c r="C1130" s="1" t="inlineStr">
        <is>
          <t>MSTR</t>
        </is>
      </c>
      <c r="D1130" t="inlineStr">
        <is>
          <t>Strategy Inc</t>
        </is>
      </c>
      <c r="E1130">
        <f>BDP($B1130,"LEGAL_ENTITY_IDENTIFIER")</f>
        <v/>
      </c>
      <c r="F1130" t="inlineStr">
        <is>
          <t>Strategy Inc</t>
        </is>
      </c>
      <c r="G1130">
        <f>custodian!D1130</f>
        <v/>
      </c>
      <c r="H1130">
        <f>BDP($B1130,"ID_ISIN")</f>
        <v/>
      </c>
      <c r="I1130" s="1" t="inlineStr">
        <is>
          <t>MSTR</t>
        </is>
      </c>
      <c r="J1130">
        <f>BDP($B1130,"CNTRY_OF_DOMICILE")</f>
        <v/>
      </c>
      <c r="K1130" t="inlineStr">
        <is>
          <t>EC</t>
        </is>
      </c>
      <c r="L1130" t="inlineStr">
        <is>
          <t>CORP</t>
        </is>
      </c>
      <c r="M1130" t="inlineStr"/>
      <c r="N1130" t="inlineStr"/>
      <c r="O1130" s="1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s="1" t="inlineStr"/>
      <c r="AR1130" s="1" t="inlineStr"/>
      <c r="AS1130" s="1" t="inlineStr"/>
      <c r="AT1130" t="inlineStr"/>
      <c r="AU1130" t="inlineStr"/>
      <c r="AV1130" t="inlineStr"/>
      <c r="AW1130" t="inlineStr"/>
      <c r="AX1130" t="inlineStr"/>
      <c r="AY1130" t="inlineStr"/>
    </row>
    <row r="1131">
      <c r="A1131" t="inlineStr">
        <is>
          <t>FDRS</t>
        </is>
      </c>
      <c r="B1131" t="inlineStr">
        <is>
          <t>NBIS US Equity</t>
        </is>
      </c>
      <c r="C1131" s="1" t="inlineStr">
        <is>
          <t>NBIS</t>
        </is>
      </c>
      <c r="D1131" t="inlineStr">
        <is>
          <t>Nebius Group NV</t>
        </is>
      </c>
      <c r="E1131">
        <f>BDP($B1131,"LEGAL_ENTITY_IDENTIFIER")</f>
        <v/>
      </c>
      <c r="F1131" t="inlineStr">
        <is>
          <t>Nebius Group NV</t>
        </is>
      </c>
      <c r="G1131">
        <f>custodian!D1131</f>
        <v/>
      </c>
      <c r="H1131">
        <f>BDP($B1131,"ID_ISIN")</f>
        <v/>
      </c>
      <c r="I1131" s="1" t="inlineStr">
        <is>
          <t>NBIS</t>
        </is>
      </c>
      <c r="J1131">
        <f>BDP($B1131,"CNTRY_OF_DOMICILE")</f>
        <v/>
      </c>
      <c r="K1131" t="inlineStr">
        <is>
          <t>EC</t>
        </is>
      </c>
      <c r="L1131" t="inlineStr">
        <is>
          <t>CORP</t>
        </is>
      </c>
      <c r="M1131" t="inlineStr"/>
      <c r="N1131" t="inlineStr"/>
      <c r="O1131" s="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s="1" t="inlineStr"/>
      <c r="AR1131" s="1" t="inlineStr"/>
      <c r="AS1131" s="1" t="inlineStr"/>
      <c r="AT1131" t="inlineStr"/>
      <c r="AU1131" t="inlineStr"/>
      <c r="AV1131" t="inlineStr"/>
      <c r="AW1131" t="inlineStr"/>
      <c r="AX1131" t="inlineStr"/>
      <c r="AY1131" t="inlineStr"/>
    </row>
    <row r="1132">
      <c r="A1132" t="inlineStr">
        <is>
          <t>FDRS</t>
        </is>
      </c>
      <c r="B1132" t="inlineStr">
        <is>
          <t>NET US Equity</t>
        </is>
      </c>
      <c r="C1132" s="1" t="inlineStr">
        <is>
          <t>NET</t>
        </is>
      </c>
      <c r="D1132" t="inlineStr">
        <is>
          <t>Cloudflare Inc</t>
        </is>
      </c>
      <c r="E1132">
        <f>BDP($B1132,"LEGAL_ENTITY_IDENTIFIER")</f>
        <v/>
      </c>
      <c r="F1132" t="inlineStr">
        <is>
          <t>Cloudflare Inc</t>
        </is>
      </c>
      <c r="G1132">
        <f>custodian!D1132</f>
        <v/>
      </c>
      <c r="H1132">
        <f>BDP($B1132,"ID_ISIN")</f>
        <v/>
      </c>
      <c r="I1132" s="1" t="inlineStr">
        <is>
          <t>NET</t>
        </is>
      </c>
      <c r="J1132">
        <f>BDP($B1132,"CNTRY_OF_DOMICILE")</f>
        <v/>
      </c>
      <c r="K1132" t="inlineStr">
        <is>
          <t>EC</t>
        </is>
      </c>
      <c r="L1132" t="inlineStr">
        <is>
          <t>CORP</t>
        </is>
      </c>
      <c r="M1132" t="inlineStr"/>
      <c r="N1132" t="inlineStr"/>
      <c r="O1132" s="1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s="1" t="inlineStr"/>
      <c r="AR1132" s="1" t="inlineStr"/>
      <c r="AS1132" s="1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FDRS</t>
        </is>
      </c>
      <c r="B1133" t="inlineStr">
        <is>
          <t>NU US Equity</t>
        </is>
      </c>
      <c r="C1133" s="1" t="inlineStr">
        <is>
          <t>NU</t>
        </is>
      </c>
      <c r="D1133" t="inlineStr">
        <is>
          <t>NU Holdings Ltd/Cayman Islands</t>
        </is>
      </c>
      <c r="E1133">
        <f>BDP($B1133,"LEGAL_ENTITY_IDENTIFIER")</f>
        <v/>
      </c>
      <c r="F1133" t="inlineStr">
        <is>
          <t>NU Holdings Ltd/Cayman Islands</t>
        </is>
      </c>
      <c r="G1133">
        <f>custodian!D1133</f>
        <v/>
      </c>
      <c r="H1133">
        <f>BDP($B1133,"ID_ISIN")</f>
        <v/>
      </c>
      <c r="I1133" s="1" t="inlineStr">
        <is>
          <t>NU</t>
        </is>
      </c>
      <c r="J1133">
        <f>BDP($B1133,"CNTRY_OF_DOMICILE")</f>
        <v/>
      </c>
      <c r="K1133" t="inlineStr">
        <is>
          <t>EC</t>
        </is>
      </c>
      <c r="L1133" t="inlineStr">
        <is>
          <t>CORP</t>
        </is>
      </c>
      <c r="M1133" t="inlineStr"/>
      <c r="N1133" t="inlineStr"/>
      <c r="O1133" s="1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s="1" t="inlineStr"/>
      <c r="AR1133" s="1" t="inlineStr"/>
      <c r="AS1133" s="1" t="inlineStr"/>
      <c r="AT1133" t="inlineStr"/>
      <c r="AU1133" t="inlineStr"/>
      <c r="AV1133" t="inlineStr"/>
      <c r="AW1133" t="inlineStr"/>
      <c r="AX1133" t="inlineStr"/>
      <c r="AY1133" t="inlineStr"/>
    </row>
    <row r="1134">
      <c r="A1134" t="inlineStr">
        <is>
          <t>FDRS</t>
        </is>
      </c>
      <c r="B1134" t="inlineStr">
        <is>
          <t>NVDA US Equity</t>
        </is>
      </c>
      <c r="C1134" s="1" t="inlineStr">
        <is>
          <t>NVDA</t>
        </is>
      </c>
      <c r="D1134" t="inlineStr">
        <is>
          <t>NVIDIA Corp</t>
        </is>
      </c>
      <c r="E1134">
        <f>BDP($B1134,"LEGAL_ENTITY_IDENTIFIER")</f>
        <v/>
      </c>
      <c r="F1134" t="inlineStr">
        <is>
          <t>NVIDIA Corp</t>
        </is>
      </c>
      <c r="G1134">
        <f>custodian!D1134</f>
        <v/>
      </c>
      <c r="H1134">
        <f>BDP($B1134,"ID_ISIN")</f>
        <v/>
      </c>
      <c r="I1134" s="1" t="inlineStr">
        <is>
          <t>NVDA</t>
        </is>
      </c>
      <c r="J1134">
        <f>BDP($B1134,"CNTRY_OF_DOMICILE")</f>
        <v/>
      </c>
      <c r="K1134" t="inlineStr">
        <is>
          <t>EC</t>
        </is>
      </c>
      <c r="L1134" t="inlineStr">
        <is>
          <t>CORP</t>
        </is>
      </c>
      <c r="M1134" t="inlineStr"/>
      <c r="N1134" t="inlineStr"/>
      <c r="O1134" s="1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s="1" t="inlineStr"/>
      <c r="AR1134" s="1" t="inlineStr"/>
      <c r="AS1134" s="1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FDRS</t>
        </is>
      </c>
      <c r="B1135" t="inlineStr">
        <is>
          <t>ORCL US Equity</t>
        </is>
      </c>
      <c r="C1135" s="1" t="inlineStr">
        <is>
          <t>ORCL</t>
        </is>
      </c>
      <c r="D1135" t="inlineStr">
        <is>
          <t>Oracle Corp</t>
        </is>
      </c>
      <c r="E1135">
        <f>BDP($B1135,"LEGAL_ENTITY_IDENTIFIER")</f>
        <v/>
      </c>
      <c r="F1135" t="inlineStr">
        <is>
          <t>Oracle Corp</t>
        </is>
      </c>
      <c r="G1135">
        <f>custodian!D1135</f>
        <v/>
      </c>
      <c r="H1135">
        <f>BDP($B1135,"ID_ISIN")</f>
        <v/>
      </c>
      <c r="I1135" s="1" t="inlineStr">
        <is>
          <t>ORCL</t>
        </is>
      </c>
      <c r="J1135">
        <f>BDP($B1135,"CNTRY_OF_DOMICILE")</f>
        <v/>
      </c>
      <c r="K1135" t="inlineStr">
        <is>
          <t>EC</t>
        </is>
      </c>
      <c r="L1135" t="inlineStr">
        <is>
          <t>CORP</t>
        </is>
      </c>
      <c r="M1135" t="inlineStr"/>
      <c r="N1135" t="inlineStr"/>
      <c r="O1135" s="1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s="1" t="inlineStr"/>
      <c r="AR1135" s="1" t="inlineStr"/>
      <c r="AS1135" s="1" t="inlineStr"/>
      <c r="AT1135" t="inlineStr"/>
      <c r="AU1135" t="inlineStr"/>
      <c r="AV1135" t="inlineStr"/>
      <c r="AW1135" t="inlineStr"/>
      <c r="AX1135" t="inlineStr"/>
      <c r="AY1135" t="inlineStr"/>
    </row>
    <row r="1136">
      <c r="A1136" t="inlineStr">
        <is>
          <t>FDRS</t>
        </is>
      </c>
      <c r="B1136" t="inlineStr">
        <is>
          <t>P US Equity</t>
        </is>
      </c>
      <c r="C1136" s="1" t="inlineStr">
        <is>
          <t>P</t>
        </is>
      </c>
      <c r="D1136" t="inlineStr">
        <is>
          <t>Everpure Inc</t>
        </is>
      </c>
      <c r="E1136">
        <f>BDP($B1136,"LEGAL_ENTITY_IDENTIFIER")</f>
        <v/>
      </c>
      <c r="F1136" t="inlineStr">
        <is>
          <t>Everpure Inc</t>
        </is>
      </c>
      <c r="G1136">
        <f>custodian!D1136</f>
        <v/>
      </c>
      <c r="H1136">
        <f>BDP($B1136,"ID_ISIN")</f>
        <v/>
      </c>
      <c r="I1136" s="1" t="inlineStr">
        <is>
          <t>P</t>
        </is>
      </c>
      <c r="J1136">
        <f>BDP($B1136,"CNTRY_OF_DOMICILE")</f>
        <v/>
      </c>
      <c r="K1136" t="inlineStr">
        <is>
          <t>EC</t>
        </is>
      </c>
      <c r="L1136" t="inlineStr">
        <is>
          <t>CORP</t>
        </is>
      </c>
      <c r="M1136" t="inlineStr"/>
      <c r="N1136" t="inlineStr"/>
      <c r="O1136" s="1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s="1" t="inlineStr"/>
      <c r="AR1136" s="1" t="inlineStr"/>
      <c r="AS1136" s="1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FDRS</t>
        </is>
      </c>
      <c r="B1137" t="inlineStr">
        <is>
          <t>PLTR US Equity</t>
        </is>
      </c>
      <c r="C1137" s="1" t="inlineStr">
        <is>
          <t>PLTR</t>
        </is>
      </c>
      <c r="D1137" t="inlineStr">
        <is>
          <t>Palantir Technologies Inc</t>
        </is>
      </c>
      <c r="E1137">
        <f>BDP($B1137,"LEGAL_ENTITY_IDENTIFIER")</f>
        <v/>
      </c>
      <c r="F1137" t="inlineStr">
        <is>
          <t>Palantir Technologies Inc</t>
        </is>
      </c>
      <c r="G1137">
        <f>custodian!D1137</f>
        <v/>
      </c>
      <c r="H1137">
        <f>BDP($B1137,"ID_ISIN")</f>
        <v/>
      </c>
      <c r="I1137" s="1" t="inlineStr">
        <is>
          <t>PLTR</t>
        </is>
      </c>
      <c r="J1137">
        <f>BDP($B1137,"CNTRY_OF_DOMICILE")</f>
        <v/>
      </c>
      <c r="K1137" t="inlineStr">
        <is>
          <t>EC</t>
        </is>
      </c>
      <c r="L1137" t="inlineStr">
        <is>
          <t>CORP</t>
        </is>
      </c>
      <c r="M1137" t="inlineStr"/>
      <c r="N1137" t="inlineStr"/>
      <c r="O1137" s="1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s="1" t="inlineStr"/>
      <c r="AR1137" s="1" t="inlineStr"/>
      <c r="AS1137" s="1" t="inlineStr"/>
      <c r="AT1137" t="inlineStr"/>
      <c r="AU1137" t="inlineStr"/>
      <c r="AV1137" t="inlineStr"/>
      <c r="AW1137" t="inlineStr"/>
      <c r="AX1137" t="inlineStr"/>
      <c r="AY1137" t="inlineStr"/>
    </row>
    <row r="1138">
      <c r="A1138" t="inlineStr">
        <is>
          <t>FDRS</t>
        </is>
      </c>
      <c r="B1138" t="inlineStr">
        <is>
          <t>RBLX US Equity</t>
        </is>
      </c>
      <c r="C1138" s="1" t="inlineStr">
        <is>
          <t>RBLX</t>
        </is>
      </c>
      <c r="D1138" t="inlineStr">
        <is>
          <t>ROBLOX Corp</t>
        </is>
      </c>
      <c r="E1138">
        <f>BDP($B1138,"LEGAL_ENTITY_IDENTIFIER")</f>
        <v/>
      </c>
      <c r="F1138" t="inlineStr">
        <is>
          <t>ROBLOX Corp</t>
        </is>
      </c>
      <c r="G1138">
        <f>custodian!D1138</f>
        <v/>
      </c>
      <c r="H1138">
        <f>BDP($B1138,"ID_ISIN")</f>
        <v/>
      </c>
      <c r="I1138" s="1" t="inlineStr">
        <is>
          <t>RBLX</t>
        </is>
      </c>
      <c r="J1138">
        <f>BDP($B1138,"CNTRY_OF_DOMICILE")</f>
        <v/>
      </c>
      <c r="K1138" t="inlineStr">
        <is>
          <t>EC</t>
        </is>
      </c>
      <c r="L1138" t="inlineStr">
        <is>
          <t>CORP</t>
        </is>
      </c>
      <c r="M1138" t="inlineStr"/>
      <c r="N1138" t="inlineStr"/>
      <c r="O1138" s="1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s="1" t="inlineStr"/>
      <c r="AR1138" s="1" t="inlineStr"/>
      <c r="AS1138" s="1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FDRS</t>
        </is>
      </c>
      <c r="B1139" t="inlineStr">
        <is>
          <t>RDDT US Equity</t>
        </is>
      </c>
      <c r="C1139" s="1" t="inlineStr">
        <is>
          <t>RDDT</t>
        </is>
      </c>
      <c r="D1139" t="inlineStr">
        <is>
          <t>Reddit Inc</t>
        </is>
      </c>
      <c r="E1139">
        <f>BDP($B1139,"LEGAL_ENTITY_IDENTIFIER")</f>
        <v/>
      </c>
      <c r="F1139" t="inlineStr">
        <is>
          <t>Reddit Inc</t>
        </is>
      </c>
      <c r="G1139">
        <f>custodian!D1139</f>
        <v/>
      </c>
      <c r="H1139">
        <f>BDP($B1139,"ID_ISIN")</f>
        <v/>
      </c>
      <c r="I1139" s="1" t="inlineStr">
        <is>
          <t>RDDT</t>
        </is>
      </c>
      <c r="J1139">
        <f>BDP($B1139,"CNTRY_OF_DOMICILE")</f>
        <v/>
      </c>
      <c r="K1139" t="inlineStr">
        <is>
          <t>EC</t>
        </is>
      </c>
      <c r="L1139" t="inlineStr">
        <is>
          <t>CORP</t>
        </is>
      </c>
      <c r="M1139" t="inlineStr"/>
      <c r="N1139" t="inlineStr"/>
      <c r="O1139" s="1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s="1" t="inlineStr"/>
      <c r="AR1139" s="1" t="inlineStr"/>
      <c r="AS1139" s="1" t="inlineStr"/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FDRS</t>
        </is>
      </c>
      <c r="B1140" t="inlineStr">
        <is>
          <t>REGN US Equity</t>
        </is>
      </c>
      <c r="C1140" s="1" t="inlineStr">
        <is>
          <t>REGN</t>
        </is>
      </c>
      <c r="D1140" t="inlineStr">
        <is>
          <t>Regeneron Pharmaceuticals Inc</t>
        </is>
      </c>
      <c r="E1140">
        <f>BDP($B1140,"LEGAL_ENTITY_IDENTIFIER")</f>
        <v/>
      </c>
      <c r="F1140" t="inlineStr">
        <is>
          <t>Regeneron Pharmaceuticals Inc</t>
        </is>
      </c>
      <c r="G1140">
        <f>custodian!D1140</f>
        <v/>
      </c>
      <c r="H1140">
        <f>BDP($B1140,"ID_ISIN")</f>
        <v/>
      </c>
      <c r="I1140" s="1" t="inlineStr">
        <is>
          <t>REGN</t>
        </is>
      </c>
      <c r="J1140">
        <f>BDP($B1140,"CNTRY_OF_DOMICILE")</f>
        <v/>
      </c>
      <c r="K1140" t="inlineStr">
        <is>
          <t>EC</t>
        </is>
      </c>
      <c r="L1140" t="inlineStr">
        <is>
          <t>CORP</t>
        </is>
      </c>
      <c r="M1140" t="inlineStr"/>
      <c r="N1140" t="inlineStr"/>
      <c r="O1140" s="1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s="1" t="inlineStr"/>
      <c r="AR1140" s="1" t="inlineStr"/>
      <c r="AS1140" s="1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FDRS</t>
        </is>
      </c>
      <c r="B1141" t="inlineStr">
        <is>
          <t>RKLB US Equity</t>
        </is>
      </c>
      <c r="C1141" s="1" t="inlineStr">
        <is>
          <t>RKLB</t>
        </is>
      </c>
      <c r="D1141" t="inlineStr">
        <is>
          <t>Rocket Lab Corp</t>
        </is>
      </c>
      <c r="E1141">
        <f>BDP($B1141,"LEGAL_ENTITY_IDENTIFIER")</f>
        <v/>
      </c>
      <c r="F1141" t="inlineStr">
        <is>
          <t>Rocket Lab Corp</t>
        </is>
      </c>
      <c r="G1141">
        <f>custodian!D1141</f>
        <v/>
      </c>
      <c r="H1141">
        <f>BDP($B1141,"ID_ISIN")</f>
        <v/>
      </c>
      <c r="I1141" s="1" t="inlineStr">
        <is>
          <t>RKLB</t>
        </is>
      </c>
      <c r="J1141">
        <f>BDP($B1141,"CNTRY_OF_DOMICILE")</f>
        <v/>
      </c>
      <c r="K1141" t="inlineStr">
        <is>
          <t>EC</t>
        </is>
      </c>
      <c r="L1141" t="inlineStr">
        <is>
          <t>CORP</t>
        </is>
      </c>
      <c r="M1141" t="inlineStr"/>
      <c r="N1141" t="inlineStr"/>
      <c r="O1141" s="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s="1" t="inlineStr"/>
      <c r="AR1141" s="1" t="inlineStr"/>
      <c r="AS1141" s="1" t="inlineStr"/>
      <c r="AT1141" t="inlineStr"/>
      <c r="AU1141" t="inlineStr"/>
      <c r="AV1141" t="inlineStr"/>
      <c r="AW1141" t="inlineStr"/>
      <c r="AX1141" t="inlineStr"/>
      <c r="AY1141" t="inlineStr"/>
    </row>
    <row r="1142">
      <c r="A1142" t="inlineStr">
        <is>
          <t>FDRS</t>
        </is>
      </c>
      <c r="B1142" t="inlineStr">
        <is>
          <t>SHOP US Equity</t>
        </is>
      </c>
      <c r="C1142" s="1" t="inlineStr">
        <is>
          <t>SHOP</t>
        </is>
      </c>
      <c r="D1142" t="inlineStr">
        <is>
          <t>Shopify Inc</t>
        </is>
      </c>
      <c r="E1142">
        <f>BDP($B1142,"LEGAL_ENTITY_IDENTIFIER")</f>
        <v/>
      </c>
      <c r="F1142" t="inlineStr">
        <is>
          <t>Shopify Inc</t>
        </is>
      </c>
      <c r="G1142">
        <f>custodian!D1142</f>
        <v/>
      </c>
      <c r="H1142">
        <f>BDP($B1142,"ID_ISIN")</f>
        <v/>
      </c>
      <c r="I1142" s="1" t="inlineStr">
        <is>
          <t>SHOP</t>
        </is>
      </c>
      <c r="J1142">
        <f>BDP($B1142,"CNTRY_OF_DOMICILE")</f>
        <v/>
      </c>
      <c r="K1142" t="inlineStr">
        <is>
          <t>EC</t>
        </is>
      </c>
      <c r="L1142" t="inlineStr">
        <is>
          <t>CORP</t>
        </is>
      </c>
      <c r="M1142" t="inlineStr"/>
      <c r="N1142" t="inlineStr"/>
      <c r="O1142" s="1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s="1" t="inlineStr"/>
      <c r="AR1142" s="1" t="inlineStr"/>
      <c r="AS1142" s="1" t="inlineStr"/>
      <c r="AT1142" t="inlineStr"/>
      <c r="AU1142" t="inlineStr"/>
      <c r="AV1142" t="inlineStr"/>
      <c r="AW1142" t="inlineStr"/>
      <c r="AX1142" t="inlineStr"/>
      <c r="AY1142" t="inlineStr"/>
    </row>
    <row r="1143">
      <c r="A1143" t="inlineStr">
        <is>
          <t>FDRS</t>
        </is>
      </c>
      <c r="B1143" t="inlineStr">
        <is>
          <t>SNOW US Equity</t>
        </is>
      </c>
      <c r="C1143" s="1" t="inlineStr">
        <is>
          <t>SNOW</t>
        </is>
      </c>
      <c r="D1143" t="inlineStr">
        <is>
          <t>Snowflake Inc</t>
        </is>
      </c>
      <c r="E1143">
        <f>BDP($B1143,"LEGAL_ENTITY_IDENTIFIER")</f>
        <v/>
      </c>
      <c r="F1143" t="inlineStr">
        <is>
          <t>Snowflake Inc</t>
        </is>
      </c>
      <c r="G1143">
        <f>custodian!D1143</f>
        <v/>
      </c>
      <c r="H1143">
        <f>BDP($B1143,"ID_ISIN")</f>
        <v/>
      </c>
      <c r="I1143" s="1" t="inlineStr">
        <is>
          <t>SNOW</t>
        </is>
      </c>
      <c r="J1143">
        <f>BDP($B1143,"CNTRY_OF_DOMICILE")</f>
        <v/>
      </c>
      <c r="K1143" t="inlineStr">
        <is>
          <t>EC</t>
        </is>
      </c>
      <c r="L1143" t="inlineStr">
        <is>
          <t>CORP</t>
        </is>
      </c>
      <c r="M1143" t="inlineStr"/>
      <c r="N1143" t="inlineStr"/>
      <c r="O1143" s="1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s="1" t="inlineStr"/>
      <c r="AR1143" s="1" t="inlineStr"/>
      <c r="AS1143" s="1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FDRS</t>
        </is>
      </c>
      <c r="B1144" t="inlineStr">
        <is>
          <t>SPCX US Equity</t>
        </is>
      </c>
      <c r="C1144" s="1" t="inlineStr">
        <is>
          <t>SPCX</t>
        </is>
      </c>
      <c r="D1144" t="inlineStr">
        <is>
          <t>Space Exploration Technologies</t>
        </is>
      </c>
      <c r="E1144">
        <f>BDP($B1144,"LEGAL_ENTITY_IDENTIFIER")</f>
        <v/>
      </c>
      <c r="F1144" t="inlineStr">
        <is>
          <t>Space Exploration Technologies Corp</t>
        </is>
      </c>
      <c r="G1144">
        <f>custodian!D1144</f>
        <v/>
      </c>
      <c r="H1144">
        <f>BDP($B1144,"ID_ISIN")</f>
        <v/>
      </c>
      <c r="I1144" s="1" t="inlineStr">
        <is>
          <t>SPCX</t>
        </is>
      </c>
      <c r="J1144">
        <f>BDP($B1144,"CNTRY_OF_DOMICILE")</f>
        <v/>
      </c>
      <c r="K1144" t="inlineStr">
        <is>
          <t>EC</t>
        </is>
      </c>
      <c r="L1144" t="inlineStr">
        <is>
          <t>CORP</t>
        </is>
      </c>
      <c r="M1144" t="inlineStr"/>
      <c r="N1144" t="inlineStr"/>
      <c r="O1144" s="1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s="1" t="inlineStr"/>
      <c r="AR1144" s="1" t="inlineStr"/>
      <c r="AS1144" s="1" t="inlineStr"/>
      <c r="AT1144" t="inlineStr"/>
      <c r="AU1144" t="inlineStr"/>
      <c r="AV1144" t="inlineStr"/>
      <c r="AW1144" t="inlineStr"/>
      <c r="AX1144" t="inlineStr"/>
      <c r="AY1144" t="inlineStr"/>
    </row>
    <row r="1145">
      <c r="A1145" t="inlineStr">
        <is>
          <t>FDRS</t>
        </is>
      </c>
      <c r="B1145" t="inlineStr">
        <is>
          <t>STLD US Equity</t>
        </is>
      </c>
      <c r="C1145" s="1" t="inlineStr">
        <is>
          <t>STLD</t>
        </is>
      </c>
      <c r="D1145" t="inlineStr">
        <is>
          <t>Steel Dynamics Inc</t>
        </is>
      </c>
      <c r="E1145">
        <f>BDP($B1145,"LEGAL_ENTITY_IDENTIFIER")</f>
        <v/>
      </c>
      <c r="F1145" t="inlineStr">
        <is>
          <t>Steel Dynamics Inc</t>
        </is>
      </c>
      <c r="G1145">
        <f>custodian!D1145</f>
        <v/>
      </c>
      <c r="H1145">
        <f>BDP($B1145,"ID_ISIN")</f>
        <v/>
      </c>
      <c r="I1145" s="1" t="inlineStr">
        <is>
          <t>STLD</t>
        </is>
      </c>
      <c r="J1145">
        <f>BDP($B1145,"CNTRY_OF_DOMICILE")</f>
        <v/>
      </c>
      <c r="K1145" t="inlineStr">
        <is>
          <t>EC</t>
        </is>
      </c>
      <c r="L1145" t="inlineStr">
        <is>
          <t>CORP</t>
        </is>
      </c>
      <c r="M1145" t="inlineStr"/>
      <c r="N1145" t="inlineStr"/>
      <c r="O1145" s="1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s="1" t="inlineStr"/>
      <c r="AR1145" s="1" t="inlineStr"/>
      <c r="AS1145" s="1" t="inlineStr"/>
      <c r="AT1145" t="inlineStr"/>
      <c r="AU1145" t="inlineStr"/>
      <c r="AV1145" t="inlineStr"/>
      <c r="AW1145" t="inlineStr"/>
      <c r="AX1145" t="inlineStr"/>
      <c r="AY1145" t="inlineStr"/>
    </row>
    <row r="1146">
      <c r="A1146" t="inlineStr">
        <is>
          <t>FDRS</t>
        </is>
      </c>
      <c r="B1146" t="inlineStr">
        <is>
          <t>TSLA US Equity</t>
        </is>
      </c>
      <c r="C1146" s="1" t="inlineStr">
        <is>
          <t>TSLA</t>
        </is>
      </c>
      <c r="D1146" t="inlineStr">
        <is>
          <t>Tesla Inc</t>
        </is>
      </c>
      <c r="E1146">
        <f>BDP($B1146,"LEGAL_ENTITY_IDENTIFIER")</f>
        <v/>
      </c>
      <c r="F1146" t="inlineStr">
        <is>
          <t>Tesla Inc</t>
        </is>
      </c>
      <c r="G1146">
        <f>custodian!D1146</f>
        <v/>
      </c>
      <c r="H1146">
        <f>BDP($B1146,"ID_ISIN")</f>
        <v/>
      </c>
      <c r="I1146" s="1" t="inlineStr">
        <is>
          <t>TSLA</t>
        </is>
      </c>
      <c r="J1146">
        <f>BDP($B1146,"CNTRY_OF_DOMICILE")</f>
        <v/>
      </c>
      <c r="K1146" t="inlineStr">
        <is>
          <t>EC</t>
        </is>
      </c>
      <c r="L1146" t="inlineStr">
        <is>
          <t>CORP</t>
        </is>
      </c>
      <c r="M1146" t="inlineStr"/>
      <c r="N1146" t="inlineStr"/>
      <c r="O1146" s="1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s="1" t="inlineStr"/>
      <c r="AR1146" s="1" t="inlineStr"/>
      <c r="AS1146" s="1" t="inlineStr"/>
      <c r="AT1146" t="inlineStr"/>
      <c r="AU1146" t="inlineStr"/>
      <c r="AV1146" t="inlineStr"/>
      <c r="AW1146" t="inlineStr"/>
      <c r="AX1146" t="inlineStr"/>
      <c r="AY1146" t="inlineStr"/>
    </row>
    <row r="1147">
      <c r="A1147" t="inlineStr">
        <is>
          <t>FDRS</t>
        </is>
      </c>
      <c r="B1147" t="inlineStr">
        <is>
          <t>UTHR US Equity</t>
        </is>
      </c>
      <c r="C1147" s="1" t="inlineStr">
        <is>
          <t>UTHR</t>
        </is>
      </c>
      <c r="D1147" t="inlineStr">
        <is>
          <t>United Therapeutics Corp</t>
        </is>
      </c>
      <c r="E1147">
        <f>BDP($B1147,"LEGAL_ENTITY_IDENTIFIER")</f>
        <v/>
      </c>
      <c r="F1147" t="inlineStr">
        <is>
          <t>United Therapeutics Corp</t>
        </is>
      </c>
      <c r="G1147">
        <f>custodian!D1147</f>
        <v/>
      </c>
      <c r="H1147">
        <f>BDP($B1147,"ID_ISIN")</f>
        <v/>
      </c>
      <c r="I1147" s="1" t="inlineStr">
        <is>
          <t>UTHR</t>
        </is>
      </c>
      <c r="J1147">
        <f>BDP($B1147,"CNTRY_OF_DOMICILE")</f>
        <v/>
      </c>
      <c r="K1147" t="inlineStr">
        <is>
          <t>EC</t>
        </is>
      </c>
      <c r="L1147" t="inlineStr">
        <is>
          <t>CORP</t>
        </is>
      </c>
      <c r="M1147" t="inlineStr"/>
      <c r="N1147" t="inlineStr"/>
      <c r="O1147" s="1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s="1" t="inlineStr"/>
      <c r="AR1147" s="1" t="inlineStr"/>
      <c r="AS1147" s="1" t="inlineStr"/>
      <c r="AT1147" t="inlineStr"/>
      <c r="AU1147" t="inlineStr"/>
      <c r="AV1147" t="inlineStr"/>
      <c r="AW1147" t="inlineStr"/>
      <c r="AX1147" t="inlineStr"/>
      <c r="AY1147" t="inlineStr"/>
    </row>
    <row r="1148">
      <c r="A1148" t="inlineStr">
        <is>
          <t>FDRS</t>
        </is>
      </c>
      <c r="B1148" t="inlineStr">
        <is>
          <t>VEEV US Equity</t>
        </is>
      </c>
      <c r="C1148" s="1" t="inlineStr">
        <is>
          <t>VEEV</t>
        </is>
      </c>
      <c r="D1148" t="inlineStr">
        <is>
          <t>Veeva Systems Inc</t>
        </is>
      </c>
      <c r="E1148">
        <f>BDP($B1148,"LEGAL_ENTITY_IDENTIFIER")</f>
        <v/>
      </c>
      <c r="F1148" t="inlineStr">
        <is>
          <t>Veeva Systems Inc</t>
        </is>
      </c>
      <c r="G1148">
        <f>custodian!D1148</f>
        <v/>
      </c>
      <c r="H1148">
        <f>BDP($B1148,"ID_ISIN")</f>
        <v/>
      </c>
      <c r="I1148" s="1" t="inlineStr">
        <is>
          <t>VEEV</t>
        </is>
      </c>
      <c r="J1148">
        <f>BDP($B1148,"CNTRY_OF_DOMICILE")</f>
        <v/>
      </c>
      <c r="K1148" t="inlineStr">
        <is>
          <t>EC</t>
        </is>
      </c>
      <c r="L1148" t="inlineStr">
        <is>
          <t>CORP</t>
        </is>
      </c>
      <c r="M1148" t="inlineStr"/>
      <c r="N1148" t="inlineStr"/>
      <c r="O1148" s="1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s="1" t="inlineStr"/>
      <c r="AR1148" s="1" t="inlineStr"/>
      <c r="AS1148" s="1" t="inlineStr"/>
      <c r="AT1148" t="inlineStr"/>
      <c r="AU1148" t="inlineStr"/>
      <c r="AV1148" t="inlineStr"/>
      <c r="AW1148" t="inlineStr"/>
      <c r="AX1148" t="inlineStr"/>
      <c r="AY1148" t="inlineStr"/>
    </row>
    <row r="1149">
      <c r="A1149" t="inlineStr">
        <is>
          <t>FDRS</t>
        </is>
      </c>
      <c r="B1149" t="inlineStr">
        <is>
          <t>WCN US Equity</t>
        </is>
      </c>
      <c r="C1149" s="1" t="inlineStr">
        <is>
          <t>WCN</t>
        </is>
      </c>
      <c r="D1149" t="inlineStr">
        <is>
          <t>Waste Connections Inc</t>
        </is>
      </c>
      <c r="E1149">
        <f>BDP($B1149,"LEGAL_ENTITY_IDENTIFIER")</f>
        <v/>
      </c>
      <c r="F1149" t="inlineStr">
        <is>
          <t>Waste Connections Inc</t>
        </is>
      </c>
      <c r="G1149">
        <f>custodian!D1149</f>
        <v/>
      </c>
      <c r="H1149">
        <f>BDP($B1149,"ID_ISIN")</f>
        <v/>
      </c>
      <c r="I1149" s="1" t="inlineStr">
        <is>
          <t>WCN</t>
        </is>
      </c>
      <c r="J1149">
        <f>BDP($B1149,"CNTRY_OF_DOMICILE")</f>
        <v/>
      </c>
      <c r="K1149" t="inlineStr">
        <is>
          <t>EC</t>
        </is>
      </c>
      <c r="L1149" t="inlineStr">
        <is>
          <t>CORP</t>
        </is>
      </c>
      <c r="M1149" t="inlineStr"/>
      <c r="N1149" t="inlineStr"/>
      <c r="O1149" s="1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s="1" t="inlineStr"/>
      <c r="AR1149" s="1" t="inlineStr"/>
      <c r="AS1149" s="1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FDRS</t>
        </is>
      </c>
      <c r="B1150" t="inlineStr">
        <is>
          <t>WDAY US Equity</t>
        </is>
      </c>
      <c r="C1150" s="1" t="inlineStr">
        <is>
          <t>WDAY</t>
        </is>
      </c>
      <c r="D1150" t="inlineStr">
        <is>
          <t>Workday Inc</t>
        </is>
      </c>
      <c r="E1150">
        <f>BDP($B1150,"LEGAL_ENTITY_IDENTIFIER")</f>
        <v/>
      </c>
      <c r="F1150" t="inlineStr">
        <is>
          <t>Workday Inc</t>
        </is>
      </c>
      <c r="G1150">
        <f>custodian!D1150</f>
        <v/>
      </c>
      <c r="H1150">
        <f>BDP($B1150,"ID_ISIN")</f>
        <v/>
      </c>
      <c r="I1150" s="1" t="inlineStr">
        <is>
          <t>WDAY</t>
        </is>
      </c>
      <c r="J1150">
        <f>BDP($B1150,"CNTRY_OF_DOMICILE")</f>
        <v/>
      </c>
      <c r="K1150" t="inlineStr">
        <is>
          <t>EC</t>
        </is>
      </c>
      <c r="L1150" t="inlineStr">
        <is>
          <t>CORP</t>
        </is>
      </c>
      <c r="M1150" t="inlineStr"/>
      <c r="N1150" t="inlineStr"/>
      <c r="O1150" s="1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s="1" t="inlineStr"/>
      <c r="AR1150" s="1" t="inlineStr"/>
      <c r="AS1150" s="1" t="inlineStr"/>
      <c r="AT1150" t="inlineStr"/>
      <c r="AU1150" t="inlineStr"/>
      <c r="AV1150" t="inlineStr"/>
      <c r="AW1150" t="inlineStr"/>
      <c r="AX1150" t="inlineStr"/>
      <c r="AY1150" t="inlineStr"/>
    </row>
    <row r="1151">
      <c r="A1151" t="inlineStr">
        <is>
          <t>FDRS</t>
        </is>
      </c>
      <c r="B1151" t="inlineStr">
        <is>
          <t>XYZ US Equity</t>
        </is>
      </c>
      <c r="C1151" s="1" t="inlineStr">
        <is>
          <t>XYZ</t>
        </is>
      </c>
      <c r="D1151" t="inlineStr">
        <is>
          <t>Block Inc</t>
        </is>
      </c>
      <c r="E1151">
        <f>BDP($B1151,"LEGAL_ENTITY_IDENTIFIER")</f>
        <v/>
      </c>
      <c r="F1151" t="inlineStr">
        <is>
          <t>Block Inc</t>
        </is>
      </c>
      <c r="G1151">
        <f>custodian!D1151</f>
        <v/>
      </c>
      <c r="H1151">
        <f>BDP($B1151,"ID_ISIN")</f>
        <v/>
      </c>
      <c r="I1151" s="1" t="inlineStr">
        <is>
          <t>XYZ</t>
        </is>
      </c>
      <c r="J1151">
        <f>BDP($B1151,"CNTRY_OF_DOMICILE")</f>
        <v/>
      </c>
      <c r="K1151" t="inlineStr">
        <is>
          <t>EC</t>
        </is>
      </c>
      <c r="L1151" t="inlineStr">
        <is>
          <t>CORP</t>
        </is>
      </c>
      <c r="M1151" t="inlineStr"/>
      <c r="N1151" t="inlineStr"/>
      <c r="O1151" s="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s="1" t="inlineStr"/>
      <c r="AR1151" s="1" t="inlineStr"/>
      <c r="AS1151" s="1" t="inlineStr"/>
      <c r="AT1151" t="inlineStr"/>
      <c r="AU1151" t="inlineStr"/>
      <c r="AV1151" t="inlineStr"/>
      <c r="AW1151" t="inlineStr"/>
      <c r="AX1151" t="inlineStr"/>
      <c r="AY1151" t="inlineStr"/>
    </row>
    <row r="1152">
      <c r="A1152" t="inlineStr">
        <is>
          <t>FDRS</t>
        </is>
      </c>
      <c r="B1152" t="inlineStr">
        <is>
          <t>ZM US Equity</t>
        </is>
      </c>
      <c r="C1152" s="1" t="inlineStr">
        <is>
          <t>ZM</t>
        </is>
      </c>
      <c r="D1152" t="inlineStr">
        <is>
          <t>Zoom Communications Inc</t>
        </is>
      </c>
      <c r="E1152">
        <f>BDP($B1152,"LEGAL_ENTITY_IDENTIFIER")</f>
        <v/>
      </c>
      <c r="F1152" t="inlineStr">
        <is>
          <t>Zoom Communications Inc</t>
        </is>
      </c>
      <c r="G1152">
        <f>custodian!D1152</f>
        <v/>
      </c>
      <c r="H1152">
        <f>BDP($B1152,"ID_ISIN")</f>
        <v/>
      </c>
      <c r="I1152" s="1" t="inlineStr">
        <is>
          <t>ZM</t>
        </is>
      </c>
      <c r="J1152">
        <f>BDP($B1152,"CNTRY_OF_DOMICILE")</f>
        <v/>
      </c>
      <c r="K1152" t="inlineStr">
        <is>
          <t>EC</t>
        </is>
      </c>
      <c r="L1152" t="inlineStr">
        <is>
          <t>CORP</t>
        </is>
      </c>
      <c r="M1152" t="inlineStr"/>
      <c r="N1152" t="inlineStr"/>
      <c r="O1152" s="1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s="1" t="inlineStr"/>
      <c r="AR1152" s="1" t="inlineStr"/>
      <c r="AS1152" s="1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FDRS</t>
        </is>
      </c>
      <c r="B1153" t="inlineStr"/>
      <c r="C1153" s="1" t="inlineStr">
        <is>
          <t>Cash&amp;Other</t>
        </is>
      </c>
      <c r="D1153" t="inlineStr"/>
      <c r="E1153" s="1" t="inlineStr"/>
      <c r="F1153" t="inlineStr"/>
      <c r="G1153">
        <f>custodian!D1153</f>
        <v/>
      </c>
      <c r="H1153" s="1" t="inlineStr"/>
      <c r="I1153" s="1" t="inlineStr"/>
      <c r="J1153" t="inlineStr"/>
      <c r="K1153" t="inlineStr"/>
      <c r="L1153" t="inlineStr"/>
      <c r="M1153" t="inlineStr"/>
      <c r="N1153" t="inlineStr"/>
      <c r="O1153" s="1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s="1" t="inlineStr"/>
      <c r="AR1153" s="1" t="inlineStr"/>
      <c r="AS1153" s="1" t="inlineStr"/>
      <c r="AT1153" t="inlineStr"/>
      <c r="AU1153" t="inlineStr"/>
      <c r="AV1153" t="inlineStr"/>
      <c r="AW1153" t="inlineStr"/>
      <c r="AX1153" t="inlineStr"/>
      <c r="AY1153" t="inlineStr"/>
    </row>
    <row r="1154">
      <c r="A1154" t="inlineStr">
        <is>
          <t>FDRX</t>
        </is>
      </c>
      <c r="B1154" t="inlineStr">
        <is>
          <t>218946101 Equity</t>
        </is>
      </c>
      <c r="C1154" s="1" t="inlineStr">
        <is>
          <t>218946101-TRS-01/19/28-L</t>
        </is>
      </c>
      <c r="D1154" t="inlineStr">
        <is>
          <t>N/A</t>
        </is>
      </c>
      <c r="E1154" s="1" t="inlineStr">
        <is>
          <t>N/A</t>
        </is>
      </c>
      <c r="F1154" t="inlineStr">
        <is>
          <t>CORGI ETF TR SWAP CS</t>
        </is>
      </c>
      <c r="G1154">
        <f>custodian!D1154</f>
        <v/>
      </c>
      <c r="H1154" s="1" t="inlineStr"/>
      <c r="I1154" s="1" t="inlineStr">
        <is>
          <t>218946101-TRS-01/19/28-L</t>
        </is>
      </c>
      <c r="J1154" t="inlineStr">
        <is>
          <t>US</t>
        </is>
      </c>
      <c r="K1154" t="inlineStr">
        <is>
          <t>DE</t>
        </is>
      </c>
      <c r="L1154" t="inlineStr">
        <is>
          <t>OTHER</t>
        </is>
      </c>
      <c r="M1154" t="inlineStr">
        <is>
          <t>SWP</t>
        </is>
      </c>
      <c r="N1154" t="inlineStr"/>
      <c r="O1154" s="1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otherRefInst</t>
        </is>
      </c>
      <c r="W1154" t="inlineStr"/>
      <c r="X1154" t="inlineStr"/>
      <c r="Y1154" t="inlineStr">
        <is>
          <t>Y</t>
        </is>
      </c>
      <c r="Z1154" t="inlineStr">
        <is>
          <t>2028-01-19</t>
        </is>
      </c>
      <c r="AA1154" t="inlineStr">
        <is>
          <t>33603480.54</t>
        </is>
      </c>
      <c r="AB1154" t="inlineStr">
        <is>
          <t>USD</t>
        </is>
      </c>
      <c r="AC1154" t="inlineStr">
        <is>
          <t>1439385.96</t>
        </is>
      </c>
      <c r="AD1154" t="inlineStr">
        <is>
          <t>1439385.96</t>
        </is>
      </c>
      <c r="AE1154" t="inlineStr">
        <is>
          <t>8.58</t>
        </is>
      </c>
      <c r="AF1154" t="inlineStr"/>
      <c r="AG1154" t="inlineStr"/>
      <c r="AH1154" t="inlineStr">
        <is>
          <t>Floating</t>
        </is>
      </c>
      <c r="AI1154" t="inlineStr"/>
      <c r="AJ1154" t="inlineStr"/>
      <c r="AK1154" t="inlineStr">
        <is>
          <t>33603480.54</t>
        </is>
      </c>
      <c r="AL1154" t="inlineStr">
        <is>
          <t>USD</t>
        </is>
      </c>
      <c r="AM1154" t="inlineStr"/>
      <c r="AN1154" t="inlineStr"/>
      <c r="AO1154">
        <f>BDP($B1154,"ISSUER")</f>
        <v/>
      </c>
      <c r="AP1154">
        <f>BDP($B1154,"NAME")</f>
        <v/>
      </c>
      <c r="AQ1154" s="1" t="inlineStr">
        <is>
          <t>218946101</t>
        </is>
      </c>
      <c r="AR1154">
        <f>BDP($B1154,"ID_ISIN")</f>
        <v/>
      </c>
      <c r="AS1154">
        <f>BDP($B1154,"TICKER")</f>
        <v/>
      </c>
      <c r="AT1154" t="inlineStr"/>
      <c r="AU1154" t="inlineStr"/>
      <c r="AV1154" t="inlineStr"/>
      <c r="AW1154" t="inlineStr"/>
      <c r="AX1154" t="inlineStr"/>
      <c r="AY1154" t="inlineStr"/>
    </row>
    <row r="1155">
      <c r="A1155" t="inlineStr">
        <is>
          <t>FDRX</t>
        </is>
      </c>
      <c r="B1155" t="inlineStr">
        <is>
          <t>FGXXX US Equity</t>
        </is>
      </c>
      <c r="C1155" s="1" t="inlineStr">
        <is>
          <t>FGXXX</t>
        </is>
      </c>
      <c r="D1155" t="inlineStr">
        <is>
          <t>First American Government Obli</t>
        </is>
      </c>
      <c r="E1155">
        <f>BDP($B1155,"LEGAL_ENTITY_IDENTIFIER")</f>
        <v/>
      </c>
      <c r="F1155" t="inlineStr">
        <is>
          <t>First American Government Obligations Fund</t>
        </is>
      </c>
      <c r="G1155">
        <f>custodian!D1155</f>
        <v/>
      </c>
      <c r="H1155">
        <f>BDP($B1155,"ID_ISIN")</f>
        <v/>
      </c>
      <c r="I1155" s="1" t="inlineStr">
        <is>
          <t>FGXXX</t>
        </is>
      </c>
      <c r="J1155">
        <f>BDP($B1155,"CNTRY_OF_DOMICILE")</f>
        <v/>
      </c>
      <c r="K1155" t="inlineStr">
        <is>
          <t>STIV</t>
        </is>
      </c>
      <c r="L1155" t="inlineStr">
        <is>
          <t>RF</t>
        </is>
      </c>
      <c r="M1155" t="inlineStr"/>
      <c r="N1155" t="inlineStr"/>
      <c r="O1155" s="1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s="1" t="inlineStr"/>
      <c r="AR1155" s="1" t="inlineStr"/>
      <c r="AS1155" s="1" t="inlineStr"/>
      <c r="AT1155" t="inlineStr"/>
      <c r="AU1155" t="inlineStr"/>
      <c r="AV1155" t="inlineStr"/>
      <c r="AW1155" t="inlineStr"/>
      <c r="AX1155" t="inlineStr"/>
      <c r="AY1155" t="inlineStr"/>
    </row>
    <row r="1156">
      <c r="A1156" t="inlineStr">
        <is>
          <t>FDRX</t>
        </is>
      </c>
      <c r="B1156" t="inlineStr"/>
      <c r="C1156" s="1" t="inlineStr">
        <is>
          <t>Cash&amp;Other</t>
        </is>
      </c>
      <c r="D1156" t="inlineStr"/>
      <c r="E1156" s="1" t="inlineStr"/>
      <c r="F1156" t="inlineStr"/>
      <c r="G1156">
        <f>custodian!D1156</f>
        <v/>
      </c>
      <c r="H1156" s="1" t="inlineStr"/>
      <c r="I1156" s="1" t="inlineStr"/>
      <c r="J1156" t="inlineStr"/>
      <c r="K1156" t="inlineStr"/>
      <c r="L1156" t="inlineStr"/>
      <c r="M1156" t="inlineStr"/>
      <c r="N1156" t="inlineStr"/>
      <c r="O1156" s="1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s="1" t="inlineStr"/>
      <c r="AR1156" s="1" t="inlineStr"/>
      <c r="AS1156" s="1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GASZ</t>
        </is>
      </c>
      <c r="B1157" t="inlineStr">
        <is>
          <t>AGX US Equity</t>
        </is>
      </c>
      <c r="C1157" s="1" t="inlineStr">
        <is>
          <t>AGX</t>
        </is>
      </c>
      <c r="D1157" t="inlineStr">
        <is>
          <t>Argan Inc</t>
        </is>
      </c>
      <c r="E1157">
        <f>BDP($B1157,"LEGAL_ENTITY_IDENTIFIER")</f>
        <v/>
      </c>
      <c r="F1157" t="inlineStr">
        <is>
          <t>Argan Inc</t>
        </is>
      </c>
      <c r="G1157">
        <f>custodian!D1157</f>
        <v/>
      </c>
      <c r="H1157">
        <f>BDP($B1157,"ID_ISIN")</f>
        <v/>
      </c>
      <c r="I1157" s="1" t="inlineStr">
        <is>
          <t>AGX</t>
        </is>
      </c>
      <c r="J1157">
        <f>BDP($B1157,"CNTRY_OF_DOMICILE")</f>
        <v/>
      </c>
      <c r="K1157" t="inlineStr">
        <is>
          <t>EC</t>
        </is>
      </c>
      <c r="L1157" t="inlineStr">
        <is>
          <t>CORP</t>
        </is>
      </c>
      <c r="M1157" t="inlineStr"/>
      <c r="N1157" t="inlineStr"/>
      <c r="O1157" s="1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s="1" t="inlineStr"/>
      <c r="AR1157" s="1" t="inlineStr"/>
      <c r="AS1157" s="1" t="inlineStr"/>
      <c r="AT1157" t="inlineStr"/>
      <c r="AU1157" t="inlineStr"/>
      <c r="AV1157" t="inlineStr"/>
      <c r="AW1157" t="inlineStr"/>
      <c r="AX1157" t="inlineStr"/>
      <c r="AY1157" t="inlineStr"/>
    </row>
    <row r="1158">
      <c r="A1158" t="inlineStr">
        <is>
          <t>GASZ</t>
        </is>
      </c>
      <c r="B1158" t="inlineStr">
        <is>
          <t>AROC US Equity</t>
        </is>
      </c>
      <c r="C1158" s="1" t="inlineStr">
        <is>
          <t>AROC</t>
        </is>
      </c>
      <c r="D1158" t="inlineStr">
        <is>
          <t>Archrock Inc</t>
        </is>
      </c>
      <c r="E1158">
        <f>BDP($B1158,"LEGAL_ENTITY_IDENTIFIER")</f>
        <v/>
      </c>
      <c r="F1158" t="inlineStr">
        <is>
          <t>Archrock Inc</t>
        </is>
      </c>
      <c r="G1158">
        <f>custodian!D1158</f>
        <v/>
      </c>
      <c r="H1158">
        <f>BDP($B1158,"ID_ISIN")</f>
        <v/>
      </c>
      <c r="I1158" s="1" t="inlineStr">
        <is>
          <t>AROC</t>
        </is>
      </c>
      <c r="J1158">
        <f>BDP($B1158,"CNTRY_OF_DOMICILE")</f>
        <v/>
      </c>
      <c r="K1158" t="inlineStr">
        <is>
          <t>EC</t>
        </is>
      </c>
      <c r="L1158" t="inlineStr">
        <is>
          <t>CORP</t>
        </is>
      </c>
      <c r="M1158" t="inlineStr"/>
      <c r="N1158" t="inlineStr"/>
      <c r="O1158" s="1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s="1" t="inlineStr"/>
      <c r="AR1158" s="1" t="inlineStr"/>
      <c r="AS1158" s="1" t="inlineStr"/>
      <c r="AT1158" t="inlineStr"/>
      <c r="AU1158" t="inlineStr"/>
      <c r="AV1158" t="inlineStr"/>
      <c r="AW1158" t="inlineStr"/>
      <c r="AX1158" t="inlineStr"/>
      <c r="AY1158" t="inlineStr"/>
    </row>
    <row r="1159">
      <c r="A1159" t="inlineStr">
        <is>
          <t>GASZ</t>
        </is>
      </c>
      <c r="B1159" t="inlineStr">
        <is>
          <t>BKR US Equity</t>
        </is>
      </c>
      <c r="C1159" s="1" t="inlineStr">
        <is>
          <t>BKR</t>
        </is>
      </c>
      <c r="D1159" t="inlineStr">
        <is>
          <t>Baker Hughes Co</t>
        </is>
      </c>
      <c r="E1159">
        <f>BDP($B1159,"LEGAL_ENTITY_IDENTIFIER")</f>
        <v/>
      </c>
      <c r="F1159" t="inlineStr">
        <is>
          <t>Baker Hughes Co</t>
        </is>
      </c>
      <c r="G1159">
        <f>custodian!D1159</f>
        <v/>
      </c>
      <c r="H1159">
        <f>BDP($B1159,"ID_ISIN")</f>
        <v/>
      </c>
      <c r="I1159" s="1" t="inlineStr">
        <is>
          <t>BKR</t>
        </is>
      </c>
      <c r="J1159">
        <f>BDP($B1159,"CNTRY_OF_DOMICILE")</f>
        <v/>
      </c>
      <c r="K1159" t="inlineStr">
        <is>
          <t>EC</t>
        </is>
      </c>
      <c r="L1159" t="inlineStr">
        <is>
          <t>CORP</t>
        </is>
      </c>
      <c r="M1159" t="inlineStr"/>
      <c r="N1159" t="inlineStr"/>
      <c r="O1159" s="1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s="1" t="inlineStr"/>
      <c r="AR1159" s="1" t="inlineStr"/>
      <c r="AS1159" s="1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GASZ</t>
        </is>
      </c>
      <c r="B1160" t="inlineStr">
        <is>
          <t>CAT US Equity</t>
        </is>
      </c>
      <c r="C1160" s="1" t="inlineStr">
        <is>
          <t>CAT</t>
        </is>
      </c>
      <c r="D1160" t="inlineStr">
        <is>
          <t>Caterpillar Inc</t>
        </is>
      </c>
      <c r="E1160">
        <f>BDP($B1160,"LEGAL_ENTITY_IDENTIFIER")</f>
        <v/>
      </c>
      <c r="F1160" t="inlineStr">
        <is>
          <t>Caterpillar Inc</t>
        </is>
      </c>
      <c r="G1160">
        <f>custodian!D1160</f>
        <v/>
      </c>
      <c r="H1160">
        <f>BDP($B1160,"ID_ISIN")</f>
        <v/>
      </c>
      <c r="I1160" s="1" t="inlineStr">
        <is>
          <t>CAT</t>
        </is>
      </c>
      <c r="J1160">
        <f>BDP($B1160,"CNTRY_OF_DOMICILE")</f>
        <v/>
      </c>
      <c r="K1160" t="inlineStr">
        <is>
          <t>EC</t>
        </is>
      </c>
      <c r="L1160" t="inlineStr">
        <is>
          <t>CORP</t>
        </is>
      </c>
      <c r="M1160" t="inlineStr"/>
      <c r="N1160" t="inlineStr"/>
      <c r="O1160" s="1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s="1" t="inlineStr"/>
      <c r="AR1160" s="1" t="inlineStr"/>
      <c r="AS1160" s="1" t="inlineStr"/>
      <c r="AT1160" t="inlineStr"/>
      <c r="AU1160" t="inlineStr"/>
      <c r="AV1160" t="inlineStr"/>
      <c r="AW1160" t="inlineStr"/>
      <c r="AX1160" t="inlineStr"/>
      <c r="AY1160" t="inlineStr"/>
    </row>
    <row r="1161">
      <c r="A1161" t="inlineStr">
        <is>
          <t>GASZ</t>
        </is>
      </c>
      <c r="B1161" t="inlineStr">
        <is>
          <t>CLNE US Equity</t>
        </is>
      </c>
      <c r="C1161" s="1" t="inlineStr">
        <is>
          <t>CLNE</t>
        </is>
      </c>
      <c r="D1161" t="inlineStr">
        <is>
          <t>Clean Energy Fuels Corp</t>
        </is>
      </c>
      <c r="E1161">
        <f>BDP($B1161,"LEGAL_ENTITY_IDENTIFIER")</f>
        <v/>
      </c>
      <c r="F1161" t="inlineStr">
        <is>
          <t>Clean Energy Fuels Corp</t>
        </is>
      </c>
      <c r="G1161">
        <f>custodian!D1161</f>
        <v/>
      </c>
      <c r="H1161">
        <f>BDP($B1161,"ID_ISIN")</f>
        <v/>
      </c>
      <c r="I1161" s="1" t="inlineStr">
        <is>
          <t>CLNE</t>
        </is>
      </c>
      <c r="J1161">
        <f>BDP($B1161,"CNTRY_OF_DOMICILE")</f>
        <v/>
      </c>
      <c r="K1161" t="inlineStr">
        <is>
          <t>EC</t>
        </is>
      </c>
      <c r="L1161" t="inlineStr">
        <is>
          <t>CORP</t>
        </is>
      </c>
      <c r="M1161" t="inlineStr"/>
      <c r="N1161" t="inlineStr"/>
      <c r="O1161" s="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s="1" t="inlineStr"/>
      <c r="AR1161" s="1" t="inlineStr"/>
      <c r="AS1161" s="1" t="inlineStr"/>
      <c r="AT1161" t="inlineStr"/>
      <c r="AU1161" t="inlineStr"/>
      <c r="AV1161" t="inlineStr"/>
      <c r="AW1161" t="inlineStr"/>
      <c r="AX1161" t="inlineStr"/>
      <c r="AY1161" t="inlineStr"/>
    </row>
    <row r="1162">
      <c r="A1162" t="inlineStr">
        <is>
          <t>GASZ</t>
        </is>
      </c>
      <c r="B1162" t="inlineStr">
        <is>
          <t>CMI US Equity</t>
        </is>
      </c>
      <c r="C1162" s="1" t="inlineStr">
        <is>
          <t>CMI</t>
        </is>
      </c>
      <c r="D1162" t="inlineStr">
        <is>
          <t>Cummins Inc</t>
        </is>
      </c>
      <c r="E1162">
        <f>BDP($B1162,"LEGAL_ENTITY_IDENTIFIER")</f>
        <v/>
      </c>
      <c r="F1162" t="inlineStr">
        <is>
          <t>Cummins Inc</t>
        </is>
      </c>
      <c r="G1162">
        <f>custodian!D1162</f>
        <v/>
      </c>
      <c r="H1162">
        <f>BDP($B1162,"ID_ISIN")</f>
        <v/>
      </c>
      <c r="I1162" s="1" t="inlineStr">
        <is>
          <t>CMI</t>
        </is>
      </c>
      <c r="J1162">
        <f>BDP($B1162,"CNTRY_OF_DOMICILE")</f>
        <v/>
      </c>
      <c r="K1162" t="inlineStr">
        <is>
          <t>EC</t>
        </is>
      </c>
      <c r="L1162" t="inlineStr">
        <is>
          <t>CORP</t>
        </is>
      </c>
      <c r="M1162" t="inlineStr"/>
      <c r="N1162" t="inlineStr"/>
      <c r="O1162" s="1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s="1" t="inlineStr"/>
      <c r="AR1162" s="1" t="inlineStr"/>
      <c r="AS1162" s="1" t="inlineStr"/>
      <c r="AT1162" t="inlineStr"/>
      <c r="AU1162" t="inlineStr"/>
      <c r="AV1162" t="inlineStr"/>
      <c r="AW1162" t="inlineStr"/>
      <c r="AX1162" t="inlineStr"/>
      <c r="AY1162" t="inlineStr"/>
    </row>
    <row r="1163">
      <c r="A1163" t="inlineStr">
        <is>
          <t>GASZ</t>
        </is>
      </c>
      <c r="B1163" t="inlineStr">
        <is>
          <t>CW US Equity</t>
        </is>
      </c>
      <c r="C1163" s="1" t="inlineStr">
        <is>
          <t>CW</t>
        </is>
      </c>
      <c r="D1163" t="inlineStr">
        <is>
          <t>Curtiss-Wright Corp</t>
        </is>
      </c>
      <c r="E1163">
        <f>BDP($B1163,"LEGAL_ENTITY_IDENTIFIER")</f>
        <v/>
      </c>
      <c r="F1163" t="inlineStr">
        <is>
          <t>Curtiss-Wright Corp</t>
        </is>
      </c>
      <c r="G1163">
        <f>custodian!D1163</f>
        <v/>
      </c>
      <c r="H1163">
        <f>BDP($B1163,"ID_ISIN")</f>
        <v/>
      </c>
      <c r="I1163" s="1" t="inlineStr">
        <is>
          <t>CW</t>
        </is>
      </c>
      <c r="J1163">
        <f>BDP($B1163,"CNTRY_OF_DOMICILE")</f>
        <v/>
      </c>
      <c r="K1163" t="inlineStr">
        <is>
          <t>EC</t>
        </is>
      </c>
      <c r="L1163" t="inlineStr">
        <is>
          <t>CORP</t>
        </is>
      </c>
      <c r="M1163" t="inlineStr"/>
      <c r="N1163" t="inlineStr"/>
      <c r="O1163" s="1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s="1" t="inlineStr"/>
      <c r="AR1163" s="1" t="inlineStr"/>
      <c r="AS1163" s="1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GASZ</t>
        </is>
      </c>
      <c r="B1164" t="inlineStr">
        <is>
          <t>DCI US Equity</t>
        </is>
      </c>
      <c r="C1164" s="1" t="inlineStr">
        <is>
          <t>DCI</t>
        </is>
      </c>
      <c r="D1164" t="inlineStr">
        <is>
          <t>Donaldson Co Inc</t>
        </is>
      </c>
      <c r="E1164">
        <f>BDP($B1164,"LEGAL_ENTITY_IDENTIFIER")</f>
        <v/>
      </c>
      <c r="F1164" t="inlineStr">
        <is>
          <t>Donaldson Co Inc</t>
        </is>
      </c>
      <c r="G1164">
        <f>custodian!D1164</f>
        <v/>
      </c>
      <c r="H1164">
        <f>BDP($B1164,"ID_ISIN")</f>
        <v/>
      </c>
      <c r="I1164" s="1" t="inlineStr">
        <is>
          <t>DCI</t>
        </is>
      </c>
      <c r="J1164">
        <f>BDP($B1164,"CNTRY_OF_DOMICILE")</f>
        <v/>
      </c>
      <c r="K1164" t="inlineStr">
        <is>
          <t>EC</t>
        </is>
      </c>
      <c r="L1164" t="inlineStr">
        <is>
          <t>CORP</t>
        </is>
      </c>
      <c r="M1164" t="inlineStr"/>
      <c r="N1164" t="inlineStr"/>
      <c r="O1164" s="1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s="1" t="inlineStr"/>
      <c r="AR1164" s="1" t="inlineStr"/>
      <c r="AS1164" s="1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GASZ</t>
        </is>
      </c>
      <c r="B1165" t="inlineStr">
        <is>
          <t>ETN US Equity</t>
        </is>
      </c>
      <c r="C1165" s="1" t="inlineStr">
        <is>
          <t>ETN</t>
        </is>
      </c>
      <c r="D1165" t="inlineStr">
        <is>
          <t>Eaton Corp PLC</t>
        </is>
      </c>
      <c r="E1165">
        <f>BDP($B1165,"LEGAL_ENTITY_IDENTIFIER")</f>
        <v/>
      </c>
      <c r="F1165" t="inlineStr">
        <is>
          <t>Eaton Corp PLC</t>
        </is>
      </c>
      <c r="G1165">
        <f>custodian!D1165</f>
        <v/>
      </c>
      <c r="H1165">
        <f>BDP($B1165,"ID_ISIN")</f>
        <v/>
      </c>
      <c r="I1165" s="1" t="inlineStr">
        <is>
          <t>ETN</t>
        </is>
      </c>
      <c r="J1165">
        <f>BDP($B1165,"CNTRY_OF_DOMICILE")</f>
        <v/>
      </c>
      <c r="K1165" t="inlineStr">
        <is>
          <t>EC</t>
        </is>
      </c>
      <c r="L1165" t="inlineStr">
        <is>
          <t>CORP</t>
        </is>
      </c>
      <c r="M1165" t="inlineStr"/>
      <c r="N1165" t="inlineStr"/>
      <c r="O1165" s="1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s="1" t="inlineStr"/>
      <c r="AR1165" s="1" t="inlineStr"/>
      <c r="AS1165" s="1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GASZ</t>
        </is>
      </c>
      <c r="B1166" t="inlineStr">
        <is>
          <t>FGXXX US Equity</t>
        </is>
      </c>
      <c r="C1166" s="1" t="inlineStr">
        <is>
          <t>FGXXX</t>
        </is>
      </c>
      <c r="D1166" t="inlineStr">
        <is>
          <t>First American Government Obli</t>
        </is>
      </c>
      <c r="E1166">
        <f>BDP($B1166,"LEGAL_ENTITY_IDENTIFIER")</f>
        <v/>
      </c>
      <c r="F1166" t="inlineStr">
        <is>
          <t>First American Government Obligations Fund</t>
        </is>
      </c>
      <c r="G1166">
        <f>custodian!D1166</f>
        <v/>
      </c>
      <c r="H1166">
        <f>BDP($B1166,"ID_ISIN")</f>
        <v/>
      </c>
      <c r="I1166" s="1" t="inlineStr">
        <is>
          <t>FGXXX</t>
        </is>
      </c>
      <c r="J1166">
        <f>BDP($B1166,"CNTRY_OF_DOMICILE")</f>
        <v/>
      </c>
      <c r="K1166" t="inlineStr">
        <is>
          <t>STIV</t>
        </is>
      </c>
      <c r="L1166" t="inlineStr">
        <is>
          <t>RF</t>
        </is>
      </c>
      <c r="M1166" t="inlineStr"/>
      <c r="N1166" t="inlineStr"/>
      <c r="O1166" s="1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s="1" t="inlineStr"/>
      <c r="AR1166" s="1" t="inlineStr"/>
      <c r="AS1166" s="1" t="inlineStr"/>
      <c r="AT1166" t="inlineStr"/>
      <c r="AU1166" t="inlineStr"/>
      <c r="AV1166" t="inlineStr"/>
      <c r="AW1166" t="inlineStr"/>
      <c r="AX1166" t="inlineStr"/>
      <c r="AY1166" t="inlineStr"/>
    </row>
    <row r="1167">
      <c r="A1167" t="inlineStr">
        <is>
          <t>GASZ</t>
        </is>
      </c>
      <c r="B1167" t="inlineStr">
        <is>
          <t>FLR US Equity</t>
        </is>
      </c>
      <c r="C1167" s="1" t="inlineStr">
        <is>
          <t>FLR</t>
        </is>
      </c>
      <c r="D1167" t="inlineStr">
        <is>
          <t>Fluor Corp</t>
        </is>
      </c>
      <c r="E1167">
        <f>BDP($B1167,"LEGAL_ENTITY_IDENTIFIER")</f>
        <v/>
      </c>
      <c r="F1167" t="inlineStr">
        <is>
          <t>Fluor Corp</t>
        </is>
      </c>
      <c r="G1167">
        <f>custodian!D1167</f>
        <v/>
      </c>
      <c r="H1167">
        <f>BDP($B1167,"ID_ISIN")</f>
        <v/>
      </c>
      <c r="I1167" s="1" t="inlineStr">
        <is>
          <t>FLR</t>
        </is>
      </c>
      <c r="J1167">
        <f>BDP($B1167,"CNTRY_OF_DOMICILE")</f>
        <v/>
      </c>
      <c r="K1167" t="inlineStr">
        <is>
          <t>EC</t>
        </is>
      </c>
      <c r="L1167" t="inlineStr">
        <is>
          <t>CORP</t>
        </is>
      </c>
      <c r="M1167" t="inlineStr"/>
      <c r="N1167" t="inlineStr"/>
      <c r="O1167" s="1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s="1" t="inlineStr"/>
      <c r="AR1167" s="1" t="inlineStr"/>
      <c r="AS1167" s="1" t="inlineStr"/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GASZ</t>
        </is>
      </c>
      <c r="B1168" t="inlineStr">
        <is>
          <t>FLS US Equity</t>
        </is>
      </c>
      <c r="C1168" s="1" t="inlineStr">
        <is>
          <t>FLS</t>
        </is>
      </c>
      <c r="D1168" t="inlineStr">
        <is>
          <t>Flowserve Corp</t>
        </is>
      </c>
      <c r="E1168">
        <f>BDP($B1168,"LEGAL_ENTITY_IDENTIFIER")</f>
        <v/>
      </c>
      <c r="F1168" t="inlineStr">
        <is>
          <t>Flowserve Corp</t>
        </is>
      </c>
      <c r="G1168">
        <f>custodian!D1168</f>
        <v/>
      </c>
      <c r="H1168">
        <f>BDP($B1168,"ID_ISIN")</f>
        <v/>
      </c>
      <c r="I1168" s="1" t="inlineStr">
        <is>
          <t>FLS</t>
        </is>
      </c>
      <c r="J1168">
        <f>BDP($B1168,"CNTRY_OF_DOMICILE")</f>
        <v/>
      </c>
      <c r="K1168" t="inlineStr">
        <is>
          <t>EC</t>
        </is>
      </c>
      <c r="L1168" t="inlineStr">
        <is>
          <t>CORP</t>
        </is>
      </c>
      <c r="M1168" t="inlineStr"/>
      <c r="N1168" t="inlineStr"/>
      <c r="O1168" s="1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s="1" t="inlineStr"/>
      <c r="AR1168" s="1" t="inlineStr"/>
      <c r="AS1168" s="1" t="inlineStr"/>
      <c r="AT1168" t="inlineStr"/>
      <c r="AU1168" t="inlineStr"/>
      <c r="AV1168" t="inlineStr"/>
      <c r="AW1168" t="inlineStr"/>
      <c r="AX1168" t="inlineStr"/>
      <c r="AY1168" t="inlineStr"/>
    </row>
    <row r="1169">
      <c r="A1169" t="inlineStr">
        <is>
          <t>GASZ</t>
        </is>
      </c>
      <c r="B1169" t="inlineStr">
        <is>
          <t>FTI US Equity</t>
        </is>
      </c>
      <c r="C1169" s="1" t="inlineStr">
        <is>
          <t>FTI</t>
        </is>
      </c>
      <c r="D1169" t="inlineStr">
        <is>
          <t>TechnipFMC PLC</t>
        </is>
      </c>
      <c r="E1169">
        <f>BDP($B1169,"LEGAL_ENTITY_IDENTIFIER")</f>
        <v/>
      </c>
      <c r="F1169" t="inlineStr">
        <is>
          <t>TechnipFMC PLC</t>
        </is>
      </c>
      <c r="G1169">
        <f>custodian!D1169</f>
        <v/>
      </c>
      <c r="H1169">
        <f>BDP($B1169,"ID_ISIN")</f>
        <v/>
      </c>
      <c r="I1169" s="1" t="inlineStr">
        <is>
          <t>FTI</t>
        </is>
      </c>
      <c r="J1169">
        <f>BDP($B1169,"CNTRY_OF_DOMICILE")</f>
        <v/>
      </c>
      <c r="K1169" t="inlineStr">
        <is>
          <t>EC</t>
        </is>
      </c>
      <c r="L1169" t="inlineStr">
        <is>
          <t>CORP</t>
        </is>
      </c>
      <c r="M1169" t="inlineStr"/>
      <c r="N1169" t="inlineStr"/>
      <c r="O1169" s="1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s="1" t="inlineStr"/>
      <c r="AR1169" s="1" t="inlineStr"/>
      <c r="AS1169" s="1" t="inlineStr"/>
      <c r="AT1169" t="inlineStr"/>
      <c r="AU1169" t="inlineStr"/>
      <c r="AV1169" t="inlineStr"/>
      <c r="AW1169" t="inlineStr"/>
      <c r="AX1169" t="inlineStr"/>
      <c r="AY1169" t="inlineStr"/>
    </row>
    <row r="1170">
      <c r="A1170" t="inlineStr">
        <is>
          <t>GASZ</t>
        </is>
      </c>
      <c r="B1170" t="inlineStr">
        <is>
          <t>GEV US Equity</t>
        </is>
      </c>
      <c r="C1170" s="1" t="inlineStr">
        <is>
          <t>GEV</t>
        </is>
      </c>
      <c r="D1170" t="inlineStr">
        <is>
          <t>GE Vernova Inc</t>
        </is>
      </c>
      <c r="E1170">
        <f>BDP($B1170,"LEGAL_ENTITY_IDENTIFIER")</f>
        <v/>
      </c>
      <c r="F1170" t="inlineStr">
        <is>
          <t>GE Vernova Inc</t>
        </is>
      </c>
      <c r="G1170">
        <f>custodian!D1170</f>
        <v/>
      </c>
      <c r="H1170">
        <f>BDP($B1170,"ID_ISIN")</f>
        <v/>
      </c>
      <c r="I1170" s="1" t="inlineStr">
        <is>
          <t>GEV</t>
        </is>
      </c>
      <c r="J1170">
        <f>BDP($B1170,"CNTRY_OF_DOMICILE")</f>
        <v/>
      </c>
      <c r="K1170" t="inlineStr">
        <is>
          <t>EC</t>
        </is>
      </c>
      <c r="L1170" t="inlineStr">
        <is>
          <t>CORP</t>
        </is>
      </c>
      <c r="M1170" t="inlineStr"/>
      <c r="N1170" t="inlineStr"/>
      <c r="O1170" s="1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s="1" t="inlineStr"/>
      <c r="AR1170" s="1" t="inlineStr"/>
      <c r="AS1170" s="1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GASZ</t>
        </is>
      </c>
      <c r="B1171" t="inlineStr">
        <is>
          <t>GNRC US Equity</t>
        </is>
      </c>
      <c r="C1171" s="1" t="inlineStr">
        <is>
          <t>GNRC</t>
        </is>
      </c>
      <c r="D1171" t="inlineStr">
        <is>
          <t>Generac Holdings Inc</t>
        </is>
      </c>
      <c r="E1171">
        <f>BDP($B1171,"LEGAL_ENTITY_IDENTIFIER")</f>
        <v/>
      </c>
      <c r="F1171" t="inlineStr">
        <is>
          <t>Generac Holdings Inc</t>
        </is>
      </c>
      <c r="G1171">
        <f>custodian!D1171</f>
        <v/>
      </c>
      <c r="H1171">
        <f>BDP($B1171,"ID_ISIN")</f>
        <v/>
      </c>
      <c r="I1171" s="1" t="inlineStr">
        <is>
          <t>GNRC</t>
        </is>
      </c>
      <c r="J1171">
        <f>BDP($B1171,"CNTRY_OF_DOMICILE")</f>
        <v/>
      </c>
      <c r="K1171" t="inlineStr">
        <is>
          <t>EC</t>
        </is>
      </c>
      <c r="L1171" t="inlineStr">
        <is>
          <t>CORP</t>
        </is>
      </c>
      <c r="M1171" t="inlineStr"/>
      <c r="N1171" t="inlineStr"/>
      <c r="O1171" s="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s="1" t="inlineStr"/>
      <c r="AR1171" s="1" t="inlineStr"/>
      <c r="AS1171" s="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GASZ</t>
        </is>
      </c>
      <c r="B1172" t="inlineStr">
        <is>
          <t>GTLS US Equity</t>
        </is>
      </c>
      <c r="C1172" s="1" t="inlineStr">
        <is>
          <t>GTLS</t>
        </is>
      </c>
      <c r="D1172" t="inlineStr">
        <is>
          <t>Chart Industries Inc</t>
        </is>
      </c>
      <c r="E1172">
        <f>BDP($B1172,"LEGAL_ENTITY_IDENTIFIER")</f>
        <v/>
      </c>
      <c r="F1172" t="inlineStr">
        <is>
          <t>Chart Industries Inc</t>
        </is>
      </c>
      <c r="G1172">
        <f>custodian!D1172</f>
        <v/>
      </c>
      <c r="H1172">
        <f>BDP($B1172,"ID_ISIN")</f>
        <v/>
      </c>
      <c r="I1172" s="1" t="inlineStr">
        <is>
          <t>GTLS</t>
        </is>
      </c>
      <c r="J1172">
        <f>BDP($B1172,"CNTRY_OF_DOMICILE")</f>
        <v/>
      </c>
      <c r="K1172" t="inlineStr">
        <is>
          <t>EC</t>
        </is>
      </c>
      <c r="L1172" t="inlineStr">
        <is>
          <t>CORP</t>
        </is>
      </c>
      <c r="M1172" t="inlineStr"/>
      <c r="N1172" t="inlineStr"/>
      <c r="O1172" s="1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s="1" t="inlineStr"/>
      <c r="AR1172" s="1" t="inlineStr"/>
      <c r="AS1172" s="1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GASZ</t>
        </is>
      </c>
      <c r="B1173" t="inlineStr">
        <is>
          <t>KGS US Equity</t>
        </is>
      </c>
      <c r="C1173" s="1" t="inlineStr">
        <is>
          <t>KGS</t>
        </is>
      </c>
      <c r="D1173" t="inlineStr">
        <is>
          <t>Kodiak Gas Services Inc</t>
        </is>
      </c>
      <c r="E1173">
        <f>BDP($B1173,"LEGAL_ENTITY_IDENTIFIER")</f>
        <v/>
      </c>
      <c r="F1173" t="inlineStr">
        <is>
          <t>Kodiak Gas Services Inc</t>
        </is>
      </c>
      <c r="G1173">
        <f>custodian!D1173</f>
        <v/>
      </c>
      <c r="H1173">
        <f>BDP($B1173,"ID_ISIN")</f>
        <v/>
      </c>
      <c r="I1173" s="1" t="inlineStr">
        <is>
          <t>KGS</t>
        </is>
      </c>
      <c r="J1173">
        <f>BDP($B1173,"CNTRY_OF_DOMICILE")</f>
        <v/>
      </c>
      <c r="K1173" t="inlineStr">
        <is>
          <t>EC</t>
        </is>
      </c>
      <c r="L1173" t="inlineStr">
        <is>
          <t>CORP</t>
        </is>
      </c>
      <c r="M1173" t="inlineStr"/>
      <c r="N1173" t="inlineStr"/>
      <c r="O1173" s="1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s="1" t="inlineStr"/>
      <c r="AR1173" s="1" t="inlineStr"/>
      <c r="AS1173" s="1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GASZ</t>
        </is>
      </c>
      <c r="B1174" t="inlineStr">
        <is>
          <t>KMI US Equity</t>
        </is>
      </c>
      <c r="C1174" s="1" t="inlineStr">
        <is>
          <t>KMI</t>
        </is>
      </c>
      <c r="D1174" t="inlineStr">
        <is>
          <t>Kinder Morgan Inc</t>
        </is>
      </c>
      <c r="E1174">
        <f>BDP($B1174,"LEGAL_ENTITY_IDENTIFIER")</f>
        <v/>
      </c>
      <c r="F1174" t="inlineStr">
        <is>
          <t>Kinder Morgan Inc</t>
        </is>
      </c>
      <c r="G1174">
        <f>custodian!D1174</f>
        <v/>
      </c>
      <c r="H1174">
        <f>BDP($B1174,"ID_ISIN")</f>
        <v/>
      </c>
      <c r="I1174" s="1" t="inlineStr">
        <is>
          <t>KMI</t>
        </is>
      </c>
      <c r="J1174">
        <f>BDP($B1174,"CNTRY_OF_DOMICILE")</f>
        <v/>
      </c>
      <c r="K1174" t="inlineStr">
        <is>
          <t>EC</t>
        </is>
      </c>
      <c r="L1174" t="inlineStr">
        <is>
          <t>CORP</t>
        </is>
      </c>
      <c r="M1174" t="inlineStr"/>
      <c r="N1174" t="inlineStr"/>
      <c r="O1174" s="1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s="1" t="inlineStr"/>
      <c r="AR1174" s="1" t="inlineStr"/>
      <c r="AS1174" s="1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GASZ</t>
        </is>
      </c>
      <c r="B1175" t="inlineStr">
        <is>
          <t>LNG US Equity</t>
        </is>
      </c>
      <c r="C1175" s="1" t="inlineStr">
        <is>
          <t>LNG</t>
        </is>
      </c>
      <c r="D1175" t="inlineStr">
        <is>
          <t>Cheniere Energy Inc</t>
        </is>
      </c>
      <c r="E1175">
        <f>BDP($B1175,"LEGAL_ENTITY_IDENTIFIER")</f>
        <v/>
      </c>
      <c r="F1175" t="inlineStr">
        <is>
          <t>Cheniere Energy Inc</t>
        </is>
      </c>
      <c r="G1175">
        <f>custodian!D1175</f>
        <v/>
      </c>
      <c r="H1175">
        <f>BDP($B1175,"ID_ISIN")</f>
        <v/>
      </c>
      <c r="I1175" s="1" t="inlineStr">
        <is>
          <t>LNG</t>
        </is>
      </c>
      <c r="J1175">
        <f>BDP($B1175,"CNTRY_OF_DOMICILE")</f>
        <v/>
      </c>
      <c r="K1175" t="inlineStr">
        <is>
          <t>EC</t>
        </is>
      </c>
      <c r="L1175" t="inlineStr">
        <is>
          <t>CORP</t>
        </is>
      </c>
      <c r="M1175" t="inlineStr"/>
      <c r="N1175" t="inlineStr"/>
      <c r="O1175" s="1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s="1" t="inlineStr"/>
      <c r="AR1175" s="1" t="inlineStr"/>
      <c r="AS1175" s="1" t="inlineStr"/>
      <c r="AT1175" t="inlineStr"/>
      <c r="AU1175" t="inlineStr"/>
      <c r="AV1175" t="inlineStr"/>
      <c r="AW1175" t="inlineStr"/>
      <c r="AX1175" t="inlineStr"/>
      <c r="AY1175" t="inlineStr"/>
    </row>
    <row r="1176">
      <c r="A1176" t="inlineStr">
        <is>
          <t>GASZ</t>
        </is>
      </c>
      <c r="B1176" t="inlineStr">
        <is>
          <t>NFE US Equity</t>
        </is>
      </c>
      <c r="C1176" s="1" t="inlineStr">
        <is>
          <t>NFE</t>
        </is>
      </c>
      <c r="D1176" t="inlineStr">
        <is>
          <t>New Fortress Energy Inc</t>
        </is>
      </c>
      <c r="E1176">
        <f>BDP($B1176,"LEGAL_ENTITY_IDENTIFIER")</f>
        <v/>
      </c>
      <c r="F1176" t="inlineStr">
        <is>
          <t>New Fortress Energy Inc</t>
        </is>
      </c>
      <c r="G1176">
        <f>custodian!D1176</f>
        <v/>
      </c>
      <c r="H1176">
        <f>BDP($B1176,"ID_ISIN")</f>
        <v/>
      </c>
      <c r="I1176" s="1" t="inlineStr">
        <is>
          <t>NFE</t>
        </is>
      </c>
      <c r="J1176">
        <f>BDP($B1176,"CNTRY_OF_DOMICILE")</f>
        <v/>
      </c>
      <c r="K1176" t="inlineStr">
        <is>
          <t>EC</t>
        </is>
      </c>
      <c r="L1176" t="inlineStr">
        <is>
          <t>CORP</t>
        </is>
      </c>
      <c r="M1176" t="inlineStr"/>
      <c r="N1176" t="inlineStr"/>
      <c r="O1176" s="1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s="1" t="inlineStr"/>
      <c r="AR1176" s="1" t="inlineStr"/>
      <c r="AS1176" s="1" t="inlineStr"/>
      <c r="AT1176" t="inlineStr"/>
      <c r="AU1176" t="inlineStr"/>
      <c r="AV1176" t="inlineStr"/>
      <c r="AW1176" t="inlineStr"/>
      <c r="AX1176" t="inlineStr"/>
      <c r="AY1176" t="inlineStr"/>
    </row>
    <row r="1177">
      <c r="A1177" t="inlineStr">
        <is>
          <t>GASZ</t>
        </is>
      </c>
      <c r="B1177" t="inlineStr">
        <is>
          <t>NGS US Equity</t>
        </is>
      </c>
      <c r="C1177" s="1" t="inlineStr">
        <is>
          <t>NGS</t>
        </is>
      </c>
      <c r="D1177" t="inlineStr">
        <is>
          <t>Natural Gas Services Group Inc</t>
        </is>
      </c>
      <c r="E1177">
        <f>BDP($B1177,"LEGAL_ENTITY_IDENTIFIER")</f>
        <v/>
      </c>
      <c r="F1177" t="inlineStr">
        <is>
          <t>Natural Gas Services Group Inc</t>
        </is>
      </c>
      <c r="G1177">
        <f>custodian!D1177</f>
        <v/>
      </c>
      <c r="H1177">
        <f>BDP($B1177,"ID_ISIN")</f>
        <v/>
      </c>
      <c r="I1177" s="1" t="inlineStr">
        <is>
          <t>NGS</t>
        </is>
      </c>
      <c r="J1177">
        <f>BDP($B1177,"CNTRY_OF_DOMICILE")</f>
        <v/>
      </c>
      <c r="K1177" t="inlineStr">
        <is>
          <t>EC</t>
        </is>
      </c>
      <c r="L1177" t="inlineStr">
        <is>
          <t>CORP</t>
        </is>
      </c>
      <c r="M1177" t="inlineStr"/>
      <c r="N1177" t="inlineStr"/>
      <c r="O1177" s="1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s="1" t="inlineStr"/>
      <c r="AR1177" s="1" t="inlineStr"/>
      <c r="AS1177" s="1" t="inlineStr"/>
      <c r="AT1177" t="inlineStr"/>
      <c r="AU1177" t="inlineStr"/>
      <c r="AV1177" t="inlineStr"/>
      <c r="AW1177" t="inlineStr"/>
      <c r="AX1177" t="inlineStr"/>
      <c r="AY1177" t="inlineStr"/>
    </row>
    <row r="1178">
      <c r="A1178" t="inlineStr">
        <is>
          <t>GASZ</t>
        </is>
      </c>
      <c r="B1178" t="inlineStr">
        <is>
          <t>OKE US Equity</t>
        </is>
      </c>
      <c r="C1178" s="1" t="inlineStr">
        <is>
          <t>OKE</t>
        </is>
      </c>
      <c r="D1178" t="inlineStr">
        <is>
          <t>ONEOK Inc</t>
        </is>
      </c>
      <c r="E1178">
        <f>BDP($B1178,"LEGAL_ENTITY_IDENTIFIER")</f>
        <v/>
      </c>
      <c r="F1178" t="inlineStr">
        <is>
          <t>ONEOK Inc</t>
        </is>
      </c>
      <c r="G1178">
        <f>custodian!D1178</f>
        <v/>
      </c>
      <c r="H1178">
        <f>BDP($B1178,"ID_ISIN")</f>
        <v/>
      </c>
      <c r="I1178" s="1" t="inlineStr">
        <is>
          <t>OKE</t>
        </is>
      </c>
      <c r="J1178">
        <f>BDP($B1178,"CNTRY_OF_DOMICILE")</f>
        <v/>
      </c>
      <c r="K1178" t="inlineStr">
        <is>
          <t>EC</t>
        </is>
      </c>
      <c r="L1178" t="inlineStr">
        <is>
          <t>CORP</t>
        </is>
      </c>
      <c r="M1178" t="inlineStr"/>
      <c r="N1178" t="inlineStr"/>
      <c r="O1178" s="1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s="1" t="inlineStr"/>
      <c r="AR1178" s="1" t="inlineStr"/>
      <c r="AS1178" s="1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GASZ</t>
        </is>
      </c>
      <c r="B1179" t="inlineStr">
        <is>
          <t>WWD US Equity</t>
        </is>
      </c>
      <c r="C1179" s="1" t="inlineStr">
        <is>
          <t>WWD</t>
        </is>
      </c>
      <c r="D1179" t="inlineStr">
        <is>
          <t>Woodward Inc</t>
        </is>
      </c>
      <c r="E1179">
        <f>BDP($B1179,"LEGAL_ENTITY_IDENTIFIER")</f>
        <v/>
      </c>
      <c r="F1179" t="inlineStr">
        <is>
          <t>Woodward Inc</t>
        </is>
      </c>
      <c r="G1179">
        <f>custodian!D1179</f>
        <v/>
      </c>
      <c r="H1179">
        <f>BDP($B1179,"ID_ISIN")</f>
        <v/>
      </c>
      <c r="I1179" s="1" t="inlineStr">
        <is>
          <t>WWD</t>
        </is>
      </c>
      <c r="J1179">
        <f>BDP($B1179,"CNTRY_OF_DOMICILE")</f>
        <v/>
      </c>
      <c r="K1179" t="inlineStr">
        <is>
          <t>EC</t>
        </is>
      </c>
      <c r="L1179" t="inlineStr">
        <is>
          <t>CORP</t>
        </is>
      </c>
      <c r="M1179" t="inlineStr"/>
      <c r="N1179" t="inlineStr"/>
      <c r="O1179" s="1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s="1" t="inlineStr"/>
      <c r="AR1179" s="1" t="inlineStr"/>
      <c r="AS1179" s="1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GASZ</t>
        </is>
      </c>
      <c r="B1180" t="inlineStr"/>
      <c r="C1180" s="1" t="inlineStr">
        <is>
          <t>Cash&amp;Other</t>
        </is>
      </c>
      <c r="D1180" t="inlineStr"/>
      <c r="E1180" s="1" t="inlineStr"/>
      <c r="F1180" t="inlineStr"/>
      <c r="G1180">
        <f>custodian!D1180</f>
        <v/>
      </c>
      <c r="H1180" s="1" t="inlineStr"/>
      <c r="I1180" s="1" t="inlineStr"/>
      <c r="J1180" t="inlineStr"/>
      <c r="K1180" t="inlineStr"/>
      <c r="L1180" t="inlineStr"/>
      <c r="M1180" t="inlineStr"/>
      <c r="N1180" t="inlineStr"/>
      <c r="O1180" s="1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s="1" t="inlineStr"/>
      <c r="AR1180" s="1" t="inlineStr"/>
      <c r="AS1180" s="1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GLAM</t>
        </is>
      </c>
      <c r="B1181" t="inlineStr">
        <is>
          <t>ABBV US Equity</t>
        </is>
      </c>
      <c r="C1181" s="1" t="inlineStr">
        <is>
          <t>ABBV</t>
        </is>
      </c>
      <c r="D1181" t="inlineStr">
        <is>
          <t>AbbVie Inc</t>
        </is>
      </c>
      <c r="E1181">
        <f>BDP($B1181,"LEGAL_ENTITY_IDENTIFIER")</f>
        <v/>
      </c>
      <c r="F1181" t="inlineStr">
        <is>
          <t>AbbVie Inc</t>
        </is>
      </c>
      <c r="G1181">
        <f>custodian!D1181</f>
        <v/>
      </c>
      <c r="H1181">
        <f>BDP($B1181,"ID_ISIN")</f>
        <v/>
      </c>
      <c r="I1181" s="1" t="inlineStr">
        <is>
          <t>ABBV</t>
        </is>
      </c>
      <c r="J1181">
        <f>BDP($B1181,"CNTRY_OF_DOMICILE")</f>
        <v/>
      </c>
      <c r="K1181" t="inlineStr">
        <is>
          <t>EC</t>
        </is>
      </c>
      <c r="L1181" t="inlineStr">
        <is>
          <t>CORP</t>
        </is>
      </c>
      <c r="M1181" t="inlineStr"/>
      <c r="N1181" t="inlineStr"/>
      <c r="O1181" s="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s="1" t="inlineStr"/>
      <c r="AR1181" s="1" t="inlineStr"/>
      <c r="AS1181" s="1" t="inlineStr"/>
      <c r="AT1181" t="inlineStr"/>
      <c r="AU1181" t="inlineStr"/>
      <c r="AV1181" t="inlineStr"/>
      <c r="AW1181" t="inlineStr"/>
      <c r="AX1181" t="inlineStr"/>
      <c r="AY1181" t="inlineStr"/>
    </row>
    <row r="1182">
      <c r="A1182" t="inlineStr">
        <is>
          <t>GLAM</t>
        </is>
      </c>
      <c r="B1182" t="inlineStr">
        <is>
          <t>AIRS US Equity</t>
        </is>
      </c>
      <c r="C1182" s="1" t="inlineStr">
        <is>
          <t>AIRS</t>
        </is>
      </c>
      <c r="D1182" t="inlineStr">
        <is>
          <t>AirSculpt Technologies Inc</t>
        </is>
      </c>
      <c r="E1182">
        <f>BDP($B1182,"LEGAL_ENTITY_IDENTIFIER")</f>
        <v/>
      </c>
      <c r="F1182" t="inlineStr">
        <is>
          <t>AirSculpt Technologies Inc</t>
        </is>
      </c>
      <c r="G1182">
        <f>custodian!D1182</f>
        <v/>
      </c>
      <c r="H1182">
        <f>BDP($B1182,"ID_ISIN")</f>
        <v/>
      </c>
      <c r="I1182" s="1" t="inlineStr">
        <is>
          <t>AIRS</t>
        </is>
      </c>
      <c r="J1182">
        <f>BDP($B1182,"CNTRY_OF_DOMICILE")</f>
        <v/>
      </c>
      <c r="K1182" t="inlineStr">
        <is>
          <t>EC</t>
        </is>
      </c>
      <c r="L1182" t="inlineStr">
        <is>
          <t>CORP</t>
        </is>
      </c>
      <c r="M1182" t="inlineStr"/>
      <c r="N1182" t="inlineStr"/>
      <c r="O1182" s="1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s="1" t="inlineStr"/>
      <c r="AR1182" s="1" t="inlineStr"/>
      <c r="AS1182" s="1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GLAM</t>
        </is>
      </c>
      <c r="B1183" t="inlineStr">
        <is>
          <t>ALGN US Equity</t>
        </is>
      </c>
      <c r="C1183" s="1" t="inlineStr">
        <is>
          <t>ALGN</t>
        </is>
      </c>
      <c r="D1183" t="inlineStr">
        <is>
          <t>Align Technology Inc</t>
        </is>
      </c>
      <c r="E1183">
        <f>BDP($B1183,"LEGAL_ENTITY_IDENTIFIER")</f>
        <v/>
      </c>
      <c r="F1183" t="inlineStr">
        <is>
          <t>Align Technology Inc</t>
        </is>
      </c>
      <c r="G1183">
        <f>custodian!D1183</f>
        <v/>
      </c>
      <c r="H1183">
        <f>BDP($B1183,"ID_ISIN")</f>
        <v/>
      </c>
      <c r="I1183" s="1" t="inlineStr">
        <is>
          <t>ALGN</t>
        </is>
      </c>
      <c r="J1183">
        <f>BDP($B1183,"CNTRY_OF_DOMICILE")</f>
        <v/>
      </c>
      <c r="K1183" t="inlineStr">
        <is>
          <t>EC</t>
        </is>
      </c>
      <c r="L1183" t="inlineStr">
        <is>
          <t>CORP</t>
        </is>
      </c>
      <c r="M1183" t="inlineStr"/>
      <c r="N1183" t="inlineStr"/>
      <c r="O1183" s="1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s="1" t="inlineStr"/>
      <c r="AR1183" s="1" t="inlineStr"/>
      <c r="AS1183" s="1" t="inlineStr"/>
      <c r="AT1183" t="inlineStr"/>
      <c r="AU1183" t="inlineStr"/>
      <c r="AV1183" t="inlineStr"/>
      <c r="AW1183" t="inlineStr"/>
      <c r="AX1183" t="inlineStr"/>
      <c r="AY1183" t="inlineStr"/>
    </row>
    <row r="1184">
      <c r="A1184" t="inlineStr">
        <is>
          <t>GLAM</t>
        </is>
      </c>
      <c r="B1184" t="inlineStr">
        <is>
          <t>ATR US Equity</t>
        </is>
      </c>
      <c r="C1184" s="1" t="inlineStr">
        <is>
          <t>ATR</t>
        </is>
      </c>
      <c r="D1184" t="inlineStr">
        <is>
          <t>AptarGroup Inc</t>
        </is>
      </c>
      <c r="E1184">
        <f>BDP($B1184,"LEGAL_ENTITY_IDENTIFIER")</f>
        <v/>
      </c>
      <c r="F1184" t="inlineStr">
        <is>
          <t>AptarGroup Inc</t>
        </is>
      </c>
      <c r="G1184">
        <f>custodian!D1184</f>
        <v/>
      </c>
      <c r="H1184">
        <f>BDP($B1184,"ID_ISIN")</f>
        <v/>
      </c>
      <c r="I1184" s="1" t="inlineStr">
        <is>
          <t>ATR</t>
        </is>
      </c>
      <c r="J1184">
        <f>BDP($B1184,"CNTRY_OF_DOMICILE")</f>
        <v/>
      </c>
      <c r="K1184" t="inlineStr">
        <is>
          <t>EC</t>
        </is>
      </c>
      <c r="L1184" t="inlineStr">
        <is>
          <t>CORP</t>
        </is>
      </c>
      <c r="M1184" t="inlineStr"/>
      <c r="N1184" t="inlineStr"/>
      <c r="O1184" s="1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s="1" t="inlineStr"/>
      <c r="AR1184" s="1" t="inlineStr"/>
      <c r="AS1184" s="1" t="inlineStr"/>
      <c r="AT1184" t="inlineStr"/>
      <c r="AU1184" t="inlineStr"/>
      <c r="AV1184" t="inlineStr"/>
      <c r="AW1184" t="inlineStr"/>
      <c r="AX1184" t="inlineStr"/>
      <c r="AY1184" t="inlineStr"/>
    </row>
    <row r="1185">
      <c r="A1185" t="inlineStr">
        <is>
          <t>GLAM</t>
        </is>
      </c>
      <c r="B1185" t="inlineStr">
        <is>
          <t>BBWI US Equity</t>
        </is>
      </c>
      <c r="C1185" s="1" t="inlineStr">
        <is>
          <t>BBWI</t>
        </is>
      </c>
      <c r="D1185" t="inlineStr">
        <is>
          <t>Bath &amp; Body Works Inc</t>
        </is>
      </c>
      <c r="E1185">
        <f>BDP($B1185,"LEGAL_ENTITY_IDENTIFIER")</f>
        <v/>
      </c>
      <c r="F1185" t="inlineStr">
        <is>
          <t>Bath &amp; Body Works Inc</t>
        </is>
      </c>
      <c r="G1185">
        <f>custodian!D1185</f>
        <v/>
      </c>
      <c r="H1185">
        <f>BDP($B1185,"ID_ISIN")</f>
        <v/>
      </c>
      <c r="I1185" s="1" t="inlineStr">
        <is>
          <t>BBWI</t>
        </is>
      </c>
      <c r="J1185">
        <f>BDP($B1185,"CNTRY_OF_DOMICILE")</f>
        <v/>
      </c>
      <c r="K1185" t="inlineStr">
        <is>
          <t>EC</t>
        </is>
      </c>
      <c r="L1185" t="inlineStr">
        <is>
          <t>CORP</t>
        </is>
      </c>
      <c r="M1185" t="inlineStr"/>
      <c r="N1185" t="inlineStr"/>
      <c r="O1185" s="1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s="1" t="inlineStr"/>
      <c r="AR1185" s="1" t="inlineStr"/>
      <c r="AS1185" s="1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GLAM</t>
        </is>
      </c>
      <c r="B1186" t="inlineStr">
        <is>
          <t>CL US Equity</t>
        </is>
      </c>
      <c r="C1186" s="1" t="inlineStr">
        <is>
          <t>CL</t>
        </is>
      </c>
      <c r="D1186" t="inlineStr">
        <is>
          <t>Colgate-Palmolive Co</t>
        </is>
      </c>
      <c r="E1186">
        <f>BDP($B1186,"LEGAL_ENTITY_IDENTIFIER")</f>
        <v/>
      </c>
      <c r="F1186" t="inlineStr">
        <is>
          <t>Colgate-Palmolive Co</t>
        </is>
      </c>
      <c r="G1186">
        <f>custodian!D1186</f>
        <v/>
      </c>
      <c r="H1186">
        <f>BDP($B1186,"ID_ISIN")</f>
        <v/>
      </c>
      <c r="I1186" s="1" t="inlineStr">
        <is>
          <t>CL</t>
        </is>
      </c>
      <c r="J1186">
        <f>BDP($B1186,"CNTRY_OF_DOMICILE")</f>
        <v/>
      </c>
      <c r="K1186" t="inlineStr">
        <is>
          <t>EC</t>
        </is>
      </c>
      <c r="L1186" t="inlineStr">
        <is>
          <t>CORP</t>
        </is>
      </c>
      <c r="M1186" t="inlineStr"/>
      <c r="N1186" t="inlineStr"/>
      <c r="O1186" s="1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s="1" t="inlineStr"/>
      <c r="AR1186" s="1" t="inlineStr"/>
      <c r="AS1186" s="1" t="inlineStr"/>
      <c r="AT1186" t="inlineStr"/>
      <c r="AU1186" t="inlineStr"/>
      <c r="AV1186" t="inlineStr"/>
      <c r="AW1186" t="inlineStr"/>
      <c r="AX1186" t="inlineStr"/>
      <c r="AY1186" t="inlineStr"/>
    </row>
    <row r="1187">
      <c r="A1187" t="inlineStr">
        <is>
          <t>GLAM</t>
        </is>
      </c>
      <c r="B1187" t="inlineStr">
        <is>
          <t>COTY US Equity</t>
        </is>
      </c>
      <c r="C1187" s="1" t="inlineStr">
        <is>
          <t>COTY</t>
        </is>
      </c>
      <c r="D1187" t="inlineStr">
        <is>
          <t>Coty Inc</t>
        </is>
      </c>
      <c r="E1187">
        <f>BDP($B1187,"LEGAL_ENTITY_IDENTIFIER")</f>
        <v/>
      </c>
      <c r="F1187" t="inlineStr">
        <is>
          <t>Coty Inc</t>
        </is>
      </c>
      <c r="G1187">
        <f>custodian!D1187</f>
        <v/>
      </c>
      <c r="H1187">
        <f>BDP($B1187,"ID_ISIN")</f>
        <v/>
      </c>
      <c r="I1187" s="1" t="inlineStr">
        <is>
          <t>COTY</t>
        </is>
      </c>
      <c r="J1187">
        <f>BDP($B1187,"CNTRY_OF_DOMICILE")</f>
        <v/>
      </c>
      <c r="K1187" t="inlineStr">
        <is>
          <t>EC</t>
        </is>
      </c>
      <c r="L1187" t="inlineStr">
        <is>
          <t>CORP</t>
        </is>
      </c>
      <c r="M1187" t="inlineStr"/>
      <c r="N1187" t="inlineStr"/>
      <c r="O1187" s="1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s="1" t="inlineStr"/>
      <c r="AR1187" s="1" t="inlineStr"/>
      <c r="AS1187" s="1" t="inlineStr"/>
      <c r="AT1187" t="inlineStr"/>
      <c r="AU1187" t="inlineStr"/>
      <c r="AV1187" t="inlineStr"/>
      <c r="AW1187" t="inlineStr"/>
      <c r="AX1187" t="inlineStr"/>
      <c r="AY1187" t="inlineStr"/>
    </row>
    <row r="1188">
      <c r="A1188" t="inlineStr">
        <is>
          <t>GLAM</t>
        </is>
      </c>
      <c r="B1188" t="inlineStr">
        <is>
          <t>EL US Equity</t>
        </is>
      </c>
      <c r="C1188" s="1" t="inlineStr">
        <is>
          <t>EL</t>
        </is>
      </c>
      <c r="D1188" t="inlineStr">
        <is>
          <t>Estee Lauder Cos Inc/The</t>
        </is>
      </c>
      <c r="E1188">
        <f>BDP($B1188,"LEGAL_ENTITY_IDENTIFIER")</f>
        <v/>
      </c>
      <c r="F1188" t="inlineStr">
        <is>
          <t>Estee Lauder Cos Inc/The</t>
        </is>
      </c>
      <c r="G1188">
        <f>custodian!D1188</f>
        <v/>
      </c>
      <c r="H1188">
        <f>BDP($B1188,"ID_ISIN")</f>
        <v/>
      </c>
      <c r="I1188" s="1" t="inlineStr">
        <is>
          <t>EL</t>
        </is>
      </c>
      <c r="J1188">
        <f>BDP($B1188,"CNTRY_OF_DOMICILE")</f>
        <v/>
      </c>
      <c r="K1188" t="inlineStr">
        <is>
          <t>EC</t>
        </is>
      </c>
      <c r="L1188" t="inlineStr">
        <is>
          <t>CORP</t>
        </is>
      </c>
      <c r="M1188" t="inlineStr"/>
      <c r="N1188" t="inlineStr"/>
      <c r="O1188" s="1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s="1" t="inlineStr"/>
      <c r="AR1188" s="1" t="inlineStr"/>
      <c r="AS1188" s="1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GLAM</t>
        </is>
      </c>
      <c r="B1189" t="inlineStr">
        <is>
          <t>ELF US Equity</t>
        </is>
      </c>
      <c r="C1189" s="1" t="inlineStr">
        <is>
          <t>ELF</t>
        </is>
      </c>
      <c r="D1189" t="inlineStr">
        <is>
          <t>elf Beauty Inc</t>
        </is>
      </c>
      <c r="E1189">
        <f>BDP($B1189,"LEGAL_ENTITY_IDENTIFIER")</f>
        <v/>
      </c>
      <c r="F1189" t="inlineStr">
        <is>
          <t>elf Beauty Inc</t>
        </is>
      </c>
      <c r="G1189">
        <f>custodian!D1189</f>
        <v/>
      </c>
      <c r="H1189">
        <f>BDP($B1189,"ID_ISIN")</f>
        <v/>
      </c>
      <c r="I1189" s="1" t="inlineStr">
        <is>
          <t>ELF</t>
        </is>
      </c>
      <c r="J1189">
        <f>BDP($B1189,"CNTRY_OF_DOMICILE")</f>
        <v/>
      </c>
      <c r="K1189" t="inlineStr">
        <is>
          <t>EC</t>
        </is>
      </c>
      <c r="L1189" t="inlineStr">
        <is>
          <t>CORP</t>
        </is>
      </c>
      <c r="M1189" t="inlineStr"/>
      <c r="N1189" t="inlineStr"/>
      <c r="O1189" s="1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s="1" t="inlineStr"/>
      <c r="AR1189" s="1" t="inlineStr"/>
      <c r="AS1189" s="1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GLAM</t>
        </is>
      </c>
      <c r="B1190" t="inlineStr">
        <is>
          <t>EOLS US Equity</t>
        </is>
      </c>
      <c r="C1190" s="1" t="inlineStr">
        <is>
          <t>EOLS</t>
        </is>
      </c>
      <c r="D1190" t="inlineStr">
        <is>
          <t>Evolus Inc</t>
        </is>
      </c>
      <c r="E1190">
        <f>BDP($B1190,"LEGAL_ENTITY_IDENTIFIER")</f>
        <v/>
      </c>
      <c r="F1190" t="inlineStr">
        <is>
          <t>Evolus Inc</t>
        </is>
      </c>
      <c r="G1190">
        <f>custodian!D1190</f>
        <v/>
      </c>
      <c r="H1190">
        <f>BDP($B1190,"ID_ISIN")</f>
        <v/>
      </c>
      <c r="I1190" s="1" t="inlineStr">
        <is>
          <t>EOLS</t>
        </is>
      </c>
      <c r="J1190">
        <f>BDP($B1190,"CNTRY_OF_DOMICILE")</f>
        <v/>
      </c>
      <c r="K1190" t="inlineStr">
        <is>
          <t>EC</t>
        </is>
      </c>
      <c r="L1190" t="inlineStr">
        <is>
          <t>CORP</t>
        </is>
      </c>
      <c r="M1190" t="inlineStr"/>
      <c r="N1190" t="inlineStr"/>
      <c r="O1190" s="1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s="1" t="inlineStr"/>
      <c r="AR1190" s="1" t="inlineStr"/>
      <c r="AS1190" s="1" t="inlineStr"/>
      <c r="AT1190" t="inlineStr"/>
      <c r="AU1190" t="inlineStr"/>
      <c r="AV1190" t="inlineStr"/>
      <c r="AW1190" t="inlineStr"/>
      <c r="AX1190" t="inlineStr"/>
      <c r="AY1190" t="inlineStr"/>
    </row>
    <row r="1191">
      <c r="A1191" t="inlineStr">
        <is>
          <t>GLAM</t>
        </is>
      </c>
      <c r="B1191" t="inlineStr">
        <is>
          <t>EPC US Equity</t>
        </is>
      </c>
      <c r="C1191" s="1" t="inlineStr">
        <is>
          <t>EPC</t>
        </is>
      </c>
      <c r="D1191" t="inlineStr">
        <is>
          <t>Edgewell Personal Care Co</t>
        </is>
      </c>
      <c r="E1191">
        <f>BDP($B1191,"LEGAL_ENTITY_IDENTIFIER")</f>
        <v/>
      </c>
      <c r="F1191" t="inlineStr">
        <is>
          <t>Edgewell Personal Care Co</t>
        </is>
      </c>
      <c r="G1191">
        <f>custodian!D1191</f>
        <v/>
      </c>
      <c r="H1191">
        <f>BDP($B1191,"ID_ISIN")</f>
        <v/>
      </c>
      <c r="I1191" s="1" t="inlineStr">
        <is>
          <t>EPC</t>
        </is>
      </c>
      <c r="J1191">
        <f>BDP($B1191,"CNTRY_OF_DOMICILE")</f>
        <v/>
      </c>
      <c r="K1191" t="inlineStr">
        <is>
          <t>EC</t>
        </is>
      </c>
      <c r="L1191" t="inlineStr">
        <is>
          <t>CORP</t>
        </is>
      </c>
      <c r="M1191" t="inlineStr"/>
      <c r="N1191" t="inlineStr"/>
      <c r="O1191" s="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s="1" t="inlineStr"/>
      <c r="AR1191" s="1" t="inlineStr"/>
      <c r="AS1191" s="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GLAM</t>
        </is>
      </c>
      <c r="B1192" t="inlineStr">
        <is>
          <t>ESTA US Equity</t>
        </is>
      </c>
      <c r="C1192" s="1" t="inlineStr">
        <is>
          <t>ESTA</t>
        </is>
      </c>
      <c r="D1192" t="inlineStr">
        <is>
          <t>Establishment Labs Holdings In</t>
        </is>
      </c>
      <c r="E1192">
        <f>BDP($B1192,"LEGAL_ENTITY_IDENTIFIER")</f>
        <v/>
      </c>
      <c r="F1192" t="inlineStr">
        <is>
          <t>Establishment Labs Holdings Inc</t>
        </is>
      </c>
      <c r="G1192">
        <f>custodian!D1192</f>
        <v/>
      </c>
      <c r="H1192">
        <f>BDP($B1192,"ID_ISIN")</f>
        <v/>
      </c>
      <c r="I1192" s="1" t="inlineStr">
        <is>
          <t>ESTA</t>
        </is>
      </c>
      <c r="J1192">
        <f>BDP($B1192,"CNTRY_OF_DOMICILE")</f>
        <v/>
      </c>
      <c r="K1192" t="inlineStr">
        <is>
          <t>EC</t>
        </is>
      </c>
      <c r="L1192" t="inlineStr">
        <is>
          <t>CORP</t>
        </is>
      </c>
      <c r="M1192" t="inlineStr"/>
      <c r="N1192" t="inlineStr"/>
      <c r="O1192" s="1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s="1" t="inlineStr"/>
      <c r="AR1192" s="1" t="inlineStr"/>
      <c r="AS1192" s="1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GLAM</t>
        </is>
      </c>
      <c r="B1193" t="inlineStr">
        <is>
          <t>FGXXX US Equity</t>
        </is>
      </c>
      <c r="C1193" s="1" t="inlineStr">
        <is>
          <t>FGXXX</t>
        </is>
      </c>
      <c r="D1193" t="inlineStr">
        <is>
          <t>First American Government Obli</t>
        </is>
      </c>
      <c r="E1193">
        <f>BDP($B1193,"LEGAL_ENTITY_IDENTIFIER")</f>
        <v/>
      </c>
      <c r="F1193" t="inlineStr">
        <is>
          <t>First American Government Obligations Fund</t>
        </is>
      </c>
      <c r="G1193">
        <f>custodian!D1193</f>
        <v/>
      </c>
      <c r="H1193">
        <f>BDP($B1193,"ID_ISIN")</f>
        <v/>
      </c>
      <c r="I1193" s="1" t="inlineStr">
        <is>
          <t>FGXXX</t>
        </is>
      </c>
      <c r="J1193">
        <f>BDP($B1193,"CNTRY_OF_DOMICILE")</f>
        <v/>
      </c>
      <c r="K1193" t="inlineStr">
        <is>
          <t>STIV</t>
        </is>
      </c>
      <c r="L1193" t="inlineStr">
        <is>
          <t>RF</t>
        </is>
      </c>
      <c r="M1193" t="inlineStr"/>
      <c r="N1193" t="inlineStr"/>
      <c r="O1193" s="1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s="1" t="inlineStr"/>
      <c r="AR1193" s="1" t="inlineStr"/>
      <c r="AS1193" s="1" t="inlineStr"/>
      <c r="AT1193" t="inlineStr"/>
      <c r="AU1193" t="inlineStr"/>
      <c r="AV1193" t="inlineStr"/>
      <c r="AW1193" t="inlineStr"/>
      <c r="AX1193" t="inlineStr"/>
      <c r="AY1193" t="inlineStr"/>
    </row>
    <row r="1194">
      <c r="A1194" t="inlineStr">
        <is>
          <t>GLAM</t>
        </is>
      </c>
      <c r="B1194" t="inlineStr">
        <is>
          <t>HELE US Equity</t>
        </is>
      </c>
      <c r="C1194" s="1" t="inlineStr">
        <is>
          <t>HELE</t>
        </is>
      </c>
      <c r="D1194" t="inlineStr">
        <is>
          <t>Helen of Troy Ltd</t>
        </is>
      </c>
      <c r="E1194">
        <f>BDP($B1194,"LEGAL_ENTITY_IDENTIFIER")</f>
        <v/>
      </c>
      <c r="F1194" t="inlineStr">
        <is>
          <t>Helen of Troy Ltd</t>
        </is>
      </c>
      <c r="G1194">
        <f>custodian!D1194</f>
        <v/>
      </c>
      <c r="H1194">
        <f>BDP($B1194,"ID_ISIN")</f>
        <v/>
      </c>
      <c r="I1194" s="1" t="inlineStr">
        <is>
          <t>HELE</t>
        </is>
      </c>
      <c r="J1194">
        <f>BDP($B1194,"CNTRY_OF_DOMICILE")</f>
        <v/>
      </c>
      <c r="K1194" t="inlineStr">
        <is>
          <t>EC</t>
        </is>
      </c>
      <c r="L1194" t="inlineStr">
        <is>
          <t>CORP</t>
        </is>
      </c>
      <c r="M1194" t="inlineStr"/>
      <c r="N1194" t="inlineStr"/>
      <c r="O1194" s="1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s="1" t="inlineStr"/>
      <c r="AR1194" s="1" t="inlineStr"/>
      <c r="AS1194" s="1" t="inlineStr"/>
      <c r="AT1194" t="inlineStr"/>
      <c r="AU1194" t="inlineStr"/>
      <c r="AV1194" t="inlineStr"/>
      <c r="AW1194" t="inlineStr"/>
      <c r="AX1194" t="inlineStr"/>
      <c r="AY1194" t="inlineStr"/>
    </row>
    <row r="1195">
      <c r="A1195" t="inlineStr">
        <is>
          <t>GLAM</t>
        </is>
      </c>
      <c r="B1195" t="inlineStr">
        <is>
          <t>HIMS US Equity</t>
        </is>
      </c>
      <c r="C1195" s="1" t="inlineStr">
        <is>
          <t>HIMS</t>
        </is>
      </c>
      <c r="D1195" t="inlineStr">
        <is>
          <t>Hims &amp; Hers Health Inc</t>
        </is>
      </c>
      <c r="E1195">
        <f>BDP($B1195,"LEGAL_ENTITY_IDENTIFIER")</f>
        <v/>
      </c>
      <c r="F1195" t="inlineStr">
        <is>
          <t>Hims &amp; Hers Health Inc</t>
        </is>
      </c>
      <c r="G1195">
        <f>custodian!D1195</f>
        <v/>
      </c>
      <c r="H1195">
        <f>BDP($B1195,"ID_ISIN")</f>
        <v/>
      </c>
      <c r="I1195" s="1" t="inlineStr">
        <is>
          <t>HIMS</t>
        </is>
      </c>
      <c r="J1195">
        <f>BDP($B1195,"CNTRY_OF_DOMICILE")</f>
        <v/>
      </c>
      <c r="K1195" t="inlineStr">
        <is>
          <t>EC</t>
        </is>
      </c>
      <c r="L1195" t="inlineStr">
        <is>
          <t>CORP</t>
        </is>
      </c>
      <c r="M1195" t="inlineStr"/>
      <c r="N1195" t="inlineStr"/>
      <c r="O1195" s="1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s="1" t="inlineStr"/>
      <c r="AR1195" s="1" t="inlineStr"/>
      <c r="AS1195" s="1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GLAM</t>
        </is>
      </c>
      <c r="B1196" t="inlineStr">
        <is>
          <t>HNST US Equity</t>
        </is>
      </c>
      <c r="C1196" s="1" t="inlineStr">
        <is>
          <t>HNST</t>
        </is>
      </c>
      <c r="D1196" t="inlineStr">
        <is>
          <t>Honest Co Inc/The</t>
        </is>
      </c>
      <c r="E1196">
        <f>BDP($B1196,"LEGAL_ENTITY_IDENTIFIER")</f>
        <v/>
      </c>
      <c r="F1196" t="inlineStr">
        <is>
          <t>Honest Co Inc/The</t>
        </is>
      </c>
      <c r="G1196">
        <f>custodian!D1196</f>
        <v/>
      </c>
      <c r="H1196">
        <f>BDP($B1196,"ID_ISIN")</f>
        <v/>
      </c>
      <c r="I1196" s="1" t="inlineStr">
        <is>
          <t>HNST</t>
        </is>
      </c>
      <c r="J1196">
        <f>BDP($B1196,"CNTRY_OF_DOMICILE")</f>
        <v/>
      </c>
      <c r="K1196" t="inlineStr">
        <is>
          <t>EC</t>
        </is>
      </c>
      <c r="L1196" t="inlineStr">
        <is>
          <t>CORP</t>
        </is>
      </c>
      <c r="M1196" t="inlineStr"/>
      <c r="N1196" t="inlineStr"/>
      <c r="O1196" s="1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s="1" t="inlineStr"/>
      <c r="AR1196" s="1" t="inlineStr"/>
      <c r="AS1196" s="1" t="inlineStr"/>
      <c r="AT1196" t="inlineStr"/>
      <c r="AU1196" t="inlineStr"/>
      <c r="AV1196" t="inlineStr"/>
      <c r="AW1196" t="inlineStr"/>
      <c r="AX1196" t="inlineStr"/>
      <c r="AY1196" t="inlineStr"/>
    </row>
    <row r="1197">
      <c r="A1197" t="inlineStr">
        <is>
          <t>GLAM</t>
        </is>
      </c>
      <c r="B1197" t="inlineStr">
        <is>
          <t>IFF US Equity</t>
        </is>
      </c>
      <c r="C1197" s="1" t="inlineStr">
        <is>
          <t>IFF</t>
        </is>
      </c>
      <c r="D1197" t="inlineStr">
        <is>
          <t>International Flavors &amp; Fragra</t>
        </is>
      </c>
      <c r="E1197">
        <f>BDP($B1197,"LEGAL_ENTITY_IDENTIFIER")</f>
        <v/>
      </c>
      <c r="F1197" t="inlineStr">
        <is>
          <t>International Flavors &amp; Fragrances Inc</t>
        </is>
      </c>
      <c r="G1197">
        <f>custodian!D1197</f>
        <v/>
      </c>
      <c r="H1197">
        <f>BDP($B1197,"ID_ISIN")</f>
        <v/>
      </c>
      <c r="I1197" s="1" t="inlineStr">
        <is>
          <t>IFF</t>
        </is>
      </c>
      <c r="J1197">
        <f>BDP($B1197,"CNTRY_OF_DOMICILE")</f>
        <v/>
      </c>
      <c r="K1197" t="inlineStr">
        <is>
          <t>EC</t>
        </is>
      </c>
      <c r="L1197" t="inlineStr">
        <is>
          <t>CORP</t>
        </is>
      </c>
      <c r="M1197" t="inlineStr"/>
      <c r="N1197" t="inlineStr"/>
      <c r="O1197" s="1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s="1" t="inlineStr"/>
      <c r="AR1197" s="1" t="inlineStr"/>
      <c r="AS1197" s="1" t="inlineStr"/>
      <c r="AT1197" t="inlineStr"/>
      <c r="AU1197" t="inlineStr"/>
      <c r="AV1197" t="inlineStr"/>
      <c r="AW1197" t="inlineStr"/>
      <c r="AX1197" t="inlineStr"/>
      <c r="AY1197" t="inlineStr"/>
    </row>
    <row r="1198">
      <c r="A1198" t="inlineStr">
        <is>
          <t>GLAM</t>
        </is>
      </c>
      <c r="B1198" t="inlineStr">
        <is>
          <t>INMD US Equity</t>
        </is>
      </c>
      <c r="C1198" s="1" t="inlineStr">
        <is>
          <t>INMD</t>
        </is>
      </c>
      <c r="D1198" t="inlineStr">
        <is>
          <t>Inmode Ltd</t>
        </is>
      </c>
      <c r="E1198">
        <f>BDP($B1198,"LEGAL_ENTITY_IDENTIFIER")</f>
        <v/>
      </c>
      <c r="F1198" t="inlineStr">
        <is>
          <t>Inmode Ltd</t>
        </is>
      </c>
      <c r="G1198">
        <f>custodian!D1198</f>
        <v/>
      </c>
      <c r="H1198">
        <f>BDP($B1198,"ID_ISIN")</f>
        <v/>
      </c>
      <c r="I1198" s="1" t="inlineStr">
        <is>
          <t>INMD</t>
        </is>
      </c>
      <c r="J1198">
        <f>BDP($B1198,"CNTRY_OF_DOMICILE")</f>
        <v/>
      </c>
      <c r="K1198" t="inlineStr">
        <is>
          <t>EC</t>
        </is>
      </c>
      <c r="L1198" t="inlineStr">
        <is>
          <t>CORP</t>
        </is>
      </c>
      <c r="M1198" t="inlineStr"/>
      <c r="N1198" t="inlineStr"/>
      <c r="O1198" s="1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s="1" t="inlineStr"/>
      <c r="AR1198" s="1" t="inlineStr"/>
      <c r="AS1198" s="1" t="inlineStr"/>
      <c r="AT1198" t="inlineStr"/>
      <c r="AU1198" t="inlineStr"/>
      <c r="AV1198" t="inlineStr"/>
      <c r="AW1198" t="inlineStr"/>
      <c r="AX1198" t="inlineStr"/>
      <c r="AY1198" t="inlineStr"/>
    </row>
    <row r="1199">
      <c r="A1199" t="inlineStr">
        <is>
          <t>GLAM</t>
        </is>
      </c>
      <c r="B1199" t="inlineStr">
        <is>
          <t>IPAR US Equity</t>
        </is>
      </c>
      <c r="C1199" s="1" t="inlineStr">
        <is>
          <t>IPAR</t>
        </is>
      </c>
      <c r="D1199" t="inlineStr">
        <is>
          <t>Interparfums Inc</t>
        </is>
      </c>
      <c r="E1199">
        <f>BDP($B1199,"LEGAL_ENTITY_IDENTIFIER")</f>
        <v/>
      </c>
      <c r="F1199" t="inlineStr">
        <is>
          <t>Interparfums Inc</t>
        </is>
      </c>
      <c r="G1199">
        <f>custodian!D1199</f>
        <v/>
      </c>
      <c r="H1199">
        <f>BDP($B1199,"ID_ISIN")</f>
        <v/>
      </c>
      <c r="I1199" s="1" t="inlineStr">
        <is>
          <t>IPAR</t>
        </is>
      </c>
      <c r="J1199">
        <f>BDP($B1199,"CNTRY_OF_DOMICILE")</f>
        <v/>
      </c>
      <c r="K1199" t="inlineStr">
        <is>
          <t>EC</t>
        </is>
      </c>
      <c r="L1199" t="inlineStr">
        <is>
          <t>CORP</t>
        </is>
      </c>
      <c r="M1199" t="inlineStr"/>
      <c r="N1199" t="inlineStr"/>
      <c r="O1199" s="1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s="1" t="inlineStr"/>
      <c r="AR1199" s="1" t="inlineStr"/>
      <c r="AS1199" s="1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GLAM</t>
        </is>
      </c>
      <c r="B1200" t="inlineStr">
        <is>
          <t>KVUE US Equity</t>
        </is>
      </c>
      <c r="C1200" s="1" t="inlineStr">
        <is>
          <t>KVUE</t>
        </is>
      </c>
      <c r="D1200" t="inlineStr">
        <is>
          <t>Kenvue Inc</t>
        </is>
      </c>
      <c r="E1200">
        <f>BDP($B1200,"LEGAL_ENTITY_IDENTIFIER")</f>
        <v/>
      </c>
      <c r="F1200" t="inlineStr">
        <is>
          <t>Kenvue Inc</t>
        </is>
      </c>
      <c r="G1200">
        <f>custodian!D1200</f>
        <v/>
      </c>
      <c r="H1200">
        <f>BDP($B1200,"ID_ISIN")</f>
        <v/>
      </c>
      <c r="I1200" s="1" t="inlineStr">
        <is>
          <t>KVUE</t>
        </is>
      </c>
      <c r="J1200">
        <f>BDP($B1200,"CNTRY_OF_DOMICILE")</f>
        <v/>
      </c>
      <c r="K1200" t="inlineStr">
        <is>
          <t>EC</t>
        </is>
      </c>
      <c r="L1200" t="inlineStr">
        <is>
          <t>CORP</t>
        </is>
      </c>
      <c r="M1200" t="inlineStr"/>
      <c r="N1200" t="inlineStr"/>
      <c r="O1200" s="1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s="1" t="inlineStr"/>
      <c r="AR1200" s="1" t="inlineStr"/>
      <c r="AS1200" s="1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GLAM</t>
        </is>
      </c>
      <c r="B1201" t="inlineStr">
        <is>
          <t>NUS US Equity</t>
        </is>
      </c>
      <c r="C1201" s="1" t="inlineStr">
        <is>
          <t>NUS</t>
        </is>
      </c>
      <c r="D1201" t="inlineStr">
        <is>
          <t>Nu Skin Enterprises Inc</t>
        </is>
      </c>
      <c r="E1201">
        <f>BDP($B1201,"LEGAL_ENTITY_IDENTIFIER")</f>
        <v/>
      </c>
      <c r="F1201" t="inlineStr">
        <is>
          <t>Nu Skin Enterprises Inc</t>
        </is>
      </c>
      <c r="G1201">
        <f>custodian!D1201</f>
        <v/>
      </c>
      <c r="H1201">
        <f>BDP($B1201,"ID_ISIN")</f>
        <v/>
      </c>
      <c r="I1201" s="1" t="inlineStr">
        <is>
          <t>NUS</t>
        </is>
      </c>
      <c r="J1201">
        <f>BDP($B1201,"CNTRY_OF_DOMICILE")</f>
        <v/>
      </c>
      <c r="K1201" t="inlineStr">
        <is>
          <t>EC</t>
        </is>
      </c>
      <c r="L1201" t="inlineStr">
        <is>
          <t>CORP</t>
        </is>
      </c>
      <c r="M1201" t="inlineStr"/>
      <c r="N1201" t="inlineStr"/>
      <c r="O1201" s="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s="1" t="inlineStr"/>
      <c r="AR1201" s="1" t="inlineStr"/>
      <c r="AS1201" s="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GLAM</t>
        </is>
      </c>
      <c r="B1202" t="inlineStr">
        <is>
          <t>ODD US Equity</t>
        </is>
      </c>
      <c r="C1202" s="1" t="inlineStr">
        <is>
          <t>ODD</t>
        </is>
      </c>
      <c r="D1202" t="inlineStr">
        <is>
          <t>Oddity Tech Ltd</t>
        </is>
      </c>
      <c r="E1202">
        <f>BDP($B1202,"LEGAL_ENTITY_IDENTIFIER")</f>
        <v/>
      </c>
      <c r="F1202" t="inlineStr">
        <is>
          <t>Oddity Tech Ltd</t>
        </is>
      </c>
      <c r="G1202">
        <f>custodian!D1202</f>
        <v/>
      </c>
      <c r="H1202">
        <f>BDP($B1202,"ID_ISIN")</f>
        <v/>
      </c>
      <c r="I1202" s="1" t="inlineStr">
        <is>
          <t>ODD</t>
        </is>
      </c>
      <c r="J1202">
        <f>BDP($B1202,"CNTRY_OF_DOMICILE")</f>
        <v/>
      </c>
      <c r="K1202" t="inlineStr">
        <is>
          <t>EC</t>
        </is>
      </c>
      <c r="L1202" t="inlineStr">
        <is>
          <t>CORP</t>
        </is>
      </c>
      <c r="M1202" t="inlineStr"/>
      <c r="N1202" t="inlineStr"/>
      <c r="O1202" s="1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s="1" t="inlineStr"/>
      <c r="AR1202" s="1" t="inlineStr"/>
      <c r="AS1202" s="1" t="inlineStr"/>
      <c r="AT1202" t="inlineStr"/>
      <c r="AU1202" t="inlineStr"/>
      <c r="AV1202" t="inlineStr"/>
      <c r="AW1202" t="inlineStr"/>
      <c r="AX1202" t="inlineStr"/>
      <c r="AY1202" t="inlineStr"/>
    </row>
    <row r="1203">
      <c r="A1203" t="inlineStr">
        <is>
          <t>GLAM</t>
        </is>
      </c>
      <c r="B1203" t="inlineStr">
        <is>
          <t>OLPX US Equity</t>
        </is>
      </c>
      <c r="C1203" s="1" t="inlineStr">
        <is>
          <t>OLPX</t>
        </is>
      </c>
      <c r="D1203" t="inlineStr">
        <is>
          <t>Olaplex Holdings Inc</t>
        </is>
      </c>
      <c r="E1203">
        <f>BDP($B1203,"LEGAL_ENTITY_IDENTIFIER")</f>
        <v/>
      </c>
      <c r="F1203" t="inlineStr">
        <is>
          <t>Olaplex Holdings Inc</t>
        </is>
      </c>
      <c r="G1203">
        <f>custodian!D1203</f>
        <v/>
      </c>
      <c r="H1203">
        <f>BDP($B1203,"ID_ISIN")</f>
        <v/>
      </c>
      <c r="I1203" s="1" t="inlineStr">
        <is>
          <t>OLPX</t>
        </is>
      </c>
      <c r="J1203">
        <f>BDP($B1203,"CNTRY_OF_DOMICILE")</f>
        <v/>
      </c>
      <c r="K1203" t="inlineStr">
        <is>
          <t>EC</t>
        </is>
      </c>
      <c r="L1203" t="inlineStr">
        <is>
          <t>CORP</t>
        </is>
      </c>
      <c r="M1203" t="inlineStr"/>
      <c r="N1203" t="inlineStr"/>
      <c r="O1203" s="1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s="1" t="inlineStr"/>
      <c r="AR1203" s="1" t="inlineStr"/>
      <c r="AS1203" s="1" t="inlineStr"/>
      <c r="AT1203" t="inlineStr"/>
      <c r="AU1203" t="inlineStr"/>
      <c r="AV1203" t="inlineStr"/>
      <c r="AW1203" t="inlineStr"/>
      <c r="AX1203" t="inlineStr"/>
      <c r="AY1203" t="inlineStr"/>
    </row>
    <row r="1204">
      <c r="A1204" t="inlineStr">
        <is>
          <t>GLAM</t>
        </is>
      </c>
      <c r="B1204" t="inlineStr">
        <is>
          <t>SBH US Equity</t>
        </is>
      </c>
      <c r="C1204" s="1" t="inlineStr">
        <is>
          <t>SBH</t>
        </is>
      </c>
      <c r="D1204" t="inlineStr">
        <is>
          <t>Sally Beauty Holdings Inc</t>
        </is>
      </c>
      <c r="E1204">
        <f>BDP($B1204,"LEGAL_ENTITY_IDENTIFIER")</f>
        <v/>
      </c>
      <c r="F1204" t="inlineStr">
        <is>
          <t>Sally Beauty Holdings Inc</t>
        </is>
      </c>
      <c r="G1204">
        <f>custodian!D1204</f>
        <v/>
      </c>
      <c r="H1204">
        <f>BDP($B1204,"ID_ISIN")</f>
        <v/>
      </c>
      <c r="I1204" s="1" t="inlineStr">
        <is>
          <t>SBH</t>
        </is>
      </c>
      <c r="J1204">
        <f>BDP($B1204,"CNTRY_OF_DOMICILE")</f>
        <v/>
      </c>
      <c r="K1204" t="inlineStr">
        <is>
          <t>EC</t>
        </is>
      </c>
      <c r="L1204" t="inlineStr">
        <is>
          <t>CORP</t>
        </is>
      </c>
      <c r="M1204" t="inlineStr"/>
      <c r="N1204" t="inlineStr"/>
      <c r="O1204" s="1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s="1" t="inlineStr"/>
      <c r="AR1204" s="1" t="inlineStr"/>
      <c r="AS1204" s="1" t="inlineStr"/>
      <c r="AT1204" t="inlineStr"/>
      <c r="AU1204" t="inlineStr"/>
      <c r="AV1204" t="inlineStr"/>
      <c r="AW1204" t="inlineStr"/>
      <c r="AX1204" t="inlineStr"/>
      <c r="AY1204" t="inlineStr"/>
    </row>
    <row r="1205">
      <c r="A1205" t="inlineStr">
        <is>
          <t>GLAM</t>
        </is>
      </c>
      <c r="B1205" t="inlineStr">
        <is>
          <t>ULTA US Equity</t>
        </is>
      </c>
      <c r="C1205" s="1" t="inlineStr">
        <is>
          <t>ULTA</t>
        </is>
      </c>
      <c r="D1205" t="inlineStr">
        <is>
          <t>ULTA BEAUTY INC</t>
        </is>
      </c>
      <c r="E1205">
        <f>BDP($B1205,"LEGAL_ENTITY_IDENTIFIER")</f>
        <v/>
      </c>
      <c r="F1205" t="inlineStr">
        <is>
          <t>ULTA BEAUTY INC</t>
        </is>
      </c>
      <c r="G1205">
        <f>custodian!D1205</f>
        <v/>
      </c>
      <c r="H1205">
        <f>BDP($B1205,"ID_ISIN")</f>
        <v/>
      </c>
      <c r="I1205" s="1" t="inlineStr">
        <is>
          <t>ULTA</t>
        </is>
      </c>
      <c r="J1205">
        <f>BDP($B1205,"CNTRY_OF_DOMICILE")</f>
        <v/>
      </c>
      <c r="K1205" t="inlineStr">
        <is>
          <t>EC</t>
        </is>
      </c>
      <c r="L1205" t="inlineStr">
        <is>
          <t>CORP</t>
        </is>
      </c>
      <c r="M1205" t="inlineStr"/>
      <c r="N1205" t="inlineStr"/>
      <c r="O1205" s="1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s="1" t="inlineStr"/>
      <c r="AR1205" s="1" t="inlineStr"/>
      <c r="AS1205" s="1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GLAM</t>
        </is>
      </c>
      <c r="B1206" t="inlineStr">
        <is>
          <t>USNA US Equity</t>
        </is>
      </c>
      <c r="C1206" s="1" t="inlineStr">
        <is>
          <t>USNA</t>
        </is>
      </c>
      <c r="D1206" t="inlineStr">
        <is>
          <t>USANA Health Sciences Inc</t>
        </is>
      </c>
      <c r="E1206">
        <f>BDP($B1206,"LEGAL_ENTITY_IDENTIFIER")</f>
        <v/>
      </c>
      <c r="F1206" t="inlineStr">
        <is>
          <t>USANA Health Sciences Inc</t>
        </is>
      </c>
      <c r="G1206">
        <f>custodian!D1206</f>
        <v/>
      </c>
      <c r="H1206">
        <f>BDP($B1206,"ID_ISIN")</f>
        <v/>
      </c>
      <c r="I1206" s="1" t="inlineStr">
        <is>
          <t>USNA</t>
        </is>
      </c>
      <c r="J1206">
        <f>BDP($B1206,"CNTRY_OF_DOMICILE")</f>
        <v/>
      </c>
      <c r="K1206" t="inlineStr">
        <is>
          <t>EC</t>
        </is>
      </c>
      <c r="L1206" t="inlineStr">
        <is>
          <t>CORP</t>
        </is>
      </c>
      <c r="M1206" t="inlineStr"/>
      <c r="N1206" t="inlineStr"/>
      <c r="O1206" s="1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s="1" t="inlineStr"/>
      <c r="AR1206" s="1" t="inlineStr"/>
      <c r="AS1206" s="1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GLAM</t>
        </is>
      </c>
      <c r="B1207" t="inlineStr"/>
      <c r="C1207" s="1" t="inlineStr">
        <is>
          <t>Cash&amp;Other</t>
        </is>
      </c>
      <c r="D1207" t="inlineStr"/>
      <c r="E1207" s="1" t="inlineStr"/>
      <c r="F1207" t="inlineStr"/>
      <c r="G1207">
        <f>custodian!D1207</f>
        <v/>
      </c>
      <c r="H1207" s="1" t="inlineStr"/>
      <c r="I1207" s="1" t="inlineStr"/>
      <c r="J1207" t="inlineStr"/>
      <c r="K1207" t="inlineStr"/>
      <c r="L1207" t="inlineStr"/>
      <c r="M1207" t="inlineStr"/>
      <c r="N1207" t="inlineStr"/>
      <c r="O1207" s="1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s="1" t="inlineStr"/>
      <c r="AR1207" s="1" t="inlineStr"/>
      <c r="AS1207" s="1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GNMX</t>
        </is>
      </c>
      <c r="B1208" t="inlineStr">
        <is>
          <t>ABSI US Equity</t>
        </is>
      </c>
      <c r="C1208" s="1" t="inlineStr">
        <is>
          <t>ABSI</t>
        </is>
      </c>
      <c r="D1208" t="inlineStr">
        <is>
          <t>Absci Corp</t>
        </is>
      </c>
      <c r="E1208">
        <f>BDP($B1208,"LEGAL_ENTITY_IDENTIFIER")</f>
        <v/>
      </c>
      <c r="F1208" t="inlineStr">
        <is>
          <t>Absci Corp</t>
        </is>
      </c>
      <c r="G1208">
        <f>custodian!D1208</f>
        <v/>
      </c>
      <c r="H1208">
        <f>BDP($B1208,"ID_ISIN")</f>
        <v/>
      </c>
      <c r="I1208" s="1" t="inlineStr">
        <is>
          <t>ABSI</t>
        </is>
      </c>
      <c r="J1208">
        <f>BDP($B1208,"CNTRY_OF_DOMICILE")</f>
        <v/>
      </c>
      <c r="K1208" t="inlineStr">
        <is>
          <t>EC</t>
        </is>
      </c>
      <c r="L1208" t="inlineStr">
        <is>
          <t>CORP</t>
        </is>
      </c>
      <c r="M1208" t="inlineStr"/>
      <c r="N1208" t="inlineStr"/>
      <c r="O1208" s="1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s="1" t="inlineStr"/>
      <c r="AR1208" s="1" t="inlineStr"/>
      <c r="AS1208" s="1" t="inlineStr"/>
      <c r="AT1208" t="inlineStr"/>
      <c r="AU1208" t="inlineStr"/>
      <c r="AV1208" t="inlineStr"/>
      <c r="AW1208" t="inlineStr"/>
      <c r="AX1208" t="inlineStr"/>
      <c r="AY1208" t="inlineStr"/>
    </row>
    <row r="1209">
      <c r="A1209" t="inlineStr">
        <is>
          <t>GNMX</t>
        </is>
      </c>
      <c r="B1209" t="inlineStr">
        <is>
          <t>ADPT US Equity</t>
        </is>
      </c>
      <c r="C1209" s="1" t="inlineStr">
        <is>
          <t>ADPT</t>
        </is>
      </c>
      <c r="D1209" t="inlineStr">
        <is>
          <t>Adaptive Biotechnologies Corp</t>
        </is>
      </c>
      <c r="E1209">
        <f>BDP($B1209,"LEGAL_ENTITY_IDENTIFIER")</f>
        <v/>
      </c>
      <c r="F1209" t="inlineStr">
        <is>
          <t>Adaptive Biotechnologies Corp</t>
        </is>
      </c>
      <c r="G1209">
        <f>custodian!D1209</f>
        <v/>
      </c>
      <c r="H1209">
        <f>BDP($B1209,"ID_ISIN")</f>
        <v/>
      </c>
      <c r="I1209" s="1" t="inlineStr">
        <is>
          <t>ADPT</t>
        </is>
      </c>
      <c r="J1209">
        <f>BDP($B1209,"CNTRY_OF_DOMICILE")</f>
        <v/>
      </c>
      <c r="K1209" t="inlineStr">
        <is>
          <t>EC</t>
        </is>
      </c>
      <c r="L1209" t="inlineStr">
        <is>
          <t>CORP</t>
        </is>
      </c>
      <c r="M1209" t="inlineStr"/>
      <c r="N1209" t="inlineStr"/>
      <c r="O1209" s="1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s="1" t="inlineStr"/>
      <c r="AR1209" s="1" t="inlineStr"/>
      <c r="AS1209" s="1" t="inlineStr"/>
      <c r="AT1209" t="inlineStr"/>
      <c r="AU1209" t="inlineStr"/>
      <c r="AV1209" t="inlineStr"/>
      <c r="AW1209" t="inlineStr"/>
      <c r="AX1209" t="inlineStr"/>
      <c r="AY1209" t="inlineStr"/>
    </row>
    <row r="1210">
      <c r="A1210" t="inlineStr">
        <is>
          <t>GNMX</t>
        </is>
      </c>
      <c r="B1210" t="inlineStr">
        <is>
          <t>ALNY US Equity</t>
        </is>
      </c>
      <c r="C1210" s="1" t="inlineStr">
        <is>
          <t>ALNY</t>
        </is>
      </c>
      <c r="D1210" t="inlineStr">
        <is>
          <t>Alnylam Pharmaceuticals Inc</t>
        </is>
      </c>
      <c r="E1210">
        <f>BDP($B1210,"LEGAL_ENTITY_IDENTIFIER")</f>
        <v/>
      </c>
      <c r="F1210" t="inlineStr">
        <is>
          <t>Alnylam Pharmaceuticals Inc</t>
        </is>
      </c>
      <c r="G1210">
        <f>custodian!D1210</f>
        <v/>
      </c>
      <c r="H1210">
        <f>BDP($B1210,"ID_ISIN")</f>
        <v/>
      </c>
      <c r="I1210" s="1" t="inlineStr">
        <is>
          <t>ALNY</t>
        </is>
      </c>
      <c r="J1210">
        <f>BDP($B1210,"CNTRY_OF_DOMICILE")</f>
        <v/>
      </c>
      <c r="K1210" t="inlineStr">
        <is>
          <t>EC</t>
        </is>
      </c>
      <c r="L1210" t="inlineStr">
        <is>
          <t>CORP</t>
        </is>
      </c>
      <c r="M1210" t="inlineStr"/>
      <c r="N1210" t="inlineStr"/>
      <c r="O1210" s="1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s="1" t="inlineStr"/>
      <c r="AR1210" s="1" t="inlineStr"/>
      <c r="AS1210" s="1" t="inlineStr"/>
      <c r="AT1210" t="inlineStr"/>
      <c r="AU1210" t="inlineStr"/>
      <c r="AV1210" t="inlineStr"/>
      <c r="AW1210" t="inlineStr"/>
      <c r="AX1210" t="inlineStr"/>
      <c r="AY1210" t="inlineStr"/>
    </row>
    <row r="1211">
      <c r="A1211" t="inlineStr">
        <is>
          <t>GNMX</t>
        </is>
      </c>
      <c r="B1211" t="inlineStr">
        <is>
          <t>ARCT US Equity</t>
        </is>
      </c>
      <c r="C1211" s="1" t="inlineStr">
        <is>
          <t>ARCT</t>
        </is>
      </c>
      <c r="D1211" t="inlineStr">
        <is>
          <t>Arcturus Therapeutics Holdings</t>
        </is>
      </c>
      <c r="E1211">
        <f>BDP($B1211,"LEGAL_ENTITY_IDENTIFIER")</f>
        <v/>
      </c>
      <c r="F1211" t="inlineStr">
        <is>
          <t>Arcturus Therapeutics Holdings Inc</t>
        </is>
      </c>
      <c r="G1211">
        <f>custodian!D1211</f>
        <v/>
      </c>
      <c r="H1211">
        <f>BDP($B1211,"ID_ISIN")</f>
        <v/>
      </c>
      <c r="I1211" s="1" t="inlineStr">
        <is>
          <t>ARCT</t>
        </is>
      </c>
      <c r="J1211">
        <f>BDP($B1211,"CNTRY_OF_DOMICILE")</f>
        <v/>
      </c>
      <c r="K1211" t="inlineStr">
        <is>
          <t>EC</t>
        </is>
      </c>
      <c r="L1211" t="inlineStr">
        <is>
          <t>CORP</t>
        </is>
      </c>
      <c r="M1211" t="inlineStr"/>
      <c r="N1211" t="inlineStr"/>
      <c r="O1211" s="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s="1" t="inlineStr"/>
      <c r="AR1211" s="1" t="inlineStr"/>
      <c r="AS1211" s="1" t="inlineStr"/>
      <c r="AT1211" t="inlineStr"/>
      <c r="AU1211" t="inlineStr"/>
      <c r="AV1211" t="inlineStr"/>
      <c r="AW1211" t="inlineStr"/>
      <c r="AX1211" t="inlineStr"/>
      <c r="AY1211" t="inlineStr"/>
    </row>
    <row r="1212">
      <c r="A1212" t="inlineStr">
        <is>
          <t>GNMX</t>
        </is>
      </c>
      <c r="B1212" t="inlineStr">
        <is>
          <t>ARWR US Equity</t>
        </is>
      </c>
      <c r="C1212" s="1" t="inlineStr">
        <is>
          <t>ARWR</t>
        </is>
      </c>
      <c r="D1212" t="inlineStr">
        <is>
          <t>Arrowhead Pharmaceuticals Inc</t>
        </is>
      </c>
      <c r="E1212">
        <f>BDP($B1212,"LEGAL_ENTITY_IDENTIFIER")</f>
        <v/>
      </c>
      <c r="F1212" t="inlineStr">
        <is>
          <t>Arrowhead Pharmaceuticals Inc</t>
        </is>
      </c>
      <c r="G1212">
        <f>custodian!D1212</f>
        <v/>
      </c>
      <c r="H1212">
        <f>BDP($B1212,"ID_ISIN")</f>
        <v/>
      </c>
      <c r="I1212" s="1" t="inlineStr">
        <is>
          <t>ARWR</t>
        </is>
      </c>
      <c r="J1212">
        <f>BDP($B1212,"CNTRY_OF_DOMICILE")</f>
        <v/>
      </c>
      <c r="K1212" t="inlineStr">
        <is>
          <t>EC</t>
        </is>
      </c>
      <c r="L1212" t="inlineStr">
        <is>
          <t>CORP</t>
        </is>
      </c>
      <c r="M1212" t="inlineStr"/>
      <c r="N1212" t="inlineStr"/>
      <c r="O1212" s="1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s="1" t="inlineStr"/>
      <c r="AR1212" s="1" t="inlineStr"/>
      <c r="AS1212" s="1" t="inlineStr"/>
      <c r="AT1212" t="inlineStr"/>
      <c r="AU1212" t="inlineStr"/>
      <c r="AV1212" t="inlineStr"/>
      <c r="AW1212" t="inlineStr"/>
      <c r="AX1212" t="inlineStr"/>
      <c r="AY1212" t="inlineStr"/>
    </row>
    <row r="1213">
      <c r="A1213" t="inlineStr">
        <is>
          <t>GNMX</t>
        </is>
      </c>
      <c r="B1213" t="inlineStr">
        <is>
          <t>AZTA US Equity</t>
        </is>
      </c>
      <c r="C1213" s="1" t="inlineStr">
        <is>
          <t>AZTA</t>
        </is>
      </c>
      <c r="D1213" t="inlineStr">
        <is>
          <t>Azenta Inc</t>
        </is>
      </c>
      <c r="E1213">
        <f>BDP($B1213,"LEGAL_ENTITY_IDENTIFIER")</f>
        <v/>
      </c>
      <c r="F1213" t="inlineStr">
        <is>
          <t>Azenta Inc</t>
        </is>
      </c>
      <c r="G1213">
        <f>custodian!D1213</f>
        <v/>
      </c>
      <c r="H1213">
        <f>BDP($B1213,"ID_ISIN")</f>
        <v/>
      </c>
      <c r="I1213" s="1" t="inlineStr">
        <is>
          <t>AZTA</t>
        </is>
      </c>
      <c r="J1213">
        <f>BDP($B1213,"CNTRY_OF_DOMICILE")</f>
        <v/>
      </c>
      <c r="K1213" t="inlineStr">
        <is>
          <t>EC</t>
        </is>
      </c>
      <c r="L1213" t="inlineStr">
        <is>
          <t>CORP</t>
        </is>
      </c>
      <c r="M1213" t="inlineStr"/>
      <c r="N1213" t="inlineStr"/>
      <c r="O1213" s="1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s="1" t="inlineStr"/>
      <c r="AR1213" s="1" t="inlineStr"/>
      <c r="AS1213" s="1" t="inlineStr"/>
      <c r="AT1213" t="inlineStr"/>
      <c r="AU1213" t="inlineStr"/>
      <c r="AV1213" t="inlineStr"/>
      <c r="AW1213" t="inlineStr"/>
      <c r="AX1213" t="inlineStr"/>
      <c r="AY1213" t="inlineStr"/>
    </row>
    <row r="1214">
      <c r="A1214" t="inlineStr">
        <is>
          <t>GNMX</t>
        </is>
      </c>
      <c r="B1214" t="inlineStr">
        <is>
          <t>BDSX US Equity</t>
        </is>
      </c>
      <c r="C1214" s="1" t="inlineStr">
        <is>
          <t>BDSX</t>
        </is>
      </c>
      <c r="D1214" t="inlineStr">
        <is>
          <t>Biodesix Inc</t>
        </is>
      </c>
      <c r="E1214">
        <f>BDP($B1214,"LEGAL_ENTITY_IDENTIFIER")</f>
        <v/>
      </c>
      <c r="F1214" t="inlineStr">
        <is>
          <t>Biodesix Inc</t>
        </is>
      </c>
      <c r="G1214">
        <f>custodian!D1214</f>
        <v/>
      </c>
      <c r="H1214">
        <f>BDP($B1214,"ID_ISIN")</f>
        <v/>
      </c>
      <c r="I1214" s="1" t="inlineStr">
        <is>
          <t>BDSX</t>
        </is>
      </c>
      <c r="J1214">
        <f>BDP($B1214,"CNTRY_OF_DOMICILE")</f>
        <v/>
      </c>
      <c r="K1214" t="inlineStr">
        <is>
          <t>EC</t>
        </is>
      </c>
      <c r="L1214" t="inlineStr">
        <is>
          <t>CORP</t>
        </is>
      </c>
      <c r="M1214" t="inlineStr"/>
      <c r="N1214" t="inlineStr"/>
      <c r="O1214" s="1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s="1" t="inlineStr"/>
      <c r="AR1214" s="1" t="inlineStr"/>
      <c r="AS1214" s="1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GNMX</t>
        </is>
      </c>
      <c r="B1215" t="inlineStr">
        <is>
          <t>BEAM US Equity</t>
        </is>
      </c>
      <c r="C1215" s="1" t="inlineStr">
        <is>
          <t>BEAM</t>
        </is>
      </c>
      <c r="D1215" t="inlineStr">
        <is>
          <t>Beam Therapeutics Inc</t>
        </is>
      </c>
      <c r="E1215">
        <f>BDP($B1215,"LEGAL_ENTITY_IDENTIFIER")</f>
        <v/>
      </c>
      <c r="F1215" t="inlineStr">
        <is>
          <t>Beam Therapeutics Inc</t>
        </is>
      </c>
      <c r="G1215">
        <f>custodian!D1215</f>
        <v/>
      </c>
      <c r="H1215">
        <f>BDP($B1215,"ID_ISIN")</f>
        <v/>
      </c>
      <c r="I1215" s="1" t="inlineStr">
        <is>
          <t>BEAM</t>
        </is>
      </c>
      <c r="J1215">
        <f>BDP($B1215,"CNTRY_OF_DOMICILE")</f>
        <v/>
      </c>
      <c r="K1215" t="inlineStr">
        <is>
          <t>EC</t>
        </is>
      </c>
      <c r="L1215" t="inlineStr">
        <is>
          <t>CORP</t>
        </is>
      </c>
      <c r="M1215" t="inlineStr"/>
      <c r="N1215" t="inlineStr"/>
      <c r="O1215" s="1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s="1" t="inlineStr"/>
      <c r="AR1215" s="1" t="inlineStr"/>
      <c r="AS1215" s="1" t="inlineStr"/>
      <c r="AT1215" t="inlineStr"/>
      <c r="AU1215" t="inlineStr"/>
      <c r="AV1215" t="inlineStr"/>
      <c r="AW1215" t="inlineStr"/>
      <c r="AX1215" t="inlineStr"/>
      <c r="AY1215" t="inlineStr"/>
    </row>
    <row r="1216">
      <c r="A1216" t="inlineStr">
        <is>
          <t>GNMX</t>
        </is>
      </c>
      <c r="B1216" t="inlineStr">
        <is>
          <t>BMRN US Equity</t>
        </is>
      </c>
      <c r="C1216" s="1" t="inlineStr">
        <is>
          <t>BMRN</t>
        </is>
      </c>
      <c r="D1216" t="inlineStr">
        <is>
          <t>BioMarin Pharmaceutical Inc</t>
        </is>
      </c>
      <c r="E1216">
        <f>BDP($B1216,"LEGAL_ENTITY_IDENTIFIER")</f>
        <v/>
      </c>
      <c r="F1216" t="inlineStr">
        <is>
          <t>BioMarin Pharmaceutical Inc</t>
        </is>
      </c>
      <c r="G1216">
        <f>custodian!D1216</f>
        <v/>
      </c>
      <c r="H1216">
        <f>BDP($B1216,"ID_ISIN")</f>
        <v/>
      </c>
      <c r="I1216" s="1" t="inlineStr">
        <is>
          <t>BMRN</t>
        </is>
      </c>
      <c r="J1216">
        <f>BDP($B1216,"CNTRY_OF_DOMICILE")</f>
        <v/>
      </c>
      <c r="K1216" t="inlineStr">
        <is>
          <t>EC</t>
        </is>
      </c>
      <c r="L1216" t="inlineStr">
        <is>
          <t>CORP</t>
        </is>
      </c>
      <c r="M1216" t="inlineStr"/>
      <c r="N1216" t="inlineStr"/>
      <c r="O1216" s="1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s="1" t="inlineStr"/>
      <c r="AR1216" s="1" t="inlineStr"/>
      <c r="AS1216" s="1" t="inlineStr"/>
      <c r="AT1216" t="inlineStr"/>
      <c r="AU1216" t="inlineStr"/>
      <c r="AV1216" t="inlineStr"/>
      <c r="AW1216" t="inlineStr"/>
      <c r="AX1216" t="inlineStr"/>
      <c r="AY1216" t="inlineStr"/>
    </row>
    <row r="1217">
      <c r="A1217" t="inlineStr">
        <is>
          <t>GNMX</t>
        </is>
      </c>
      <c r="B1217" t="inlineStr">
        <is>
          <t>CAI US Equity</t>
        </is>
      </c>
      <c r="C1217" s="1" t="inlineStr">
        <is>
          <t>CAI</t>
        </is>
      </c>
      <c r="D1217" t="inlineStr">
        <is>
          <t>Caris Life Sciences Inc</t>
        </is>
      </c>
      <c r="E1217">
        <f>BDP($B1217,"LEGAL_ENTITY_IDENTIFIER")</f>
        <v/>
      </c>
      <c r="F1217" t="inlineStr">
        <is>
          <t>Caris Life Sciences Inc</t>
        </is>
      </c>
      <c r="G1217">
        <f>custodian!D1217</f>
        <v/>
      </c>
      <c r="H1217">
        <f>BDP($B1217,"ID_ISIN")</f>
        <v/>
      </c>
      <c r="I1217" s="1" t="inlineStr">
        <is>
          <t>CAI</t>
        </is>
      </c>
      <c r="J1217">
        <f>BDP($B1217,"CNTRY_OF_DOMICILE")</f>
        <v/>
      </c>
      <c r="K1217" t="inlineStr">
        <is>
          <t>EC</t>
        </is>
      </c>
      <c r="L1217" t="inlineStr">
        <is>
          <t>CORP</t>
        </is>
      </c>
      <c r="M1217" t="inlineStr"/>
      <c r="N1217" t="inlineStr"/>
      <c r="O1217" s="1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s="1" t="inlineStr"/>
      <c r="AR1217" s="1" t="inlineStr"/>
      <c r="AS1217" s="1" t="inlineStr"/>
      <c r="AT1217" t="inlineStr"/>
      <c r="AU1217" t="inlineStr"/>
      <c r="AV1217" t="inlineStr"/>
      <c r="AW1217" t="inlineStr"/>
      <c r="AX1217" t="inlineStr"/>
      <c r="AY1217" t="inlineStr"/>
    </row>
    <row r="1218">
      <c r="A1218" t="inlineStr">
        <is>
          <t>GNMX</t>
        </is>
      </c>
      <c r="B1218" t="inlineStr">
        <is>
          <t>CDNA US Equity</t>
        </is>
      </c>
      <c r="C1218" s="1" t="inlineStr">
        <is>
          <t>CDNA</t>
        </is>
      </c>
      <c r="D1218" t="inlineStr">
        <is>
          <t>CareDx Inc</t>
        </is>
      </c>
      <c r="E1218">
        <f>BDP($B1218,"LEGAL_ENTITY_IDENTIFIER")</f>
        <v/>
      </c>
      <c r="F1218" t="inlineStr">
        <is>
          <t>CareDx Inc</t>
        </is>
      </c>
      <c r="G1218">
        <f>custodian!D1218</f>
        <v/>
      </c>
      <c r="H1218">
        <f>BDP($B1218,"ID_ISIN")</f>
        <v/>
      </c>
      <c r="I1218" s="1" t="inlineStr">
        <is>
          <t>CDNA</t>
        </is>
      </c>
      <c r="J1218">
        <f>BDP($B1218,"CNTRY_OF_DOMICILE")</f>
        <v/>
      </c>
      <c r="K1218" t="inlineStr">
        <is>
          <t>EC</t>
        </is>
      </c>
      <c r="L1218" t="inlineStr">
        <is>
          <t>CORP</t>
        </is>
      </c>
      <c r="M1218" t="inlineStr"/>
      <c r="N1218" t="inlineStr"/>
      <c r="O1218" s="1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s="1" t="inlineStr"/>
      <c r="AR1218" s="1" t="inlineStr"/>
      <c r="AS1218" s="1" t="inlineStr"/>
      <c r="AT1218" t="inlineStr"/>
      <c r="AU1218" t="inlineStr"/>
      <c r="AV1218" t="inlineStr"/>
      <c r="AW1218" t="inlineStr"/>
      <c r="AX1218" t="inlineStr"/>
      <c r="AY1218" t="inlineStr"/>
    </row>
    <row r="1219">
      <c r="A1219" t="inlineStr">
        <is>
          <t>GNMX</t>
        </is>
      </c>
      <c r="B1219" t="inlineStr">
        <is>
          <t>CERT US Equity</t>
        </is>
      </c>
      <c r="C1219" s="1" t="inlineStr">
        <is>
          <t>CERT</t>
        </is>
      </c>
      <c r="D1219" t="inlineStr">
        <is>
          <t>Certara Inc</t>
        </is>
      </c>
      <c r="E1219">
        <f>BDP($B1219,"LEGAL_ENTITY_IDENTIFIER")</f>
        <v/>
      </c>
      <c r="F1219" t="inlineStr">
        <is>
          <t>Certara Inc</t>
        </is>
      </c>
      <c r="G1219">
        <f>custodian!D1219</f>
        <v/>
      </c>
      <c r="H1219">
        <f>BDP($B1219,"ID_ISIN")</f>
        <v/>
      </c>
      <c r="I1219" s="1" t="inlineStr">
        <is>
          <t>CERT</t>
        </is>
      </c>
      <c r="J1219">
        <f>BDP($B1219,"CNTRY_OF_DOMICILE")</f>
        <v/>
      </c>
      <c r="K1219" t="inlineStr">
        <is>
          <t>EC</t>
        </is>
      </c>
      <c r="L1219" t="inlineStr">
        <is>
          <t>CORP</t>
        </is>
      </c>
      <c r="M1219" t="inlineStr"/>
      <c r="N1219" t="inlineStr"/>
      <c r="O1219" s="1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s="1" t="inlineStr"/>
      <c r="AR1219" s="1" t="inlineStr"/>
      <c r="AS1219" s="1" t="inlineStr"/>
      <c r="AT1219" t="inlineStr"/>
      <c r="AU1219" t="inlineStr"/>
      <c r="AV1219" t="inlineStr"/>
      <c r="AW1219" t="inlineStr"/>
      <c r="AX1219" t="inlineStr"/>
      <c r="AY1219" t="inlineStr"/>
    </row>
    <row r="1220">
      <c r="A1220" t="inlineStr">
        <is>
          <t>GNMX</t>
        </is>
      </c>
      <c r="B1220" t="inlineStr">
        <is>
          <t>CRBU US Equity</t>
        </is>
      </c>
      <c r="C1220" s="1" t="inlineStr">
        <is>
          <t>CRBU</t>
        </is>
      </c>
      <c r="D1220" t="inlineStr">
        <is>
          <t>Caribou Biosciences Inc</t>
        </is>
      </c>
      <c r="E1220">
        <f>BDP($B1220,"LEGAL_ENTITY_IDENTIFIER")</f>
        <v/>
      </c>
      <c r="F1220" t="inlineStr">
        <is>
          <t>Caribou Biosciences Inc</t>
        </is>
      </c>
      <c r="G1220">
        <f>custodian!D1220</f>
        <v/>
      </c>
      <c r="H1220">
        <f>BDP($B1220,"ID_ISIN")</f>
        <v/>
      </c>
      <c r="I1220" s="1" t="inlineStr">
        <is>
          <t>CRBU</t>
        </is>
      </c>
      <c r="J1220">
        <f>BDP($B1220,"CNTRY_OF_DOMICILE")</f>
        <v/>
      </c>
      <c r="K1220" t="inlineStr">
        <is>
          <t>EC</t>
        </is>
      </c>
      <c r="L1220" t="inlineStr">
        <is>
          <t>CORP</t>
        </is>
      </c>
      <c r="M1220" t="inlineStr"/>
      <c r="N1220" t="inlineStr"/>
      <c r="O1220" s="1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s="1" t="inlineStr"/>
      <c r="AR1220" s="1" t="inlineStr"/>
      <c r="AS1220" s="1" t="inlineStr"/>
      <c r="AT1220" t="inlineStr"/>
      <c r="AU1220" t="inlineStr"/>
      <c r="AV1220" t="inlineStr"/>
      <c r="AW1220" t="inlineStr"/>
      <c r="AX1220" t="inlineStr"/>
      <c r="AY1220" t="inlineStr"/>
    </row>
    <row r="1221">
      <c r="A1221" t="inlineStr">
        <is>
          <t>GNMX</t>
        </is>
      </c>
      <c r="B1221" t="inlineStr">
        <is>
          <t>CRSP US Equity</t>
        </is>
      </c>
      <c r="C1221" s="1" t="inlineStr">
        <is>
          <t>CRSP</t>
        </is>
      </c>
      <c r="D1221" t="inlineStr">
        <is>
          <t>CRISPR Therapeutics AG</t>
        </is>
      </c>
      <c r="E1221">
        <f>BDP($B1221,"LEGAL_ENTITY_IDENTIFIER")</f>
        <v/>
      </c>
      <c r="F1221" t="inlineStr">
        <is>
          <t>CRISPR Therapeutics AG</t>
        </is>
      </c>
      <c r="G1221">
        <f>custodian!D1221</f>
        <v/>
      </c>
      <c r="H1221">
        <f>BDP($B1221,"ID_ISIN")</f>
        <v/>
      </c>
      <c r="I1221" s="1" t="inlineStr">
        <is>
          <t>CRSP</t>
        </is>
      </c>
      <c r="J1221">
        <f>BDP($B1221,"CNTRY_OF_DOMICILE")</f>
        <v/>
      </c>
      <c r="K1221" t="inlineStr">
        <is>
          <t>EC</t>
        </is>
      </c>
      <c r="L1221" t="inlineStr">
        <is>
          <t>CORP</t>
        </is>
      </c>
      <c r="M1221" t="inlineStr"/>
      <c r="N1221" t="inlineStr"/>
      <c r="O1221" s="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s="1" t="inlineStr"/>
      <c r="AR1221" s="1" t="inlineStr"/>
      <c r="AS1221" s="1" t="inlineStr"/>
      <c r="AT1221" t="inlineStr"/>
      <c r="AU1221" t="inlineStr"/>
      <c r="AV1221" t="inlineStr"/>
      <c r="AW1221" t="inlineStr"/>
      <c r="AX1221" t="inlineStr"/>
      <c r="AY1221" t="inlineStr"/>
    </row>
    <row r="1222">
      <c r="A1222" t="inlineStr">
        <is>
          <t>GNMX</t>
        </is>
      </c>
      <c r="B1222" t="inlineStr">
        <is>
          <t>CSTL US Equity</t>
        </is>
      </c>
      <c r="C1222" s="1" t="inlineStr">
        <is>
          <t>CSTL</t>
        </is>
      </c>
      <c r="D1222" t="inlineStr">
        <is>
          <t>Castle Biosciences Inc</t>
        </is>
      </c>
      <c r="E1222">
        <f>BDP($B1222,"LEGAL_ENTITY_IDENTIFIER")</f>
        <v/>
      </c>
      <c r="F1222" t="inlineStr">
        <is>
          <t>Castle Biosciences Inc</t>
        </is>
      </c>
      <c r="G1222">
        <f>custodian!D1222</f>
        <v/>
      </c>
      <c r="H1222">
        <f>BDP($B1222,"ID_ISIN")</f>
        <v/>
      </c>
      <c r="I1222" s="1" t="inlineStr">
        <is>
          <t>CSTL</t>
        </is>
      </c>
      <c r="J1222">
        <f>BDP($B1222,"CNTRY_OF_DOMICILE")</f>
        <v/>
      </c>
      <c r="K1222" t="inlineStr">
        <is>
          <t>EC</t>
        </is>
      </c>
      <c r="L1222" t="inlineStr">
        <is>
          <t>CORP</t>
        </is>
      </c>
      <c r="M1222" t="inlineStr"/>
      <c r="N1222" t="inlineStr"/>
      <c r="O1222" s="1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s="1" t="inlineStr"/>
      <c r="AR1222" s="1" t="inlineStr"/>
      <c r="AS1222" s="1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GNMX</t>
        </is>
      </c>
      <c r="B1223" t="inlineStr">
        <is>
          <t>DTIL US Equity</t>
        </is>
      </c>
      <c r="C1223" s="1" t="inlineStr">
        <is>
          <t>DTIL</t>
        </is>
      </c>
      <c r="D1223" t="inlineStr">
        <is>
          <t>Precision BioSciences Inc</t>
        </is>
      </c>
      <c r="E1223">
        <f>BDP($B1223,"LEGAL_ENTITY_IDENTIFIER")</f>
        <v/>
      </c>
      <c r="F1223" t="inlineStr">
        <is>
          <t>Precision BioSciences Inc</t>
        </is>
      </c>
      <c r="G1223">
        <f>custodian!D1223</f>
        <v/>
      </c>
      <c r="H1223">
        <f>BDP($B1223,"ID_ISIN")</f>
        <v/>
      </c>
      <c r="I1223" s="1" t="inlineStr">
        <is>
          <t>DTIL</t>
        </is>
      </c>
      <c r="J1223">
        <f>BDP($B1223,"CNTRY_OF_DOMICILE")</f>
        <v/>
      </c>
      <c r="K1223" t="inlineStr">
        <is>
          <t>EC</t>
        </is>
      </c>
      <c r="L1223" t="inlineStr">
        <is>
          <t>CORP</t>
        </is>
      </c>
      <c r="M1223" t="inlineStr"/>
      <c r="N1223" t="inlineStr"/>
      <c r="O1223" s="1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s="1" t="inlineStr"/>
      <c r="AR1223" s="1" t="inlineStr"/>
      <c r="AS1223" s="1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GNMX</t>
        </is>
      </c>
      <c r="B1224" t="inlineStr">
        <is>
          <t>EDIT US Equity</t>
        </is>
      </c>
      <c r="C1224" s="1" t="inlineStr">
        <is>
          <t>EDIT</t>
        </is>
      </c>
      <c r="D1224" t="inlineStr">
        <is>
          <t>Editas Medicine Inc</t>
        </is>
      </c>
      <c r="E1224">
        <f>BDP($B1224,"LEGAL_ENTITY_IDENTIFIER")</f>
        <v/>
      </c>
      <c r="F1224" t="inlineStr">
        <is>
          <t>Editas Medicine Inc</t>
        </is>
      </c>
      <c r="G1224">
        <f>custodian!D1224</f>
        <v/>
      </c>
      <c r="H1224">
        <f>BDP($B1224,"ID_ISIN")</f>
        <v/>
      </c>
      <c r="I1224" s="1" t="inlineStr">
        <is>
          <t>EDIT</t>
        </is>
      </c>
      <c r="J1224">
        <f>BDP($B1224,"CNTRY_OF_DOMICILE")</f>
        <v/>
      </c>
      <c r="K1224" t="inlineStr">
        <is>
          <t>EC</t>
        </is>
      </c>
      <c r="L1224" t="inlineStr">
        <is>
          <t>CORP</t>
        </is>
      </c>
      <c r="M1224" t="inlineStr"/>
      <c r="N1224" t="inlineStr"/>
      <c r="O1224" s="1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s="1" t="inlineStr"/>
      <c r="AR1224" s="1" t="inlineStr"/>
      <c r="AS1224" s="1" t="inlineStr"/>
      <c r="AT1224" t="inlineStr"/>
      <c r="AU1224" t="inlineStr"/>
      <c r="AV1224" t="inlineStr"/>
      <c r="AW1224" t="inlineStr"/>
      <c r="AX1224" t="inlineStr"/>
      <c r="AY1224" t="inlineStr"/>
    </row>
    <row r="1225">
      <c r="A1225" t="inlineStr">
        <is>
          <t>GNMX</t>
        </is>
      </c>
      <c r="B1225" t="inlineStr">
        <is>
          <t>FDMT US Equity</t>
        </is>
      </c>
      <c r="C1225" s="1" t="inlineStr">
        <is>
          <t>FDMT</t>
        </is>
      </c>
      <c r="D1225" t="inlineStr">
        <is>
          <t>4D Molecular Therapeutics Inc</t>
        </is>
      </c>
      <c r="E1225">
        <f>BDP($B1225,"LEGAL_ENTITY_IDENTIFIER")</f>
        <v/>
      </c>
      <c r="F1225" t="inlineStr">
        <is>
          <t>4D Molecular Therapeutics Inc</t>
        </is>
      </c>
      <c r="G1225">
        <f>custodian!D1225</f>
        <v/>
      </c>
      <c r="H1225">
        <f>BDP($B1225,"ID_ISIN")</f>
        <v/>
      </c>
      <c r="I1225" s="1" t="inlineStr">
        <is>
          <t>FDMT</t>
        </is>
      </c>
      <c r="J1225">
        <f>BDP($B1225,"CNTRY_OF_DOMICILE")</f>
        <v/>
      </c>
      <c r="K1225" t="inlineStr">
        <is>
          <t>EC</t>
        </is>
      </c>
      <c r="L1225" t="inlineStr">
        <is>
          <t>CORP</t>
        </is>
      </c>
      <c r="M1225" t="inlineStr"/>
      <c r="N1225" t="inlineStr"/>
      <c r="O1225" s="1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s="1" t="inlineStr"/>
      <c r="AR1225" s="1" t="inlineStr"/>
      <c r="AS1225" s="1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GNMX</t>
        </is>
      </c>
      <c r="B1226" t="inlineStr">
        <is>
          <t>FGXXX US Equity</t>
        </is>
      </c>
      <c r="C1226" s="1" t="inlineStr">
        <is>
          <t>FGXXX</t>
        </is>
      </c>
      <c r="D1226" t="inlineStr">
        <is>
          <t>First American Government Obli</t>
        </is>
      </c>
      <c r="E1226">
        <f>BDP($B1226,"LEGAL_ENTITY_IDENTIFIER")</f>
        <v/>
      </c>
      <c r="F1226" t="inlineStr">
        <is>
          <t>First American Government Obligations Fund</t>
        </is>
      </c>
      <c r="G1226">
        <f>custodian!D1226</f>
        <v/>
      </c>
      <c r="H1226">
        <f>BDP($B1226,"ID_ISIN")</f>
        <v/>
      </c>
      <c r="I1226" s="1" t="inlineStr">
        <is>
          <t>FGXXX</t>
        </is>
      </c>
      <c r="J1226">
        <f>BDP($B1226,"CNTRY_OF_DOMICILE")</f>
        <v/>
      </c>
      <c r="K1226" t="inlineStr">
        <is>
          <t>STIV</t>
        </is>
      </c>
      <c r="L1226" t="inlineStr">
        <is>
          <t>RF</t>
        </is>
      </c>
      <c r="M1226" t="inlineStr"/>
      <c r="N1226" t="inlineStr"/>
      <c r="O1226" s="1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s="1" t="inlineStr"/>
      <c r="AR1226" s="1" t="inlineStr"/>
      <c r="AS1226" s="1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GNMX</t>
        </is>
      </c>
      <c r="B1227" t="inlineStr">
        <is>
          <t>FLGT US Equity</t>
        </is>
      </c>
      <c r="C1227" s="1" t="inlineStr">
        <is>
          <t>FLGT</t>
        </is>
      </c>
      <c r="D1227" t="inlineStr">
        <is>
          <t>Fulgent Genetics Inc</t>
        </is>
      </c>
      <c r="E1227">
        <f>BDP($B1227,"LEGAL_ENTITY_IDENTIFIER")</f>
        <v/>
      </c>
      <c r="F1227" t="inlineStr">
        <is>
          <t>Fulgent Genetics Inc</t>
        </is>
      </c>
      <c r="G1227">
        <f>custodian!D1227</f>
        <v/>
      </c>
      <c r="H1227">
        <f>BDP($B1227,"ID_ISIN")</f>
        <v/>
      </c>
      <c r="I1227" s="1" t="inlineStr">
        <is>
          <t>FLGT</t>
        </is>
      </c>
      <c r="J1227">
        <f>BDP($B1227,"CNTRY_OF_DOMICILE")</f>
        <v/>
      </c>
      <c r="K1227" t="inlineStr">
        <is>
          <t>EC</t>
        </is>
      </c>
      <c r="L1227" t="inlineStr">
        <is>
          <t>CORP</t>
        </is>
      </c>
      <c r="M1227" t="inlineStr"/>
      <c r="N1227" t="inlineStr"/>
      <c r="O1227" s="1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s="1" t="inlineStr"/>
      <c r="AR1227" s="1" t="inlineStr"/>
      <c r="AS1227" s="1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GNMX</t>
        </is>
      </c>
      <c r="B1228" t="inlineStr">
        <is>
          <t>GENB US Equity</t>
        </is>
      </c>
      <c r="C1228" s="1" t="inlineStr">
        <is>
          <t>GENB</t>
        </is>
      </c>
      <c r="D1228" t="inlineStr">
        <is>
          <t>Generate Biomedicines Inc</t>
        </is>
      </c>
      <c r="E1228">
        <f>BDP($B1228,"LEGAL_ENTITY_IDENTIFIER")</f>
        <v/>
      </c>
      <c r="F1228" t="inlineStr">
        <is>
          <t>Generate Biomedicines Inc</t>
        </is>
      </c>
      <c r="G1228">
        <f>custodian!D1228</f>
        <v/>
      </c>
      <c r="H1228">
        <f>BDP($B1228,"ID_ISIN")</f>
        <v/>
      </c>
      <c r="I1228" s="1" t="inlineStr">
        <is>
          <t>GENB</t>
        </is>
      </c>
      <c r="J1228">
        <f>BDP($B1228,"CNTRY_OF_DOMICILE")</f>
        <v/>
      </c>
      <c r="K1228" t="inlineStr">
        <is>
          <t>EC</t>
        </is>
      </c>
      <c r="L1228" t="inlineStr">
        <is>
          <t>CORP</t>
        </is>
      </c>
      <c r="M1228" t="inlineStr"/>
      <c r="N1228" t="inlineStr"/>
      <c r="O1228" s="1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s="1" t="inlineStr"/>
      <c r="AR1228" s="1" t="inlineStr"/>
      <c r="AS1228" s="1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GNMX</t>
        </is>
      </c>
      <c r="B1229" t="inlineStr">
        <is>
          <t>GH US Equity</t>
        </is>
      </c>
      <c r="C1229" s="1" t="inlineStr">
        <is>
          <t>GH</t>
        </is>
      </c>
      <c r="D1229" t="inlineStr">
        <is>
          <t>Guardant Health Inc</t>
        </is>
      </c>
      <c r="E1229">
        <f>BDP($B1229,"LEGAL_ENTITY_IDENTIFIER")</f>
        <v/>
      </c>
      <c r="F1229" t="inlineStr">
        <is>
          <t>Guardant Health Inc</t>
        </is>
      </c>
      <c r="G1229">
        <f>custodian!D1229</f>
        <v/>
      </c>
      <c r="H1229">
        <f>BDP($B1229,"ID_ISIN")</f>
        <v/>
      </c>
      <c r="I1229" s="1" t="inlineStr">
        <is>
          <t>GH</t>
        </is>
      </c>
      <c r="J1229">
        <f>BDP($B1229,"CNTRY_OF_DOMICILE")</f>
        <v/>
      </c>
      <c r="K1229" t="inlineStr">
        <is>
          <t>EC</t>
        </is>
      </c>
      <c r="L1229" t="inlineStr">
        <is>
          <t>CORP</t>
        </is>
      </c>
      <c r="M1229" t="inlineStr"/>
      <c r="N1229" t="inlineStr"/>
      <c r="O1229" s="1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s="1" t="inlineStr"/>
      <c r="AR1229" s="1" t="inlineStr"/>
      <c r="AS1229" s="1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GNMX</t>
        </is>
      </c>
      <c r="B1230" t="inlineStr">
        <is>
          <t>GMAB US Equity</t>
        </is>
      </c>
      <c r="C1230" s="1" t="inlineStr">
        <is>
          <t>GMAB</t>
        </is>
      </c>
      <c r="D1230" t="inlineStr">
        <is>
          <t>Genmab A/S</t>
        </is>
      </c>
      <c r="E1230">
        <f>BDP($B1230,"LEGAL_ENTITY_IDENTIFIER")</f>
        <v/>
      </c>
      <c r="F1230" t="inlineStr">
        <is>
          <t>Genmab A/S</t>
        </is>
      </c>
      <c r="G1230">
        <f>custodian!D1230</f>
        <v/>
      </c>
      <c r="H1230">
        <f>BDP($B1230,"ID_ISIN")</f>
        <v/>
      </c>
      <c r="I1230" s="1" t="inlineStr">
        <is>
          <t>GMAB</t>
        </is>
      </c>
      <c r="J1230">
        <f>BDP($B1230,"CNTRY_OF_DOMICILE")</f>
        <v/>
      </c>
      <c r="K1230" t="inlineStr">
        <is>
          <t>EC</t>
        </is>
      </c>
      <c r="L1230" t="inlineStr">
        <is>
          <t>CORP</t>
        </is>
      </c>
      <c r="M1230" t="inlineStr"/>
      <c r="N1230" t="inlineStr"/>
      <c r="O1230" s="1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s="1" t="inlineStr"/>
      <c r="AR1230" s="1" t="inlineStr"/>
      <c r="AS1230" s="1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GNMX</t>
        </is>
      </c>
      <c r="B1231" t="inlineStr">
        <is>
          <t>GRAL US Equity</t>
        </is>
      </c>
      <c r="C1231" s="1" t="inlineStr">
        <is>
          <t>GRAL</t>
        </is>
      </c>
      <c r="D1231" t="inlineStr">
        <is>
          <t>GRAIL Inc</t>
        </is>
      </c>
      <c r="E1231">
        <f>BDP($B1231,"LEGAL_ENTITY_IDENTIFIER")</f>
        <v/>
      </c>
      <c r="F1231" t="inlineStr">
        <is>
          <t>GRAIL Inc</t>
        </is>
      </c>
      <c r="G1231">
        <f>custodian!D1231</f>
        <v/>
      </c>
      <c r="H1231">
        <f>BDP($B1231,"ID_ISIN")</f>
        <v/>
      </c>
      <c r="I1231" s="1" t="inlineStr">
        <is>
          <t>GRAL</t>
        </is>
      </c>
      <c r="J1231">
        <f>BDP($B1231,"CNTRY_OF_DOMICILE")</f>
        <v/>
      </c>
      <c r="K1231" t="inlineStr">
        <is>
          <t>EC</t>
        </is>
      </c>
      <c r="L1231" t="inlineStr">
        <is>
          <t>CORP</t>
        </is>
      </c>
      <c r="M1231" t="inlineStr"/>
      <c r="N1231" t="inlineStr"/>
      <c r="O1231" s="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s="1" t="inlineStr"/>
      <c r="AR1231" s="1" t="inlineStr"/>
      <c r="AS1231" s="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GNMX</t>
        </is>
      </c>
      <c r="B1232" t="inlineStr">
        <is>
          <t>IDYA US Equity</t>
        </is>
      </c>
      <c r="C1232" s="1" t="inlineStr">
        <is>
          <t>IDYA</t>
        </is>
      </c>
      <c r="D1232" t="inlineStr">
        <is>
          <t>Ideaya Biosciences Inc</t>
        </is>
      </c>
      <c r="E1232">
        <f>BDP($B1232,"LEGAL_ENTITY_IDENTIFIER")</f>
        <v/>
      </c>
      <c r="F1232" t="inlineStr">
        <is>
          <t>Ideaya Biosciences Inc</t>
        </is>
      </c>
      <c r="G1232">
        <f>custodian!D1232</f>
        <v/>
      </c>
      <c r="H1232">
        <f>BDP($B1232,"ID_ISIN")</f>
        <v/>
      </c>
      <c r="I1232" s="1" t="inlineStr">
        <is>
          <t>IDYA</t>
        </is>
      </c>
      <c r="J1232">
        <f>BDP($B1232,"CNTRY_OF_DOMICILE")</f>
        <v/>
      </c>
      <c r="K1232" t="inlineStr">
        <is>
          <t>EC</t>
        </is>
      </c>
      <c r="L1232" t="inlineStr">
        <is>
          <t>CORP</t>
        </is>
      </c>
      <c r="M1232" t="inlineStr"/>
      <c r="N1232" t="inlineStr"/>
      <c r="O1232" s="1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s="1" t="inlineStr"/>
      <c r="AR1232" s="1" t="inlineStr"/>
      <c r="AS1232" s="1" t="inlineStr"/>
      <c r="AT1232" t="inlineStr"/>
      <c r="AU1232" t="inlineStr"/>
      <c r="AV1232" t="inlineStr"/>
      <c r="AW1232" t="inlineStr"/>
      <c r="AX1232" t="inlineStr"/>
      <c r="AY1232" t="inlineStr"/>
    </row>
    <row r="1233">
      <c r="A1233" t="inlineStr">
        <is>
          <t>GNMX</t>
        </is>
      </c>
      <c r="B1233" t="inlineStr">
        <is>
          <t>ILMN US Equity</t>
        </is>
      </c>
      <c r="C1233" s="1" t="inlineStr">
        <is>
          <t>ILMN</t>
        </is>
      </c>
      <c r="D1233" t="inlineStr">
        <is>
          <t>Illumina Inc</t>
        </is>
      </c>
      <c r="E1233">
        <f>BDP($B1233,"LEGAL_ENTITY_IDENTIFIER")</f>
        <v/>
      </c>
      <c r="F1233" t="inlineStr">
        <is>
          <t>Illumina Inc</t>
        </is>
      </c>
      <c r="G1233">
        <f>custodian!D1233</f>
        <v/>
      </c>
      <c r="H1233">
        <f>BDP($B1233,"ID_ISIN")</f>
        <v/>
      </c>
      <c r="I1233" s="1" t="inlineStr">
        <is>
          <t>ILMN</t>
        </is>
      </c>
      <c r="J1233">
        <f>BDP($B1233,"CNTRY_OF_DOMICILE")</f>
        <v/>
      </c>
      <c r="K1233" t="inlineStr">
        <is>
          <t>EC</t>
        </is>
      </c>
      <c r="L1233" t="inlineStr">
        <is>
          <t>CORP</t>
        </is>
      </c>
      <c r="M1233" t="inlineStr"/>
      <c r="N1233" t="inlineStr"/>
      <c r="O1233" s="1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s="1" t="inlineStr"/>
      <c r="AR1233" s="1" t="inlineStr"/>
      <c r="AS1233" s="1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GNMX</t>
        </is>
      </c>
      <c r="B1234" t="inlineStr">
        <is>
          <t>INCY US Equity</t>
        </is>
      </c>
      <c r="C1234" s="1" t="inlineStr">
        <is>
          <t>INCY</t>
        </is>
      </c>
      <c r="D1234" t="inlineStr">
        <is>
          <t>Incyte Corp</t>
        </is>
      </c>
      <c r="E1234">
        <f>BDP($B1234,"LEGAL_ENTITY_IDENTIFIER")</f>
        <v/>
      </c>
      <c r="F1234" t="inlineStr">
        <is>
          <t>Incyte Corp</t>
        </is>
      </c>
      <c r="G1234">
        <f>custodian!D1234</f>
        <v/>
      </c>
      <c r="H1234">
        <f>BDP($B1234,"ID_ISIN")</f>
        <v/>
      </c>
      <c r="I1234" s="1" t="inlineStr">
        <is>
          <t>INCY</t>
        </is>
      </c>
      <c r="J1234">
        <f>BDP($B1234,"CNTRY_OF_DOMICILE")</f>
        <v/>
      </c>
      <c r="K1234" t="inlineStr">
        <is>
          <t>EC</t>
        </is>
      </c>
      <c r="L1234" t="inlineStr">
        <is>
          <t>CORP</t>
        </is>
      </c>
      <c r="M1234" t="inlineStr"/>
      <c r="N1234" t="inlineStr"/>
      <c r="O1234" s="1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s="1" t="inlineStr"/>
      <c r="AR1234" s="1" t="inlineStr"/>
      <c r="AS1234" s="1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GNMX</t>
        </is>
      </c>
      <c r="B1235" t="inlineStr">
        <is>
          <t>IONS US Equity</t>
        </is>
      </c>
      <c r="C1235" s="1" t="inlineStr">
        <is>
          <t>IONS</t>
        </is>
      </c>
      <c r="D1235" t="inlineStr">
        <is>
          <t>Ionis Pharmaceuticals Inc</t>
        </is>
      </c>
      <c r="E1235">
        <f>BDP($B1235,"LEGAL_ENTITY_IDENTIFIER")</f>
        <v/>
      </c>
      <c r="F1235" t="inlineStr">
        <is>
          <t>Ionis Pharmaceuticals Inc</t>
        </is>
      </c>
      <c r="G1235">
        <f>custodian!D1235</f>
        <v/>
      </c>
      <c r="H1235">
        <f>BDP($B1235,"ID_ISIN")</f>
        <v/>
      </c>
      <c r="I1235" s="1" t="inlineStr">
        <is>
          <t>IONS</t>
        </is>
      </c>
      <c r="J1235">
        <f>BDP($B1235,"CNTRY_OF_DOMICILE")</f>
        <v/>
      </c>
      <c r="K1235" t="inlineStr">
        <is>
          <t>EC</t>
        </is>
      </c>
      <c r="L1235" t="inlineStr">
        <is>
          <t>CORP</t>
        </is>
      </c>
      <c r="M1235" t="inlineStr"/>
      <c r="N1235" t="inlineStr"/>
      <c r="O1235" s="1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s="1" t="inlineStr"/>
      <c r="AR1235" s="1" t="inlineStr"/>
      <c r="AS1235" s="1" t="inlineStr"/>
      <c r="AT1235" t="inlineStr"/>
      <c r="AU1235" t="inlineStr"/>
      <c r="AV1235" t="inlineStr"/>
      <c r="AW1235" t="inlineStr"/>
      <c r="AX1235" t="inlineStr"/>
      <c r="AY1235" t="inlineStr"/>
    </row>
    <row r="1236">
      <c r="A1236" t="inlineStr">
        <is>
          <t>GNMX</t>
        </is>
      </c>
      <c r="B1236" t="inlineStr">
        <is>
          <t>IOVA US Equity</t>
        </is>
      </c>
      <c r="C1236" s="1" t="inlineStr">
        <is>
          <t>IOVA</t>
        </is>
      </c>
      <c r="D1236" t="inlineStr">
        <is>
          <t>Iovance Biotherapeutics Inc</t>
        </is>
      </c>
      <c r="E1236">
        <f>BDP($B1236,"LEGAL_ENTITY_IDENTIFIER")</f>
        <v/>
      </c>
      <c r="F1236" t="inlineStr">
        <is>
          <t>Iovance Biotherapeutics Inc</t>
        </is>
      </c>
      <c r="G1236">
        <f>custodian!D1236</f>
        <v/>
      </c>
      <c r="H1236">
        <f>BDP($B1236,"ID_ISIN")</f>
        <v/>
      </c>
      <c r="I1236" s="1" t="inlineStr">
        <is>
          <t>IOVA</t>
        </is>
      </c>
      <c r="J1236">
        <f>BDP($B1236,"CNTRY_OF_DOMICILE")</f>
        <v/>
      </c>
      <c r="K1236" t="inlineStr">
        <is>
          <t>EC</t>
        </is>
      </c>
      <c r="L1236" t="inlineStr">
        <is>
          <t>CORP</t>
        </is>
      </c>
      <c r="M1236" t="inlineStr"/>
      <c r="N1236" t="inlineStr"/>
      <c r="O1236" s="1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s="1" t="inlineStr"/>
      <c r="AR1236" s="1" t="inlineStr"/>
      <c r="AS1236" s="1" t="inlineStr"/>
      <c r="AT1236" t="inlineStr"/>
      <c r="AU1236" t="inlineStr"/>
      <c r="AV1236" t="inlineStr"/>
      <c r="AW1236" t="inlineStr"/>
      <c r="AX1236" t="inlineStr"/>
      <c r="AY1236" t="inlineStr"/>
    </row>
    <row r="1237">
      <c r="A1237" t="inlineStr">
        <is>
          <t>GNMX</t>
        </is>
      </c>
      <c r="B1237" t="inlineStr">
        <is>
          <t>KRYS US Equity</t>
        </is>
      </c>
      <c r="C1237" s="1" t="inlineStr">
        <is>
          <t>KRYS</t>
        </is>
      </c>
      <c r="D1237" t="inlineStr">
        <is>
          <t>Krystal Biotech Inc</t>
        </is>
      </c>
      <c r="E1237">
        <f>BDP($B1237,"LEGAL_ENTITY_IDENTIFIER")</f>
        <v/>
      </c>
      <c r="F1237" t="inlineStr">
        <is>
          <t>Krystal Biotech Inc</t>
        </is>
      </c>
      <c r="G1237">
        <f>custodian!D1237</f>
        <v/>
      </c>
      <c r="H1237">
        <f>BDP($B1237,"ID_ISIN")</f>
        <v/>
      </c>
      <c r="I1237" s="1" t="inlineStr">
        <is>
          <t>KRYS</t>
        </is>
      </c>
      <c r="J1237">
        <f>BDP($B1237,"CNTRY_OF_DOMICILE")</f>
        <v/>
      </c>
      <c r="K1237" t="inlineStr">
        <is>
          <t>EC</t>
        </is>
      </c>
      <c r="L1237" t="inlineStr">
        <is>
          <t>CORP</t>
        </is>
      </c>
      <c r="M1237" t="inlineStr"/>
      <c r="N1237" t="inlineStr"/>
      <c r="O1237" s="1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s="1" t="inlineStr"/>
      <c r="AR1237" s="1" t="inlineStr"/>
      <c r="AS1237" s="1" t="inlineStr"/>
      <c r="AT1237" t="inlineStr"/>
      <c r="AU1237" t="inlineStr"/>
      <c r="AV1237" t="inlineStr"/>
      <c r="AW1237" t="inlineStr"/>
      <c r="AX1237" t="inlineStr"/>
      <c r="AY1237" t="inlineStr"/>
    </row>
    <row r="1238">
      <c r="A1238" t="inlineStr">
        <is>
          <t>GNMX</t>
        </is>
      </c>
      <c r="B1238" t="inlineStr">
        <is>
          <t>LAB US Equity</t>
        </is>
      </c>
      <c r="C1238" s="1" t="inlineStr">
        <is>
          <t>LAB</t>
        </is>
      </c>
      <c r="D1238" t="inlineStr">
        <is>
          <t>STANDARD BIOTOOLS INC</t>
        </is>
      </c>
      <c r="E1238">
        <f>BDP($B1238,"LEGAL_ENTITY_IDENTIFIER")</f>
        <v/>
      </c>
      <c r="F1238" t="inlineStr">
        <is>
          <t>STANDARD BIOTOOLS INC</t>
        </is>
      </c>
      <c r="G1238">
        <f>custodian!D1238</f>
        <v/>
      </c>
      <c r="H1238">
        <f>BDP($B1238,"ID_ISIN")</f>
        <v/>
      </c>
      <c r="I1238" s="1" t="inlineStr">
        <is>
          <t>LAB</t>
        </is>
      </c>
      <c r="J1238">
        <f>BDP($B1238,"CNTRY_OF_DOMICILE")</f>
        <v/>
      </c>
      <c r="K1238" t="inlineStr">
        <is>
          <t>EC</t>
        </is>
      </c>
      <c r="L1238" t="inlineStr">
        <is>
          <t>CORP</t>
        </is>
      </c>
      <c r="M1238" t="inlineStr"/>
      <c r="N1238" t="inlineStr"/>
      <c r="O1238" s="1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s="1" t="inlineStr"/>
      <c r="AR1238" s="1" t="inlineStr"/>
      <c r="AS1238" s="1" t="inlineStr"/>
      <c r="AT1238" t="inlineStr"/>
      <c r="AU1238" t="inlineStr"/>
      <c r="AV1238" t="inlineStr"/>
      <c r="AW1238" t="inlineStr"/>
      <c r="AX1238" t="inlineStr"/>
      <c r="AY1238" t="inlineStr"/>
    </row>
    <row r="1239">
      <c r="A1239" t="inlineStr">
        <is>
          <t>GNMX</t>
        </is>
      </c>
      <c r="B1239" t="inlineStr">
        <is>
          <t>MRNA US Equity</t>
        </is>
      </c>
      <c r="C1239" s="1" t="inlineStr">
        <is>
          <t>MRNA</t>
        </is>
      </c>
      <c r="D1239" t="inlineStr">
        <is>
          <t>Moderna Inc</t>
        </is>
      </c>
      <c r="E1239">
        <f>BDP($B1239,"LEGAL_ENTITY_IDENTIFIER")</f>
        <v/>
      </c>
      <c r="F1239" t="inlineStr">
        <is>
          <t>Moderna Inc</t>
        </is>
      </c>
      <c r="G1239">
        <f>custodian!D1239</f>
        <v/>
      </c>
      <c r="H1239">
        <f>BDP($B1239,"ID_ISIN")</f>
        <v/>
      </c>
      <c r="I1239" s="1" t="inlineStr">
        <is>
          <t>MRNA</t>
        </is>
      </c>
      <c r="J1239">
        <f>BDP($B1239,"CNTRY_OF_DOMICILE")</f>
        <v/>
      </c>
      <c r="K1239" t="inlineStr">
        <is>
          <t>EC</t>
        </is>
      </c>
      <c r="L1239" t="inlineStr">
        <is>
          <t>CORP</t>
        </is>
      </c>
      <c r="M1239" t="inlineStr"/>
      <c r="N1239" t="inlineStr"/>
      <c r="O1239" s="1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s="1" t="inlineStr"/>
      <c r="AR1239" s="1" t="inlineStr"/>
      <c r="AS1239" s="1" t="inlineStr"/>
      <c r="AT1239" t="inlineStr"/>
      <c r="AU1239" t="inlineStr"/>
      <c r="AV1239" t="inlineStr"/>
      <c r="AW1239" t="inlineStr"/>
      <c r="AX1239" t="inlineStr"/>
      <c r="AY1239" t="inlineStr"/>
    </row>
    <row r="1240">
      <c r="A1240" t="inlineStr">
        <is>
          <t>GNMX</t>
        </is>
      </c>
      <c r="B1240" t="inlineStr">
        <is>
          <t>MYGN US Equity</t>
        </is>
      </c>
      <c r="C1240" s="1" t="inlineStr">
        <is>
          <t>MYGN</t>
        </is>
      </c>
      <c r="D1240" t="inlineStr">
        <is>
          <t>Myriad Genetics Inc</t>
        </is>
      </c>
      <c r="E1240">
        <f>BDP($B1240,"LEGAL_ENTITY_IDENTIFIER")</f>
        <v/>
      </c>
      <c r="F1240" t="inlineStr">
        <is>
          <t>Myriad Genetics Inc</t>
        </is>
      </c>
      <c r="G1240">
        <f>custodian!D1240</f>
        <v/>
      </c>
      <c r="H1240">
        <f>BDP($B1240,"ID_ISIN")</f>
        <v/>
      </c>
      <c r="I1240" s="1" t="inlineStr">
        <is>
          <t>MYGN</t>
        </is>
      </c>
      <c r="J1240">
        <f>BDP($B1240,"CNTRY_OF_DOMICILE")</f>
        <v/>
      </c>
      <c r="K1240" t="inlineStr">
        <is>
          <t>EC</t>
        </is>
      </c>
      <c r="L1240" t="inlineStr">
        <is>
          <t>CORP</t>
        </is>
      </c>
      <c r="M1240" t="inlineStr"/>
      <c r="N1240" t="inlineStr"/>
      <c r="O1240" s="1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s="1" t="inlineStr"/>
      <c r="AR1240" s="1" t="inlineStr"/>
      <c r="AS1240" s="1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GNMX</t>
        </is>
      </c>
      <c r="B1241" t="inlineStr">
        <is>
          <t>NEO US Equity</t>
        </is>
      </c>
      <c r="C1241" s="1" t="inlineStr">
        <is>
          <t>NEO</t>
        </is>
      </c>
      <c r="D1241" t="inlineStr">
        <is>
          <t>NeoGenomics Inc</t>
        </is>
      </c>
      <c r="E1241">
        <f>BDP($B1241,"LEGAL_ENTITY_IDENTIFIER")</f>
        <v/>
      </c>
      <c r="F1241" t="inlineStr">
        <is>
          <t>NeoGenomics Inc</t>
        </is>
      </c>
      <c r="G1241">
        <f>custodian!D1241</f>
        <v/>
      </c>
      <c r="H1241">
        <f>BDP($B1241,"ID_ISIN")</f>
        <v/>
      </c>
      <c r="I1241" s="1" t="inlineStr">
        <is>
          <t>NEO</t>
        </is>
      </c>
      <c r="J1241">
        <f>BDP($B1241,"CNTRY_OF_DOMICILE")</f>
        <v/>
      </c>
      <c r="K1241" t="inlineStr">
        <is>
          <t>EC</t>
        </is>
      </c>
      <c r="L1241" t="inlineStr">
        <is>
          <t>CORP</t>
        </is>
      </c>
      <c r="M1241" t="inlineStr"/>
      <c r="N1241" t="inlineStr"/>
      <c r="O1241" s="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s="1" t="inlineStr"/>
      <c r="AR1241" s="1" t="inlineStr"/>
      <c r="AS1241" s="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GNMX</t>
        </is>
      </c>
      <c r="B1242" t="inlineStr">
        <is>
          <t>NRIX US Equity</t>
        </is>
      </c>
      <c r="C1242" s="1" t="inlineStr">
        <is>
          <t>NRIX</t>
        </is>
      </c>
      <c r="D1242" t="inlineStr">
        <is>
          <t>Nurix Therapeutics Inc</t>
        </is>
      </c>
      <c r="E1242">
        <f>BDP($B1242,"LEGAL_ENTITY_IDENTIFIER")</f>
        <v/>
      </c>
      <c r="F1242" t="inlineStr">
        <is>
          <t>Nurix Therapeutics Inc</t>
        </is>
      </c>
      <c r="G1242">
        <f>custodian!D1242</f>
        <v/>
      </c>
      <c r="H1242">
        <f>BDP($B1242,"ID_ISIN")</f>
        <v/>
      </c>
      <c r="I1242" s="1" t="inlineStr">
        <is>
          <t>NRIX</t>
        </is>
      </c>
      <c r="J1242">
        <f>BDP($B1242,"CNTRY_OF_DOMICILE")</f>
        <v/>
      </c>
      <c r="K1242" t="inlineStr">
        <is>
          <t>EC</t>
        </is>
      </c>
      <c r="L1242" t="inlineStr">
        <is>
          <t>CORP</t>
        </is>
      </c>
      <c r="M1242" t="inlineStr"/>
      <c r="N1242" t="inlineStr"/>
      <c r="O1242" s="1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s="1" t="inlineStr"/>
      <c r="AR1242" s="1" t="inlineStr"/>
      <c r="AS1242" s="1" t="inlineStr"/>
      <c r="AT1242" t="inlineStr"/>
      <c r="AU1242" t="inlineStr"/>
      <c r="AV1242" t="inlineStr"/>
      <c r="AW1242" t="inlineStr"/>
      <c r="AX1242" t="inlineStr"/>
      <c r="AY1242" t="inlineStr"/>
    </row>
    <row r="1243">
      <c r="A1243" t="inlineStr">
        <is>
          <t>GNMX</t>
        </is>
      </c>
      <c r="B1243" t="inlineStr">
        <is>
          <t>NTLA US Equity</t>
        </is>
      </c>
      <c r="C1243" s="1" t="inlineStr">
        <is>
          <t>NTLA</t>
        </is>
      </c>
      <c r="D1243" t="inlineStr">
        <is>
          <t>Intellia Therapeutics Inc</t>
        </is>
      </c>
      <c r="E1243">
        <f>BDP($B1243,"LEGAL_ENTITY_IDENTIFIER")</f>
        <v/>
      </c>
      <c r="F1243" t="inlineStr">
        <is>
          <t>Intellia Therapeutics Inc</t>
        </is>
      </c>
      <c r="G1243">
        <f>custodian!D1243</f>
        <v/>
      </c>
      <c r="H1243">
        <f>BDP($B1243,"ID_ISIN")</f>
        <v/>
      </c>
      <c r="I1243" s="1" t="inlineStr">
        <is>
          <t>NTLA</t>
        </is>
      </c>
      <c r="J1243">
        <f>BDP($B1243,"CNTRY_OF_DOMICILE")</f>
        <v/>
      </c>
      <c r="K1243" t="inlineStr">
        <is>
          <t>EC</t>
        </is>
      </c>
      <c r="L1243" t="inlineStr">
        <is>
          <t>CORP</t>
        </is>
      </c>
      <c r="M1243" t="inlineStr"/>
      <c r="N1243" t="inlineStr"/>
      <c r="O1243" s="1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s="1" t="inlineStr"/>
      <c r="AR1243" s="1" t="inlineStr"/>
      <c r="AS1243" s="1" t="inlineStr"/>
      <c r="AT1243" t="inlineStr"/>
      <c r="AU1243" t="inlineStr"/>
      <c r="AV1243" t="inlineStr"/>
      <c r="AW1243" t="inlineStr"/>
      <c r="AX1243" t="inlineStr"/>
      <c r="AY1243" t="inlineStr"/>
    </row>
    <row r="1244">
      <c r="A1244" t="inlineStr">
        <is>
          <t>GNMX</t>
        </is>
      </c>
      <c r="B1244" t="inlineStr">
        <is>
          <t>NUVL US Equity</t>
        </is>
      </c>
      <c r="C1244" s="1" t="inlineStr">
        <is>
          <t>NUVL</t>
        </is>
      </c>
      <c r="D1244" t="inlineStr">
        <is>
          <t>Nuvalent Inc</t>
        </is>
      </c>
      <c r="E1244">
        <f>BDP($B1244,"LEGAL_ENTITY_IDENTIFIER")</f>
        <v/>
      </c>
      <c r="F1244" t="inlineStr">
        <is>
          <t>Nuvalent Inc</t>
        </is>
      </c>
      <c r="G1244">
        <f>custodian!D1244</f>
        <v/>
      </c>
      <c r="H1244">
        <f>BDP($B1244,"ID_ISIN")</f>
        <v/>
      </c>
      <c r="I1244" s="1" t="inlineStr">
        <is>
          <t>NUVL</t>
        </is>
      </c>
      <c r="J1244">
        <f>BDP($B1244,"CNTRY_OF_DOMICILE")</f>
        <v/>
      </c>
      <c r="K1244" t="inlineStr">
        <is>
          <t>EC</t>
        </is>
      </c>
      <c r="L1244" t="inlineStr">
        <is>
          <t>CORP</t>
        </is>
      </c>
      <c r="M1244" t="inlineStr"/>
      <c r="N1244" t="inlineStr"/>
      <c r="O1244" s="1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s="1" t="inlineStr"/>
      <c r="AR1244" s="1" t="inlineStr"/>
      <c r="AS1244" s="1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GNMX</t>
        </is>
      </c>
      <c r="B1245" t="inlineStr">
        <is>
          <t>PACB US Equity</t>
        </is>
      </c>
      <c r="C1245" s="1" t="inlineStr">
        <is>
          <t>PACB</t>
        </is>
      </c>
      <c r="D1245" t="inlineStr">
        <is>
          <t>Pacific Biosciences of Califor</t>
        </is>
      </c>
      <c r="E1245">
        <f>BDP($B1245,"LEGAL_ENTITY_IDENTIFIER")</f>
        <v/>
      </c>
      <c r="F1245" t="inlineStr">
        <is>
          <t>Pacific Biosciences of California Inc</t>
        </is>
      </c>
      <c r="G1245">
        <f>custodian!D1245</f>
        <v/>
      </c>
      <c r="H1245">
        <f>BDP($B1245,"ID_ISIN")</f>
        <v/>
      </c>
      <c r="I1245" s="1" t="inlineStr">
        <is>
          <t>PACB</t>
        </is>
      </c>
      <c r="J1245">
        <f>BDP($B1245,"CNTRY_OF_DOMICILE")</f>
        <v/>
      </c>
      <c r="K1245" t="inlineStr">
        <is>
          <t>EC</t>
        </is>
      </c>
      <c r="L1245" t="inlineStr">
        <is>
          <t>CORP</t>
        </is>
      </c>
      <c r="M1245" t="inlineStr"/>
      <c r="N1245" t="inlineStr"/>
      <c r="O1245" s="1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s="1" t="inlineStr"/>
      <c r="AR1245" s="1" t="inlineStr"/>
      <c r="AS1245" s="1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GNMX</t>
        </is>
      </c>
      <c r="B1246" t="inlineStr">
        <is>
          <t>PRME US Equity</t>
        </is>
      </c>
      <c r="C1246" s="1" t="inlineStr">
        <is>
          <t>PRME</t>
        </is>
      </c>
      <c r="D1246" t="inlineStr">
        <is>
          <t>Prime Medicine Inc</t>
        </is>
      </c>
      <c r="E1246">
        <f>BDP($B1246,"LEGAL_ENTITY_IDENTIFIER")</f>
        <v/>
      </c>
      <c r="F1246" t="inlineStr">
        <is>
          <t>Prime Medicine Inc</t>
        </is>
      </c>
      <c r="G1246">
        <f>custodian!D1246</f>
        <v/>
      </c>
      <c r="H1246">
        <f>BDP($B1246,"ID_ISIN")</f>
        <v/>
      </c>
      <c r="I1246" s="1" t="inlineStr">
        <is>
          <t>PRME</t>
        </is>
      </c>
      <c r="J1246">
        <f>BDP($B1246,"CNTRY_OF_DOMICILE")</f>
        <v/>
      </c>
      <c r="K1246" t="inlineStr">
        <is>
          <t>EC</t>
        </is>
      </c>
      <c r="L1246" t="inlineStr">
        <is>
          <t>CORP</t>
        </is>
      </c>
      <c r="M1246" t="inlineStr"/>
      <c r="N1246" t="inlineStr"/>
      <c r="O1246" s="1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s="1" t="inlineStr"/>
      <c r="AR1246" s="1" t="inlineStr"/>
      <c r="AS1246" s="1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GNMX</t>
        </is>
      </c>
      <c r="B1247" t="inlineStr">
        <is>
          <t>PSNL US Equity</t>
        </is>
      </c>
      <c r="C1247" s="1" t="inlineStr">
        <is>
          <t>PSNL</t>
        </is>
      </c>
      <c r="D1247" t="inlineStr">
        <is>
          <t>Personalis Inc</t>
        </is>
      </c>
      <c r="E1247">
        <f>BDP($B1247,"LEGAL_ENTITY_IDENTIFIER")</f>
        <v/>
      </c>
      <c r="F1247" t="inlineStr">
        <is>
          <t>Personalis Inc</t>
        </is>
      </c>
      <c r="G1247">
        <f>custodian!D1247</f>
        <v/>
      </c>
      <c r="H1247">
        <f>BDP($B1247,"ID_ISIN")</f>
        <v/>
      </c>
      <c r="I1247" s="1" t="inlineStr">
        <is>
          <t>PSNL</t>
        </is>
      </c>
      <c r="J1247">
        <f>BDP($B1247,"CNTRY_OF_DOMICILE")</f>
        <v/>
      </c>
      <c r="K1247" t="inlineStr">
        <is>
          <t>EC</t>
        </is>
      </c>
      <c r="L1247" t="inlineStr">
        <is>
          <t>CORP</t>
        </is>
      </c>
      <c r="M1247" t="inlineStr"/>
      <c r="N1247" t="inlineStr"/>
      <c r="O1247" s="1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s="1" t="inlineStr"/>
      <c r="AR1247" s="1" t="inlineStr"/>
      <c r="AS1247" s="1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GNMX</t>
        </is>
      </c>
      <c r="B1248" t="inlineStr">
        <is>
          <t>QGEN US Equity</t>
        </is>
      </c>
      <c r="C1248" s="1" t="inlineStr">
        <is>
          <t>QGEN</t>
        </is>
      </c>
      <c r="D1248" t="inlineStr">
        <is>
          <t>QIAGEN NV</t>
        </is>
      </c>
      <c r="E1248">
        <f>BDP($B1248,"LEGAL_ENTITY_IDENTIFIER")</f>
        <v/>
      </c>
      <c r="F1248" t="inlineStr">
        <is>
          <t>QIAGEN NV</t>
        </is>
      </c>
      <c r="G1248">
        <f>custodian!D1248</f>
        <v/>
      </c>
      <c r="H1248">
        <f>BDP($B1248,"ID_ISIN")</f>
        <v/>
      </c>
      <c r="I1248" s="1" t="inlineStr">
        <is>
          <t>QGEN</t>
        </is>
      </c>
      <c r="J1248">
        <f>BDP($B1248,"CNTRY_OF_DOMICILE")</f>
        <v/>
      </c>
      <c r="K1248" t="inlineStr">
        <is>
          <t>EC</t>
        </is>
      </c>
      <c r="L1248" t="inlineStr">
        <is>
          <t>CORP</t>
        </is>
      </c>
      <c r="M1248" t="inlineStr"/>
      <c r="N1248" t="inlineStr"/>
      <c r="O1248" s="1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s="1" t="inlineStr"/>
      <c r="AR1248" s="1" t="inlineStr"/>
      <c r="AS1248" s="1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GNMX</t>
        </is>
      </c>
      <c r="B1249" t="inlineStr">
        <is>
          <t>QURE US Equity</t>
        </is>
      </c>
      <c r="C1249" s="1" t="inlineStr">
        <is>
          <t>QURE</t>
        </is>
      </c>
      <c r="D1249" t="inlineStr">
        <is>
          <t>uniQure NV</t>
        </is>
      </c>
      <c r="E1249">
        <f>BDP($B1249,"LEGAL_ENTITY_IDENTIFIER")</f>
        <v/>
      </c>
      <c r="F1249" t="inlineStr">
        <is>
          <t>uniQure NV</t>
        </is>
      </c>
      <c r="G1249">
        <f>custodian!D1249</f>
        <v/>
      </c>
      <c r="H1249">
        <f>BDP($B1249,"ID_ISIN")</f>
        <v/>
      </c>
      <c r="I1249" s="1" t="inlineStr">
        <is>
          <t>QURE</t>
        </is>
      </c>
      <c r="J1249">
        <f>BDP($B1249,"CNTRY_OF_DOMICILE")</f>
        <v/>
      </c>
      <c r="K1249" t="inlineStr">
        <is>
          <t>EC</t>
        </is>
      </c>
      <c r="L1249" t="inlineStr">
        <is>
          <t>CORP</t>
        </is>
      </c>
      <c r="M1249" t="inlineStr"/>
      <c r="N1249" t="inlineStr"/>
      <c r="O1249" s="1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s="1" t="inlineStr"/>
      <c r="AR1249" s="1" t="inlineStr"/>
      <c r="AS1249" s="1" t="inlineStr"/>
      <c r="AT1249" t="inlineStr"/>
      <c r="AU1249" t="inlineStr"/>
      <c r="AV1249" t="inlineStr"/>
      <c r="AW1249" t="inlineStr"/>
      <c r="AX1249" t="inlineStr"/>
      <c r="AY1249" t="inlineStr"/>
    </row>
    <row r="1250">
      <c r="A1250" t="inlineStr">
        <is>
          <t>GNMX</t>
        </is>
      </c>
      <c r="B1250" t="inlineStr">
        <is>
          <t>RARE US Equity</t>
        </is>
      </c>
      <c r="C1250" s="1" t="inlineStr">
        <is>
          <t>RARE</t>
        </is>
      </c>
      <c r="D1250" t="inlineStr">
        <is>
          <t>Ultragenyx Pharmaceutical Inc</t>
        </is>
      </c>
      <c r="E1250">
        <f>BDP($B1250,"LEGAL_ENTITY_IDENTIFIER")</f>
        <v/>
      </c>
      <c r="F1250" t="inlineStr">
        <is>
          <t>Ultragenyx Pharmaceutical Inc</t>
        </is>
      </c>
      <c r="G1250">
        <f>custodian!D1250</f>
        <v/>
      </c>
      <c r="H1250">
        <f>BDP($B1250,"ID_ISIN")</f>
        <v/>
      </c>
      <c r="I1250" s="1" t="inlineStr">
        <is>
          <t>RARE</t>
        </is>
      </c>
      <c r="J1250">
        <f>BDP($B1250,"CNTRY_OF_DOMICILE")</f>
        <v/>
      </c>
      <c r="K1250" t="inlineStr">
        <is>
          <t>EC</t>
        </is>
      </c>
      <c r="L1250" t="inlineStr">
        <is>
          <t>CORP</t>
        </is>
      </c>
      <c r="M1250" t="inlineStr"/>
      <c r="N1250" t="inlineStr"/>
      <c r="O1250" s="1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s="1" t="inlineStr"/>
      <c r="AR1250" s="1" t="inlineStr"/>
      <c r="AS1250" s="1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GNMX</t>
        </is>
      </c>
      <c r="B1251" t="inlineStr">
        <is>
          <t>RCKT US Equity</t>
        </is>
      </c>
      <c r="C1251" s="1" t="inlineStr">
        <is>
          <t>RCKT</t>
        </is>
      </c>
      <c r="D1251" t="inlineStr">
        <is>
          <t>Rocket Pharmaceuticals Inc</t>
        </is>
      </c>
      <c r="E1251">
        <f>BDP($B1251,"LEGAL_ENTITY_IDENTIFIER")</f>
        <v/>
      </c>
      <c r="F1251" t="inlineStr">
        <is>
          <t>Rocket Pharmaceuticals Inc</t>
        </is>
      </c>
      <c r="G1251">
        <f>custodian!D1251</f>
        <v/>
      </c>
      <c r="H1251">
        <f>BDP($B1251,"ID_ISIN")</f>
        <v/>
      </c>
      <c r="I1251" s="1" t="inlineStr">
        <is>
          <t>RCKT</t>
        </is>
      </c>
      <c r="J1251">
        <f>BDP($B1251,"CNTRY_OF_DOMICILE")</f>
        <v/>
      </c>
      <c r="K1251" t="inlineStr">
        <is>
          <t>EC</t>
        </is>
      </c>
      <c r="L1251" t="inlineStr">
        <is>
          <t>CORP</t>
        </is>
      </c>
      <c r="M1251" t="inlineStr"/>
      <c r="N1251" t="inlineStr"/>
      <c r="O1251" s="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s="1" t="inlineStr"/>
      <c r="AR1251" s="1" t="inlineStr"/>
      <c r="AS1251" s="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GNMX</t>
        </is>
      </c>
      <c r="B1252" t="inlineStr">
        <is>
          <t>RLAY US Equity</t>
        </is>
      </c>
      <c r="C1252" s="1" t="inlineStr">
        <is>
          <t>RLAY</t>
        </is>
      </c>
      <c r="D1252" t="inlineStr">
        <is>
          <t>Relay Therapeutics Inc</t>
        </is>
      </c>
      <c r="E1252">
        <f>BDP($B1252,"LEGAL_ENTITY_IDENTIFIER")</f>
        <v/>
      </c>
      <c r="F1252" t="inlineStr">
        <is>
          <t>Relay Therapeutics Inc</t>
        </is>
      </c>
      <c r="G1252">
        <f>custodian!D1252</f>
        <v/>
      </c>
      <c r="H1252">
        <f>BDP($B1252,"ID_ISIN")</f>
        <v/>
      </c>
      <c r="I1252" s="1" t="inlineStr">
        <is>
          <t>RLAY</t>
        </is>
      </c>
      <c r="J1252">
        <f>BDP($B1252,"CNTRY_OF_DOMICILE")</f>
        <v/>
      </c>
      <c r="K1252" t="inlineStr">
        <is>
          <t>EC</t>
        </is>
      </c>
      <c r="L1252" t="inlineStr">
        <is>
          <t>CORP</t>
        </is>
      </c>
      <c r="M1252" t="inlineStr"/>
      <c r="N1252" t="inlineStr"/>
      <c r="O1252" s="1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s="1" t="inlineStr"/>
      <c r="AR1252" s="1" t="inlineStr"/>
      <c r="AS1252" s="1" t="inlineStr"/>
      <c r="AT1252" t="inlineStr"/>
      <c r="AU1252" t="inlineStr"/>
      <c r="AV1252" t="inlineStr"/>
      <c r="AW1252" t="inlineStr"/>
      <c r="AX1252" t="inlineStr"/>
      <c r="AY1252" t="inlineStr"/>
    </row>
    <row r="1253">
      <c r="A1253" t="inlineStr">
        <is>
          <t>GNMX</t>
        </is>
      </c>
      <c r="B1253" t="inlineStr">
        <is>
          <t>RVMD US Equity</t>
        </is>
      </c>
      <c r="C1253" s="1" t="inlineStr">
        <is>
          <t>RVMD</t>
        </is>
      </c>
      <c r="D1253" t="inlineStr">
        <is>
          <t>Revolution Medicines Inc</t>
        </is>
      </c>
      <c r="E1253">
        <f>BDP($B1253,"LEGAL_ENTITY_IDENTIFIER")</f>
        <v/>
      </c>
      <c r="F1253" t="inlineStr">
        <is>
          <t>Revolution Medicines Inc</t>
        </is>
      </c>
      <c r="G1253">
        <f>custodian!D1253</f>
        <v/>
      </c>
      <c r="H1253">
        <f>BDP($B1253,"ID_ISIN")</f>
        <v/>
      </c>
      <c r="I1253" s="1" t="inlineStr">
        <is>
          <t>RVMD</t>
        </is>
      </c>
      <c r="J1253">
        <f>BDP($B1253,"CNTRY_OF_DOMICILE")</f>
        <v/>
      </c>
      <c r="K1253" t="inlineStr">
        <is>
          <t>EC</t>
        </is>
      </c>
      <c r="L1253" t="inlineStr">
        <is>
          <t>CORP</t>
        </is>
      </c>
      <c r="M1253" t="inlineStr"/>
      <c r="N1253" t="inlineStr"/>
      <c r="O1253" s="1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s="1" t="inlineStr"/>
      <c r="AR1253" s="1" t="inlineStr"/>
      <c r="AS1253" s="1" t="inlineStr"/>
      <c r="AT1253" t="inlineStr"/>
      <c r="AU1253" t="inlineStr"/>
      <c r="AV1253" t="inlineStr"/>
      <c r="AW1253" t="inlineStr"/>
      <c r="AX1253" t="inlineStr"/>
      <c r="AY1253" t="inlineStr"/>
    </row>
    <row r="1254">
      <c r="A1254" t="inlineStr">
        <is>
          <t>GNMX</t>
        </is>
      </c>
      <c r="B1254" t="inlineStr">
        <is>
          <t>RXRX US Equity</t>
        </is>
      </c>
      <c r="C1254" s="1" t="inlineStr">
        <is>
          <t>RXRX</t>
        </is>
      </c>
      <c r="D1254" t="inlineStr">
        <is>
          <t>Recursion Pharmaceuticals Inc</t>
        </is>
      </c>
      <c r="E1254">
        <f>BDP($B1254,"LEGAL_ENTITY_IDENTIFIER")</f>
        <v/>
      </c>
      <c r="F1254" t="inlineStr">
        <is>
          <t>Recursion Pharmaceuticals Inc</t>
        </is>
      </c>
      <c r="G1254">
        <f>custodian!D1254</f>
        <v/>
      </c>
      <c r="H1254">
        <f>BDP($B1254,"ID_ISIN")</f>
        <v/>
      </c>
      <c r="I1254" s="1" t="inlineStr">
        <is>
          <t>RXRX</t>
        </is>
      </c>
      <c r="J1254">
        <f>BDP($B1254,"CNTRY_OF_DOMICILE")</f>
        <v/>
      </c>
      <c r="K1254" t="inlineStr">
        <is>
          <t>EC</t>
        </is>
      </c>
      <c r="L1254" t="inlineStr">
        <is>
          <t>CORP</t>
        </is>
      </c>
      <c r="M1254" t="inlineStr"/>
      <c r="N1254" t="inlineStr"/>
      <c r="O1254" s="1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s="1" t="inlineStr"/>
      <c r="AR1254" s="1" t="inlineStr"/>
      <c r="AS1254" s="1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GNMX</t>
        </is>
      </c>
      <c r="B1255" t="inlineStr">
        <is>
          <t>SDGR US Equity</t>
        </is>
      </c>
      <c r="C1255" s="1" t="inlineStr">
        <is>
          <t>SDGR</t>
        </is>
      </c>
      <c r="D1255" t="inlineStr">
        <is>
          <t>Schrodinger Inc/United States</t>
        </is>
      </c>
      <c r="E1255">
        <f>BDP($B1255,"LEGAL_ENTITY_IDENTIFIER")</f>
        <v/>
      </c>
      <c r="F1255" t="inlineStr">
        <is>
          <t>Schrodinger Inc/United States</t>
        </is>
      </c>
      <c r="G1255">
        <f>custodian!D1255</f>
        <v/>
      </c>
      <c r="H1255">
        <f>BDP($B1255,"ID_ISIN")</f>
        <v/>
      </c>
      <c r="I1255" s="1" t="inlineStr">
        <is>
          <t>SDGR</t>
        </is>
      </c>
      <c r="J1255">
        <f>BDP($B1255,"CNTRY_OF_DOMICILE")</f>
        <v/>
      </c>
      <c r="K1255" t="inlineStr">
        <is>
          <t>EC</t>
        </is>
      </c>
      <c r="L1255" t="inlineStr">
        <is>
          <t>CORP</t>
        </is>
      </c>
      <c r="M1255" t="inlineStr"/>
      <c r="N1255" t="inlineStr"/>
      <c r="O1255" s="1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s="1" t="inlineStr"/>
      <c r="AR1255" s="1" t="inlineStr"/>
      <c r="AS1255" s="1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GNMX</t>
        </is>
      </c>
      <c r="B1256" t="inlineStr">
        <is>
          <t>SLDB US Equity</t>
        </is>
      </c>
      <c r="C1256" s="1" t="inlineStr">
        <is>
          <t>SLDB</t>
        </is>
      </c>
      <c r="D1256" t="inlineStr">
        <is>
          <t>Solid Biosciences Inc</t>
        </is>
      </c>
      <c r="E1256">
        <f>BDP($B1256,"LEGAL_ENTITY_IDENTIFIER")</f>
        <v/>
      </c>
      <c r="F1256" t="inlineStr">
        <is>
          <t>Solid Biosciences Inc</t>
        </is>
      </c>
      <c r="G1256">
        <f>custodian!D1256</f>
        <v/>
      </c>
      <c r="H1256">
        <f>BDP($B1256,"ID_ISIN")</f>
        <v/>
      </c>
      <c r="I1256" s="1" t="inlineStr">
        <is>
          <t>SLDB</t>
        </is>
      </c>
      <c r="J1256">
        <f>BDP($B1256,"CNTRY_OF_DOMICILE")</f>
        <v/>
      </c>
      <c r="K1256" t="inlineStr">
        <is>
          <t>EC</t>
        </is>
      </c>
      <c r="L1256" t="inlineStr">
        <is>
          <t>CORP</t>
        </is>
      </c>
      <c r="M1256" t="inlineStr"/>
      <c r="N1256" t="inlineStr"/>
      <c r="O1256" s="1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s="1" t="inlineStr"/>
      <c r="AR1256" s="1" t="inlineStr"/>
      <c r="AS1256" s="1" t="inlineStr"/>
      <c r="AT1256" t="inlineStr"/>
      <c r="AU1256" t="inlineStr"/>
      <c r="AV1256" t="inlineStr"/>
      <c r="AW1256" t="inlineStr"/>
      <c r="AX1256" t="inlineStr"/>
      <c r="AY1256" t="inlineStr"/>
    </row>
    <row r="1257">
      <c r="A1257" t="inlineStr">
        <is>
          <t>GNMX</t>
        </is>
      </c>
      <c r="B1257" t="inlineStr">
        <is>
          <t>SOPH US Equity</t>
        </is>
      </c>
      <c r="C1257" s="1" t="inlineStr">
        <is>
          <t>SOPH</t>
        </is>
      </c>
      <c r="D1257" t="inlineStr">
        <is>
          <t>Sophia Genetics SA</t>
        </is>
      </c>
      <c r="E1257">
        <f>BDP($B1257,"LEGAL_ENTITY_IDENTIFIER")</f>
        <v/>
      </c>
      <c r="F1257" t="inlineStr">
        <is>
          <t>Sophia Genetics SA</t>
        </is>
      </c>
      <c r="G1257">
        <f>custodian!D1257</f>
        <v/>
      </c>
      <c r="H1257">
        <f>BDP($B1257,"ID_ISIN")</f>
        <v/>
      </c>
      <c r="I1257" s="1" t="inlineStr">
        <is>
          <t>SOPH</t>
        </is>
      </c>
      <c r="J1257">
        <f>BDP($B1257,"CNTRY_OF_DOMICILE")</f>
        <v/>
      </c>
      <c r="K1257" t="inlineStr">
        <is>
          <t>EC</t>
        </is>
      </c>
      <c r="L1257" t="inlineStr">
        <is>
          <t>CORP</t>
        </is>
      </c>
      <c r="M1257" t="inlineStr"/>
      <c r="N1257" t="inlineStr"/>
      <c r="O1257" s="1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s="1" t="inlineStr"/>
      <c r="AR1257" s="1" t="inlineStr"/>
      <c r="AS1257" s="1" t="inlineStr"/>
      <c r="AT1257" t="inlineStr"/>
      <c r="AU1257" t="inlineStr"/>
      <c r="AV1257" t="inlineStr"/>
      <c r="AW1257" t="inlineStr"/>
      <c r="AX1257" t="inlineStr"/>
      <c r="AY1257" t="inlineStr"/>
    </row>
    <row r="1258">
      <c r="A1258" t="inlineStr">
        <is>
          <t>GNMX</t>
        </is>
      </c>
      <c r="B1258" t="inlineStr">
        <is>
          <t>SRPT US Equity</t>
        </is>
      </c>
      <c r="C1258" s="1" t="inlineStr">
        <is>
          <t>SRPT</t>
        </is>
      </c>
      <c r="D1258" t="inlineStr">
        <is>
          <t>Sarepta Therapeutics Inc</t>
        </is>
      </c>
      <c r="E1258">
        <f>BDP($B1258,"LEGAL_ENTITY_IDENTIFIER")</f>
        <v/>
      </c>
      <c r="F1258" t="inlineStr">
        <is>
          <t>Sarepta Therapeutics Inc</t>
        </is>
      </c>
      <c r="G1258">
        <f>custodian!D1258</f>
        <v/>
      </c>
      <c r="H1258">
        <f>BDP($B1258,"ID_ISIN")</f>
        <v/>
      </c>
      <c r="I1258" s="1" t="inlineStr">
        <is>
          <t>SRPT</t>
        </is>
      </c>
      <c r="J1258">
        <f>BDP($B1258,"CNTRY_OF_DOMICILE")</f>
        <v/>
      </c>
      <c r="K1258" t="inlineStr">
        <is>
          <t>EC</t>
        </is>
      </c>
      <c r="L1258" t="inlineStr">
        <is>
          <t>CORP</t>
        </is>
      </c>
      <c r="M1258" t="inlineStr"/>
      <c r="N1258" t="inlineStr"/>
      <c r="O1258" s="1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s="1" t="inlineStr"/>
      <c r="AR1258" s="1" t="inlineStr"/>
      <c r="AS1258" s="1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GNMX</t>
        </is>
      </c>
      <c r="B1259" t="inlineStr">
        <is>
          <t>TECH US Equity</t>
        </is>
      </c>
      <c r="C1259" s="1" t="inlineStr">
        <is>
          <t>TECH</t>
        </is>
      </c>
      <c r="D1259" t="inlineStr">
        <is>
          <t>Bio-Techne Corp</t>
        </is>
      </c>
      <c r="E1259">
        <f>BDP($B1259,"LEGAL_ENTITY_IDENTIFIER")</f>
        <v/>
      </c>
      <c r="F1259" t="inlineStr">
        <is>
          <t>Bio-Techne Corp</t>
        </is>
      </c>
      <c r="G1259">
        <f>custodian!D1259</f>
        <v/>
      </c>
      <c r="H1259">
        <f>BDP($B1259,"ID_ISIN")</f>
        <v/>
      </c>
      <c r="I1259" s="1" t="inlineStr">
        <is>
          <t>TECH</t>
        </is>
      </c>
      <c r="J1259">
        <f>BDP($B1259,"CNTRY_OF_DOMICILE")</f>
        <v/>
      </c>
      <c r="K1259" t="inlineStr">
        <is>
          <t>EC</t>
        </is>
      </c>
      <c r="L1259" t="inlineStr">
        <is>
          <t>CORP</t>
        </is>
      </c>
      <c r="M1259" t="inlineStr"/>
      <c r="N1259" t="inlineStr"/>
      <c r="O1259" s="1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s="1" t="inlineStr"/>
      <c r="AR1259" s="1" t="inlineStr"/>
      <c r="AS1259" s="1" t="inlineStr"/>
      <c r="AT1259" t="inlineStr"/>
      <c r="AU1259" t="inlineStr"/>
      <c r="AV1259" t="inlineStr"/>
      <c r="AW1259" t="inlineStr"/>
      <c r="AX1259" t="inlineStr"/>
      <c r="AY1259" t="inlineStr"/>
    </row>
    <row r="1260">
      <c r="A1260" t="inlineStr">
        <is>
          <t>GNMX</t>
        </is>
      </c>
      <c r="B1260" t="inlineStr">
        <is>
          <t>TEM US Equity</t>
        </is>
      </c>
      <c r="C1260" s="1" t="inlineStr">
        <is>
          <t>TEM</t>
        </is>
      </c>
      <c r="D1260" t="inlineStr">
        <is>
          <t>Tempus AI Inc</t>
        </is>
      </c>
      <c r="E1260">
        <f>BDP($B1260,"LEGAL_ENTITY_IDENTIFIER")</f>
        <v/>
      </c>
      <c r="F1260" t="inlineStr">
        <is>
          <t>Tempus AI Inc</t>
        </is>
      </c>
      <c r="G1260">
        <f>custodian!D1260</f>
        <v/>
      </c>
      <c r="H1260">
        <f>BDP($B1260,"ID_ISIN")</f>
        <v/>
      </c>
      <c r="I1260" s="1" t="inlineStr">
        <is>
          <t>TEM</t>
        </is>
      </c>
      <c r="J1260">
        <f>BDP($B1260,"CNTRY_OF_DOMICILE")</f>
        <v/>
      </c>
      <c r="K1260" t="inlineStr">
        <is>
          <t>EC</t>
        </is>
      </c>
      <c r="L1260" t="inlineStr">
        <is>
          <t>CORP</t>
        </is>
      </c>
      <c r="M1260" t="inlineStr"/>
      <c r="N1260" t="inlineStr"/>
      <c r="O1260" s="1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s="1" t="inlineStr"/>
      <c r="AR1260" s="1" t="inlineStr"/>
      <c r="AS1260" s="1" t="inlineStr"/>
      <c r="AT1260" t="inlineStr"/>
      <c r="AU1260" t="inlineStr"/>
      <c r="AV1260" t="inlineStr"/>
      <c r="AW1260" t="inlineStr"/>
      <c r="AX1260" t="inlineStr"/>
      <c r="AY1260" t="inlineStr"/>
    </row>
    <row r="1261">
      <c r="A1261" t="inlineStr">
        <is>
          <t>GNMX</t>
        </is>
      </c>
      <c r="B1261" t="inlineStr">
        <is>
          <t>TMO US Equity</t>
        </is>
      </c>
      <c r="C1261" s="1" t="inlineStr">
        <is>
          <t>TMO</t>
        </is>
      </c>
      <c r="D1261" t="inlineStr">
        <is>
          <t>Thermo Fisher Scientific Inc</t>
        </is>
      </c>
      <c r="E1261">
        <f>BDP($B1261,"LEGAL_ENTITY_IDENTIFIER")</f>
        <v/>
      </c>
      <c r="F1261" t="inlineStr">
        <is>
          <t>Thermo Fisher Scientific Inc</t>
        </is>
      </c>
      <c r="G1261">
        <f>custodian!D1261</f>
        <v/>
      </c>
      <c r="H1261">
        <f>BDP($B1261,"ID_ISIN")</f>
        <v/>
      </c>
      <c r="I1261" s="1" t="inlineStr">
        <is>
          <t>TMO</t>
        </is>
      </c>
      <c r="J1261">
        <f>BDP($B1261,"CNTRY_OF_DOMICILE")</f>
        <v/>
      </c>
      <c r="K1261" t="inlineStr">
        <is>
          <t>EC</t>
        </is>
      </c>
      <c r="L1261" t="inlineStr">
        <is>
          <t>CORP</t>
        </is>
      </c>
      <c r="M1261" t="inlineStr"/>
      <c r="N1261" t="inlineStr"/>
      <c r="O1261" s="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s="1" t="inlineStr"/>
      <c r="AR1261" s="1" t="inlineStr"/>
      <c r="AS1261" s="1" t="inlineStr"/>
      <c r="AT1261" t="inlineStr"/>
      <c r="AU1261" t="inlineStr"/>
      <c r="AV1261" t="inlineStr"/>
      <c r="AW1261" t="inlineStr"/>
      <c r="AX1261" t="inlineStr"/>
      <c r="AY1261" t="inlineStr"/>
    </row>
    <row r="1262">
      <c r="A1262" t="inlineStr">
        <is>
          <t>GNMX</t>
        </is>
      </c>
      <c r="B1262" t="inlineStr">
        <is>
          <t>TWST US Equity</t>
        </is>
      </c>
      <c r="C1262" s="1" t="inlineStr">
        <is>
          <t>TWST</t>
        </is>
      </c>
      <c r="D1262" t="inlineStr">
        <is>
          <t>Twist Bioscience Corp</t>
        </is>
      </c>
      <c r="E1262">
        <f>BDP($B1262,"LEGAL_ENTITY_IDENTIFIER")</f>
        <v/>
      </c>
      <c r="F1262" t="inlineStr">
        <is>
          <t>Twist Bioscience Corp</t>
        </is>
      </c>
      <c r="G1262">
        <f>custodian!D1262</f>
        <v/>
      </c>
      <c r="H1262">
        <f>BDP($B1262,"ID_ISIN")</f>
        <v/>
      </c>
      <c r="I1262" s="1" t="inlineStr">
        <is>
          <t>TWST</t>
        </is>
      </c>
      <c r="J1262">
        <f>BDP($B1262,"CNTRY_OF_DOMICILE")</f>
        <v/>
      </c>
      <c r="K1262" t="inlineStr">
        <is>
          <t>EC</t>
        </is>
      </c>
      <c r="L1262" t="inlineStr">
        <is>
          <t>CORP</t>
        </is>
      </c>
      <c r="M1262" t="inlineStr"/>
      <c r="N1262" t="inlineStr"/>
      <c r="O1262" s="1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s="1" t="inlineStr"/>
      <c r="AR1262" s="1" t="inlineStr"/>
      <c r="AS1262" s="1" t="inlineStr"/>
      <c r="AT1262" t="inlineStr"/>
      <c r="AU1262" t="inlineStr"/>
      <c r="AV1262" t="inlineStr"/>
      <c r="AW1262" t="inlineStr"/>
      <c r="AX1262" t="inlineStr"/>
      <c r="AY1262" t="inlineStr"/>
    </row>
    <row r="1263">
      <c r="A1263" t="inlineStr">
        <is>
          <t>GNMX</t>
        </is>
      </c>
      <c r="B1263" t="inlineStr">
        <is>
          <t>TXG US Equity</t>
        </is>
      </c>
      <c r="C1263" s="1" t="inlineStr">
        <is>
          <t>TXG</t>
        </is>
      </c>
      <c r="D1263" t="inlineStr">
        <is>
          <t>10X Genomics Inc</t>
        </is>
      </c>
      <c r="E1263">
        <f>BDP($B1263,"LEGAL_ENTITY_IDENTIFIER")</f>
        <v/>
      </c>
      <c r="F1263" t="inlineStr">
        <is>
          <t>10X Genomics Inc</t>
        </is>
      </c>
      <c r="G1263">
        <f>custodian!D1263</f>
        <v/>
      </c>
      <c r="H1263">
        <f>BDP($B1263,"ID_ISIN")</f>
        <v/>
      </c>
      <c r="I1263" s="1" t="inlineStr">
        <is>
          <t>TXG</t>
        </is>
      </c>
      <c r="J1263">
        <f>BDP($B1263,"CNTRY_OF_DOMICILE")</f>
        <v/>
      </c>
      <c r="K1263" t="inlineStr">
        <is>
          <t>EC</t>
        </is>
      </c>
      <c r="L1263" t="inlineStr">
        <is>
          <t>CORP</t>
        </is>
      </c>
      <c r="M1263" t="inlineStr"/>
      <c r="N1263" t="inlineStr"/>
      <c r="O1263" s="1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s="1" t="inlineStr"/>
      <c r="AR1263" s="1" t="inlineStr"/>
      <c r="AS1263" s="1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GNMX</t>
        </is>
      </c>
      <c r="B1264" t="inlineStr">
        <is>
          <t>VCYT US Equity</t>
        </is>
      </c>
      <c r="C1264" s="1" t="inlineStr">
        <is>
          <t>VCYT</t>
        </is>
      </c>
      <c r="D1264" t="inlineStr">
        <is>
          <t>Veracyte Inc</t>
        </is>
      </c>
      <c r="E1264">
        <f>BDP($B1264,"LEGAL_ENTITY_IDENTIFIER")</f>
        <v/>
      </c>
      <c r="F1264" t="inlineStr">
        <is>
          <t>Veracyte Inc</t>
        </is>
      </c>
      <c r="G1264">
        <f>custodian!D1264</f>
        <v/>
      </c>
      <c r="H1264">
        <f>BDP($B1264,"ID_ISIN")</f>
        <v/>
      </c>
      <c r="I1264" s="1" t="inlineStr">
        <is>
          <t>VCYT</t>
        </is>
      </c>
      <c r="J1264">
        <f>BDP($B1264,"CNTRY_OF_DOMICILE")</f>
        <v/>
      </c>
      <c r="K1264" t="inlineStr">
        <is>
          <t>EC</t>
        </is>
      </c>
      <c r="L1264" t="inlineStr">
        <is>
          <t>CORP</t>
        </is>
      </c>
      <c r="M1264" t="inlineStr"/>
      <c r="N1264" t="inlineStr"/>
      <c r="O1264" s="1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s="1" t="inlineStr"/>
      <c r="AR1264" s="1" t="inlineStr"/>
      <c r="AS1264" s="1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GNMX</t>
        </is>
      </c>
      <c r="B1265" t="inlineStr">
        <is>
          <t>VRTX US Equity</t>
        </is>
      </c>
      <c r="C1265" s="1" t="inlineStr">
        <is>
          <t>VRTX</t>
        </is>
      </c>
      <c r="D1265" t="inlineStr">
        <is>
          <t>Vertex Pharmaceuticals Inc</t>
        </is>
      </c>
      <c r="E1265">
        <f>BDP($B1265,"LEGAL_ENTITY_IDENTIFIER")</f>
        <v/>
      </c>
      <c r="F1265" t="inlineStr">
        <is>
          <t>Vertex Pharmaceuticals Inc</t>
        </is>
      </c>
      <c r="G1265">
        <f>custodian!D1265</f>
        <v/>
      </c>
      <c r="H1265">
        <f>BDP($B1265,"ID_ISIN")</f>
        <v/>
      </c>
      <c r="I1265" s="1" t="inlineStr">
        <is>
          <t>VRTX</t>
        </is>
      </c>
      <c r="J1265">
        <f>BDP($B1265,"CNTRY_OF_DOMICILE")</f>
        <v/>
      </c>
      <c r="K1265" t="inlineStr">
        <is>
          <t>EC</t>
        </is>
      </c>
      <c r="L1265" t="inlineStr">
        <is>
          <t>CORP</t>
        </is>
      </c>
      <c r="M1265" t="inlineStr"/>
      <c r="N1265" t="inlineStr"/>
      <c r="O1265" s="1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s="1" t="inlineStr"/>
      <c r="AR1265" s="1" t="inlineStr"/>
      <c r="AS1265" s="1" t="inlineStr"/>
      <c r="AT1265" t="inlineStr"/>
      <c r="AU1265" t="inlineStr"/>
      <c r="AV1265" t="inlineStr"/>
      <c r="AW1265" t="inlineStr"/>
      <c r="AX1265" t="inlineStr"/>
      <c r="AY1265" t="inlineStr"/>
    </row>
    <row r="1266">
      <c r="A1266" t="inlineStr">
        <is>
          <t>GNMX</t>
        </is>
      </c>
      <c r="B1266" t="inlineStr">
        <is>
          <t>WGS US Equity</t>
        </is>
      </c>
      <c r="C1266" s="1" t="inlineStr">
        <is>
          <t>WGS</t>
        </is>
      </c>
      <c r="D1266" t="inlineStr">
        <is>
          <t>GeneDx Holdings Corp</t>
        </is>
      </c>
      <c r="E1266">
        <f>BDP($B1266,"LEGAL_ENTITY_IDENTIFIER")</f>
        <v/>
      </c>
      <c r="F1266" t="inlineStr">
        <is>
          <t>GeneDx Holdings Corp</t>
        </is>
      </c>
      <c r="G1266">
        <f>custodian!D1266</f>
        <v/>
      </c>
      <c r="H1266">
        <f>BDP($B1266,"ID_ISIN")</f>
        <v/>
      </c>
      <c r="I1266" s="1" t="inlineStr">
        <is>
          <t>WGS</t>
        </is>
      </c>
      <c r="J1266">
        <f>BDP($B1266,"CNTRY_OF_DOMICILE")</f>
        <v/>
      </c>
      <c r="K1266" t="inlineStr">
        <is>
          <t>EC</t>
        </is>
      </c>
      <c r="L1266" t="inlineStr">
        <is>
          <t>CORP</t>
        </is>
      </c>
      <c r="M1266" t="inlineStr"/>
      <c r="N1266" t="inlineStr"/>
      <c r="O1266" s="1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s="1" t="inlineStr"/>
      <c r="AR1266" s="1" t="inlineStr"/>
      <c r="AS1266" s="1" t="inlineStr"/>
      <c r="AT1266" t="inlineStr"/>
      <c r="AU1266" t="inlineStr"/>
      <c r="AV1266" t="inlineStr"/>
      <c r="AW1266" t="inlineStr"/>
      <c r="AX1266" t="inlineStr"/>
      <c r="AY1266" t="inlineStr"/>
    </row>
    <row r="1267">
      <c r="A1267" t="inlineStr">
        <is>
          <t>GNMX</t>
        </is>
      </c>
      <c r="B1267" t="inlineStr"/>
      <c r="C1267" s="1" t="inlineStr">
        <is>
          <t>Cash&amp;Other</t>
        </is>
      </c>
      <c r="D1267" t="inlineStr"/>
      <c r="E1267" s="1" t="inlineStr"/>
      <c r="F1267" t="inlineStr"/>
      <c r="G1267">
        <f>custodian!D1267</f>
        <v/>
      </c>
      <c r="H1267" s="1" t="inlineStr"/>
      <c r="I1267" s="1" t="inlineStr"/>
      <c r="J1267" t="inlineStr"/>
      <c r="K1267" t="inlineStr"/>
      <c r="L1267" t="inlineStr"/>
      <c r="M1267" t="inlineStr"/>
      <c r="N1267" t="inlineStr"/>
      <c r="O1267" s="1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s="1" t="inlineStr"/>
      <c r="AR1267" s="1" t="inlineStr"/>
      <c r="AS1267" s="1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HJUN</t>
        </is>
      </c>
      <c r="B1268" t="inlineStr"/>
      <c r="C1268" s="1" t="inlineStr">
        <is>
          <t>2SPY  270528C00151710</t>
        </is>
      </c>
      <c r="D1268" t="inlineStr">
        <is>
          <t>SPY 05/28/2027 151.71 C</t>
        </is>
      </c>
      <c r="E1268" s="1" t="inlineStr">
        <is>
          <t>N/A</t>
        </is>
      </c>
      <c r="F1268" t="inlineStr">
        <is>
          <t>SPY 05/28/2027 151.71 C</t>
        </is>
      </c>
      <c r="G1268">
        <f>custodian!D1268</f>
        <v/>
      </c>
      <c r="H1268" s="1" t="inlineStr"/>
      <c r="I1268" s="1" t="inlineStr">
        <is>
          <t>SPY-C151.71-20270528</t>
        </is>
      </c>
      <c r="J1268" t="inlineStr">
        <is>
          <t>US</t>
        </is>
      </c>
      <c r="K1268" t="inlineStr">
        <is>
          <t>DE</t>
        </is>
      </c>
      <c r="L1268" t="inlineStr">
        <is>
          <t>CORP</t>
        </is>
      </c>
      <c r="M1268" t="inlineStr">
        <is>
          <t>OPT</t>
        </is>
      </c>
      <c r="N1268" t="inlineStr">
        <is>
          <t>The Options Clearing Corporation</t>
        </is>
      </c>
      <c r="O1268" s="1" t="inlineStr">
        <is>
          <t>549300CII6SLYGKNHA04</t>
        </is>
      </c>
      <c r="P1268" t="inlineStr">
        <is>
          <t>Call</t>
        </is>
      </c>
      <c r="Q1268" t="inlineStr">
        <is>
          <t>Purchased</t>
        </is>
      </c>
      <c r="R1268" t="inlineStr">
        <is>
          <t>151.71</t>
        </is>
      </c>
      <c r="S1268" t="inlineStr">
        <is>
          <t>USD</t>
        </is>
      </c>
      <c r="T1268" t="inlineStr">
        <is>
          <t>2027-05-28</t>
        </is>
      </c>
      <c r="U1268" t="inlineStr">
        <is>
          <t>N/A</t>
        </is>
      </c>
      <c r="V1268" t="inlineStr">
        <is>
          <t>indexBasket</t>
        </is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-29066.42</t>
        </is>
      </c>
      <c r="AD1268" t="inlineStr">
        <is>
          <t>1057881.99</t>
        </is>
      </c>
      <c r="AE1268" t="inlineStr">
        <is>
          <t>77.12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s="1" t="inlineStr"/>
      <c r="AR1268" s="1" t="inlineStr"/>
      <c r="AS1268" s="1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HJUN</t>
        </is>
      </c>
      <c r="B1269" t="inlineStr"/>
      <c r="C1269" s="1" t="inlineStr">
        <is>
          <t>2SPY  270528C00819680</t>
        </is>
      </c>
      <c r="D1269" t="inlineStr">
        <is>
          <t>SPY 05/28/2027 819.68 C</t>
        </is>
      </c>
      <c r="E1269" s="1" t="inlineStr">
        <is>
          <t>N/A</t>
        </is>
      </c>
      <c r="F1269" t="inlineStr">
        <is>
          <t>SPY 05/28/2027 819.68 C</t>
        </is>
      </c>
      <c r="G1269">
        <f>custodian!D1269</f>
        <v/>
      </c>
      <c r="H1269" s="1" t="inlineStr"/>
      <c r="I1269" s="1" t="inlineStr">
        <is>
          <t>SPY-C819.68-20270528</t>
        </is>
      </c>
      <c r="J1269" t="inlineStr">
        <is>
          <t>US</t>
        </is>
      </c>
      <c r="K1269" t="inlineStr">
        <is>
          <t>DE</t>
        </is>
      </c>
      <c r="L1269" t="inlineStr">
        <is>
          <t>CORP</t>
        </is>
      </c>
      <c r="M1269" t="inlineStr">
        <is>
          <t>OPT</t>
        </is>
      </c>
      <c r="N1269" t="inlineStr">
        <is>
          <t>The Options Clearing Corporation</t>
        </is>
      </c>
      <c r="O1269" s="1" t="inlineStr">
        <is>
          <t>549300CII6SLYGKNHA04</t>
        </is>
      </c>
      <c r="P1269" t="inlineStr">
        <is>
          <t>Call</t>
        </is>
      </c>
      <c r="Q1269" t="inlineStr">
        <is>
          <t>Written</t>
        </is>
      </c>
      <c r="R1269" t="inlineStr">
        <is>
          <t>819.68</t>
        </is>
      </c>
      <c r="S1269" t="inlineStr">
        <is>
          <t>USD</t>
        </is>
      </c>
      <c r="T1269" t="inlineStr">
        <is>
          <t>2027-05-28</t>
        </is>
      </c>
      <c r="U1269" t="inlineStr">
        <is>
          <t>N/A</t>
        </is>
      </c>
      <c r="V1269" t="inlineStr">
        <is>
          <t>indexBasket</t>
        </is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19787.62</t>
        </is>
      </c>
      <c r="AD1269" t="inlineStr">
        <is>
          <t>-39163.71</t>
        </is>
      </c>
      <c r="AE1269" t="inlineStr">
        <is>
          <t>-2.85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s="1" t="inlineStr"/>
      <c r="AR1269" s="1" t="inlineStr"/>
      <c r="AS1269" s="1" t="inlineStr"/>
      <c r="AT1269" t="inlineStr"/>
      <c r="AU1269" t="inlineStr"/>
      <c r="AV1269" t="inlineStr"/>
      <c r="AW1269" t="inlineStr"/>
      <c r="AX1269" t="inlineStr"/>
      <c r="AY1269" t="inlineStr"/>
    </row>
    <row r="1270">
      <c r="A1270" t="inlineStr">
        <is>
          <t>HJUN</t>
        </is>
      </c>
      <c r="B1270" t="inlineStr"/>
      <c r="C1270" s="1" t="inlineStr">
        <is>
          <t>2SPY  270528P00758540</t>
        </is>
      </c>
      <c r="D1270" t="inlineStr">
        <is>
          <t>SPY 05/28/2027 758.54 P</t>
        </is>
      </c>
      <c r="E1270" s="1" t="inlineStr">
        <is>
          <t>N/A</t>
        </is>
      </c>
      <c r="F1270" t="inlineStr">
        <is>
          <t>SPY 05/28/2027 758.54 P</t>
        </is>
      </c>
      <c r="G1270">
        <f>custodian!D1270</f>
        <v/>
      </c>
      <c r="H1270" s="1" t="inlineStr"/>
      <c r="I1270" s="1" t="inlineStr">
        <is>
          <t>SPY-P758.54-20270528</t>
        </is>
      </c>
      <c r="J1270" t="inlineStr">
        <is>
          <t>US</t>
        </is>
      </c>
      <c r="K1270" t="inlineStr">
        <is>
          <t>DE</t>
        </is>
      </c>
      <c r="L1270" t="inlineStr">
        <is>
          <t>CORP</t>
        </is>
      </c>
      <c r="M1270" t="inlineStr">
        <is>
          <t>OPT</t>
        </is>
      </c>
      <c r="N1270" t="inlineStr">
        <is>
          <t>The Options Clearing Corporation</t>
        </is>
      </c>
      <c r="O1270" s="1" t="inlineStr">
        <is>
          <t>549300CII6SLYGKNHA04</t>
        </is>
      </c>
      <c r="P1270" t="inlineStr">
        <is>
          <t>Put</t>
        </is>
      </c>
      <c r="Q1270" t="inlineStr">
        <is>
          <t>Purchased</t>
        </is>
      </c>
      <c r="R1270" t="inlineStr">
        <is>
          <t>758.54</t>
        </is>
      </c>
      <c r="S1270" t="inlineStr">
        <is>
          <t>USD</t>
        </is>
      </c>
      <c r="T1270" t="inlineStr">
        <is>
          <t>2027-05-28</t>
        </is>
      </c>
      <c r="U1270" t="inlineStr">
        <is>
          <t>N/A</t>
        </is>
      </c>
      <c r="V1270" t="inlineStr">
        <is>
          <t>indexBasket</t>
        </is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6600.69</t>
        </is>
      </c>
      <c r="AD1270" t="inlineStr">
        <is>
          <t>86069.10</t>
        </is>
      </c>
      <c r="AE1270" t="inlineStr">
        <is>
          <t>6.27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s="1" t="inlineStr"/>
      <c r="AR1270" s="1" t="inlineStr"/>
      <c r="AS1270" s="1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HJUN</t>
        </is>
      </c>
      <c r="B1271" t="inlineStr">
        <is>
          <t>912828ZS2 Govt</t>
        </is>
      </c>
      <c r="C1271" s="1" t="inlineStr">
        <is>
          <t>912828ZS2</t>
        </is>
      </c>
      <c r="D1271" t="inlineStr">
        <is>
          <t>United States Treasury Note/Bo</t>
        </is>
      </c>
      <c r="E1271">
        <f>BDP($B1271,"LEGAL_ENTITY_IDENTIFIER")</f>
        <v/>
      </c>
      <c r="F1271" t="inlineStr">
        <is>
          <t>United States Treasury Note/Bond 0.5% 05/31/2027</t>
        </is>
      </c>
      <c r="G1271">
        <f>custodian!D1271</f>
        <v/>
      </c>
      <c r="H1271">
        <f>BDP($B1271,"ID_ISIN")</f>
        <v/>
      </c>
      <c r="I1271" s="1" t="inlineStr"/>
      <c r="J1271">
        <f>BDP($B1271,"CNTRY_OF_DOMICILE")</f>
        <v/>
      </c>
      <c r="K1271" t="inlineStr">
        <is>
          <t>DBT</t>
        </is>
      </c>
      <c r="L1271" t="inlineStr">
        <is>
          <t>UST</t>
        </is>
      </c>
      <c r="M1271" t="inlineStr"/>
      <c r="N1271" t="inlineStr"/>
      <c r="O1271" s="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s="1" t="inlineStr"/>
      <c r="AR1271" s="1" t="inlineStr"/>
      <c r="AS1271" s="1" t="inlineStr"/>
      <c r="AT1271">
        <f>TEXT(BDP($B1271,"MATURITY"),"yyyy-mm-dd")</f>
        <v/>
      </c>
      <c r="AU1271">
        <f>BDP($B1271,"CPN_TYP")</f>
        <v/>
      </c>
      <c r="AV1271">
        <f>BDP($B1271,"CPN")</f>
        <v/>
      </c>
      <c r="AW1271" t="inlineStr"/>
      <c r="AX1271" t="inlineStr"/>
      <c r="AY1271" t="inlineStr"/>
    </row>
    <row r="1272">
      <c r="A1272" t="inlineStr">
        <is>
          <t>HJUN</t>
        </is>
      </c>
      <c r="B1272" t="inlineStr">
        <is>
          <t>FGXXX US Equity</t>
        </is>
      </c>
      <c r="C1272" s="1" t="inlineStr">
        <is>
          <t>FGXXX</t>
        </is>
      </c>
      <c r="D1272" t="inlineStr">
        <is>
          <t>First American Government Obli</t>
        </is>
      </c>
      <c r="E1272">
        <f>BDP($B1272,"LEGAL_ENTITY_IDENTIFIER")</f>
        <v/>
      </c>
      <c r="F1272" t="inlineStr">
        <is>
          <t>First American Government Obligations Fund</t>
        </is>
      </c>
      <c r="G1272">
        <f>custodian!D1272</f>
        <v/>
      </c>
      <c r="H1272">
        <f>BDP($B1272,"ID_ISIN")</f>
        <v/>
      </c>
      <c r="I1272" s="1" t="inlineStr">
        <is>
          <t>FGXXX</t>
        </is>
      </c>
      <c r="J1272">
        <f>BDP($B1272,"CNTRY_OF_DOMICILE")</f>
        <v/>
      </c>
      <c r="K1272" t="inlineStr">
        <is>
          <t>STIV</t>
        </is>
      </c>
      <c r="L1272" t="inlineStr">
        <is>
          <t>RF</t>
        </is>
      </c>
      <c r="M1272" t="inlineStr"/>
      <c r="N1272" t="inlineStr"/>
      <c r="O1272" s="1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s="1" t="inlineStr"/>
      <c r="AR1272" s="1" t="inlineStr"/>
      <c r="AS1272" s="1" t="inlineStr"/>
      <c r="AT1272" t="inlineStr"/>
      <c r="AU1272" t="inlineStr"/>
      <c r="AV1272" t="inlineStr"/>
      <c r="AW1272" t="inlineStr"/>
      <c r="AX1272" t="inlineStr"/>
      <c r="AY1272" t="inlineStr"/>
    </row>
    <row r="1273">
      <c r="A1273" t="inlineStr">
        <is>
          <t>HJUN</t>
        </is>
      </c>
      <c r="B1273" t="inlineStr"/>
      <c r="C1273" s="1" t="inlineStr">
        <is>
          <t>Cash&amp;Other</t>
        </is>
      </c>
      <c r="D1273" t="inlineStr"/>
      <c r="E1273" s="1" t="inlineStr"/>
      <c r="F1273" t="inlineStr"/>
      <c r="G1273">
        <f>custodian!D1273</f>
        <v/>
      </c>
      <c r="H1273" s="1" t="inlineStr"/>
      <c r="I1273" s="1" t="inlineStr"/>
      <c r="J1273" t="inlineStr"/>
      <c r="K1273" t="inlineStr"/>
      <c r="L1273" t="inlineStr"/>
      <c r="M1273" t="inlineStr"/>
      <c r="N1273" t="inlineStr"/>
      <c r="O1273" s="1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s="1" t="inlineStr"/>
      <c r="AR1273" s="1" t="inlineStr"/>
      <c r="AS1273" s="1" t="inlineStr"/>
      <c r="AT1273" t="inlineStr"/>
      <c r="AU1273" t="inlineStr"/>
      <c r="AV1273" t="inlineStr"/>
      <c r="AW1273" t="inlineStr"/>
      <c r="AX1273" t="inlineStr"/>
      <c r="AY1273" t="inlineStr"/>
    </row>
    <row r="1274">
      <c r="A1274" t="inlineStr">
        <is>
          <t>HMAY</t>
        </is>
      </c>
      <c r="B1274" t="inlineStr"/>
      <c r="C1274" s="1" t="inlineStr">
        <is>
          <t>2SPY  270430C00144740</t>
        </is>
      </c>
      <c r="D1274" t="inlineStr">
        <is>
          <t>SPY 04/30/2027 144.74 C</t>
        </is>
      </c>
      <c r="E1274" s="1" t="inlineStr">
        <is>
          <t>N/A</t>
        </is>
      </c>
      <c r="F1274" t="inlineStr">
        <is>
          <t>SPY 04/30/2027 144.74 C</t>
        </is>
      </c>
      <c r="G1274">
        <f>custodian!D1274</f>
        <v/>
      </c>
      <c r="H1274" s="1" t="inlineStr"/>
      <c r="I1274" s="1" t="inlineStr">
        <is>
          <t>SPY-C144.74-20270430</t>
        </is>
      </c>
      <c r="J1274" t="inlineStr">
        <is>
          <t>US</t>
        </is>
      </c>
      <c r="K1274" t="inlineStr">
        <is>
          <t>DE</t>
        </is>
      </c>
      <c r="L1274" t="inlineStr">
        <is>
          <t>CORP</t>
        </is>
      </c>
      <c r="M1274" t="inlineStr">
        <is>
          <t>OPT</t>
        </is>
      </c>
      <c r="N1274" t="inlineStr">
        <is>
          <t>The Options Clearing Corporation</t>
        </is>
      </c>
      <c r="O1274" s="1" t="inlineStr">
        <is>
          <t>549300CII6SLYGKNHA04</t>
        </is>
      </c>
      <c r="P1274" t="inlineStr">
        <is>
          <t>Call</t>
        </is>
      </c>
      <c r="Q1274" t="inlineStr">
        <is>
          <t>Purchased</t>
        </is>
      </c>
      <c r="R1274" t="inlineStr">
        <is>
          <t>144.74</t>
        </is>
      </c>
      <c r="S1274" t="inlineStr">
        <is>
          <t>USD</t>
        </is>
      </c>
      <c r="T1274" t="inlineStr">
        <is>
          <t>2027-04-30</t>
        </is>
      </c>
      <c r="U1274" t="inlineStr">
        <is>
          <t>N/A</t>
        </is>
      </c>
      <c r="V1274" t="inlineStr">
        <is>
          <t>indexBasket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35072.73</t>
        </is>
      </c>
      <c r="AD1274" t="inlineStr">
        <is>
          <t>3855864.93</t>
        </is>
      </c>
      <c r="AE1274" t="inlineStr">
        <is>
          <t>80.41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s="1" t="inlineStr"/>
      <c r="AR1274" s="1" t="inlineStr"/>
      <c r="AS1274" s="1" t="inlineStr"/>
      <c r="AT1274" t="inlineStr"/>
      <c r="AU1274" t="inlineStr"/>
      <c r="AV1274" t="inlineStr"/>
      <c r="AW1274" t="inlineStr"/>
      <c r="AX1274" t="inlineStr"/>
      <c r="AY1274" t="inlineStr"/>
    </row>
    <row r="1275">
      <c r="A1275" t="inlineStr">
        <is>
          <t>HMAY</t>
        </is>
      </c>
      <c r="B1275" t="inlineStr"/>
      <c r="C1275" s="1" t="inlineStr">
        <is>
          <t>2SPY  270430C00770750</t>
        </is>
      </c>
      <c r="D1275" t="inlineStr">
        <is>
          <t>SPY 04/30/2027 770.75 C</t>
        </is>
      </c>
      <c r="E1275" s="1" t="inlineStr">
        <is>
          <t>N/A</t>
        </is>
      </c>
      <c r="F1275" t="inlineStr">
        <is>
          <t>SPY 04/30/2027 770.75 C</t>
        </is>
      </c>
      <c r="G1275">
        <f>custodian!D1275</f>
        <v/>
      </c>
      <c r="H1275" s="1" t="inlineStr"/>
      <c r="I1275" s="1" t="inlineStr">
        <is>
          <t>SPY-C770.75-20270430</t>
        </is>
      </c>
      <c r="J1275" t="inlineStr">
        <is>
          <t>US</t>
        </is>
      </c>
      <c r="K1275" t="inlineStr">
        <is>
          <t>DE</t>
        </is>
      </c>
      <c r="L1275" t="inlineStr">
        <is>
          <t>CORP</t>
        </is>
      </c>
      <c r="M1275" t="inlineStr">
        <is>
          <t>OPT</t>
        </is>
      </c>
      <c r="N1275" t="inlineStr">
        <is>
          <t>The Options Clearing Corporation</t>
        </is>
      </c>
      <c r="O1275" s="1" t="inlineStr">
        <is>
          <t>549300CII6SLYGKNHA04</t>
        </is>
      </c>
      <c r="P1275" t="inlineStr">
        <is>
          <t>Call</t>
        </is>
      </c>
      <c r="Q1275" t="inlineStr">
        <is>
          <t>Written</t>
        </is>
      </c>
      <c r="R1275" t="inlineStr">
        <is>
          <t>770.75</t>
        </is>
      </c>
      <c r="S1275" t="inlineStr">
        <is>
          <t>USD</t>
        </is>
      </c>
      <c r="T1275" t="inlineStr">
        <is>
          <t>2027-04-30</t>
        </is>
      </c>
      <c r="U1275" t="inlineStr">
        <is>
          <t>N/A</t>
        </is>
      </c>
      <c r="V1275" t="inlineStr">
        <is>
          <t>indexBasket</t>
        </is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20503.71</t>
        </is>
      </c>
      <c r="AD1275" t="inlineStr">
        <is>
          <t>-257058.70</t>
        </is>
      </c>
      <c r="AE1275" t="inlineStr">
        <is>
          <t>-5.36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s="1" t="inlineStr"/>
      <c r="AR1275" s="1" t="inlineStr"/>
      <c r="AS1275" s="1" t="inlineStr"/>
      <c r="AT1275" t="inlineStr"/>
      <c r="AU1275" t="inlineStr"/>
      <c r="AV1275" t="inlineStr"/>
      <c r="AW1275" t="inlineStr"/>
      <c r="AX1275" t="inlineStr"/>
      <c r="AY1275" t="inlineStr"/>
    </row>
    <row r="1276">
      <c r="A1276" t="inlineStr">
        <is>
          <t>HMAY</t>
        </is>
      </c>
      <c r="B1276" t="inlineStr"/>
      <c r="C1276" s="1" t="inlineStr">
        <is>
          <t>2SPY  270430P00723710</t>
        </is>
      </c>
      <c r="D1276" t="inlineStr">
        <is>
          <t>SPY 04/30/2027 723.71 P</t>
        </is>
      </c>
      <c r="E1276" s="1" t="inlineStr">
        <is>
          <t>N/A</t>
        </is>
      </c>
      <c r="F1276" t="inlineStr">
        <is>
          <t>SPY 04/30/2027 723.71 P</t>
        </is>
      </c>
      <c r="G1276">
        <f>custodian!D1276</f>
        <v/>
      </c>
      <c r="H1276" s="1" t="inlineStr"/>
      <c r="I1276" s="1" t="inlineStr">
        <is>
          <t>SPY-P723.71-20270430</t>
        </is>
      </c>
      <c r="J1276" t="inlineStr">
        <is>
          <t>US</t>
        </is>
      </c>
      <c r="K1276" t="inlineStr">
        <is>
          <t>DE</t>
        </is>
      </c>
      <c r="L1276" t="inlineStr">
        <is>
          <t>CORP</t>
        </is>
      </c>
      <c r="M1276" t="inlineStr">
        <is>
          <t>OPT</t>
        </is>
      </c>
      <c r="N1276" t="inlineStr">
        <is>
          <t>The Options Clearing Corporation</t>
        </is>
      </c>
      <c r="O1276" s="1" t="inlineStr">
        <is>
          <t>549300CII6SLYGKNHA04</t>
        </is>
      </c>
      <c r="P1276" t="inlineStr">
        <is>
          <t>Put</t>
        </is>
      </c>
      <c r="Q1276" t="inlineStr">
        <is>
          <t>Purchased</t>
        </is>
      </c>
      <c r="R1276" t="inlineStr">
        <is>
          <t>723.71</t>
        </is>
      </c>
      <c r="S1276" t="inlineStr">
        <is>
          <t>USD</t>
        </is>
      </c>
      <c r="T1276" t="inlineStr">
        <is>
          <t>2027-04-30</t>
        </is>
      </c>
      <c r="U1276" t="inlineStr">
        <is>
          <t>N/A</t>
        </is>
      </c>
      <c r="V1276" t="inlineStr">
        <is>
          <t>indexBasket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-27265.33</t>
        </is>
      </c>
      <c r="AD1276" t="inlineStr">
        <is>
          <t>228548.03</t>
        </is>
      </c>
      <c r="AE1276" t="inlineStr">
        <is>
          <t>4.77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s="1" t="inlineStr"/>
      <c r="AR1276" s="1" t="inlineStr"/>
      <c r="AS1276" s="1" t="inlineStr"/>
      <c r="AT1276" t="inlineStr"/>
      <c r="AU1276" t="inlineStr"/>
      <c r="AV1276" t="inlineStr"/>
      <c r="AW1276" t="inlineStr"/>
      <c r="AX1276" t="inlineStr"/>
      <c r="AY1276" t="inlineStr"/>
    </row>
    <row r="1277">
      <c r="A1277" t="inlineStr">
        <is>
          <t>HMAY</t>
        </is>
      </c>
      <c r="B1277" t="inlineStr">
        <is>
          <t>91282CMY4 Govt</t>
        </is>
      </c>
      <c r="C1277" s="1" t="inlineStr">
        <is>
          <t>91282CMY4</t>
        </is>
      </c>
      <c r="D1277" t="inlineStr">
        <is>
          <t>United States Treasury Note/Bo</t>
        </is>
      </c>
      <c r="E1277">
        <f>BDP($B1277,"LEGAL_ENTITY_IDENTIFIER")</f>
        <v/>
      </c>
      <c r="F1277" t="inlineStr">
        <is>
          <t>United States Treasury Note/Bond 3.75% 04/30/2027</t>
        </is>
      </c>
      <c r="G1277">
        <f>custodian!D1277</f>
        <v/>
      </c>
      <c r="H1277">
        <f>BDP($B1277,"ID_ISIN")</f>
        <v/>
      </c>
      <c r="I1277" s="1" t="inlineStr"/>
      <c r="J1277">
        <f>BDP($B1277,"CNTRY_OF_DOMICILE")</f>
        <v/>
      </c>
      <c r="K1277" t="inlineStr">
        <is>
          <t>DBT</t>
        </is>
      </c>
      <c r="L1277" t="inlineStr">
        <is>
          <t>UST</t>
        </is>
      </c>
      <c r="M1277" t="inlineStr"/>
      <c r="N1277" t="inlineStr"/>
      <c r="O1277" s="1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s="1" t="inlineStr"/>
      <c r="AR1277" s="1" t="inlineStr"/>
      <c r="AS1277" s="1" t="inlineStr"/>
      <c r="AT1277">
        <f>TEXT(BDP($B1277,"MATURITY"),"yyyy-mm-dd")</f>
        <v/>
      </c>
      <c r="AU1277">
        <f>BDP($B1277,"CPN_TYP")</f>
        <v/>
      </c>
      <c r="AV1277">
        <f>BDP($B1277,"CPN")</f>
        <v/>
      </c>
      <c r="AW1277" t="inlineStr"/>
      <c r="AX1277" t="inlineStr"/>
      <c r="AY1277" t="inlineStr"/>
    </row>
    <row r="1278">
      <c r="A1278" t="inlineStr">
        <is>
          <t>HMAY</t>
        </is>
      </c>
      <c r="B1278" t="inlineStr">
        <is>
          <t>FGXXX US Equity</t>
        </is>
      </c>
      <c r="C1278" s="1" t="inlineStr">
        <is>
          <t>FGXXX</t>
        </is>
      </c>
      <c r="D1278" t="inlineStr">
        <is>
          <t>First American Government Obli</t>
        </is>
      </c>
      <c r="E1278">
        <f>BDP($B1278,"LEGAL_ENTITY_IDENTIFIER")</f>
        <v/>
      </c>
      <c r="F1278" t="inlineStr">
        <is>
          <t>First American Government Obligations Fund</t>
        </is>
      </c>
      <c r="G1278">
        <f>custodian!D1278</f>
        <v/>
      </c>
      <c r="H1278">
        <f>BDP($B1278,"ID_ISIN")</f>
        <v/>
      </c>
      <c r="I1278" s="1" t="inlineStr">
        <is>
          <t>FGXXX</t>
        </is>
      </c>
      <c r="J1278">
        <f>BDP($B1278,"CNTRY_OF_DOMICILE")</f>
        <v/>
      </c>
      <c r="K1278" t="inlineStr">
        <is>
          <t>STIV</t>
        </is>
      </c>
      <c r="L1278" t="inlineStr">
        <is>
          <t>RF</t>
        </is>
      </c>
      <c r="M1278" t="inlineStr"/>
      <c r="N1278" t="inlineStr"/>
      <c r="O1278" s="1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s="1" t="inlineStr"/>
      <c r="AR1278" s="1" t="inlineStr"/>
      <c r="AS1278" s="1" t="inlineStr"/>
      <c r="AT1278" t="inlineStr"/>
      <c r="AU1278" t="inlineStr"/>
      <c r="AV1278" t="inlineStr"/>
      <c r="AW1278" t="inlineStr"/>
      <c r="AX1278" t="inlineStr"/>
      <c r="AY1278" t="inlineStr"/>
    </row>
    <row r="1279">
      <c r="A1279" t="inlineStr">
        <is>
          <t>HMAY</t>
        </is>
      </c>
      <c r="B1279" t="inlineStr"/>
      <c r="C1279" s="1" t="inlineStr">
        <is>
          <t>Cash&amp;Other</t>
        </is>
      </c>
      <c r="D1279" t="inlineStr"/>
      <c r="E1279" s="1" t="inlineStr"/>
      <c r="F1279" t="inlineStr"/>
      <c r="G1279">
        <f>custodian!D1279</f>
        <v/>
      </c>
      <c r="H1279" s="1" t="inlineStr"/>
      <c r="I1279" s="1" t="inlineStr"/>
      <c r="J1279" t="inlineStr"/>
      <c r="K1279" t="inlineStr"/>
      <c r="L1279" t="inlineStr"/>
      <c r="M1279" t="inlineStr"/>
      <c r="N1279" t="inlineStr"/>
      <c r="O1279" s="1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s="1" t="inlineStr"/>
      <c r="AR1279" s="1" t="inlineStr"/>
      <c r="AS1279" s="1" t="inlineStr"/>
      <c r="AT1279" t="inlineStr"/>
      <c r="AU1279" t="inlineStr"/>
      <c r="AV1279" t="inlineStr"/>
      <c r="AW1279" t="inlineStr"/>
      <c r="AX1279" t="inlineStr"/>
      <c r="AY1279" t="inlineStr"/>
    </row>
    <row r="1280">
      <c r="A1280" t="inlineStr">
        <is>
          <t>HULL</t>
        </is>
      </c>
      <c r="B1280" t="inlineStr">
        <is>
          <t>AMZN US Equity</t>
        </is>
      </c>
      <c r="C1280" s="1" t="inlineStr">
        <is>
          <t>AMZN</t>
        </is>
      </c>
      <c r="D1280" t="inlineStr">
        <is>
          <t>Amazon.com Inc</t>
        </is>
      </c>
      <c r="E1280">
        <f>BDP($B1280,"LEGAL_ENTITY_IDENTIFIER")</f>
        <v/>
      </c>
      <c r="F1280" t="inlineStr">
        <is>
          <t>Amazon.com Inc</t>
        </is>
      </c>
      <c r="G1280">
        <f>custodian!D1280</f>
        <v/>
      </c>
      <c r="H1280">
        <f>BDP($B1280,"ID_ISIN")</f>
        <v/>
      </c>
      <c r="I1280" s="1" t="inlineStr">
        <is>
          <t>AMZN</t>
        </is>
      </c>
      <c r="J1280">
        <f>BDP($B1280,"CNTRY_OF_DOMICILE")</f>
        <v/>
      </c>
      <c r="K1280" t="inlineStr">
        <is>
          <t>EC</t>
        </is>
      </c>
      <c r="L1280" t="inlineStr">
        <is>
          <t>CORP</t>
        </is>
      </c>
      <c r="M1280" t="inlineStr"/>
      <c r="N1280" t="inlineStr"/>
      <c r="O1280" s="1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s="1" t="inlineStr"/>
      <c r="AR1280" s="1" t="inlineStr"/>
      <c r="AS1280" s="1" t="inlineStr"/>
      <c r="AT1280" t="inlineStr"/>
      <c r="AU1280" t="inlineStr"/>
      <c r="AV1280" t="inlineStr"/>
      <c r="AW1280" t="inlineStr"/>
      <c r="AX1280" t="inlineStr"/>
      <c r="AY1280" t="inlineStr"/>
    </row>
    <row r="1281">
      <c r="A1281" t="inlineStr">
        <is>
          <t>HULL</t>
        </is>
      </c>
      <c r="B1281" t="inlineStr">
        <is>
          <t>ASC US Equity</t>
        </is>
      </c>
      <c r="C1281" s="1" t="inlineStr">
        <is>
          <t>ASC</t>
        </is>
      </c>
      <c r="D1281" t="inlineStr">
        <is>
          <t>Ardmore Shipping Corp</t>
        </is>
      </c>
      <c r="E1281">
        <f>BDP($B1281,"LEGAL_ENTITY_IDENTIFIER")</f>
        <v/>
      </c>
      <c r="F1281" t="inlineStr">
        <is>
          <t>Ardmore Shipping Corp</t>
        </is>
      </c>
      <c r="G1281">
        <f>custodian!D1281</f>
        <v/>
      </c>
      <c r="H1281">
        <f>BDP($B1281,"ID_ISIN")</f>
        <v/>
      </c>
      <c r="I1281" s="1" t="inlineStr">
        <is>
          <t>ASC</t>
        </is>
      </c>
      <c r="J1281">
        <f>BDP($B1281,"CNTRY_OF_DOMICILE")</f>
        <v/>
      </c>
      <c r="K1281" t="inlineStr">
        <is>
          <t>EC</t>
        </is>
      </c>
      <c r="L1281" t="inlineStr">
        <is>
          <t>CORP</t>
        </is>
      </c>
      <c r="M1281" t="inlineStr"/>
      <c r="N1281" t="inlineStr"/>
      <c r="O1281" s="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s="1" t="inlineStr"/>
      <c r="AR1281" s="1" t="inlineStr"/>
      <c r="AS1281" s="1" t="inlineStr"/>
      <c r="AT1281" t="inlineStr"/>
      <c r="AU1281" t="inlineStr"/>
      <c r="AV1281" t="inlineStr"/>
      <c r="AW1281" t="inlineStr"/>
      <c r="AX1281" t="inlineStr"/>
      <c r="AY1281" t="inlineStr"/>
    </row>
    <row r="1282">
      <c r="A1282" t="inlineStr">
        <is>
          <t>HULL</t>
        </is>
      </c>
      <c r="B1282" t="inlineStr">
        <is>
          <t>CHRW US Equity</t>
        </is>
      </c>
      <c r="C1282" s="1" t="inlineStr">
        <is>
          <t>CHRW</t>
        </is>
      </c>
      <c r="D1282" t="inlineStr">
        <is>
          <t>CH Robinson Worldwide Inc</t>
        </is>
      </c>
      <c r="E1282">
        <f>BDP($B1282,"LEGAL_ENTITY_IDENTIFIER")</f>
        <v/>
      </c>
      <c r="F1282" t="inlineStr">
        <is>
          <t>CH Robinson Worldwide Inc</t>
        </is>
      </c>
      <c r="G1282">
        <f>custodian!D1282</f>
        <v/>
      </c>
      <c r="H1282">
        <f>BDP($B1282,"ID_ISIN")</f>
        <v/>
      </c>
      <c r="I1282" s="1" t="inlineStr">
        <is>
          <t>CHRW</t>
        </is>
      </c>
      <c r="J1282">
        <f>BDP($B1282,"CNTRY_OF_DOMICILE")</f>
        <v/>
      </c>
      <c r="K1282" t="inlineStr">
        <is>
          <t>EC</t>
        </is>
      </c>
      <c r="L1282" t="inlineStr">
        <is>
          <t>CORP</t>
        </is>
      </c>
      <c r="M1282" t="inlineStr"/>
      <c r="N1282" t="inlineStr"/>
      <c r="O1282" s="1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s="1" t="inlineStr"/>
      <c r="AR1282" s="1" t="inlineStr"/>
      <c r="AS1282" s="1" t="inlineStr"/>
      <c r="AT1282" t="inlineStr"/>
      <c r="AU1282" t="inlineStr"/>
      <c r="AV1282" t="inlineStr"/>
      <c r="AW1282" t="inlineStr"/>
      <c r="AX1282" t="inlineStr"/>
      <c r="AY1282" t="inlineStr"/>
    </row>
    <row r="1283">
      <c r="A1283" t="inlineStr">
        <is>
          <t>HULL</t>
        </is>
      </c>
      <c r="B1283" t="inlineStr">
        <is>
          <t>CMBT US Equity</t>
        </is>
      </c>
      <c r="C1283" s="1" t="inlineStr">
        <is>
          <t>CMBT</t>
        </is>
      </c>
      <c r="D1283" t="inlineStr">
        <is>
          <t>CMB Tech NV</t>
        </is>
      </c>
      <c r="E1283">
        <f>BDP($B1283,"LEGAL_ENTITY_IDENTIFIER")</f>
        <v/>
      </c>
      <c r="F1283" t="inlineStr">
        <is>
          <t>CMB Tech NV</t>
        </is>
      </c>
      <c r="G1283">
        <f>custodian!D1283</f>
        <v/>
      </c>
      <c r="H1283">
        <f>BDP($B1283,"ID_ISIN")</f>
        <v/>
      </c>
      <c r="I1283" s="1" t="inlineStr">
        <is>
          <t>CMBT</t>
        </is>
      </c>
      <c r="J1283">
        <f>BDP($B1283,"CNTRY_OF_DOMICILE")</f>
        <v/>
      </c>
      <c r="K1283" t="inlineStr">
        <is>
          <t>EC</t>
        </is>
      </c>
      <c r="L1283" t="inlineStr">
        <is>
          <t>CORP</t>
        </is>
      </c>
      <c r="M1283" t="inlineStr"/>
      <c r="N1283" t="inlineStr"/>
      <c r="O1283" s="1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s="1" t="inlineStr"/>
      <c r="AR1283" s="1" t="inlineStr"/>
      <c r="AS1283" s="1" t="inlineStr"/>
      <c r="AT1283" t="inlineStr"/>
      <c r="AU1283" t="inlineStr"/>
      <c r="AV1283" t="inlineStr"/>
      <c r="AW1283" t="inlineStr"/>
      <c r="AX1283" t="inlineStr"/>
      <c r="AY1283" t="inlineStr"/>
    </row>
    <row r="1284">
      <c r="A1284" t="inlineStr">
        <is>
          <t>HULL</t>
        </is>
      </c>
      <c r="B1284" t="inlineStr">
        <is>
          <t>CMRE US Equity</t>
        </is>
      </c>
      <c r="C1284" s="1" t="inlineStr">
        <is>
          <t>CMRE</t>
        </is>
      </c>
      <c r="D1284" t="inlineStr">
        <is>
          <t>Costamare Inc</t>
        </is>
      </c>
      <c r="E1284">
        <f>BDP($B1284,"LEGAL_ENTITY_IDENTIFIER")</f>
        <v/>
      </c>
      <c r="F1284" t="inlineStr">
        <is>
          <t>Costamare Inc</t>
        </is>
      </c>
      <c r="G1284">
        <f>custodian!D1284</f>
        <v/>
      </c>
      <c r="H1284">
        <f>BDP($B1284,"ID_ISIN")</f>
        <v/>
      </c>
      <c r="I1284" s="1" t="inlineStr">
        <is>
          <t>CMRE</t>
        </is>
      </c>
      <c r="J1284">
        <f>BDP($B1284,"CNTRY_OF_DOMICILE")</f>
        <v/>
      </c>
      <c r="K1284" t="inlineStr">
        <is>
          <t>EC</t>
        </is>
      </c>
      <c r="L1284" t="inlineStr">
        <is>
          <t>CORP</t>
        </is>
      </c>
      <c r="M1284" t="inlineStr"/>
      <c r="N1284" t="inlineStr"/>
      <c r="O1284" s="1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s="1" t="inlineStr"/>
      <c r="AR1284" s="1" t="inlineStr"/>
      <c r="AS1284" s="1" t="inlineStr"/>
      <c r="AT1284" t="inlineStr"/>
      <c r="AU1284" t="inlineStr"/>
      <c r="AV1284" t="inlineStr"/>
      <c r="AW1284" t="inlineStr"/>
      <c r="AX1284" t="inlineStr"/>
      <c r="AY1284" t="inlineStr"/>
    </row>
    <row r="1285">
      <c r="A1285" t="inlineStr">
        <is>
          <t>HULL</t>
        </is>
      </c>
      <c r="B1285" t="inlineStr">
        <is>
          <t>DAC US Equity</t>
        </is>
      </c>
      <c r="C1285" s="1" t="inlineStr">
        <is>
          <t>DAC</t>
        </is>
      </c>
      <c r="D1285" t="inlineStr">
        <is>
          <t>Danaos Corp</t>
        </is>
      </c>
      <c r="E1285">
        <f>BDP($B1285,"LEGAL_ENTITY_IDENTIFIER")</f>
        <v/>
      </c>
      <c r="F1285" t="inlineStr">
        <is>
          <t>Danaos Corp</t>
        </is>
      </c>
      <c r="G1285">
        <f>custodian!D1285</f>
        <v/>
      </c>
      <c r="H1285">
        <f>BDP($B1285,"ID_ISIN")</f>
        <v/>
      </c>
      <c r="I1285" s="1" t="inlineStr">
        <is>
          <t>DAC</t>
        </is>
      </c>
      <c r="J1285">
        <f>BDP($B1285,"CNTRY_OF_DOMICILE")</f>
        <v/>
      </c>
      <c r="K1285" t="inlineStr">
        <is>
          <t>EC</t>
        </is>
      </c>
      <c r="L1285" t="inlineStr">
        <is>
          <t>CORP</t>
        </is>
      </c>
      <c r="M1285" t="inlineStr"/>
      <c r="N1285" t="inlineStr"/>
      <c r="O1285" s="1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s="1" t="inlineStr"/>
      <c r="AR1285" s="1" t="inlineStr"/>
      <c r="AS1285" s="1" t="inlineStr"/>
      <c r="AT1285" t="inlineStr"/>
      <c r="AU1285" t="inlineStr"/>
      <c r="AV1285" t="inlineStr"/>
      <c r="AW1285" t="inlineStr"/>
      <c r="AX1285" t="inlineStr"/>
      <c r="AY1285" t="inlineStr"/>
    </row>
    <row r="1286">
      <c r="A1286" t="inlineStr">
        <is>
          <t>HULL</t>
        </is>
      </c>
      <c r="B1286" t="inlineStr">
        <is>
          <t>DHT US Equity</t>
        </is>
      </c>
      <c r="C1286" s="1" t="inlineStr">
        <is>
          <t>DHT</t>
        </is>
      </c>
      <c r="D1286" t="inlineStr">
        <is>
          <t>DHT Holdings Inc</t>
        </is>
      </c>
      <c r="E1286">
        <f>BDP($B1286,"LEGAL_ENTITY_IDENTIFIER")</f>
        <v/>
      </c>
      <c r="F1286" t="inlineStr">
        <is>
          <t>DHT Holdings Inc</t>
        </is>
      </c>
      <c r="G1286">
        <f>custodian!D1286</f>
        <v/>
      </c>
      <c r="H1286">
        <f>BDP($B1286,"ID_ISIN")</f>
        <v/>
      </c>
      <c r="I1286" s="1" t="inlineStr">
        <is>
          <t>DHT</t>
        </is>
      </c>
      <c r="J1286">
        <f>BDP($B1286,"CNTRY_OF_DOMICILE")</f>
        <v/>
      </c>
      <c r="K1286" t="inlineStr">
        <is>
          <t>EC</t>
        </is>
      </c>
      <c r="L1286" t="inlineStr">
        <is>
          <t>CORP</t>
        </is>
      </c>
      <c r="M1286" t="inlineStr"/>
      <c r="N1286" t="inlineStr"/>
      <c r="O1286" s="1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s="1" t="inlineStr"/>
      <c r="AR1286" s="1" t="inlineStr"/>
      <c r="AS1286" s="1" t="inlineStr"/>
      <c r="AT1286" t="inlineStr"/>
      <c r="AU1286" t="inlineStr"/>
      <c r="AV1286" t="inlineStr"/>
      <c r="AW1286" t="inlineStr"/>
      <c r="AX1286" t="inlineStr"/>
      <c r="AY1286" t="inlineStr"/>
    </row>
    <row r="1287">
      <c r="A1287" t="inlineStr">
        <is>
          <t>HULL</t>
        </is>
      </c>
      <c r="B1287" t="inlineStr">
        <is>
          <t>DSGX US Equity</t>
        </is>
      </c>
      <c r="C1287" s="1" t="inlineStr">
        <is>
          <t>DSGX</t>
        </is>
      </c>
      <c r="D1287" t="inlineStr">
        <is>
          <t>Descartes Systems Group Inc/Th</t>
        </is>
      </c>
      <c r="E1287">
        <f>BDP($B1287,"LEGAL_ENTITY_IDENTIFIER")</f>
        <v/>
      </c>
      <c r="F1287" t="inlineStr">
        <is>
          <t>Descartes Systems Group Inc/The</t>
        </is>
      </c>
      <c r="G1287">
        <f>custodian!D1287</f>
        <v/>
      </c>
      <c r="H1287">
        <f>BDP($B1287,"ID_ISIN")</f>
        <v/>
      </c>
      <c r="I1287" s="1" t="inlineStr">
        <is>
          <t>DSGX</t>
        </is>
      </c>
      <c r="J1287">
        <f>BDP($B1287,"CNTRY_OF_DOMICILE")</f>
        <v/>
      </c>
      <c r="K1287" t="inlineStr">
        <is>
          <t>EC</t>
        </is>
      </c>
      <c r="L1287" t="inlineStr">
        <is>
          <t>CORP</t>
        </is>
      </c>
      <c r="M1287" t="inlineStr"/>
      <c r="N1287" t="inlineStr"/>
      <c r="O1287" s="1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s="1" t="inlineStr"/>
      <c r="AR1287" s="1" t="inlineStr"/>
      <c r="AS1287" s="1" t="inlineStr"/>
      <c r="AT1287" t="inlineStr"/>
      <c r="AU1287" t="inlineStr"/>
      <c r="AV1287" t="inlineStr"/>
      <c r="AW1287" t="inlineStr"/>
      <c r="AX1287" t="inlineStr"/>
      <c r="AY1287" t="inlineStr"/>
    </row>
    <row r="1288">
      <c r="A1288" t="inlineStr">
        <is>
          <t>HULL</t>
        </is>
      </c>
      <c r="B1288" t="inlineStr">
        <is>
          <t>DSX US Equity</t>
        </is>
      </c>
      <c r="C1288" s="1" t="inlineStr">
        <is>
          <t>DSX</t>
        </is>
      </c>
      <c r="D1288" t="inlineStr">
        <is>
          <t>Diana Shipping Inc</t>
        </is>
      </c>
      <c r="E1288">
        <f>BDP($B1288,"LEGAL_ENTITY_IDENTIFIER")</f>
        <v/>
      </c>
      <c r="F1288" t="inlineStr">
        <is>
          <t>Diana Shipping Inc</t>
        </is>
      </c>
      <c r="G1288">
        <f>custodian!D1288</f>
        <v/>
      </c>
      <c r="H1288">
        <f>BDP($B1288,"ID_ISIN")</f>
        <v/>
      </c>
      <c r="I1288" s="1" t="inlineStr">
        <is>
          <t>DSX</t>
        </is>
      </c>
      <c r="J1288">
        <f>BDP($B1288,"CNTRY_OF_DOMICILE")</f>
        <v/>
      </c>
      <c r="K1288" t="inlineStr">
        <is>
          <t>EC</t>
        </is>
      </c>
      <c r="L1288" t="inlineStr">
        <is>
          <t>CORP</t>
        </is>
      </c>
      <c r="M1288" t="inlineStr"/>
      <c r="N1288" t="inlineStr"/>
      <c r="O1288" s="1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s="1" t="inlineStr"/>
      <c r="AR1288" s="1" t="inlineStr"/>
      <c r="AS1288" s="1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HULL</t>
        </is>
      </c>
      <c r="B1289" t="inlineStr">
        <is>
          <t>EE US Equity</t>
        </is>
      </c>
      <c r="C1289" s="1" t="inlineStr">
        <is>
          <t>EE</t>
        </is>
      </c>
      <c r="D1289" t="inlineStr">
        <is>
          <t>Excelerate Energy Inc</t>
        </is>
      </c>
      <c r="E1289">
        <f>BDP($B1289,"LEGAL_ENTITY_IDENTIFIER")</f>
        <v/>
      </c>
      <c r="F1289" t="inlineStr">
        <is>
          <t>Excelerate Energy Inc</t>
        </is>
      </c>
      <c r="G1289">
        <f>custodian!D1289</f>
        <v/>
      </c>
      <c r="H1289">
        <f>BDP($B1289,"ID_ISIN")</f>
        <v/>
      </c>
      <c r="I1289" s="1" t="inlineStr">
        <is>
          <t>EE</t>
        </is>
      </c>
      <c r="J1289">
        <f>BDP($B1289,"CNTRY_OF_DOMICILE")</f>
        <v/>
      </c>
      <c r="K1289" t="inlineStr">
        <is>
          <t>EC</t>
        </is>
      </c>
      <c r="L1289" t="inlineStr">
        <is>
          <t>CORP</t>
        </is>
      </c>
      <c r="M1289" t="inlineStr"/>
      <c r="N1289" t="inlineStr"/>
      <c r="O1289" s="1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s="1" t="inlineStr"/>
      <c r="AR1289" s="1" t="inlineStr"/>
      <c r="AS1289" s="1" t="inlineStr"/>
      <c r="AT1289" t="inlineStr"/>
      <c r="AU1289" t="inlineStr"/>
      <c r="AV1289" t="inlineStr"/>
      <c r="AW1289" t="inlineStr"/>
      <c r="AX1289" t="inlineStr"/>
      <c r="AY1289" t="inlineStr"/>
    </row>
    <row r="1290">
      <c r="A1290" t="inlineStr">
        <is>
          <t>HULL</t>
        </is>
      </c>
      <c r="B1290" t="inlineStr">
        <is>
          <t>ESEA US Equity</t>
        </is>
      </c>
      <c r="C1290" s="1" t="inlineStr">
        <is>
          <t>ESEA</t>
        </is>
      </c>
      <c r="D1290" t="inlineStr">
        <is>
          <t>Euroseas Ltd</t>
        </is>
      </c>
      <c r="E1290">
        <f>BDP($B1290,"LEGAL_ENTITY_IDENTIFIER")</f>
        <v/>
      </c>
      <c r="F1290" t="inlineStr">
        <is>
          <t>Euroseas Ltd</t>
        </is>
      </c>
      <c r="G1290">
        <f>custodian!D1290</f>
        <v/>
      </c>
      <c r="H1290">
        <f>BDP($B1290,"ID_ISIN")</f>
        <v/>
      </c>
      <c r="I1290" s="1" t="inlineStr">
        <is>
          <t>ESEA</t>
        </is>
      </c>
      <c r="J1290">
        <f>BDP($B1290,"CNTRY_OF_DOMICILE")</f>
        <v/>
      </c>
      <c r="K1290" t="inlineStr">
        <is>
          <t>EC</t>
        </is>
      </c>
      <c r="L1290" t="inlineStr">
        <is>
          <t>CORP</t>
        </is>
      </c>
      <c r="M1290" t="inlineStr"/>
      <c r="N1290" t="inlineStr"/>
      <c r="O1290" s="1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s="1" t="inlineStr"/>
      <c r="AR1290" s="1" t="inlineStr"/>
      <c r="AS1290" s="1" t="inlineStr"/>
      <c r="AT1290" t="inlineStr"/>
      <c r="AU1290" t="inlineStr"/>
      <c r="AV1290" t="inlineStr"/>
      <c r="AW1290" t="inlineStr"/>
      <c r="AX1290" t="inlineStr"/>
      <c r="AY1290" t="inlineStr"/>
    </row>
    <row r="1291">
      <c r="A1291" t="inlineStr">
        <is>
          <t>HULL</t>
        </is>
      </c>
      <c r="B1291" t="inlineStr">
        <is>
          <t>EXPD US Equity</t>
        </is>
      </c>
      <c r="C1291" s="1" t="inlineStr">
        <is>
          <t>EXPD</t>
        </is>
      </c>
      <c r="D1291" t="inlineStr">
        <is>
          <t>Expeditors International of Wa</t>
        </is>
      </c>
      <c r="E1291">
        <f>BDP($B1291,"LEGAL_ENTITY_IDENTIFIER")</f>
        <v/>
      </c>
      <c r="F1291" t="inlineStr">
        <is>
          <t>Expeditors International of Washington Inc</t>
        </is>
      </c>
      <c r="G1291">
        <f>custodian!D1291</f>
        <v/>
      </c>
      <c r="H1291">
        <f>BDP($B1291,"ID_ISIN")</f>
        <v/>
      </c>
      <c r="I1291" s="1" t="inlineStr">
        <is>
          <t>EXPD</t>
        </is>
      </c>
      <c r="J1291">
        <f>BDP($B1291,"CNTRY_OF_DOMICILE")</f>
        <v/>
      </c>
      <c r="K1291" t="inlineStr">
        <is>
          <t>EC</t>
        </is>
      </c>
      <c r="L1291" t="inlineStr">
        <is>
          <t>CORP</t>
        </is>
      </c>
      <c r="M1291" t="inlineStr"/>
      <c r="N1291" t="inlineStr"/>
      <c r="O1291" s="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s="1" t="inlineStr"/>
      <c r="AR1291" s="1" t="inlineStr"/>
      <c r="AS1291" s="1" t="inlineStr"/>
      <c r="AT1291" t="inlineStr"/>
      <c r="AU1291" t="inlineStr"/>
      <c r="AV1291" t="inlineStr"/>
      <c r="AW1291" t="inlineStr"/>
      <c r="AX1291" t="inlineStr"/>
      <c r="AY1291" t="inlineStr"/>
    </row>
    <row r="1292">
      <c r="A1292" t="inlineStr">
        <is>
          <t>HULL</t>
        </is>
      </c>
      <c r="B1292" t="inlineStr">
        <is>
          <t>FDX US Equity</t>
        </is>
      </c>
      <c r="C1292" s="1" t="inlineStr">
        <is>
          <t>FDX</t>
        </is>
      </c>
      <c r="D1292" t="inlineStr">
        <is>
          <t>FedEx Corp</t>
        </is>
      </c>
      <c r="E1292">
        <f>BDP($B1292,"LEGAL_ENTITY_IDENTIFIER")</f>
        <v/>
      </c>
      <c r="F1292" t="inlineStr">
        <is>
          <t>FedEx Corp</t>
        </is>
      </c>
      <c r="G1292">
        <f>custodian!D1292</f>
        <v/>
      </c>
      <c r="H1292">
        <f>BDP($B1292,"ID_ISIN")</f>
        <v/>
      </c>
      <c r="I1292" s="1" t="inlineStr">
        <is>
          <t>FDX</t>
        </is>
      </c>
      <c r="J1292">
        <f>BDP($B1292,"CNTRY_OF_DOMICILE")</f>
        <v/>
      </c>
      <c r="K1292" t="inlineStr">
        <is>
          <t>EC</t>
        </is>
      </c>
      <c r="L1292" t="inlineStr">
        <is>
          <t>CORP</t>
        </is>
      </c>
      <c r="M1292" t="inlineStr"/>
      <c r="N1292" t="inlineStr"/>
      <c r="O1292" s="1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s="1" t="inlineStr"/>
      <c r="AR1292" s="1" t="inlineStr"/>
      <c r="AS1292" s="1" t="inlineStr"/>
      <c r="AT1292" t="inlineStr"/>
      <c r="AU1292" t="inlineStr"/>
      <c r="AV1292" t="inlineStr"/>
      <c r="AW1292" t="inlineStr"/>
      <c r="AX1292" t="inlineStr"/>
      <c r="AY1292" t="inlineStr"/>
    </row>
    <row r="1293">
      <c r="A1293" t="inlineStr">
        <is>
          <t>HULL</t>
        </is>
      </c>
      <c r="B1293" t="inlineStr">
        <is>
          <t>FDXF US Equity</t>
        </is>
      </c>
      <c r="C1293" s="1" t="inlineStr">
        <is>
          <t>FDXF</t>
        </is>
      </c>
      <c r="D1293" t="inlineStr">
        <is>
          <t>Fedex Freight Holding Co Inc</t>
        </is>
      </c>
      <c r="E1293">
        <f>BDP($B1293,"LEGAL_ENTITY_IDENTIFIER")</f>
        <v/>
      </c>
      <c r="F1293" t="inlineStr">
        <is>
          <t>Fedex Freight Holding Co Inc</t>
        </is>
      </c>
      <c r="G1293">
        <f>custodian!D1293</f>
        <v/>
      </c>
      <c r="H1293">
        <f>BDP($B1293,"ID_ISIN")</f>
        <v/>
      </c>
      <c r="I1293" s="1" t="inlineStr">
        <is>
          <t>FDXF</t>
        </is>
      </c>
      <c r="J1293">
        <f>BDP($B1293,"CNTRY_OF_DOMICILE")</f>
        <v/>
      </c>
      <c r="K1293" t="inlineStr">
        <is>
          <t>EC</t>
        </is>
      </c>
      <c r="L1293" t="inlineStr">
        <is>
          <t>CORP</t>
        </is>
      </c>
      <c r="M1293" t="inlineStr"/>
      <c r="N1293" t="inlineStr"/>
      <c r="O1293" s="1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s="1" t="inlineStr"/>
      <c r="AR1293" s="1" t="inlineStr"/>
      <c r="AS1293" s="1" t="inlineStr"/>
      <c r="AT1293" t="inlineStr"/>
      <c r="AU1293" t="inlineStr"/>
      <c r="AV1293" t="inlineStr"/>
      <c r="AW1293" t="inlineStr"/>
      <c r="AX1293" t="inlineStr"/>
      <c r="AY1293" t="inlineStr"/>
    </row>
    <row r="1294">
      <c r="A1294" t="inlineStr">
        <is>
          <t>HULL</t>
        </is>
      </c>
      <c r="B1294" t="inlineStr">
        <is>
          <t>FGXXX US Equity</t>
        </is>
      </c>
      <c r="C1294" s="1" t="inlineStr">
        <is>
          <t>FGXXX</t>
        </is>
      </c>
      <c r="D1294" t="inlineStr">
        <is>
          <t>First American Government Obli</t>
        </is>
      </c>
      <c r="E1294">
        <f>BDP($B1294,"LEGAL_ENTITY_IDENTIFIER")</f>
        <v/>
      </c>
      <c r="F1294" t="inlineStr">
        <is>
          <t>First American Government Obligations Fund</t>
        </is>
      </c>
      <c r="G1294">
        <f>custodian!D1294</f>
        <v/>
      </c>
      <c r="H1294">
        <f>BDP($B1294,"ID_ISIN")</f>
        <v/>
      </c>
      <c r="I1294" s="1" t="inlineStr">
        <is>
          <t>FGXXX</t>
        </is>
      </c>
      <c r="J1294">
        <f>BDP($B1294,"CNTRY_OF_DOMICILE")</f>
        <v/>
      </c>
      <c r="K1294" t="inlineStr">
        <is>
          <t>STIV</t>
        </is>
      </c>
      <c r="L1294" t="inlineStr">
        <is>
          <t>RF</t>
        </is>
      </c>
      <c r="M1294" t="inlineStr"/>
      <c r="N1294" t="inlineStr"/>
      <c r="O1294" s="1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s="1" t="inlineStr"/>
      <c r="AR1294" s="1" t="inlineStr"/>
      <c r="AS1294" s="1" t="inlineStr"/>
      <c r="AT1294" t="inlineStr"/>
      <c r="AU1294" t="inlineStr"/>
      <c r="AV1294" t="inlineStr"/>
      <c r="AW1294" t="inlineStr"/>
      <c r="AX1294" t="inlineStr"/>
      <c r="AY1294" t="inlineStr"/>
    </row>
    <row r="1295">
      <c r="A1295" t="inlineStr">
        <is>
          <t>HULL</t>
        </is>
      </c>
      <c r="B1295" t="inlineStr">
        <is>
          <t>FLNG US Equity</t>
        </is>
      </c>
      <c r="C1295" s="1" t="inlineStr">
        <is>
          <t>FLNG</t>
        </is>
      </c>
      <c r="D1295" t="inlineStr">
        <is>
          <t>FLEX LNG Ltd</t>
        </is>
      </c>
      <c r="E1295">
        <f>BDP($B1295,"LEGAL_ENTITY_IDENTIFIER")</f>
        <v/>
      </c>
      <c r="F1295" t="inlineStr">
        <is>
          <t>FLEX LNG Ltd</t>
        </is>
      </c>
      <c r="G1295">
        <f>custodian!D1295</f>
        <v/>
      </c>
      <c r="H1295">
        <f>BDP($B1295,"ID_ISIN")</f>
        <v/>
      </c>
      <c r="I1295" s="1" t="inlineStr">
        <is>
          <t>FLNG</t>
        </is>
      </c>
      <c r="J1295">
        <f>BDP($B1295,"CNTRY_OF_DOMICILE")</f>
        <v/>
      </c>
      <c r="K1295" t="inlineStr">
        <is>
          <t>EC</t>
        </is>
      </c>
      <c r="L1295" t="inlineStr">
        <is>
          <t>CORP</t>
        </is>
      </c>
      <c r="M1295" t="inlineStr"/>
      <c r="N1295" t="inlineStr"/>
      <c r="O1295" s="1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s="1" t="inlineStr"/>
      <c r="AR1295" s="1" t="inlineStr"/>
      <c r="AS1295" s="1" t="inlineStr"/>
      <c r="AT1295" t="inlineStr"/>
      <c r="AU1295" t="inlineStr"/>
      <c r="AV1295" t="inlineStr"/>
      <c r="AW1295" t="inlineStr"/>
      <c r="AX1295" t="inlineStr"/>
      <c r="AY1295" t="inlineStr"/>
    </row>
    <row r="1296">
      <c r="A1296" t="inlineStr">
        <is>
          <t>HULL</t>
        </is>
      </c>
      <c r="B1296" t="inlineStr">
        <is>
          <t>FRO US Equity</t>
        </is>
      </c>
      <c r="C1296" s="1" t="inlineStr">
        <is>
          <t>FRO</t>
        </is>
      </c>
      <c r="D1296" t="inlineStr">
        <is>
          <t>Frontline PLC</t>
        </is>
      </c>
      <c r="E1296">
        <f>BDP($B1296,"LEGAL_ENTITY_IDENTIFIER")</f>
        <v/>
      </c>
      <c r="F1296" t="inlineStr">
        <is>
          <t>Frontline PLC</t>
        </is>
      </c>
      <c r="G1296">
        <f>custodian!D1296</f>
        <v/>
      </c>
      <c r="H1296">
        <f>BDP($B1296,"ID_ISIN")</f>
        <v/>
      </c>
      <c r="I1296" s="1" t="inlineStr">
        <is>
          <t>FRO</t>
        </is>
      </c>
      <c r="J1296">
        <f>BDP($B1296,"CNTRY_OF_DOMICILE")</f>
        <v/>
      </c>
      <c r="K1296" t="inlineStr">
        <is>
          <t>EC</t>
        </is>
      </c>
      <c r="L1296" t="inlineStr">
        <is>
          <t>CORP</t>
        </is>
      </c>
      <c r="M1296" t="inlineStr"/>
      <c r="N1296" t="inlineStr"/>
      <c r="O1296" s="1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s="1" t="inlineStr"/>
      <c r="AR1296" s="1" t="inlineStr"/>
      <c r="AS1296" s="1" t="inlineStr"/>
      <c r="AT1296" t="inlineStr"/>
      <c r="AU1296" t="inlineStr"/>
      <c r="AV1296" t="inlineStr"/>
      <c r="AW1296" t="inlineStr"/>
      <c r="AX1296" t="inlineStr"/>
      <c r="AY1296" t="inlineStr"/>
    </row>
    <row r="1297">
      <c r="A1297" t="inlineStr">
        <is>
          <t>HULL</t>
        </is>
      </c>
      <c r="B1297" t="inlineStr">
        <is>
          <t>GASS US Equity</t>
        </is>
      </c>
      <c r="C1297" s="1" t="inlineStr">
        <is>
          <t>GASS</t>
        </is>
      </c>
      <c r="D1297" t="inlineStr">
        <is>
          <t>StealthGas Inc</t>
        </is>
      </c>
      <c r="E1297">
        <f>BDP($B1297,"LEGAL_ENTITY_IDENTIFIER")</f>
        <v/>
      </c>
      <c r="F1297" t="inlineStr">
        <is>
          <t>StealthGas Inc</t>
        </is>
      </c>
      <c r="G1297">
        <f>custodian!D1297</f>
        <v/>
      </c>
      <c r="H1297">
        <f>BDP($B1297,"ID_ISIN")</f>
        <v/>
      </c>
      <c r="I1297" s="1" t="inlineStr">
        <is>
          <t>GASS</t>
        </is>
      </c>
      <c r="J1297">
        <f>BDP($B1297,"CNTRY_OF_DOMICILE")</f>
        <v/>
      </c>
      <c r="K1297" t="inlineStr">
        <is>
          <t>EC</t>
        </is>
      </c>
      <c r="L1297" t="inlineStr">
        <is>
          <t>CORP</t>
        </is>
      </c>
      <c r="M1297" t="inlineStr"/>
      <c r="N1297" t="inlineStr"/>
      <c r="O1297" s="1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s="1" t="inlineStr"/>
      <c r="AR1297" s="1" t="inlineStr"/>
      <c r="AS1297" s="1" t="inlineStr"/>
      <c r="AT1297" t="inlineStr"/>
      <c r="AU1297" t="inlineStr"/>
      <c r="AV1297" t="inlineStr"/>
      <c r="AW1297" t="inlineStr"/>
      <c r="AX1297" t="inlineStr"/>
      <c r="AY1297" t="inlineStr"/>
    </row>
    <row r="1298">
      <c r="A1298" t="inlineStr">
        <is>
          <t>HULL</t>
        </is>
      </c>
      <c r="B1298" t="inlineStr">
        <is>
          <t>GLNG US Equity</t>
        </is>
      </c>
      <c r="C1298" s="1" t="inlineStr">
        <is>
          <t>GLNG</t>
        </is>
      </c>
      <c r="D1298" t="inlineStr">
        <is>
          <t>Golar LNG Ltd</t>
        </is>
      </c>
      <c r="E1298">
        <f>BDP($B1298,"LEGAL_ENTITY_IDENTIFIER")</f>
        <v/>
      </c>
      <c r="F1298" t="inlineStr">
        <is>
          <t>Golar LNG Ltd</t>
        </is>
      </c>
      <c r="G1298">
        <f>custodian!D1298</f>
        <v/>
      </c>
      <c r="H1298">
        <f>BDP($B1298,"ID_ISIN")</f>
        <v/>
      </c>
      <c r="I1298" s="1" t="inlineStr">
        <is>
          <t>GLNG</t>
        </is>
      </c>
      <c r="J1298">
        <f>BDP($B1298,"CNTRY_OF_DOMICILE")</f>
        <v/>
      </c>
      <c r="K1298" t="inlineStr">
        <is>
          <t>EC</t>
        </is>
      </c>
      <c r="L1298" t="inlineStr">
        <is>
          <t>CORP</t>
        </is>
      </c>
      <c r="M1298" t="inlineStr"/>
      <c r="N1298" t="inlineStr"/>
      <c r="O1298" s="1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s="1" t="inlineStr"/>
      <c r="AR1298" s="1" t="inlineStr"/>
      <c r="AS1298" s="1" t="inlineStr"/>
      <c r="AT1298" t="inlineStr"/>
      <c r="AU1298" t="inlineStr"/>
      <c r="AV1298" t="inlineStr"/>
      <c r="AW1298" t="inlineStr"/>
      <c r="AX1298" t="inlineStr"/>
      <c r="AY1298" t="inlineStr"/>
    </row>
    <row r="1299">
      <c r="A1299" t="inlineStr">
        <is>
          <t>HULL</t>
        </is>
      </c>
      <c r="B1299" t="inlineStr">
        <is>
          <t>GNK US Equity</t>
        </is>
      </c>
      <c r="C1299" s="1" t="inlineStr">
        <is>
          <t>GNK</t>
        </is>
      </c>
      <c r="D1299" t="inlineStr">
        <is>
          <t>Genco Shipping &amp; Trading Ltd</t>
        </is>
      </c>
      <c r="E1299">
        <f>BDP($B1299,"LEGAL_ENTITY_IDENTIFIER")</f>
        <v/>
      </c>
      <c r="F1299" t="inlineStr">
        <is>
          <t>Genco Shipping &amp; Trading Ltd</t>
        </is>
      </c>
      <c r="G1299">
        <f>custodian!D1299</f>
        <v/>
      </c>
      <c r="H1299">
        <f>BDP($B1299,"ID_ISIN")</f>
        <v/>
      </c>
      <c r="I1299" s="1" t="inlineStr">
        <is>
          <t>GNK</t>
        </is>
      </c>
      <c r="J1299">
        <f>BDP($B1299,"CNTRY_OF_DOMICILE")</f>
        <v/>
      </c>
      <c r="K1299" t="inlineStr">
        <is>
          <t>EC</t>
        </is>
      </c>
      <c r="L1299" t="inlineStr">
        <is>
          <t>CORP</t>
        </is>
      </c>
      <c r="M1299" t="inlineStr"/>
      <c r="N1299" t="inlineStr"/>
      <c r="O1299" s="1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s="1" t="inlineStr"/>
      <c r="AR1299" s="1" t="inlineStr"/>
      <c r="AS1299" s="1" t="inlineStr"/>
      <c r="AT1299" t="inlineStr"/>
      <c r="AU1299" t="inlineStr"/>
      <c r="AV1299" t="inlineStr"/>
      <c r="AW1299" t="inlineStr"/>
      <c r="AX1299" t="inlineStr"/>
      <c r="AY1299" t="inlineStr"/>
    </row>
    <row r="1300">
      <c r="A1300" t="inlineStr">
        <is>
          <t>HULL</t>
        </is>
      </c>
      <c r="B1300" t="inlineStr">
        <is>
          <t>GSL US Equity</t>
        </is>
      </c>
      <c r="C1300" s="1" t="inlineStr">
        <is>
          <t>GSL</t>
        </is>
      </c>
      <c r="D1300" t="inlineStr">
        <is>
          <t>Global Ship Lease Inc</t>
        </is>
      </c>
      <c r="E1300">
        <f>BDP($B1300,"LEGAL_ENTITY_IDENTIFIER")</f>
        <v/>
      </c>
      <c r="F1300" t="inlineStr">
        <is>
          <t>Global Ship Lease Inc</t>
        </is>
      </c>
      <c r="G1300">
        <f>custodian!D1300</f>
        <v/>
      </c>
      <c r="H1300">
        <f>BDP($B1300,"ID_ISIN")</f>
        <v/>
      </c>
      <c r="I1300" s="1" t="inlineStr">
        <is>
          <t>GSL</t>
        </is>
      </c>
      <c r="J1300">
        <f>BDP($B1300,"CNTRY_OF_DOMICILE")</f>
        <v/>
      </c>
      <c r="K1300" t="inlineStr">
        <is>
          <t>EC</t>
        </is>
      </c>
      <c r="L1300" t="inlineStr">
        <is>
          <t>CORP</t>
        </is>
      </c>
      <c r="M1300" t="inlineStr"/>
      <c r="N1300" t="inlineStr"/>
      <c r="O1300" s="1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s="1" t="inlineStr"/>
      <c r="AR1300" s="1" t="inlineStr"/>
      <c r="AS1300" s="1" t="inlineStr"/>
      <c r="AT1300" t="inlineStr"/>
      <c r="AU1300" t="inlineStr"/>
      <c r="AV1300" t="inlineStr"/>
      <c r="AW1300" t="inlineStr"/>
      <c r="AX1300" t="inlineStr"/>
      <c r="AY1300" t="inlineStr"/>
    </row>
    <row r="1301">
      <c r="A1301" t="inlineStr">
        <is>
          <t>HULL</t>
        </is>
      </c>
      <c r="B1301" t="inlineStr">
        <is>
          <t>GXO US Equity</t>
        </is>
      </c>
      <c r="C1301" s="1" t="inlineStr">
        <is>
          <t>GXO</t>
        </is>
      </c>
      <c r="D1301" t="inlineStr">
        <is>
          <t>GXO Logistics Inc</t>
        </is>
      </c>
      <c r="E1301">
        <f>BDP($B1301,"LEGAL_ENTITY_IDENTIFIER")</f>
        <v/>
      </c>
      <c r="F1301" t="inlineStr">
        <is>
          <t>GXO Logistics Inc</t>
        </is>
      </c>
      <c r="G1301">
        <f>custodian!D1301</f>
        <v/>
      </c>
      <c r="H1301">
        <f>BDP($B1301,"ID_ISIN")</f>
        <v/>
      </c>
      <c r="I1301" s="1" t="inlineStr">
        <is>
          <t>GXO</t>
        </is>
      </c>
      <c r="J1301">
        <f>BDP($B1301,"CNTRY_OF_DOMICILE")</f>
        <v/>
      </c>
      <c r="K1301" t="inlineStr">
        <is>
          <t>EC</t>
        </is>
      </c>
      <c r="L1301" t="inlineStr">
        <is>
          <t>CORP</t>
        </is>
      </c>
      <c r="M1301" t="inlineStr"/>
      <c r="N1301" t="inlineStr"/>
      <c r="O1301" s="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s="1" t="inlineStr"/>
      <c r="AR1301" s="1" t="inlineStr"/>
      <c r="AS1301" s="1" t="inlineStr"/>
      <c r="AT1301" t="inlineStr"/>
      <c r="AU1301" t="inlineStr"/>
      <c r="AV1301" t="inlineStr"/>
      <c r="AW1301" t="inlineStr"/>
      <c r="AX1301" t="inlineStr"/>
      <c r="AY1301" t="inlineStr"/>
    </row>
    <row r="1302">
      <c r="A1302" t="inlineStr">
        <is>
          <t>HULL</t>
        </is>
      </c>
      <c r="B1302" t="inlineStr">
        <is>
          <t>HAFN US Equity</t>
        </is>
      </c>
      <c r="C1302" s="1" t="inlineStr">
        <is>
          <t>HAFN</t>
        </is>
      </c>
      <c r="D1302" t="inlineStr">
        <is>
          <t>Hafnia Ltd</t>
        </is>
      </c>
      <c r="E1302">
        <f>BDP($B1302,"LEGAL_ENTITY_IDENTIFIER")</f>
        <v/>
      </c>
      <c r="F1302" t="inlineStr">
        <is>
          <t>Hafnia Ltd</t>
        </is>
      </c>
      <c r="G1302">
        <f>custodian!D1302</f>
        <v/>
      </c>
      <c r="H1302">
        <f>BDP($B1302,"ID_ISIN")</f>
        <v/>
      </c>
      <c r="I1302" s="1" t="inlineStr">
        <is>
          <t>HAFN</t>
        </is>
      </c>
      <c r="J1302">
        <f>BDP($B1302,"CNTRY_OF_DOMICILE")</f>
        <v/>
      </c>
      <c r="K1302" t="inlineStr">
        <is>
          <t>EC</t>
        </is>
      </c>
      <c r="L1302" t="inlineStr">
        <is>
          <t>CORP</t>
        </is>
      </c>
      <c r="M1302" t="inlineStr"/>
      <c r="N1302" t="inlineStr"/>
      <c r="O1302" s="1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s="1" t="inlineStr"/>
      <c r="AR1302" s="1" t="inlineStr"/>
      <c r="AS1302" s="1" t="inlineStr"/>
      <c r="AT1302" t="inlineStr"/>
      <c r="AU1302" t="inlineStr"/>
      <c r="AV1302" t="inlineStr"/>
      <c r="AW1302" t="inlineStr"/>
      <c r="AX1302" t="inlineStr"/>
      <c r="AY1302" t="inlineStr"/>
    </row>
    <row r="1303">
      <c r="A1303" t="inlineStr">
        <is>
          <t>HULL</t>
        </is>
      </c>
      <c r="B1303" t="inlineStr">
        <is>
          <t>HSHP US Equity</t>
        </is>
      </c>
      <c r="C1303" s="1" t="inlineStr">
        <is>
          <t>HSHP</t>
        </is>
      </c>
      <c r="D1303" t="inlineStr">
        <is>
          <t>Himalaya Shipping Ltd</t>
        </is>
      </c>
      <c r="E1303">
        <f>BDP($B1303,"LEGAL_ENTITY_IDENTIFIER")</f>
        <v/>
      </c>
      <c r="F1303" t="inlineStr">
        <is>
          <t>Himalaya Shipping Ltd</t>
        </is>
      </c>
      <c r="G1303">
        <f>custodian!D1303</f>
        <v/>
      </c>
      <c r="H1303">
        <f>BDP($B1303,"ID_ISIN")</f>
        <v/>
      </c>
      <c r="I1303" s="1" t="inlineStr">
        <is>
          <t>HSHP</t>
        </is>
      </c>
      <c r="J1303">
        <f>BDP($B1303,"CNTRY_OF_DOMICILE")</f>
        <v/>
      </c>
      <c r="K1303" t="inlineStr">
        <is>
          <t>EC</t>
        </is>
      </c>
      <c r="L1303" t="inlineStr">
        <is>
          <t>CORP</t>
        </is>
      </c>
      <c r="M1303" t="inlineStr"/>
      <c r="N1303" t="inlineStr"/>
      <c r="O1303" s="1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s="1" t="inlineStr"/>
      <c r="AR1303" s="1" t="inlineStr"/>
      <c r="AS1303" s="1" t="inlineStr"/>
      <c r="AT1303" t="inlineStr"/>
      <c r="AU1303" t="inlineStr"/>
      <c r="AV1303" t="inlineStr"/>
      <c r="AW1303" t="inlineStr"/>
      <c r="AX1303" t="inlineStr"/>
      <c r="AY1303" t="inlineStr"/>
    </row>
    <row r="1304">
      <c r="A1304" t="inlineStr">
        <is>
          <t>HULL</t>
        </is>
      </c>
      <c r="B1304" t="inlineStr">
        <is>
          <t>INSW US Equity</t>
        </is>
      </c>
      <c r="C1304" s="1" t="inlineStr">
        <is>
          <t>INSW</t>
        </is>
      </c>
      <c r="D1304" t="inlineStr">
        <is>
          <t>International Seaways Inc</t>
        </is>
      </c>
      <c r="E1304">
        <f>BDP($B1304,"LEGAL_ENTITY_IDENTIFIER")</f>
        <v/>
      </c>
      <c r="F1304" t="inlineStr">
        <is>
          <t>International Seaways Inc</t>
        </is>
      </c>
      <c r="G1304">
        <f>custodian!D1304</f>
        <v/>
      </c>
      <c r="H1304">
        <f>BDP($B1304,"ID_ISIN")</f>
        <v/>
      </c>
      <c r="I1304" s="1" t="inlineStr">
        <is>
          <t>INSW</t>
        </is>
      </c>
      <c r="J1304">
        <f>BDP($B1304,"CNTRY_OF_DOMICILE")</f>
        <v/>
      </c>
      <c r="K1304" t="inlineStr">
        <is>
          <t>EC</t>
        </is>
      </c>
      <c r="L1304" t="inlineStr">
        <is>
          <t>CORP</t>
        </is>
      </c>
      <c r="M1304" t="inlineStr"/>
      <c r="N1304" t="inlineStr"/>
      <c r="O1304" s="1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s="1" t="inlineStr"/>
      <c r="AR1304" s="1" t="inlineStr"/>
      <c r="AS1304" s="1" t="inlineStr"/>
      <c r="AT1304" t="inlineStr"/>
      <c r="AU1304" t="inlineStr"/>
      <c r="AV1304" t="inlineStr"/>
      <c r="AW1304" t="inlineStr"/>
      <c r="AX1304" t="inlineStr"/>
      <c r="AY1304" t="inlineStr"/>
    </row>
    <row r="1305">
      <c r="A1305" t="inlineStr">
        <is>
          <t>HULL</t>
        </is>
      </c>
      <c r="B1305" t="inlineStr">
        <is>
          <t>JBHT US Equity</t>
        </is>
      </c>
      <c r="C1305" s="1" t="inlineStr">
        <is>
          <t>JBHT</t>
        </is>
      </c>
      <c r="D1305" t="inlineStr">
        <is>
          <t>JB Hunt Transport Services Inc</t>
        </is>
      </c>
      <c r="E1305">
        <f>BDP($B1305,"LEGAL_ENTITY_IDENTIFIER")</f>
        <v/>
      </c>
      <c r="F1305" t="inlineStr">
        <is>
          <t>JB Hunt Transport Services Inc</t>
        </is>
      </c>
      <c r="G1305">
        <f>custodian!D1305</f>
        <v/>
      </c>
      <c r="H1305">
        <f>BDP($B1305,"ID_ISIN")</f>
        <v/>
      </c>
      <c r="I1305" s="1" t="inlineStr">
        <is>
          <t>JBHT</t>
        </is>
      </c>
      <c r="J1305">
        <f>BDP($B1305,"CNTRY_OF_DOMICILE")</f>
        <v/>
      </c>
      <c r="K1305" t="inlineStr">
        <is>
          <t>EC</t>
        </is>
      </c>
      <c r="L1305" t="inlineStr">
        <is>
          <t>CORP</t>
        </is>
      </c>
      <c r="M1305" t="inlineStr"/>
      <c r="N1305" t="inlineStr"/>
      <c r="O1305" s="1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s="1" t="inlineStr"/>
      <c r="AR1305" s="1" t="inlineStr"/>
      <c r="AS1305" s="1" t="inlineStr"/>
      <c r="AT1305" t="inlineStr"/>
      <c r="AU1305" t="inlineStr"/>
      <c r="AV1305" t="inlineStr"/>
      <c r="AW1305" t="inlineStr"/>
      <c r="AX1305" t="inlineStr"/>
      <c r="AY1305" t="inlineStr"/>
    </row>
    <row r="1306">
      <c r="A1306" t="inlineStr">
        <is>
          <t>HULL</t>
        </is>
      </c>
      <c r="B1306" t="inlineStr">
        <is>
          <t>KNOP US Equity</t>
        </is>
      </c>
      <c r="C1306" s="1" t="inlineStr">
        <is>
          <t>KNOP</t>
        </is>
      </c>
      <c r="D1306" t="inlineStr">
        <is>
          <t>KNOT Offshore Partners LP</t>
        </is>
      </c>
      <c r="E1306">
        <f>BDP($B1306,"LEGAL_ENTITY_IDENTIFIER")</f>
        <v/>
      </c>
      <c r="F1306" t="inlineStr">
        <is>
          <t>KNOT Offshore Partners LP</t>
        </is>
      </c>
      <c r="G1306">
        <f>custodian!D1306</f>
        <v/>
      </c>
      <c r="H1306">
        <f>BDP($B1306,"ID_ISIN")</f>
        <v/>
      </c>
      <c r="I1306" s="1" t="inlineStr">
        <is>
          <t>KNOP</t>
        </is>
      </c>
      <c r="J1306">
        <f>BDP($B1306,"CNTRY_OF_DOMICILE")</f>
        <v/>
      </c>
      <c r="K1306" t="inlineStr">
        <is>
          <t>EC</t>
        </is>
      </c>
      <c r="L1306" t="inlineStr">
        <is>
          <t>CORP</t>
        </is>
      </c>
      <c r="M1306" t="inlineStr"/>
      <c r="N1306" t="inlineStr"/>
      <c r="O1306" s="1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s="1" t="inlineStr"/>
      <c r="AR1306" s="1" t="inlineStr"/>
      <c r="AS1306" s="1" t="inlineStr"/>
      <c r="AT1306" t="inlineStr"/>
      <c r="AU1306" t="inlineStr"/>
      <c r="AV1306" t="inlineStr"/>
      <c r="AW1306" t="inlineStr"/>
      <c r="AX1306" t="inlineStr"/>
      <c r="AY1306" t="inlineStr"/>
    </row>
    <row r="1307">
      <c r="A1307" t="inlineStr">
        <is>
          <t>HULL</t>
        </is>
      </c>
      <c r="B1307" t="inlineStr">
        <is>
          <t>LPG US Equity</t>
        </is>
      </c>
      <c r="C1307" s="1" t="inlineStr">
        <is>
          <t>LPG</t>
        </is>
      </c>
      <c r="D1307" t="inlineStr">
        <is>
          <t>Dorian LPG Ltd</t>
        </is>
      </c>
      <c r="E1307">
        <f>BDP($B1307,"LEGAL_ENTITY_IDENTIFIER")</f>
        <v/>
      </c>
      <c r="F1307" t="inlineStr">
        <is>
          <t>Dorian LPG Ltd</t>
        </is>
      </c>
      <c r="G1307">
        <f>custodian!D1307</f>
        <v/>
      </c>
      <c r="H1307">
        <f>BDP($B1307,"ID_ISIN")</f>
        <v/>
      </c>
      <c r="I1307" s="1" t="inlineStr">
        <is>
          <t>LPG</t>
        </is>
      </c>
      <c r="J1307">
        <f>BDP($B1307,"CNTRY_OF_DOMICILE")</f>
        <v/>
      </c>
      <c r="K1307" t="inlineStr">
        <is>
          <t>EC</t>
        </is>
      </c>
      <c r="L1307" t="inlineStr">
        <is>
          <t>CORP</t>
        </is>
      </c>
      <c r="M1307" t="inlineStr"/>
      <c r="N1307" t="inlineStr"/>
      <c r="O1307" s="1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s="1" t="inlineStr"/>
      <c r="AR1307" s="1" t="inlineStr"/>
      <c r="AS1307" s="1" t="inlineStr"/>
      <c r="AT1307" t="inlineStr"/>
      <c r="AU1307" t="inlineStr"/>
      <c r="AV1307" t="inlineStr"/>
      <c r="AW1307" t="inlineStr"/>
      <c r="AX1307" t="inlineStr"/>
      <c r="AY1307" t="inlineStr"/>
    </row>
    <row r="1308">
      <c r="A1308" t="inlineStr">
        <is>
          <t>HULL</t>
        </is>
      </c>
      <c r="B1308" t="inlineStr">
        <is>
          <t>MATX US Equity</t>
        </is>
      </c>
      <c r="C1308" s="1" t="inlineStr">
        <is>
          <t>MATX</t>
        </is>
      </c>
      <c r="D1308" t="inlineStr">
        <is>
          <t>Matson Inc</t>
        </is>
      </c>
      <c r="E1308">
        <f>BDP($B1308,"LEGAL_ENTITY_IDENTIFIER")</f>
        <v/>
      </c>
      <c r="F1308" t="inlineStr">
        <is>
          <t>Matson Inc</t>
        </is>
      </c>
      <c r="G1308">
        <f>custodian!D1308</f>
        <v/>
      </c>
      <c r="H1308">
        <f>BDP($B1308,"ID_ISIN")</f>
        <v/>
      </c>
      <c r="I1308" s="1" t="inlineStr">
        <is>
          <t>MATX</t>
        </is>
      </c>
      <c r="J1308">
        <f>BDP($B1308,"CNTRY_OF_DOMICILE")</f>
        <v/>
      </c>
      <c r="K1308" t="inlineStr">
        <is>
          <t>EC</t>
        </is>
      </c>
      <c r="L1308" t="inlineStr">
        <is>
          <t>CORP</t>
        </is>
      </c>
      <c r="M1308" t="inlineStr"/>
      <c r="N1308" t="inlineStr"/>
      <c r="O1308" s="1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s="1" t="inlineStr"/>
      <c r="AR1308" s="1" t="inlineStr"/>
      <c r="AS1308" s="1" t="inlineStr"/>
      <c r="AT1308" t="inlineStr"/>
      <c r="AU1308" t="inlineStr"/>
      <c r="AV1308" t="inlineStr"/>
      <c r="AW1308" t="inlineStr"/>
      <c r="AX1308" t="inlineStr"/>
      <c r="AY1308" t="inlineStr"/>
    </row>
    <row r="1309">
      <c r="A1309" t="inlineStr">
        <is>
          <t>HULL</t>
        </is>
      </c>
      <c r="B1309" t="inlineStr">
        <is>
          <t>NAT US Equity</t>
        </is>
      </c>
      <c r="C1309" s="1" t="inlineStr">
        <is>
          <t>NAT</t>
        </is>
      </c>
      <c r="D1309" t="inlineStr">
        <is>
          <t>Nordic American Tankers Ltd</t>
        </is>
      </c>
      <c r="E1309">
        <f>BDP($B1309,"LEGAL_ENTITY_IDENTIFIER")</f>
        <v/>
      </c>
      <c r="F1309" t="inlineStr">
        <is>
          <t>Nordic American Tankers Ltd</t>
        </is>
      </c>
      <c r="G1309">
        <f>custodian!D1309</f>
        <v/>
      </c>
      <c r="H1309">
        <f>BDP($B1309,"ID_ISIN")</f>
        <v/>
      </c>
      <c r="I1309" s="1" t="inlineStr">
        <is>
          <t>NAT</t>
        </is>
      </c>
      <c r="J1309">
        <f>BDP($B1309,"CNTRY_OF_DOMICILE")</f>
        <v/>
      </c>
      <c r="K1309" t="inlineStr">
        <is>
          <t>EC</t>
        </is>
      </c>
      <c r="L1309" t="inlineStr">
        <is>
          <t>CORP</t>
        </is>
      </c>
      <c r="M1309" t="inlineStr"/>
      <c r="N1309" t="inlineStr"/>
      <c r="O1309" s="1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s="1" t="inlineStr"/>
      <c r="AR1309" s="1" t="inlineStr"/>
      <c r="AS1309" s="1" t="inlineStr"/>
      <c r="AT1309" t="inlineStr"/>
      <c r="AU1309" t="inlineStr"/>
      <c r="AV1309" t="inlineStr"/>
      <c r="AW1309" t="inlineStr"/>
      <c r="AX1309" t="inlineStr"/>
      <c r="AY1309" t="inlineStr"/>
    </row>
    <row r="1310">
      <c r="A1310" t="inlineStr">
        <is>
          <t>HULL</t>
        </is>
      </c>
      <c r="B1310" t="inlineStr">
        <is>
          <t>NVGS US Equity</t>
        </is>
      </c>
      <c r="C1310" s="1" t="inlineStr">
        <is>
          <t>NVGS</t>
        </is>
      </c>
      <c r="D1310" t="inlineStr">
        <is>
          <t>Navigator Holdings Ltd</t>
        </is>
      </c>
      <c r="E1310">
        <f>BDP($B1310,"LEGAL_ENTITY_IDENTIFIER")</f>
        <v/>
      </c>
      <c r="F1310" t="inlineStr">
        <is>
          <t>Navigator Holdings Ltd</t>
        </is>
      </c>
      <c r="G1310">
        <f>custodian!D1310</f>
        <v/>
      </c>
      <c r="H1310">
        <f>BDP($B1310,"ID_ISIN")</f>
        <v/>
      </c>
      <c r="I1310" s="1" t="inlineStr">
        <is>
          <t>NVGS</t>
        </is>
      </c>
      <c r="J1310">
        <f>BDP($B1310,"CNTRY_OF_DOMICILE")</f>
        <v/>
      </c>
      <c r="K1310" t="inlineStr">
        <is>
          <t>EC</t>
        </is>
      </c>
      <c r="L1310" t="inlineStr">
        <is>
          <t>CORP</t>
        </is>
      </c>
      <c r="M1310" t="inlineStr"/>
      <c r="N1310" t="inlineStr"/>
      <c r="O1310" s="1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s="1" t="inlineStr"/>
      <c r="AR1310" s="1" t="inlineStr"/>
      <c r="AS1310" s="1" t="inlineStr"/>
      <c r="AT1310" t="inlineStr"/>
      <c r="AU1310" t="inlineStr"/>
      <c r="AV1310" t="inlineStr"/>
      <c r="AW1310" t="inlineStr"/>
      <c r="AX1310" t="inlineStr"/>
      <c r="AY1310" t="inlineStr"/>
    </row>
    <row r="1311">
      <c r="A1311" t="inlineStr">
        <is>
          <t>HULL</t>
        </is>
      </c>
      <c r="B1311" t="inlineStr">
        <is>
          <t>ODFL US Equity</t>
        </is>
      </c>
      <c r="C1311" s="1" t="inlineStr">
        <is>
          <t>ODFL</t>
        </is>
      </c>
      <c r="D1311" t="inlineStr">
        <is>
          <t>Old Dominion Freight Line Inc</t>
        </is>
      </c>
      <c r="E1311">
        <f>BDP($B1311,"LEGAL_ENTITY_IDENTIFIER")</f>
        <v/>
      </c>
      <c r="F1311" t="inlineStr">
        <is>
          <t>Old Dominion Freight Line Inc</t>
        </is>
      </c>
      <c r="G1311">
        <f>custodian!D1311</f>
        <v/>
      </c>
      <c r="H1311">
        <f>BDP($B1311,"ID_ISIN")</f>
        <v/>
      </c>
      <c r="I1311" s="1" t="inlineStr">
        <is>
          <t>ODFL</t>
        </is>
      </c>
      <c r="J1311">
        <f>BDP($B1311,"CNTRY_OF_DOMICILE")</f>
        <v/>
      </c>
      <c r="K1311" t="inlineStr">
        <is>
          <t>EC</t>
        </is>
      </c>
      <c r="L1311" t="inlineStr">
        <is>
          <t>CORP</t>
        </is>
      </c>
      <c r="M1311" t="inlineStr"/>
      <c r="N1311" t="inlineStr"/>
      <c r="O1311" s="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s="1" t="inlineStr"/>
      <c r="AR1311" s="1" t="inlineStr"/>
      <c r="AS1311" s="1" t="inlineStr"/>
      <c r="AT1311" t="inlineStr"/>
      <c r="AU1311" t="inlineStr"/>
      <c r="AV1311" t="inlineStr"/>
      <c r="AW1311" t="inlineStr"/>
      <c r="AX1311" t="inlineStr"/>
      <c r="AY1311" t="inlineStr"/>
    </row>
    <row r="1312">
      <c r="A1312" t="inlineStr">
        <is>
          <t>HULL</t>
        </is>
      </c>
      <c r="B1312" t="inlineStr">
        <is>
          <t>PANL US Equity</t>
        </is>
      </c>
      <c r="C1312" s="1" t="inlineStr">
        <is>
          <t>PANL</t>
        </is>
      </c>
      <c r="D1312" t="inlineStr">
        <is>
          <t>PANGAEA LOGISTICS SOLUTIONS LT</t>
        </is>
      </c>
      <c r="E1312">
        <f>BDP($B1312,"LEGAL_ENTITY_IDENTIFIER")</f>
        <v/>
      </c>
      <c r="F1312" t="inlineStr">
        <is>
          <t>PANGAEA LOGISTICS SOLUTIONS LT</t>
        </is>
      </c>
      <c r="G1312">
        <f>custodian!D1312</f>
        <v/>
      </c>
      <c r="H1312">
        <f>BDP($B1312,"ID_ISIN")</f>
        <v/>
      </c>
      <c r="I1312" s="1" t="inlineStr">
        <is>
          <t>PANL</t>
        </is>
      </c>
      <c r="J1312">
        <f>BDP($B1312,"CNTRY_OF_DOMICILE")</f>
        <v/>
      </c>
      <c r="K1312" t="inlineStr">
        <is>
          <t>EC</t>
        </is>
      </c>
      <c r="L1312" t="inlineStr">
        <is>
          <t>CORP</t>
        </is>
      </c>
      <c r="M1312" t="inlineStr"/>
      <c r="N1312" t="inlineStr"/>
      <c r="O1312" s="1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s="1" t="inlineStr"/>
      <c r="AR1312" s="1" t="inlineStr"/>
      <c r="AS1312" s="1" t="inlineStr"/>
      <c r="AT1312" t="inlineStr"/>
      <c r="AU1312" t="inlineStr"/>
      <c r="AV1312" t="inlineStr"/>
      <c r="AW1312" t="inlineStr"/>
      <c r="AX1312" t="inlineStr"/>
      <c r="AY1312" t="inlineStr"/>
    </row>
    <row r="1313">
      <c r="A1313" t="inlineStr">
        <is>
          <t>HULL</t>
        </is>
      </c>
      <c r="B1313" t="inlineStr">
        <is>
          <t>SBLK US Equity</t>
        </is>
      </c>
      <c r="C1313" s="1" t="inlineStr">
        <is>
          <t>SBLK</t>
        </is>
      </c>
      <c r="D1313" t="inlineStr">
        <is>
          <t>Star Bulk Carriers Corp</t>
        </is>
      </c>
      <c r="E1313">
        <f>BDP($B1313,"LEGAL_ENTITY_IDENTIFIER")</f>
        <v/>
      </c>
      <c r="F1313" t="inlineStr">
        <is>
          <t>Star Bulk Carriers Corp</t>
        </is>
      </c>
      <c r="G1313">
        <f>custodian!D1313</f>
        <v/>
      </c>
      <c r="H1313">
        <f>BDP($B1313,"ID_ISIN")</f>
        <v/>
      </c>
      <c r="I1313" s="1" t="inlineStr">
        <is>
          <t>SBLK</t>
        </is>
      </c>
      <c r="J1313">
        <f>BDP($B1313,"CNTRY_OF_DOMICILE")</f>
        <v/>
      </c>
      <c r="K1313" t="inlineStr">
        <is>
          <t>EC</t>
        </is>
      </c>
      <c r="L1313" t="inlineStr">
        <is>
          <t>CORP</t>
        </is>
      </c>
      <c r="M1313" t="inlineStr"/>
      <c r="N1313" t="inlineStr"/>
      <c r="O1313" s="1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s="1" t="inlineStr"/>
      <c r="AR1313" s="1" t="inlineStr"/>
      <c r="AS1313" s="1" t="inlineStr"/>
      <c r="AT1313" t="inlineStr"/>
      <c r="AU1313" t="inlineStr"/>
      <c r="AV1313" t="inlineStr"/>
      <c r="AW1313" t="inlineStr"/>
      <c r="AX1313" t="inlineStr"/>
      <c r="AY1313" t="inlineStr"/>
    </row>
    <row r="1314">
      <c r="A1314" t="inlineStr">
        <is>
          <t>HULL</t>
        </is>
      </c>
      <c r="B1314" t="inlineStr">
        <is>
          <t>SFL US Equity</t>
        </is>
      </c>
      <c r="C1314" s="1" t="inlineStr">
        <is>
          <t>SFL</t>
        </is>
      </c>
      <c r="D1314" t="inlineStr">
        <is>
          <t>SFL Corp Ltd</t>
        </is>
      </c>
      <c r="E1314">
        <f>BDP($B1314,"LEGAL_ENTITY_IDENTIFIER")</f>
        <v/>
      </c>
      <c r="F1314" t="inlineStr">
        <is>
          <t>SFL Corp Ltd</t>
        </is>
      </c>
      <c r="G1314">
        <f>custodian!D1314</f>
        <v/>
      </c>
      <c r="H1314">
        <f>BDP($B1314,"ID_ISIN")</f>
        <v/>
      </c>
      <c r="I1314" s="1" t="inlineStr">
        <is>
          <t>SFL</t>
        </is>
      </c>
      <c r="J1314">
        <f>BDP($B1314,"CNTRY_OF_DOMICILE")</f>
        <v/>
      </c>
      <c r="K1314" t="inlineStr">
        <is>
          <t>EC</t>
        </is>
      </c>
      <c r="L1314" t="inlineStr">
        <is>
          <t>CORP</t>
        </is>
      </c>
      <c r="M1314" t="inlineStr"/>
      <c r="N1314" t="inlineStr"/>
      <c r="O1314" s="1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s="1" t="inlineStr"/>
      <c r="AR1314" s="1" t="inlineStr"/>
      <c r="AS1314" s="1" t="inlineStr"/>
      <c r="AT1314" t="inlineStr"/>
      <c r="AU1314" t="inlineStr"/>
      <c r="AV1314" t="inlineStr"/>
      <c r="AW1314" t="inlineStr"/>
      <c r="AX1314" t="inlineStr"/>
      <c r="AY1314" t="inlineStr"/>
    </row>
    <row r="1315">
      <c r="A1315" t="inlineStr">
        <is>
          <t>HULL</t>
        </is>
      </c>
      <c r="B1315" t="inlineStr">
        <is>
          <t>SHIP US Equity</t>
        </is>
      </c>
      <c r="C1315" s="1" t="inlineStr">
        <is>
          <t>SHIP</t>
        </is>
      </c>
      <c r="D1315" t="inlineStr">
        <is>
          <t>Seanergy Maritime Holdings Cor</t>
        </is>
      </c>
      <c r="E1315">
        <f>BDP($B1315,"LEGAL_ENTITY_IDENTIFIER")</f>
        <v/>
      </c>
      <c r="F1315" t="inlineStr">
        <is>
          <t>Seanergy Maritime Holdings Corp</t>
        </is>
      </c>
      <c r="G1315">
        <f>custodian!D1315</f>
        <v/>
      </c>
      <c r="H1315">
        <f>BDP($B1315,"ID_ISIN")</f>
        <v/>
      </c>
      <c r="I1315" s="1" t="inlineStr">
        <is>
          <t>SHIP</t>
        </is>
      </c>
      <c r="J1315">
        <f>BDP($B1315,"CNTRY_OF_DOMICILE")</f>
        <v/>
      </c>
      <c r="K1315" t="inlineStr">
        <is>
          <t>EC</t>
        </is>
      </c>
      <c r="L1315" t="inlineStr">
        <is>
          <t>CORP</t>
        </is>
      </c>
      <c r="M1315" t="inlineStr"/>
      <c r="N1315" t="inlineStr"/>
      <c r="O1315" s="1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s="1" t="inlineStr"/>
      <c r="AR1315" s="1" t="inlineStr"/>
      <c r="AS1315" s="1" t="inlineStr"/>
      <c r="AT1315" t="inlineStr"/>
      <c r="AU1315" t="inlineStr"/>
      <c r="AV1315" t="inlineStr"/>
      <c r="AW1315" t="inlineStr"/>
      <c r="AX1315" t="inlineStr"/>
      <c r="AY1315" t="inlineStr"/>
    </row>
    <row r="1316">
      <c r="A1316" t="inlineStr">
        <is>
          <t>HULL</t>
        </is>
      </c>
      <c r="B1316" t="inlineStr">
        <is>
          <t>STNG US Equity</t>
        </is>
      </c>
      <c r="C1316" s="1" t="inlineStr">
        <is>
          <t>STNG</t>
        </is>
      </c>
      <c r="D1316" t="inlineStr">
        <is>
          <t>Scorpio Tankers Inc</t>
        </is>
      </c>
      <c r="E1316">
        <f>BDP($B1316,"LEGAL_ENTITY_IDENTIFIER")</f>
        <v/>
      </c>
      <c r="F1316" t="inlineStr">
        <is>
          <t>Scorpio Tankers Inc</t>
        </is>
      </c>
      <c r="G1316">
        <f>custodian!D1316</f>
        <v/>
      </c>
      <c r="H1316">
        <f>BDP($B1316,"ID_ISIN")</f>
        <v/>
      </c>
      <c r="I1316" s="1" t="inlineStr">
        <is>
          <t>STNG</t>
        </is>
      </c>
      <c r="J1316">
        <f>BDP($B1316,"CNTRY_OF_DOMICILE")</f>
        <v/>
      </c>
      <c r="K1316" t="inlineStr">
        <is>
          <t>EC</t>
        </is>
      </c>
      <c r="L1316" t="inlineStr">
        <is>
          <t>CORP</t>
        </is>
      </c>
      <c r="M1316" t="inlineStr"/>
      <c r="N1316" t="inlineStr"/>
      <c r="O1316" s="1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s="1" t="inlineStr"/>
      <c r="AR1316" s="1" t="inlineStr"/>
      <c r="AS1316" s="1" t="inlineStr"/>
      <c r="AT1316" t="inlineStr"/>
      <c r="AU1316" t="inlineStr"/>
      <c r="AV1316" t="inlineStr"/>
      <c r="AW1316" t="inlineStr"/>
      <c r="AX1316" t="inlineStr"/>
      <c r="AY1316" t="inlineStr"/>
    </row>
    <row r="1317">
      <c r="A1317" t="inlineStr">
        <is>
          <t>HULL</t>
        </is>
      </c>
      <c r="B1317" t="inlineStr">
        <is>
          <t>TEN US Equity</t>
        </is>
      </c>
      <c r="C1317" s="1" t="inlineStr">
        <is>
          <t>TEN</t>
        </is>
      </c>
      <c r="D1317" t="inlineStr">
        <is>
          <t>Tsakos Energy Navigation Ltd</t>
        </is>
      </c>
      <c r="E1317">
        <f>BDP($B1317,"LEGAL_ENTITY_IDENTIFIER")</f>
        <v/>
      </c>
      <c r="F1317" t="inlineStr">
        <is>
          <t>Tsakos Energy Navigation Ltd</t>
        </is>
      </c>
      <c r="G1317">
        <f>custodian!D1317</f>
        <v/>
      </c>
      <c r="H1317">
        <f>BDP($B1317,"ID_ISIN")</f>
        <v/>
      </c>
      <c r="I1317" s="1" t="inlineStr">
        <is>
          <t>TEN</t>
        </is>
      </c>
      <c r="J1317">
        <f>BDP($B1317,"CNTRY_OF_DOMICILE")</f>
        <v/>
      </c>
      <c r="K1317" t="inlineStr">
        <is>
          <t>EC</t>
        </is>
      </c>
      <c r="L1317" t="inlineStr">
        <is>
          <t>CORP</t>
        </is>
      </c>
      <c r="M1317" t="inlineStr"/>
      <c r="N1317" t="inlineStr"/>
      <c r="O1317" s="1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s="1" t="inlineStr"/>
      <c r="AR1317" s="1" t="inlineStr"/>
      <c r="AS1317" s="1" t="inlineStr"/>
      <c r="AT1317" t="inlineStr"/>
      <c r="AU1317" t="inlineStr"/>
      <c r="AV1317" t="inlineStr"/>
      <c r="AW1317" t="inlineStr"/>
      <c r="AX1317" t="inlineStr"/>
      <c r="AY1317" t="inlineStr"/>
    </row>
    <row r="1318">
      <c r="A1318" t="inlineStr">
        <is>
          <t>HULL</t>
        </is>
      </c>
      <c r="B1318" t="inlineStr">
        <is>
          <t>TNK US Equity</t>
        </is>
      </c>
      <c r="C1318" s="1" t="inlineStr">
        <is>
          <t>TNK</t>
        </is>
      </c>
      <c r="D1318" t="inlineStr">
        <is>
          <t>Teekay Tankers Ltd</t>
        </is>
      </c>
      <c r="E1318">
        <f>BDP($B1318,"LEGAL_ENTITY_IDENTIFIER")</f>
        <v/>
      </c>
      <c r="F1318" t="inlineStr">
        <is>
          <t>Teekay Tankers Ltd</t>
        </is>
      </c>
      <c r="G1318">
        <f>custodian!D1318</f>
        <v/>
      </c>
      <c r="H1318">
        <f>BDP($B1318,"ID_ISIN")</f>
        <v/>
      </c>
      <c r="I1318" s="1" t="inlineStr">
        <is>
          <t>TNK</t>
        </is>
      </c>
      <c r="J1318">
        <f>BDP($B1318,"CNTRY_OF_DOMICILE")</f>
        <v/>
      </c>
      <c r="K1318" t="inlineStr">
        <is>
          <t>EC</t>
        </is>
      </c>
      <c r="L1318" t="inlineStr">
        <is>
          <t>CORP</t>
        </is>
      </c>
      <c r="M1318" t="inlineStr"/>
      <c r="N1318" t="inlineStr"/>
      <c r="O1318" s="1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s="1" t="inlineStr"/>
      <c r="AR1318" s="1" t="inlineStr"/>
      <c r="AS1318" s="1" t="inlineStr"/>
      <c r="AT1318" t="inlineStr"/>
      <c r="AU1318" t="inlineStr"/>
      <c r="AV1318" t="inlineStr"/>
      <c r="AW1318" t="inlineStr"/>
      <c r="AX1318" t="inlineStr"/>
      <c r="AY1318" t="inlineStr"/>
    </row>
    <row r="1319">
      <c r="A1319" t="inlineStr">
        <is>
          <t>HULL</t>
        </is>
      </c>
      <c r="B1319" t="inlineStr">
        <is>
          <t>TRMD US Equity</t>
        </is>
      </c>
      <c r="C1319" s="1" t="inlineStr">
        <is>
          <t>TRMD</t>
        </is>
      </c>
      <c r="D1319" t="inlineStr">
        <is>
          <t>TORM PLC</t>
        </is>
      </c>
      <c r="E1319">
        <f>BDP($B1319,"LEGAL_ENTITY_IDENTIFIER")</f>
        <v/>
      </c>
      <c r="F1319" t="inlineStr">
        <is>
          <t>TORM PLC</t>
        </is>
      </c>
      <c r="G1319">
        <f>custodian!D1319</f>
        <v/>
      </c>
      <c r="H1319">
        <f>BDP($B1319,"ID_ISIN")</f>
        <v/>
      </c>
      <c r="I1319" s="1" t="inlineStr">
        <is>
          <t>TRMD</t>
        </is>
      </c>
      <c r="J1319">
        <f>BDP($B1319,"CNTRY_OF_DOMICILE")</f>
        <v/>
      </c>
      <c r="K1319" t="inlineStr">
        <is>
          <t>EC</t>
        </is>
      </c>
      <c r="L1319" t="inlineStr">
        <is>
          <t>CORP</t>
        </is>
      </c>
      <c r="M1319" t="inlineStr"/>
      <c r="N1319" t="inlineStr"/>
      <c r="O1319" s="1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s="1" t="inlineStr"/>
      <c r="AR1319" s="1" t="inlineStr"/>
      <c r="AS1319" s="1" t="inlineStr"/>
      <c r="AT1319" t="inlineStr"/>
      <c r="AU1319" t="inlineStr"/>
      <c r="AV1319" t="inlineStr"/>
      <c r="AW1319" t="inlineStr"/>
      <c r="AX1319" t="inlineStr"/>
      <c r="AY1319" t="inlineStr"/>
    </row>
    <row r="1320">
      <c r="A1320" t="inlineStr">
        <is>
          <t>HULL</t>
        </is>
      </c>
      <c r="B1320" t="inlineStr">
        <is>
          <t>UPS US Equity</t>
        </is>
      </c>
      <c r="C1320" s="1" t="inlineStr">
        <is>
          <t>UPS</t>
        </is>
      </c>
      <c r="D1320" t="inlineStr">
        <is>
          <t>United Parcel Service Inc</t>
        </is>
      </c>
      <c r="E1320">
        <f>BDP($B1320,"LEGAL_ENTITY_IDENTIFIER")</f>
        <v/>
      </c>
      <c r="F1320" t="inlineStr">
        <is>
          <t>United Parcel Service Inc</t>
        </is>
      </c>
      <c r="G1320">
        <f>custodian!D1320</f>
        <v/>
      </c>
      <c r="H1320">
        <f>BDP($B1320,"ID_ISIN")</f>
        <v/>
      </c>
      <c r="I1320" s="1" t="inlineStr">
        <is>
          <t>UPS</t>
        </is>
      </c>
      <c r="J1320">
        <f>BDP($B1320,"CNTRY_OF_DOMICILE")</f>
        <v/>
      </c>
      <c r="K1320" t="inlineStr">
        <is>
          <t>EC</t>
        </is>
      </c>
      <c r="L1320" t="inlineStr">
        <is>
          <t>CORP</t>
        </is>
      </c>
      <c r="M1320" t="inlineStr"/>
      <c r="N1320" t="inlineStr"/>
      <c r="O1320" s="1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s="1" t="inlineStr"/>
      <c r="AR1320" s="1" t="inlineStr"/>
      <c r="AS1320" s="1" t="inlineStr"/>
      <c r="AT1320" t="inlineStr"/>
      <c r="AU1320" t="inlineStr"/>
      <c r="AV1320" t="inlineStr"/>
      <c r="AW1320" t="inlineStr"/>
      <c r="AX1320" t="inlineStr"/>
      <c r="AY1320" t="inlineStr"/>
    </row>
    <row r="1321">
      <c r="A1321" t="inlineStr">
        <is>
          <t>HULL</t>
        </is>
      </c>
      <c r="B1321" t="inlineStr">
        <is>
          <t>XPO US Equity</t>
        </is>
      </c>
      <c r="C1321" s="1" t="inlineStr">
        <is>
          <t>XPO</t>
        </is>
      </c>
      <c r="D1321" t="inlineStr">
        <is>
          <t>XPO Inc</t>
        </is>
      </c>
      <c r="E1321">
        <f>BDP($B1321,"LEGAL_ENTITY_IDENTIFIER")</f>
        <v/>
      </c>
      <c r="F1321" t="inlineStr">
        <is>
          <t>XPO Inc</t>
        </is>
      </c>
      <c r="G1321">
        <f>custodian!D1321</f>
        <v/>
      </c>
      <c r="H1321">
        <f>BDP($B1321,"ID_ISIN")</f>
        <v/>
      </c>
      <c r="I1321" s="1" t="inlineStr">
        <is>
          <t>XPO</t>
        </is>
      </c>
      <c r="J1321">
        <f>BDP($B1321,"CNTRY_OF_DOMICILE")</f>
        <v/>
      </c>
      <c r="K1321" t="inlineStr">
        <is>
          <t>EC</t>
        </is>
      </c>
      <c r="L1321" t="inlineStr">
        <is>
          <t>CORP</t>
        </is>
      </c>
      <c r="M1321" t="inlineStr"/>
      <c r="N1321" t="inlineStr"/>
      <c r="O1321" s="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s="1" t="inlineStr"/>
      <c r="AR1321" s="1" t="inlineStr"/>
      <c r="AS1321" s="1" t="inlineStr"/>
      <c r="AT1321" t="inlineStr"/>
      <c r="AU1321" t="inlineStr"/>
      <c r="AV1321" t="inlineStr"/>
      <c r="AW1321" t="inlineStr"/>
      <c r="AX1321" t="inlineStr"/>
      <c r="AY1321" t="inlineStr"/>
    </row>
    <row r="1322">
      <c r="A1322" t="inlineStr">
        <is>
          <t>HULL</t>
        </is>
      </c>
      <c r="B1322" t="inlineStr">
        <is>
          <t>ZIM US Equity</t>
        </is>
      </c>
      <c r="C1322" s="1" t="inlineStr">
        <is>
          <t>ZIM</t>
        </is>
      </c>
      <c r="D1322" t="inlineStr">
        <is>
          <t>ZIM Integrated Shipping Servic</t>
        </is>
      </c>
      <c r="E1322">
        <f>BDP($B1322,"LEGAL_ENTITY_IDENTIFIER")</f>
        <v/>
      </c>
      <c r="F1322" t="inlineStr">
        <is>
          <t>ZIM Integrated Shipping Services Ltd</t>
        </is>
      </c>
      <c r="G1322">
        <f>custodian!D1322</f>
        <v/>
      </c>
      <c r="H1322">
        <f>BDP($B1322,"ID_ISIN")</f>
        <v/>
      </c>
      <c r="I1322" s="1" t="inlineStr">
        <is>
          <t>ZIM</t>
        </is>
      </c>
      <c r="J1322">
        <f>BDP($B1322,"CNTRY_OF_DOMICILE")</f>
        <v/>
      </c>
      <c r="K1322" t="inlineStr">
        <is>
          <t>EC</t>
        </is>
      </c>
      <c r="L1322" t="inlineStr">
        <is>
          <t>CORP</t>
        </is>
      </c>
      <c r="M1322" t="inlineStr"/>
      <c r="N1322" t="inlineStr"/>
      <c r="O1322" s="1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s="1" t="inlineStr"/>
      <c r="AR1322" s="1" t="inlineStr"/>
      <c r="AS1322" s="1" t="inlineStr"/>
      <c r="AT1322" t="inlineStr"/>
      <c r="AU1322" t="inlineStr"/>
      <c r="AV1322" t="inlineStr"/>
      <c r="AW1322" t="inlineStr"/>
      <c r="AX1322" t="inlineStr"/>
      <c r="AY1322" t="inlineStr"/>
    </row>
    <row r="1323">
      <c r="A1323" t="inlineStr">
        <is>
          <t>HULL</t>
        </is>
      </c>
      <c r="B1323" t="inlineStr"/>
      <c r="C1323" s="1" t="inlineStr">
        <is>
          <t>Cash&amp;Other</t>
        </is>
      </c>
      <c r="D1323" t="inlineStr"/>
      <c r="E1323" s="1" t="inlineStr"/>
      <c r="F1323" t="inlineStr"/>
      <c r="G1323">
        <f>custodian!D1323</f>
        <v/>
      </c>
      <c r="H1323" s="1" t="inlineStr"/>
      <c r="I1323" s="1" t="inlineStr"/>
      <c r="J1323" t="inlineStr"/>
      <c r="K1323" t="inlineStr"/>
      <c r="L1323" t="inlineStr"/>
      <c r="M1323" t="inlineStr"/>
      <c r="N1323" t="inlineStr"/>
      <c r="O1323" s="1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s="1" t="inlineStr"/>
      <c r="AR1323" s="1" t="inlineStr"/>
      <c r="AS1323" s="1" t="inlineStr"/>
      <c r="AT1323" t="inlineStr"/>
      <c r="AU1323" t="inlineStr"/>
      <c r="AV1323" t="inlineStr"/>
      <c r="AW1323" t="inlineStr"/>
      <c r="AX1323" t="inlineStr"/>
      <c r="AY1323" t="inlineStr"/>
    </row>
    <row r="1324">
      <c r="A1324" t="inlineStr">
        <is>
          <t>IDJN</t>
        </is>
      </c>
      <c r="B1324" t="inlineStr"/>
      <c r="C1324" s="1" t="inlineStr">
        <is>
          <t>2EFA  270528C00020890</t>
        </is>
      </c>
      <c r="D1324" t="inlineStr">
        <is>
          <t>EFA 05/28/2027 20.89 C</t>
        </is>
      </c>
      <c r="E1324" s="1" t="inlineStr">
        <is>
          <t>N/A</t>
        </is>
      </c>
      <c r="F1324" t="inlineStr">
        <is>
          <t>EFA 05/28/2027 20.89 C</t>
        </is>
      </c>
      <c r="G1324">
        <f>custodian!D1324</f>
        <v/>
      </c>
      <c r="H1324" s="1" t="inlineStr"/>
      <c r="I1324" s="1" t="inlineStr">
        <is>
          <t>EFA-C20.89-20270528</t>
        </is>
      </c>
      <c r="J1324" t="inlineStr">
        <is>
          <t>US</t>
        </is>
      </c>
      <c r="K1324" t="inlineStr">
        <is>
          <t>DE</t>
        </is>
      </c>
      <c r="L1324" t="inlineStr">
        <is>
          <t>CORP</t>
        </is>
      </c>
      <c r="M1324" t="inlineStr">
        <is>
          <t>OPT</t>
        </is>
      </c>
      <c r="N1324" t="inlineStr">
        <is>
          <t>The Options Clearing Corporation</t>
        </is>
      </c>
      <c r="O1324" s="1" t="inlineStr">
        <is>
          <t>549300CII6SLYGKNHA04</t>
        </is>
      </c>
      <c r="P1324" t="inlineStr">
        <is>
          <t>Call</t>
        </is>
      </c>
      <c r="Q1324" t="inlineStr">
        <is>
          <t>Purchased</t>
        </is>
      </c>
      <c r="R1324" t="inlineStr">
        <is>
          <t>20.89</t>
        </is>
      </c>
      <c r="S1324" t="inlineStr">
        <is>
          <t>USD</t>
        </is>
      </c>
      <c r="T1324" t="inlineStr">
        <is>
          <t>2027-05-28</t>
        </is>
      </c>
      <c r="U1324" t="inlineStr">
        <is>
          <t>N/A</t>
        </is>
      </c>
      <c r="V1324" t="inlineStr">
        <is>
          <t>indexBasket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-23952.46</t>
        </is>
      </c>
      <c r="AD1324" t="inlineStr">
        <is>
          <t>775441.74</t>
        </is>
      </c>
      <c r="AE1324" t="inlineStr">
        <is>
          <t>78.91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s="1" t="inlineStr"/>
      <c r="AR1324" s="1" t="inlineStr"/>
      <c r="AS1324" s="1" t="inlineStr"/>
      <c r="AT1324" t="inlineStr"/>
      <c r="AU1324" t="inlineStr"/>
      <c r="AV1324" t="inlineStr"/>
      <c r="AW1324" t="inlineStr"/>
      <c r="AX1324" t="inlineStr"/>
      <c r="AY1324" t="inlineStr"/>
    </row>
    <row r="1325">
      <c r="A1325" t="inlineStr">
        <is>
          <t>IDJN</t>
        </is>
      </c>
      <c r="B1325" t="inlineStr"/>
      <c r="C1325" s="1" t="inlineStr">
        <is>
          <t>2EFA  270528C00120890</t>
        </is>
      </c>
      <c r="D1325" t="inlineStr">
        <is>
          <t>EFA 05/28/2027 120.89 C</t>
        </is>
      </c>
      <c r="E1325" s="1" t="inlineStr">
        <is>
          <t>N/A</t>
        </is>
      </c>
      <c r="F1325" t="inlineStr">
        <is>
          <t>EFA 05/28/2027 120.89 C</t>
        </is>
      </c>
      <c r="G1325">
        <f>custodian!D1325</f>
        <v/>
      </c>
      <c r="H1325" s="1" t="inlineStr"/>
      <c r="I1325" s="1" t="inlineStr">
        <is>
          <t>EFA-C120.89-20270528</t>
        </is>
      </c>
      <c r="J1325" t="inlineStr">
        <is>
          <t>US</t>
        </is>
      </c>
      <c r="K1325" t="inlineStr">
        <is>
          <t>DE</t>
        </is>
      </c>
      <c r="L1325" t="inlineStr">
        <is>
          <t>CORP</t>
        </is>
      </c>
      <c r="M1325" t="inlineStr">
        <is>
          <t>OPT</t>
        </is>
      </c>
      <c r="N1325" t="inlineStr">
        <is>
          <t>The Options Clearing Corporation</t>
        </is>
      </c>
      <c r="O1325" s="1" t="inlineStr">
        <is>
          <t>549300CII6SLYGKNHA04</t>
        </is>
      </c>
      <c r="P1325" t="inlineStr">
        <is>
          <t>Call</t>
        </is>
      </c>
      <c r="Q1325" t="inlineStr">
        <is>
          <t>Written</t>
        </is>
      </c>
      <c r="R1325" t="inlineStr">
        <is>
          <t>120.89</t>
        </is>
      </c>
      <c r="S1325" t="inlineStr">
        <is>
          <t>USD</t>
        </is>
      </c>
      <c r="T1325" t="inlineStr">
        <is>
          <t>2027-05-28</t>
        </is>
      </c>
      <c r="U1325" t="inlineStr">
        <is>
          <t>N/A</t>
        </is>
      </c>
      <c r="V1325" t="inlineStr">
        <is>
          <t>indexBasket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15944.49</t>
        </is>
      </c>
      <c r="AD1325" t="inlineStr">
        <is>
          <t>-12565.31</t>
        </is>
      </c>
      <c r="AE1325" t="inlineStr">
        <is>
          <t>-1.28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s="1" t="inlineStr"/>
      <c r="AR1325" s="1" t="inlineStr"/>
      <c r="AS1325" s="1" t="inlineStr"/>
      <c r="AT1325" t="inlineStr"/>
      <c r="AU1325" t="inlineStr"/>
      <c r="AV1325" t="inlineStr"/>
      <c r="AW1325" t="inlineStr"/>
      <c r="AX1325" t="inlineStr"/>
      <c r="AY1325" t="inlineStr"/>
    </row>
    <row r="1326">
      <c r="A1326" t="inlineStr">
        <is>
          <t>IDJN</t>
        </is>
      </c>
      <c r="B1326" t="inlineStr"/>
      <c r="C1326" s="1" t="inlineStr">
        <is>
          <t>2EFA  270528P00088770</t>
        </is>
      </c>
      <c r="D1326" t="inlineStr">
        <is>
          <t>EFA 05/28/2027 88.77 P</t>
        </is>
      </c>
      <c r="E1326" s="1" t="inlineStr">
        <is>
          <t>N/A</t>
        </is>
      </c>
      <c r="F1326" t="inlineStr">
        <is>
          <t>EFA 05/28/2027 88.77 P</t>
        </is>
      </c>
      <c r="G1326">
        <f>custodian!D1326</f>
        <v/>
      </c>
      <c r="H1326" s="1" t="inlineStr"/>
      <c r="I1326" s="1" t="inlineStr">
        <is>
          <t>EFA-P88.77-20270528</t>
        </is>
      </c>
      <c r="J1326" t="inlineStr">
        <is>
          <t>US</t>
        </is>
      </c>
      <c r="K1326" t="inlineStr">
        <is>
          <t>DE</t>
        </is>
      </c>
      <c r="L1326" t="inlineStr">
        <is>
          <t>CORP</t>
        </is>
      </c>
      <c r="M1326" t="inlineStr">
        <is>
          <t>OPT</t>
        </is>
      </c>
      <c r="N1326" t="inlineStr">
        <is>
          <t>The Options Clearing Corporation</t>
        </is>
      </c>
      <c r="O1326" s="1" t="inlineStr">
        <is>
          <t>549300CII6SLYGKNHA04</t>
        </is>
      </c>
      <c r="P1326" t="inlineStr">
        <is>
          <t>Put</t>
        </is>
      </c>
      <c r="Q1326" t="inlineStr">
        <is>
          <t>Written</t>
        </is>
      </c>
      <c r="R1326" t="inlineStr">
        <is>
          <t>88.77</t>
        </is>
      </c>
      <c r="S1326" t="inlineStr">
        <is>
          <t>USD</t>
        </is>
      </c>
      <c r="T1326" t="inlineStr">
        <is>
          <t>2027-05-28</t>
        </is>
      </c>
      <c r="U1326" t="inlineStr">
        <is>
          <t>N/A</t>
        </is>
      </c>
      <c r="V1326" t="inlineStr">
        <is>
          <t>indexBasket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6946.58</t>
        </is>
      </c>
      <c r="AD1326" t="inlineStr">
        <is>
          <t>-24731.22</t>
        </is>
      </c>
      <c r="AE1326" t="inlineStr">
        <is>
          <t>-2.52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s="1" t="inlineStr"/>
      <c r="AR1326" s="1" t="inlineStr"/>
      <c r="AS1326" s="1" t="inlineStr"/>
      <c r="AT1326" t="inlineStr"/>
      <c r="AU1326" t="inlineStr"/>
      <c r="AV1326" t="inlineStr"/>
      <c r="AW1326" t="inlineStr"/>
      <c r="AX1326" t="inlineStr"/>
      <c r="AY1326" t="inlineStr"/>
    </row>
    <row r="1327">
      <c r="A1327" t="inlineStr">
        <is>
          <t>IDJN</t>
        </is>
      </c>
      <c r="B1327" t="inlineStr"/>
      <c r="C1327" s="1" t="inlineStr">
        <is>
          <t>2EFA  270528P00104440</t>
        </is>
      </c>
      <c r="D1327" t="inlineStr">
        <is>
          <t>EFA 05/28/2027 104.44 P</t>
        </is>
      </c>
      <c r="E1327" s="1" t="inlineStr">
        <is>
          <t>N/A</t>
        </is>
      </c>
      <c r="F1327" t="inlineStr">
        <is>
          <t>EFA 05/28/2027 104.44 P</t>
        </is>
      </c>
      <c r="G1327">
        <f>custodian!D1327</f>
        <v/>
      </c>
      <c r="H1327" s="1" t="inlineStr"/>
      <c r="I1327" s="1" t="inlineStr">
        <is>
          <t>EFA-P104.44-20270528</t>
        </is>
      </c>
      <c r="J1327" t="inlineStr">
        <is>
          <t>US</t>
        </is>
      </c>
      <c r="K1327" t="inlineStr">
        <is>
          <t>DE</t>
        </is>
      </c>
      <c r="L1327" t="inlineStr">
        <is>
          <t>CORP</t>
        </is>
      </c>
      <c r="M1327" t="inlineStr">
        <is>
          <t>OPT</t>
        </is>
      </c>
      <c r="N1327" t="inlineStr">
        <is>
          <t>The Options Clearing Corporation</t>
        </is>
      </c>
      <c r="O1327" s="1" t="inlineStr">
        <is>
          <t>549300CII6SLYGKNHA04</t>
        </is>
      </c>
      <c r="P1327" t="inlineStr">
        <is>
          <t>Put</t>
        </is>
      </c>
      <c r="Q1327" t="inlineStr">
        <is>
          <t>Purchased</t>
        </is>
      </c>
      <c r="R1327" t="inlineStr">
        <is>
          <t>104.44</t>
        </is>
      </c>
      <c r="S1327" t="inlineStr">
        <is>
          <t>USD</t>
        </is>
      </c>
      <c r="T1327" t="inlineStr">
        <is>
          <t>2027-05-28</t>
        </is>
      </c>
      <c r="U1327" t="inlineStr">
        <is>
          <t>N/A</t>
        </is>
      </c>
      <c r="V1327" t="inlineStr">
        <is>
          <t>indexBasket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4705.90</t>
        </is>
      </c>
      <c r="AD1327" t="inlineStr">
        <is>
          <t>65188.10</t>
        </is>
      </c>
      <c r="AE1327" t="inlineStr">
        <is>
          <t>6.63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s="1" t="inlineStr"/>
      <c r="AR1327" s="1" t="inlineStr"/>
      <c r="AS1327" s="1" t="inlineStr"/>
      <c r="AT1327" t="inlineStr"/>
      <c r="AU1327" t="inlineStr"/>
      <c r="AV1327" t="inlineStr"/>
      <c r="AW1327" t="inlineStr"/>
      <c r="AX1327" t="inlineStr"/>
      <c r="AY1327" t="inlineStr"/>
    </row>
    <row r="1328">
      <c r="A1328" t="inlineStr">
        <is>
          <t>IDJN</t>
        </is>
      </c>
      <c r="B1328" t="inlineStr">
        <is>
          <t>912828ZS2 Govt</t>
        </is>
      </c>
      <c r="C1328" s="1" t="inlineStr">
        <is>
          <t>912828ZS2</t>
        </is>
      </c>
      <c r="D1328" t="inlineStr">
        <is>
          <t>United States Treasury Note/Bo</t>
        </is>
      </c>
      <c r="E1328">
        <f>BDP($B1328,"LEGAL_ENTITY_IDENTIFIER")</f>
        <v/>
      </c>
      <c r="F1328" t="inlineStr">
        <is>
          <t>United States Treasury Note/Bond 0.5% 05/31/2027</t>
        </is>
      </c>
      <c r="G1328">
        <f>custodian!D1328</f>
        <v/>
      </c>
      <c r="H1328">
        <f>BDP($B1328,"ID_ISIN")</f>
        <v/>
      </c>
      <c r="I1328" s="1" t="inlineStr"/>
      <c r="J1328">
        <f>BDP($B1328,"CNTRY_OF_DOMICILE")</f>
        <v/>
      </c>
      <c r="K1328" t="inlineStr">
        <is>
          <t>DBT</t>
        </is>
      </c>
      <c r="L1328" t="inlineStr">
        <is>
          <t>UST</t>
        </is>
      </c>
      <c r="M1328" t="inlineStr"/>
      <c r="N1328" t="inlineStr"/>
      <c r="O1328" s="1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s="1" t="inlineStr"/>
      <c r="AR1328" s="1" t="inlineStr"/>
      <c r="AS1328" s="1" t="inlineStr"/>
      <c r="AT1328">
        <f>TEXT(BDP($B1328,"MATURITY"),"yyyy-mm-dd")</f>
        <v/>
      </c>
      <c r="AU1328">
        <f>BDP($B1328,"CPN_TYP")</f>
        <v/>
      </c>
      <c r="AV1328">
        <f>BDP($B1328,"CPN")</f>
        <v/>
      </c>
      <c r="AW1328" t="inlineStr"/>
      <c r="AX1328" t="inlineStr"/>
      <c r="AY1328" t="inlineStr"/>
    </row>
    <row r="1329">
      <c r="A1329" t="inlineStr">
        <is>
          <t>IDJN</t>
        </is>
      </c>
      <c r="B1329" t="inlineStr">
        <is>
          <t>FGXXX US Equity</t>
        </is>
      </c>
      <c r="C1329" s="1" t="inlineStr">
        <is>
          <t>FGXXX</t>
        </is>
      </c>
      <c r="D1329" t="inlineStr">
        <is>
          <t>First American Government Obli</t>
        </is>
      </c>
      <c r="E1329">
        <f>BDP($B1329,"LEGAL_ENTITY_IDENTIFIER")</f>
        <v/>
      </c>
      <c r="F1329" t="inlineStr">
        <is>
          <t>First American Government Obligations Fund</t>
        </is>
      </c>
      <c r="G1329">
        <f>custodian!D1329</f>
        <v/>
      </c>
      <c r="H1329">
        <f>BDP($B1329,"ID_ISIN")</f>
        <v/>
      </c>
      <c r="I1329" s="1" t="inlineStr">
        <is>
          <t>FGXXX</t>
        </is>
      </c>
      <c r="J1329">
        <f>BDP($B1329,"CNTRY_OF_DOMICILE")</f>
        <v/>
      </c>
      <c r="K1329" t="inlineStr">
        <is>
          <t>STIV</t>
        </is>
      </c>
      <c r="L1329" t="inlineStr">
        <is>
          <t>RF</t>
        </is>
      </c>
      <c r="M1329" t="inlineStr"/>
      <c r="N1329" t="inlineStr"/>
      <c r="O1329" s="1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s="1" t="inlineStr"/>
      <c r="AR1329" s="1" t="inlineStr"/>
      <c r="AS1329" s="1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IDJN</t>
        </is>
      </c>
      <c r="B1330" t="inlineStr"/>
      <c r="C1330" s="1" t="inlineStr">
        <is>
          <t>Cash&amp;Other</t>
        </is>
      </c>
      <c r="D1330" t="inlineStr"/>
      <c r="E1330" s="1" t="inlineStr"/>
      <c r="F1330" t="inlineStr"/>
      <c r="G1330">
        <f>custodian!D1330</f>
        <v/>
      </c>
      <c r="H1330" s="1" t="inlineStr"/>
      <c r="I1330" s="1" t="inlineStr"/>
      <c r="J1330" t="inlineStr"/>
      <c r="K1330" t="inlineStr"/>
      <c r="L1330" t="inlineStr"/>
      <c r="M1330" t="inlineStr"/>
      <c r="N1330" t="inlineStr"/>
      <c r="O1330" s="1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s="1" t="inlineStr"/>
      <c r="AR1330" s="1" t="inlineStr"/>
      <c r="AS1330" s="1" t="inlineStr"/>
      <c r="AT1330" t="inlineStr"/>
      <c r="AU1330" t="inlineStr"/>
      <c r="AV1330" t="inlineStr"/>
      <c r="AW1330" t="inlineStr"/>
      <c r="AX1330" t="inlineStr"/>
      <c r="AY1330" t="inlineStr"/>
    </row>
    <row r="1331">
      <c r="A1331" t="inlineStr">
        <is>
          <t>IDMY</t>
        </is>
      </c>
      <c r="B1331" t="inlineStr"/>
      <c r="C1331" s="1" t="inlineStr">
        <is>
          <t>2EFA  270430C00020410</t>
        </is>
      </c>
      <c r="D1331" t="inlineStr">
        <is>
          <t>EFA 04/30/2027 20.41 C</t>
        </is>
      </c>
      <c r="E1331" s="1" t="inlineStr">
        <is>
          <t>N/A</t>
        </is>
      </c>
      <c r="F1331" t="inlineStr">
        <is>
          <t>EFA 04/30/2027 20.41 C</t>
        </is>
      </c>
      <c r="G1331">
        <f>custodian!D1331</f>
        <v/>
      </c>
      <c r="H1331" s="1" t="inlineStr"/>
      <c r="I1331" s="1" t="inlineStr">
        <is>
          <t>EFA-C20.41-20270430</t>
        </is>
      </c>
      <c r="J1331" t="inlineStr">
        <is>
          <t>US</t>
        </is>
      </c>
      <c r="K1331" t="inlineStr">
        <is>
          <t>DE</t>
        </is>
      </c>
      <c r="L1331" t="inlineStr">
        <is>
          <t>CORP</t>
        </is>
      </c>
      <c r="M1331" t="inlineStr">
        <is>
          <t>OPT</t>
        </is>
      </c>
      <c r="N1331" t="inlineStr">
        <is>
          <t>The Options Clearing Corporation</t>
        </is>
      </c>
      <c r="O1331" s="1" t="inlineStr">
        <is>
          <t>549300CII6SLYGKNHA04</t>
        </is>
      </c>
      <c r="P1331" t="inlineStr">
        <is>
          <t>Call</t>
        </is>
      </c>
      <c r="Q1331" t="inlineStr">
        <is>
          <t>Purchased</t>
        </is>
      </c>
      <c r="R1331" t="inlineStr">
        <is>
          <t>20.41</t>
        </is>
      </c>
      <c r="S1331" t="inlineStr">
        <is>
          <t>USD</t>
        </is>
      </c>
      <c r="T1331" t="inlineStr">
        <is>
          <t>2027-04-30</t>
        </is>
      </c>
      <c r="U1331" t="inlineStr">
        <is>
          <t>N/A</t>
        </is>
      </c>
      <c r="V1331" t="inlineStr">
        <is>
          <t>indexBasket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-120701.56</t>
        </is>
      </c>
      <c r="AD1331" t="inlineStr">
        <is>
          <t>3774232.86</t>
        </is>
      </c>
      <c r="AE1331" t="inlineStr">
        <is>
          <t>79.68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s="1" t="inlineStr"/>
      <c r="AR1331" s="1" t="inlineStr"/>
      <c r="AS1331" s="1" t="inlineStr"/>
      <c r="AT1331" t="inlineStr"/>
      <c r="AU1331" t="inlineStr"/>
      <c r="AV1331" t="inlineStr"/>
      <c r="AW1331" t="inlineStr"/>
      <c r="AX1331" t="inlineStr"/>
      <c r="AY1331" t="inlineStr"/>
    </row>
    <row r="1332">
      <c r="A1332" t="inlineStr">
        <is>
          <t>IDMY</t>
        </is>
      </c>
      <c r="B1332" t="inlineStr"/>
      <c r="C1332" s="1" t="inlineStr">
        <is>
          <t>2EFA  270430C00118370</t>
        </is>
      </c>
      <c r="D1332" t="inlineStr">
        <is>
          <t>EFA 04/30/2027 118.37 C</t>
        </is>
      </c>
      <c r="E1332" s="1" t="inlineStr">
        <is>
          <t>N/A</t>
        </is>
      </c>
      <c r="F1332" t="inlineStr">
        <is>
          <t>EFA 04/30/2027 118.37 C</t>
        </is>
      </c>
      <c r="G1332">
        <f>custodian!D1332</f>
        <v/>
      </c>
      <c r="H1332" s="1" t="inlineStr"/>
      <c r="I1332" s="1" t="inlineStr">
        <is>
          <t>EFA-C118.37-20270430</t>
        </is>
      </c>
      <c r="J1332" t="inlineStr">
        <is>
          <t>US</t>
        </is>
      </c>
      <c r="K1332" t="inlineStr">
        <is>
          <t>DE</t>
        </is>
      </c>
      <c r="L1332" t="inlineStr">
        <is>
          <t>CORP</t>
        </is>
      </c>
      <c r="M1332" t="inlineStr">
        <is>
          <t>OPT</t>
        </is>
      </c>
      <c r="N1332" t="inlineStr">
        <is>
          <t>The Options Clearing Corporation</t>
        </is>
      </c>
      <c r="O1332" s="1" t="inlineStr">
        <is>
          <t>549300CII6SLYGKNHA04</t>
        </is>
      </c>
      <c r="P1332" t="inlineStr">
        <is>
          <t>Call</t>
        </is>
      </c>
      <c r="Q1332" t="inlineStr">
        <is>
          <t>Written</t>
        </is>
      </c>
      <c r="R1332" t="inlineStr">
        <is>
          <t>118.37</t>
        </is>
      </c>
      <c r="S1332" t="inlineStr">
        <is>
          <t>USD</t>
        </is>
      </c>
      <c r="T1332" t="inlineStr">
        <is>
          <t>2027-04-30</t>
        </is>
      </c>
      <c r="U1332" t="inlineStr">
        <is>
          <t>N/A</t>
        </is>
      </c>
      <c r="V1332" t="inlineStr">
        <is>
          <t>indexBasket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47890.74</t>
        </is>
      </c>
      <c r="AD1332" t="inlineStr">
        <is>
          <t>-72935.81</t>
        </is>
      </c>
      <c r="AE1332" t="inlineStr">
        <is>
          <t>-1.54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s="1" t="inlineStr"/>
      <c r="AR1332" s="1" t="inlineStr"/>
      <c r="AS1332" s="1" t="inlineStr"/>
      <c r="AT1332" t="inlineStr"/>
      <c r="AU1332" t="inlineStr"/>
      <c r="AV1332" t="inlineStr"/>
      <c r="AW1332" t="inlineStr"/>
      <c r="AX1332" t="inlineStr"/>
      <c r="AY1332" t="inlineStr"/>
    </row>
    <row r="1333">
      <c r="A1333" t="inlineStr">
        <is>
          <t>IDMY</t>
        </is>
      </c>
      <c r="B1333" t="inlineStr"/>
      <c r="C1333" s="1" t="inlineStr">
        <is>
          <t>2EFA  270430P00086730</t>
        </is>
      </c>
      <c r="D1333" t="inlineStr">
        <is>
          <t>EFA 04/30/2027 86.73 P</t>
        </is>
      </c>
      <c r="E1333" s="1" t="inlineStr">
        <is>
          <t>N/A</t>
        </is>
      </c>
      <c r="F1333" t="inlineStr">
        <is>
          <t>EFA 04/30/2027 86.73 P</t>
        </is>
      </c>
      <c r="G1333">
        <f>custodian!D1333</f>
        <v/>
      </c>
      <c r="H1333" s="1" t="inlineStr"/>
      <c r="I1333" s="1" t="inlineStr">
        <is>
          <t>EFA-P86.73-20270430</t>
        </is>
      </c>
      <c r="J1333" t="inlineStr">
        <is>
          <t>US</t>
        </is>
      </c>
      <c r="K1333" t="inlineStr">
        <is>
          <t>DE</t>
        </is>
      </c>
      <c r="L1333" t="inlineStr">
        <is>
          <t>CORP</t>
        </is>
      </c>
      <c r="M1333" t="inlineStr">
        <is>
          <t>OPT</t>
        </is>
      </c>
      <c r="N1333" t="inlineStr">
        <is>
          <t>The Options Clearing Corporation</t>
        </is>
      </c>
      <c r="O1333" s="1" t="inlineStr">
        <is>
          <t>549300CII6SLYGKNHA04</t>
        </is>
      </c>
      <c r="P1333" t="inlineStr">
        <is>
          <t>Put</t>
        </is>
      </c>
      <c r="Q1333" t="inlineStr">
        <is>
          <t>Written</t>
        </is>
      </c>
      <c r="R1333" t="inlineStr">
        <is>
          <t>86.73</t>
        </is>
      </c>
      <c r="S1333" t="inlineStr">
        <is>
          <t>USD</t>
        </is>
      </c>
      <c r="T1333" t="inlineStr">
        <is>
          <t>2027-04-30</t>
        </is>
      </c>
      <c r="U1333" t="inlineStr">
        <is>
          <t>N/A</t>
        </is>
      </c>
      <c r="V1333" t="inlineStr">
        <is>
          <t>indexBasket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12776.63</t>
        </is>
      </c>
      <c r="AD1333" t="inlineStr">
        <is>
          <t>-98089.29</t>
        </is>
      </c>
      <c r="AE1333" t="inlineStr">
        <is>
          <t>-2.07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s="1" t="inlineStr"/>
      <c r="AR1333" s="1" t="inlineStr"/>
      <c r="AS1333" s="1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IDMY</t>
        </is>
      </c>
      <c r="B1334" t="inlineStr"/>
      <c r="C1334" s="1" t="inlineStr">
        <is>
          <t>2EFA  270430P00102040</t>
        </is>
      </c>
      <c r="D1334" t="inlineStr">
        <is>
          <t>EFA 04/30/2027 102.04 P</t>
        </is>
      </c>
      <c r="E1334" s="1" t="inlineStr">
        <is>
          <t>N/A</t>
        </is>
      </c>
      <c r="F1334" t="inlineStr">
        <is>
          <t>EFA 04/30/2027 102.04 P</t>
        </is>
      </c>
      <c r="G1334">
        <f>custodian!D1334</f>
        <v/>
      </c>
      <c r="H1334" s="1" t="inlineStr"/>
      <c r="I1334" s="1" t="inlineStr">
        <is>
          <t>EFA-P102.04-20270430</t>
        </is>
      </c>
      <c r="J1334" t="inlineStr">
        <is>
          <t>US</t>
        </is>
      </c>
      <c r="K1334" t="inlineStr">
        <is>
          <t>DE</t>
        </is>
      </c>
      <c r="L1334" t="inlineStr">
        <is>
          <t>CORP</t>
        </is>
      </c>
      <c r="M1334" t="inlineStr">
        <is>
          <t>OPT</t>
        </is>
      </c>
      <c r="N1334" t="inlineStr">
        <is>
          <t>The Options Clearing Corporation</t>
        </is>
      </c>
      <c r="O1334" s="1" t="inlineStr">
        <is>
          <t>549300CII6SLYGKNHA04</t>
        </is>
      </c>
      <c r="P1334" t="inlineStr">
        <is>
          <t>Put</t>
        </is>
      </c>
      <c r="Q1334" t="inlineStr">
        <is>
          <t>Purchased</t>
        </is>
      </c>
      <c r="R1334" t="inlineStr">
        <is>
          <t>102.04</t>
        </is>
      </c>
      <c r="S1334" t="inlineStr">
        <is>
          <t>USD</t>
        </is>
      </c>
      <c r="T1334" t="inlineStr">
        <is>
          <t>2027-04-30</t>
        </is>
      </c>
      <c r="U1334" t="inlineStr">
        <is>
          <t>N/A</t>
        </is>
      </c>
      <c r="V1334" t="inlineStr">
        <is>
          <t>indexBasket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10382.55</t>
        </is>
      </c>
      <c r="AD1334" t="inlineStr">
        <is>
          <t>264250.80</t>
        </is>
      </c>
      <c r="AE1334" t="inlineStr">
        <is>
          <t>5.58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s="1" t="inlineStr"/>
      <c r="AR1334" s="1" t="inlineStr"/>
      <c r="AS1334" s="1" t="inlineStr"/>
      <c r="AT1334" t="inlineStr"/>
      <c r="AU1334" t="inlineStr"/>
      <c r="AV1334" t="inlineStr"/>
      <c r="AW1334" t="inlineStr"/>
      <c r="AX1334" t="inlineStr"/>
      <c r="AY1334" t="inlineStr"/>
    </row>
    <row r="1335">
      <c r="A1335" t="inlineStr">
        <is>
          <t>IDMY</t>
        </is>
      </c>
      <c r="B1335" t="inlineStr">
        <is>
          <t>91282CMY4 Govt</t>
        </is>
      </c>
      <c r="C1335" s="1" t="inlineStr">
        <is>
          <t>91282CMY4</t>
        </is>
      </c>
      <c r="D1335" t="inlineStr">
        <is>
          <t>United States Treasury Note/Bo</t>
        </is>
      </c>
      <c r="E1335">
        <f>BDP($B1335,"LEGAL_ENTITY_IDENTIFIER")</f>
        <v/>
      </c>
      <c r="F1335" t="inlineStr">
        <is>
          <t>United States Treasury Note/Bond 3.75% 04/30/2027</t>
        </is>
      </c>
      <c r="G1335">
        <f>custodian!D1335</f>
        <v/>
      </c>
      <c r="H1335">
        <f>BDP($B1335,"ID_ISIN")</f>
        <v/>
      </c>
      <c r="I1335" s="1" t="inlineStr"/>
      <c r="J1335">
        <f>BDP($B1335,"CNTRY_OF_DOMICILE")</f>
        <v/>
      </c>
      <c r="K1335" t="inlineStr">
        <is>
          <t>DBT</t>
        </is>
      </c>
      <c r="L1335" t="inlineStr">
        <is>
          <t>UST</t>
        </is>
      </c>
      <c r="M1335" t="inlineStr"/>
      <c r="N1335" t="inlineStr"/>
      <c r="O1335" s="1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s="1" t="inlineStr"/>
      <c r="AR1335" s="1" t="inlineStr"/>
      <c r="AS1335" s="1" t="inlineStr"/>
      <c r="AT1335">
        <f>TEXT(BDP($B1335,"MATURITY"),"yyyy-mm-dd")</f>
        <v/>
      </c>
      <c r="AU1335">
        <f>BDP($B1335,"CPN_TYP")</f>
        <v/>
      </c>
      <c r="AV1335">
        <f>BDP($B1335,"CPN")</f>
        <v/>
      </c>
      <c r="AW1335" t="inlineStr"/>
      <c r="AX1335" t="inlineStr"/>
      <c r="AY1335" t="inlineStr"/>
    </row>
    <row r="1336">
      <c r="A1336" t="inlineStr">
        <is>
          <t>IDMY</t>
        </is>
      </c>
      <c r="B1336" t="inlineStr">
        <is>
          <t>FGXXX US Equity</t>
        </is>
      </c>
      <c r="C1336" s="1" t="inlineStr">
        <is>
          <t>FGXXX</t>
        </is>
      </c>
      <c r="D1336" t="inlineStr">
        <is>
          <t>First American Government Obli</t>
        </is>
      </c>
      <c r="E1336">
        <f>BDP($B1336,"LEGAL_ENTITY_IDENTIFIER")</f>
        <v/>
      </c>
      <c r="F1336" t="inlineStr">
        <is>
          <t>First American Government Obligations Fund</t>
        </is>
      </c>
      <c r="G1336">
        <f>custodian!D1336</f>
        <v/>
      </c>
      <c r="H1336">
        <f>BDP($B1336,"ID_ISIN")</f>
        <v/>
      </c>
      <c r="I1336" s="1" t="inlineStr">
        <is>
          <t>FGXXX</t>
        </is>
      </c>
      <c r="J1336">
        <f>BDP($B1336,"CNTRY_OF_DOMICILE")</f>
        <v/>
      </c>
      <c r="K1336" t="inlineStr">
        <is>
          <t>STIV</t>
        </is>
      </c>
      <c r="L1336" t="inlineStr">
        <is>
          <t>RF</t>
        </is>
      </c>
      <c r="M1336" t="inlineStr"/>
      <c r="N1336" t="inlineStr"/>
      <c r="O1336" s="1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s="1" t="inlineStr"/>
      <c r="AR1336" s="1" t="inlineStr"/>
      <c r="AS1336" s="1" t="inlineStr"/>
      <c r="AT1336" t="inlineStr"/>
      <c r="AU1336" t="inlineStr"/>
      <c r="AV1336" t="inlineStr"/>
      <c r="AW1336" t="inlineStr"/>
      <c r="AX1336" t="inlineStr"/>
      <c r="AY1336" t="inlineStr"/>
    </row>
    <row r="1337">
      <c r="A1337" t="inlineStr">
        <is>
          <t>IDMY</t>
        </is>
      </c>
      <c r="B1337" t="inlineStr"/>
      <c r="C1337" s="1" t="inlineStr">
        <is>
          <t>Cash&amp;Other</t>
        </is>
      </c>
      <c r="D1337" t="inlineStr"/>
      <c r="E1337" s="1" t="inlineStr"/>
      <c r="F1337" t="inlineStr"/>
      <c r="G1337">
        <f>custodian!D1337</f>
        <v/>
      </c>
      <c r="H1337" s="1" t="inlineStr"/>
      <c r="I1337" s="1" t="inlineStr"/>
      <c r="J1337" t="inlineStr"/>
      <c r="K1337" t="inlineStr"/>
      <c r="L1337" t="inlineStr"/>
      <c r="M1337" t="inlineStr"/>
      <c r="N1337" t="inlineStr"/>
      <c r="O1337" s="1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s="1" t="inlineStr"/>
      <c r="AR1337" s="1" t="inlineStr"/>
      <c r="AS1337" s="1" t="inlineStr"/>
      <c r="AT1337" t="inlineStr"/>
      <c r="AU1337" t="inlineStr"/>
      <c r="AV1337" t="inlineStr"/>
      <c r="AW1337" t="inlineStr"/>
      <c r="AX1337" t="inlineStr"/>
      <c r="AY1337" t="inlineStr"/>
    </row>
    <row r="1338">
      <c r="A1338" t="inlineStr">
        <is>
          <t>JOUL</t>
        </is>
      </c>
      <c r="B1338" t="inlineStr">
        <is>
          <t>ACA US Equity</t>
        </is>
      </c>
      <c r="C1338" s="1" t="inlineStr">
        <is>
          <t>ACA</t>
        </is>
      </c>
      <c r="D1338" t="inlineStr">
        <is>
          <t>Arcosa Inc</t>
        </is>
      </c>
      <c r="E1338">
        <f>BDP($B1338,"LEGAL_ENTITY_IDENTIFIER")</f>
        <v/>
      </c>
      <c r="F1338" t="inlineStr">
        <is>
          <t>Arcosa Inc</t>
        </is>
      </c>
      <c r="G1338">
        <f>custodian!D1338</f>
        <v/>
      </c>
      <c r="H1338">
        <f>BDP($B1338,"ID_ISIN")</f>
        <v/>
      </c>
      <c r="I1338" s="1" t="inlineStr">
        <is>
          <t>ACA</t>
        </is>
      </c>
      <c r="J1338">
        <f>BDP($B1338,"CNTRY_OF_DOMICILE")</f>
        <v/>
      </c>
      <c r="K1338" t="inlineStr">
        <is>
          <t>EC</t>
        </is>
      </c>
      <c r="L1338" t="inlineStr">
        <is>
          <t>CORP</t>
        </is>
      </c>
      <c r="M1338" t="inlineStr"/>
      <c r="N1338" t="inlineStr"/>
      <c r="O1338" s="1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s="1" t="inlineStr"/>
      <c r="AR1338" s="1" t="inlineStr"/>
      <c r="AS1338" s="1" t="inlineStr"/>
      <c r="AT1338" t="inlineStr"/>
      <c r="AU1338" t="inlineStr"/>
      <c r="AV1338" t="inlineStr"/>
      <c r="AW1338" t="inlineStr"/>
      <c r="AX1338" t="inlineStr"/>
      <c r="AY1338" t="inlineStr"/>
    </row>
    <row r="1339">
      <c r="A1339" t="inlineStr">
        <is>
          <t>JOUL</t>
        </is>
      </c>
      <c r="B1339" t="inlineStr">
        <is>
          <t>AEIS US Equity</t>
        </is>
      </c>
      <c r="C1339" s="1" t="inlineStr">
        <is>
          <t>AEIS</t>
        </is>
      </c>
      <c r="D1339" t="inlineStr">
        <is>
          <t>Advanced Energy Industries Inc</t>
        </is>
      </c>
      <c r="E1339">
        <f>BDP($B1339,"LEGAL_ENTITY_IDENTIFIER")</f>
        <v/>
      </c>
      <c r="F1339" t="inlineStr">
        <is>
          <t>Advanced Energy Industries Inc</t>
        </is>
      </c>
      <c r="G1339">
        <f>custodian!D1339</f>
        <v/>
      </c>
      <c r="H1339">
        <f>BDP($B1339,"ID_ISIN")</f>
        <v/>
      </c>
      <c r="I1339" s="1" t="inlineStr">
        <is>
          <t>AEIS</t>
        </is>
      </c>
      <c r="J1339">
        <f>BDP($B1339,"CNTRY_OF_DOMICILE")</f>
        <v/>
      </c>
      <c r="K1339" t="inlineStr">
        <is>
          <t>EC</t>
        </is>
      </c>
      <c r="L1339" t="inlineStr">
        <is>
          <t>CORP</t>
        </is>
      </c>
      <c r="M1339" t="inlineStr"/>
      <c r="N1339" t="inlineStr"/>
      <c r="O1339" s="1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s="1" t="inlineStr"/>
      <c r="AR1339" s="1" t="inlineStr"/>
      <c r="AS1339" s="1" t="inlineStr"/>
      <c r="AT1339" t="inlineStr"/>
      <c r="AU1339" t="inlineStr"/>
      <c r="AV1339" t="inlineStr"/>
      <c r="AW1339" t="inlineStr"/>
      <c r="AX1339" t="inlineStr"/>
      <c r="AY1339" t="inlineStr"/>
    </row>
    <row r="1340">
      <c r="A1340" t="inlineStr">
        <is>
          <t>JOUL</t>
        </is>
      </c>
      <c r="B1340" t="inlineStr">
        <is>
          <t>AMSC US Equity</t>
        </is>
      </c>
      <c r="C1340" s="1" t="inlineStr">
        <is>
          <t>AMSC</t>
        </is>
      </c>
      <c r="D1340" t="inlineStr">
        <is>
          <t>American Superconductor Corp</t>
        </is>
      </c>
      <c r="E1340">
        <f>BDP($B1340,"LEGAL_ENTITY_IDENTIFIER")</f>
        <v/>
      </c>
      <c r="F1340" t="inlineStr">
        <is>
          <t>American Superconductor Corp</t>
        </is>
      </c>
      <c r="G1340">
        <f>custodian!D1340</f>
        <v/>
      </c>
      <c r="H1340">
        <f>BDP($B1340,"ID_ISIN")</f>
        <v/>
      </c>
      <c r="I1340" s="1" t="inlineStr">
        <is>
          <t>AMSC</t>
        </is>
      </c>
      <c r="J1340">
        <f>BDP($B1340,"CNTRY_OF_DOMICILE")</f>
        <v/>
      </c>
      <c r="K1340" t="inlineStr">
        <is>
          <t>EC</t>
        </is>
      </c>
      <c r="L1340" t="inlineStr">
        <is>
          <t>CORP</t>
        </is>
      </c>
      <c r="M1340" t="inlineStr"/>
      <c r="N1340" t="inlineStr"/>
      <c r="O1340" s="1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s="1" t="inlineStr"/>
      <c r="AR1340" s="1" t="inlineStr"/>
      <c r="AS1340" s="1" t="inlineStr"/>
      <c r="AT1340" t="inlineStr"/>
      <c r="AU1340" t="inlineStr"/>
      <c r="AV1340" t="inlineStr"/>
      <c r="AW1340" t="inlineStr"/>
      <c r="AX1340" t="inlineStr"/>
      <c r="AY1340" t="inlineStr"/>
    </row>
    <row r="1341">
      <c r="A1341" t="inlineStr">
        <is>
          <t>JOUL</t>
        </is>
      </c>
      <c r="B1341" t="inlineStr">
        <is>
          <t>ATKR US Equity</t>
        </is>
      </c>
      <c r="C1341" s="1" t="inlineStr">
        <is>
          <t>ATKR</t>
        </is>
      </c>
      <c r="D1341" t="inlineStr">
        <is>
          <t>Atkore Inc</t>
        </is>
      </c>
      <c r="E1341">
        <f>BDP($B1341,"LEGAL_ENTITY_IDENTIFIER")</f>
        <v/>
      </c>
      <c r="F1341" t="inlineStr">
        <is>
          <t>Atkore Inc</t>
        </is>
      </c>
      <c r="G1341">
        <f>custodian!D1341</f>
        <v/>
      </c>
      <c r="H1341">
        <f>BDP($B1341,"ID_ISIN")</f>
        <v/>
      </c>
      <c r="I1341" s="1" t="inlineStr">
        <is>
          <t>ATKR</t>
        </is>
      </c>
      <c r="J1341">
        <f>BDP($B1341,"CNTRY_OF_DOMICILE")</f>
        <v/>
      </c>
      <c r="K1341" t="inlineStr">
        <is>
          <t>EC</t>
        </is>
      </c>
      <c r="L1341" t="inlineStr">
        <is>
          <t>CORP</t>
        </is>
      </c>
      <c r="M1341" t="inlineStr"/>
      <c r="N1341" t="inlineStr"/>
      <c r="O1341" s="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s="1" t="inlineStr"/>
      <c r="AR1341" s="1" t="inlineStr"/>
      <c r="AS1341" s="1" t="inlineStr"/>
      <c r="AT1341" t="inlineStr"/>
      <c r="AU1341" t="inlineStr"/>
      <c r="AV1341" t="inlineStr"/>
      <c r="AW1341" t="inlineStr"/>
      <c r="AX1341" t="inlineStr"/>
      <c r="AY1341" t="inlineStr"/>
    </row>
    <row r="1342">
      <c r="A1342" t="inlineStr">
        <is>
          <t>JOUL</t>
        </is>
      </c>
      <c r="B1342" t="inlineStr">
        <is>
          <t>DY US Equity</t>
        </is>
      </c>
      <c r="C1342" s="1" t="inlineStr">
        <is>
          <t>DY</t>
        </is>
      </c>
      <c r="D1342" t="inlineStr">
        <is>
          <t>Dycom Industries Inc</t>
        </is>
      </c>
      <c r="E1342">
        <f>BDP($B1342,"LEGAL_ENTITY_IDENTIFIER")</f>
        <v/>
      </c>
      <c r="F1342" t="inlineStr">
        <is>
          <t>Dycom Industries Inc</t>
        </is>
      </c>
      <c r="G1342">
        <f>custodian!D1342</f>
        <v/>
      </c>
      <c r="H1342">
        <f>BDP($B1342,"ID_ISIN")</f>
        <v/>
      </c>
      <c r="I1342" s="1" t="inlineStr">
        <is>
          <t>DY</t>
        </is>
      </c>
      <c r="J1342">
        <f>BDP($B1342,"CNTRY_OF_DOMICILE")</f>
        <v/>
      </c>
      <c r="K1342" t="inlineStr">
        <is>
          <t>EC</t>
        </is>
      </c>
      <c r="L1342" t="inlineStr">
        <is>
          <t>CORP</t>
        </is>
      </c>
      <c r="M1342" t="inlineStr"/>
      <c r="N1342" t="inlineStr"/>
      <c r="O1342" s="1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s="1" t="inlineStr"/>
      <c r="AR1342" s="1" t="inlineStr"/>
      <c r="AS1342" s="1" t="inlineStr"/>
      <c r="AT1342" t="inlineStr"/>
      <c r="AU1342" t="inlineStr"/>
      <c r="AV1342" t="inlineStr"/>
      <c r="AW1342" t="inlineStr"/>
      <c r="AX1342" t="inlineStr"/>
      <c r="AY1342" t="inlineStr"/>
    </row>
    <row r="1343">
      <c r="A1343" t="inlineStr">
        <is>
          <t>JOUL</t>
        </is>
      </c>
      <c r="B1343" t="inlineStr">
        <is>
          <t>ESE US Equity</t>
        </is>
      </c>
      <c r="C1343" s="1" t="inlineStr">
        <is>
          <t>ESE</t>
        </is>
      </c>
      <c r="D1343" t="inlineStr">
        <is>
          <t>ESCO Technologies Inc</t>
        </is>
      </c>
      <c r="E1343">
        <f>BDP($B1343,"LEGAL_ENTITY_IDENTIFIER")</f>
        <v/>
      </c>
      <c r="F1343" t="inlineStr">
        <is>
          <t>ESCO Technologies Inc</t>
        </is>
      </c>
      <c r="G1343">
        <f>custodian!D1343</f>
        <v/>
      </c>
      <c r="H1343">
        <f>BDP($B1343,"ID_ISIN")</f>
        <v/>
      </c>
      <c r="I1343" s="1" t="inlineStr">
        <is>
          <t>ESE</t>
        </is>
      </c>
      <c r="J1343">
        <f>BDP($B1343,"CNTRY_OF_DOMICILE")</f>
        <v/>
      </c>
      <c r="K1343" t="inlineStr">
        <is>
          <t>EC</t>
        </is>
      </c>
      <c r="L1343" t="inlineStr">
        <is>
          <t>CORP</t>
        </is>
      </c>
      <c r="M1343" t="inlineStr"/>
      <c r="N1343" t="inlineStr"/>
      <c r="O1343" s="1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s="1" t="inlineStr"/>
      <c r="AR1343" s="1" t="inlineStr"/>
      <c r="AS1343" s="1" t="inlineStr"/>
      <c r="AT1343" t="inlineStr"/>
      <c r="AU1343" t="inlineStr"/>
      <c r="AV1343" t="inlineStr"/>
      <c r="AW1343" t="inlineStr"/>
      <c r="AX1343" t="inlineStr"/>
      <c r="AY1343" t="inlineStr"/>
    </row>
    <row r="1344">
      <c r="A1344" t="inlineStr">
        <is>
          <t>JOUL</t>
        </is>
      </c>
      <c r="B1344" t="inlineStr">
        <is>
          <t>ETN US Equity</t>
        </is>
      </c>
      <c r="C1344" s="1" t="inlineStr">
        <is>
          <t>ETN</t>
        </is>
      </c>
      <c r="D1344" t="inlineStr">
        <is>
          <t>Eaton Corp PLC</t>
        </is>
      </c>
      <c r="E1344">
        <f>BDP($B1344,"LEGAL_ENTITY_IDENTIFIER")</f>
        <v/>
      </c>
      <c r="F1344" t="inlineStr">
        <is>
          <t>Eaton Corp PLC</t>
        </is>
      </c>
      <c r="G1344">
        <f>custodian!D1344</f>
        <v/>
      </c>
      <c r="H1344">
        <f>BDP($B1344,"ID_ISIN")</f>
        <v/>
      </c>
      <c r="I1344" s="1" t="inlineStr">
        <is>
          <t>ETN</t>
        </is>
      </c>
      <c r="J1344">
        <f>BDP($B1344,"CNTRY_OF_DOMICILE")</f>
        <v/>
      </c>
      <c r="K1344" t="inlineStr">
        <is>
          <t>EC</t>
        </is>
      </c>
      <c r="L1344" t="inlineStr">
        <is>
          <t>CORP</t>
        </is>
      </c>
      <c r="M1344" t="inlineStr"/>
      <c r="N1344" t="inlineStr"/>
      <c r="O1344" s="1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s="1" t="inlineStr"/>
      <c r="AR1344" s="1" t="inlineStr"/>
      <c r="AS1344" s="1" t="inlineStr"/>
      <c r="AT1344" t="inlineStr"/>
      <c r="AU1344" t="inlineStr"/>
      <c r="AV1344" t="inlineStr"/>
      <c r="AW1344" t="inlineStr"/>
      <c r="AX1344" t="inlineStr"/>
      <c r="AY1344" t="inlineStr"/>
    </row>
    <row r="1345">
      <c r="A1345" t="inlineStr">
        <is>
          <t>JOUL</t>
        </is>
      </c>
      <c r="B1345" t="inlineStr">
        <is>
          <t>FGXXX US Equity</t>
        </is>
      </c>
      <c r="C1345" s="1" t="inlineStr">
        <is>
          <t>FGXXX</t>
        </is>
      </c>
      <c r="D1345" t="inlineStr">
        <is>
          <t>First American Government Obli</t>
        </is>
      </c>
      <c r="E1345">
        <f>BDP($B1345,"LEGAL_ENTITY_IDENTIFIER")</f>
        <v/>
      </c>
      <c r="F1345" t="inlineStr">
        <is>
          <t>First American Government Obligations Fund</t>
        </is>
      </c>
      <c r="G1345">
        <f>custodian!D1345</f>
        <v/>
      </c>
      <c r="H1345">
        <f>BDP($B1345,"ID_ISIN")</f>
        <v/>
      </c>
      <c r="I1345" s="1" t="inlineStr">
        <is>
          <t>FGXXX</t>
        </is>
      </c>
      <c r="J1345">
        <f>BDP($B1345,"CNTRY_OF_DOMICILE")</f>
        <v/>
      </c>
      <c r="K1345" t="inlineStr">
        <is>
          <t>STIV</t>
        </is>
      </c>
      <c r="L1345" t="inlineStr">
        <is>
          <t>RF</t>
        </is>
      </c>
      <c r="M1345" t="inlineStr"/>
      <c r="N1345" t="inlineStr"/>
      <c r="O1345" s="1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s="1" t="inlineStr"/>
      <c r="AR1345" s="1" t="inlineStr"/>
      <c r="AS1345" s="1" t="inlineStr"/>
      <c r="AT1345" t="inlineStr"/>
      <c r="AU1345" t="inlineStr"/>
      <c r="AV1345" t="inlineStr"/>
      <c r="AW1345" t="inlineStr"/>
      <c r="AX1345" t="inlineStr"/>
      <c r="AY1345" t="inlineStr"/>
    </row>
    <row r="1346">
      <c r="A1346" t="inlineStr">
        <is>
          <t>JOUL</t>
        </is>
      </c>
      <c r="B1346" t="inlineStr">
        <is>
          <t>FPS US Equity</t>
        </is>
      </c>
      <c r="C1346" s="1" t="inlineStr">
        <is>
          <t>FPS</t>
        </is>
      </c>
      <c r="D1346" t="inlineStr">
        <is>
          <t>Forgent Power Solutions Inc</t>
        </is>
      </c>
      <c r="E1346">
        <f>BDP($B1346,"LEGAL_ENTITY_IDENTIFIER")</f>
        <v/>
      </c>
      <c r="F1346" t="inlineStr">
        <is>
          <t>Forgent Power Solutions Inc</t>
        </is>
      </c>
      <c r="G1346">
        <f>custodian!D1346</f>
        <v/>
      </c>
      <c r="H1346">
        <f>BDP($B1346,"ID_ISIN")</f>
        <v/>
      </c>
      <c r="I1346" s="1" t="inlineStr">
        <is>
          <t>FPS</t>
        </is>
      </c>
      <c r="J1346">
        <f>BDP($B1346,"CNTRY_OF_DOMICILE")</f>
        <v/>
      </c>
      <c r="K1346" t="inlineStr">
        <is>
          <t>EC</t>
        </is>
      </c>
      <c r="L1346" t="inlineStr">
        <is>
          <t>CORP</t>
        </is>
      </c>
      <c r="M1346" t="inlineStr"/>
      <c r="N1346" t="inlineStr"/>
      <c r="O1346" s="1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s="1" t="inlineStr"/>
      <c r="AR1346" s="1" t="inlineStr"/>
      <c r="AS1346" s="1" t="inlineStr"/>
      <c r="AT1346" t="inlineStr"/>
      <c r="AU1346" t="inlineStr"/>
      <c r="AV1346" t="inlineStr"/>
      <c r="AW1346" t="inlineStr"/>
      <c r="AX1346" t="inlineStr"/>
      <c r="AY1346" t="inlineStr"/>
    </row>
    <row r="1347">
      <c r="A1347" t="inlineStr">
        <is>
          <t>JOUL</t>
        </is>
      </c>
      <c r="B1347" t="inlineStr">
        <is>
          <t>GEV US Equity</t>
        </is>
      </c>
      <c r="C1347" s="1" t="inlineStr">
        <is>
          <t>GEV</t>
        </is>
      </c>
      <c r="D1347" t="inlineStr">
        <is>
          <t>GE Vernova Inc</t>
        </is>
      </c>
      <c r="E1347">
        <f>BDP($B1347,"LEGAL_ENTITY_IDENTIFIER")</f>
        <v/>
      </c>
      <c r="F1347" t="inlineStr">
        <is>
          <t>GE Vernova Inc</t>
        </is>
      </c>
      <c r="G1347">
        <f>custodian!D1347</f>
        <v/>
      </c>
      <c r="H1347">
        <f>BDP($B1347,"ID_ISIN")</f>
        <v/>
      </c>
      <c r="I1347" s="1" t="inlineStr">
        <is>
          <t>GEV</t>
        </is>
      </c>
      <c r="J1347">
        <f>BDP($B1347,"CNTRY_OF_DOMICILE")</f>
        <v/>
      </c>
      <c r="K1347" t="inlineStr">
        <is>
          <t>EC</t>
        </is>
      </c>
      <c r="L1347" t="inlineStr">
        <is>
          <t>CORP</t>
        </is>
      </c>
      <c r="M1347" t="inlineStr"/>
      <c r="N1347" t="inlineStr"/>
      <c r="O1347" s="1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s="1" t="inlineStr"/>
      <c r="AR1347" s="1" t="inlineStr"/>
      <c r="AS1347" s="1" t="inlineStr"/>
      <c r="AT1347" t="inlineStr"/>
      <c r="AU1347" t="inlineStr"/>
      <c r="AV1347" t="inlineStr"/>
      <c r="AW1347" t="inlineStr"/>
      <c r="AX1347" t="inlineStr"/>
      <c r="AY1347" t="inlineStr"/>
    </row>
    <row r="1348">
      <c r="A1348" t="inlineStr">
        <is>
          <t>JOUL</t>
        </is>
      </c>
      <c r="B1348" t="inlineStr">
        <is>
          <t>HUBB US Equity</t>
        </is>
      </c>
      <c r="C1348" s="1" t="inlineStr">
        <is>
          <t>HUBB</t>
        </is>
      </c>
      <c r="D1348" t="inlineStr">
        <is>
          <t>Hubbell Inc</t>
        </is>
      </c>
      <c r="E1348">
        <f>BDP($B1348,"LEGAL_ENTITY_IDENTIFIER")</f>
        <v/>
      </c>
      <c r="F1348" t="inlineStr">
        <is>
          <t>Hubbell Inc</t>
        </is>
      </c>
      <c r="G1348">
        <f>custodian!D1348</f>
        <v/>
      </c>
      <c r="H1348">
        <f>BDP($B1348,"ID_ISIN")</f>
        <v/>
      </c>
      <c r="I1348" s="1" t="inlineStr">
        <is>
          <t>HUBB</t>
        </is>
      </c>
      <c r="J1348">
        <f>BDP($B1348,"CNTRY_OF_DOMICILE")</f>
        <v/>
      </c>
      <c r="K1348" t="inlineStr">
        <is>
          <t>EC</t>
        </is>
      </c>
      <c r="L1348" t="inlineStr">
        <is>
          <t>CORP</t>
        </is>
      </c>
      <c r="M1348" t="inlineStr"/>
      <c r="N1348" t="inlineStr"/>
      <c r="O1348" s="1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s="1" t="inlineStr"/>
      <c r="AR1348" s="1" t="inlineStr"/>
      <c r="AS1348" s="1" t="inlineStr"/>
      <c r="AT1348" t="inlineStr"/>
      <c r="AU1348" t="inlineStr"/>
      <c r="AV1348" t="inlineStr"/>
      <c r="AW1348" t="inlineStr"/>
      <c r="AX1348" t="inlineStr"/>
      <c r="AY1348" t="inlineStr"/>
    </row>
    <row r="1349">
      <c r="A1349" t="inlineStr">
        <is>
          <t>JOUL</t>
        </is>
      </c>
      <c r="B1349" t="inlineStr">
        <is>
          <t>ITRI US Equity</t>
        </is>
      </c>
      <c r="C1349" s="1" t="inlineStr">
        <is>
          <t>ITRI</t>
        </is>
      </c>
      <c r="D1349" t="inlineStr">
        <is>
          <t>Itron Inc</t>
        </is>
      </c>
      <c r="E1349">
        <f>BDP($B1349,"LEGAL_ENTITY_IDENTIFIER")</f>
        <v/>
      </c>
      <c r="F1349" t="inlineStr">
        <is>
          <t>Itron Inc</t>
        </is>
      </c>
      <c r="G1349">
        <f>custodian!D1349</f>
        <v/>
      </c>
      <c r="H1349">
        <f>BDP($B1349,"ID_ISIN")</f>
        <v/>
      </c>
      <c r="I1349" s="1" t="inlineStr">
        <is>
          <t>ITRI</t>
        </is>
      </c>
      <c r="J1349">
        <f>BDP($B1349,"CNTRY_OF_DOMICILE")</f>
        <v/>
      </c>
      <c r="K1349" t="inlineStr">
        <is>
          <t>EC</t>
        </is>
      </c>
      <c r="L1349" t="inlineStr">
        <is>
          <t>CORP</t>
        </is>
      </c>
      <c r="M1349" t="inlineStr"/>
      <c r="N1349" t="inlineStr"/>
      <c r="O1349" s="1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s="1" t="inlineStr"/>
      <c r="AR1349" s="1" t="inlineStr"/>
      <c r="AS1349" s="1" t="inlineStr"/>
      <c r="AT1349" t="inlineStr"/>
      <c r="AU1349" t="inlineStr"/>
      <c r="AV1349" t="inlineStr"/>
      <c r="AW1349" t="inlineStr"/>
      <c r="AX1349" t="inlineStr"/>
      <c r="AY1349" t="inlineStr"/>
    </row>
    <row r="1350">
      <c r="A1350" t="inlineStr">
        <is>
          <t>JOUL</t>
        </is>
      </c>
      <c r="B1350" t="inlineStr">
        <is>
          <t>MTZ US Equity</t>
        </is>
      </c>
      <c r="C1350" s="1" t="inlineStr">
        <is>
          <t>MTZ</t>
        </is>
      </c>
      <c r="D1350" t="inlineStr">
        <is>
          <t>MasTec Inc</t>
        </is>
      </c>
      <c r="E1350">
        <f>BDP($B1350,"LEGAL_ENTITY_IDENTIFIER")</f>
        <v/>
      </c>
      <c r="F1350" t="inlineStr">
        <is>
          <t>MasTec Inc</t>
        </is>
      </c>
      <c r="G1350">
        <f>custodian!D1350</f>
        <v/>
      </c>
      <c r="H1350">
        <f>BDP($B1350,"ID_ISIN")</f>
        <v/>
      </c>
      <c r="I1350" s="1" t="inlineStr">
        <is>
          <t>MTZ</t>
        </is>
      </c>
      <c r="J1350">
        <f>BDP($B1350,"CNTRY_OF_DOMICILE")</f>
        <v/>
      </c>
      <c r="K1350" t="inlineStr">
        <is>
          <t>EC</t>
        </is>
      </c>
      <c r="L1350" t="inlineStr">
        <is>
          <t>CORP</t>
        </is>
      </c>
      <c r="M1350" t="inlineStr"/>
      <c r="N1350" t="inlineStr"/>
      <c r="O1350" s="1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s="1" t="inlineStr"/>
      <c r="AR1350" s="1" t="inlineStr"/>
      <c r="AS1350" s="1" t="inlineStr"/>
      <c r="AT1350" t="inlineStr"/>
      <c r="AU1350" t="inlineStr"/>
      <c r="AV1350" t="inlineStr"/>
      <c r="AW1350" t="inlineStr"/>
      <c r="AX1350" t="inlineStr"/>
      <c r="AY1350" t="inlineStr"/>
    </row>
    <row r="1351">
      <c r="A1351" t="inlineStr">
        <is>
          <t>JOUL</t>
        </is>
      </c>
      <c r="B1351" t="inlineStr">
        <is>
          <t>MYRG US Equity</t>
        </is>
      </c>
      <c r="C1351" s="1" t="inlineStr">
        <is>
          <t>MYRG</t>
        </is>
      </c>
      <c r="D1351" t="inlineStr">
        <is>
          <t>MYR Group Inc</t>
        </is>
      </c>
      <c r="E1351">
        <f>BDP($B1351,"LEGAL_ENTITY_IDENTIFIER")</f>
        <v/>
      </c>
      <c r="F1351" t="inlineStr">
        <is>
          <t>MYR Group Inc</t>
        </is>
      </c>
      <c r="G1351">
        <f>custodian!D1351</f>
        <v/>
      </c>
      <c r="H1351">
        <f>BDP($B1351,"ID_ISIN")</f>
        <v/>
      </c>
      <c r="I1351" s="1" t="inlineStr">
        <is>
          <t>MYRG</t>
        </is>
      </c>
      <c r="J1351">
        <f>BDP($B1351,"CNTRY_OF_DOMICILE")</f>
        <v/>
      </c>
      <c r="K1351" t="inlineStr">
        <is>
          <t>EC</t>
        </is>
      </c>
      <c r="L1351" t="inlineStr">
        <is>
          <t>CORP</t>
        </is>
      </c>
      <c r="M1351" t="inlineStr"/>
      <c r="N1351" t="inlineStr"/>
      <c r="O1351" s="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s="1" t="inlineStr"/>
      <c r="AR1351" s="1" t="inlineStr"/>
      <c r="AS1351" s="1" t="inlineStr"/>
      <c r="AT1351" t="inlineStr"/>
      <c r="AU1351" t="inlineStr"/>
      <c r="AV1351" t="inlineStr"/>
      <c r="AW1351" t="inlineStr"/>
      <c r="AX1351" t="inlineStr"/>
      <c r="AY1351" t="inlineStr"/>
    </row>
    <row r="1352">
      <c r="A1352" t="inlineStr">
        <is>
          <t>JOUL</t>
        </is>
      </c>
      <c r="B1352" t="inlineStr">
        <is>
          <t>NVT US Equity</t>
        </is>
      </c>
      <c r="C1352" s="1" t="inlineStr">
        <is>
          <t>NVT</t>
        </is>
      </c>
      <c r="D1352" t="inlineStr">
        <is>
          <t>nVent Electric PLC</t>
        </is>
      </c>
      <c r="E1352">
        <f>BDP($B1352,"LEGAL_ENTITY_IDENTIFIER")</f>
        <v/>
      </c>
      <c r="F1352" t="inlineStr">
        <is>
          <t>nVent Electric PLC</t>
        </is>
      </c>
      <c r="G1352">
        <f>custodian!D1352</f>
        <v/>
      </c>
      <c r="H1352">
        <f>BDP($B1352,"ID_ISIN")</f>
        <v/>
      </c>
      <c r="I1352" s="1" t="inlineStr">
        <is>
          <t>NVT</t>
        </is>
      </c>
      <c r="J1352">
        <f>BDP($B1352,"CNTRY_OF_DOMICILE")</f>
        <v/>
      </c>
      <c r="K1352" t="inlineStr">
        <is>
          <t>EC</t>
        </is>
      </c>
      <c r="L1352" t="inlineStr">
        <is>
          <t>CORP</t>
        </is>
      </c>
      <c r="M1352" t="inlineStr"/>
      <c r="N1352" t="inlineStr"/>
      <c r="O1352" s="1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s="1" t="inlineStr"/>
      <c r="AR1352" s="1" t="inlineStr"/>
      <c r="AS1352" s="1" t="inlineStr"/>
      <c r="AT1352" t="inlineStr"/>
      <c r="AU1352" t="inlineStr"/>
      <c r="AV1352" t="inlineStr"/>
      <c r="AW1352" t="inlineStr"/>
      <c r="AX1352" t="inlineStr"/>
      <c r="AY1352" t="inlineStr"/>
    </row>
    <row r="1353">
      <c r="A1353" t="inlineStr">
        <is>
          <t>JOUL</t>
        </is>
      </c>
      <c r="B1353" t="inlineStr">
        <is>
          <t>PLPC US Equity</t>
        </is>
      </c>
      <c r="C1353" s="1" t="inlineStr">
        <is>
          <t>PLPC</t>
        </is>
      </c>
      <c r="D1353" t="inlineStr">
        <is>
          <t>Preformed Line Products Co</t>
        </is>
      </c>
      <c r="E1353">
        <f>BDP($B1353,"LEGAL_ENTITY_IDENTIFIER")</f>
        <v/>
      </c>
      <c r="F1353" t="inlineStr">
        <is>
          <t>Preformed Line Products Co</t>
        </is>
      </c>
      <c r="G1353">
        <f>custodian!D1353</f>
        <v/>
      </c>
      <c r="H1353">
        <f>BDP($B1353,"ID_ISIN")</f>
        <v/>
      </c>
      <c r="I1353" s="1" t="inlineStr">
        <is>
          <t>PLPC</t>
        </is>
      </c>
      <c r="J1353">
        <f>BDP($B1353,"CNTRY_OF_DOMICILE")</f>
        <v/>
      </c>
      <c r="K1353" t="inlineStr">
        <is>
          <t>EC</t>
        </is>
      </c>
      <c r="L1353" t="inlineStr">
        <is>
          <t>CORP</t>
        </is>
      </c>
      <c r="M1353" t="inlineStr"/>
      <c r="N1353" t="inlineStr"/>
      <c r="O1353" s="1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s="1" t="inlineStr"/>
      <c r="AR1353" s="1" t="inlineStr"/>
      <c r="AS1353" s="1" t="inlineStr"/>
      <c r="AT1353" t="inlineStr"/>
      <c r="AU1353" t="inlineStr"/>
      <c r="AV1353" t="inlineStr"/>
      <c r="AW1353" t="inlineStr"/>
      <c r="AX1353" t="inlineStr"/>
      <c r="AY1353" t="inlineStr"/>
    </row>
    <row r="1354">
      <c r="A1354" t="inlineStr">
        <is>
          <t>JOUL</t>
        </is>
      </c>
      <c r="B1354" t="inlineStr">
        <is>
          <t>POWL US Equity</t>
        </is>
      </c>
      <c r="C1354" s="1" t="inlineStr">
        <is>
          <t>POWL</t>
        </is>
      </c>
      <c r="D1354" t="inlineStr">
        <is>
          <t>Powell Industries Inc</t>
        </is>
      </c>
      <c r="E1354">
        <f>BDP($B1354,"LEGAL_ENTITY_IDENTIFIER")</f>
        <v/>
      </c>
      <c r="F1354" t="inlineStr">
        <is>
          <t>Powell Industries Inc</t>
        </is>
      </c>
      <c r="G1354">
        <f>custodian!D1354</f>
        <v/>
      </c>
      <c r="H1354">
        <f>BDP($B1354,"ID_ISIN")</f>
        <v/>
      </c>
      <c r="I1354" s="1" t="inlineStr">
        <is>
          <t>POWL</t>
        </is>
      </c>
      <c r="J1354">
        <f>BDP($B1354,"CNTRY_OF_DOMICILE")</f>
        <v/>
      </c>
      <c r="K1354" t="inlineStr">
        <is>
          <t>EC</t>
        </is>
      </c>
      <c r="L1354" t="inlineStr">
        <is>
          <t>CORP</t>
        </is>
      </c>
      <c r="M1354" t="inlineStr"/>
      <c r="N1354" t="inlineStr"/>
      <c r="O1354" s="1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s="1" t="inlineStr"/>
      <c r="AR1354" s="1" t="inlineStr"/>
      <c r="AS1354" s="1" t="inlineStr"/>
      <c r="AT1354" t="inlineStr"/>
      <c r="AU1354" t="inlineStr"/>
      <c r="AV1354" t="inlineStr"/>
      <c r="AW1354" t="inlineStr"/>
      <c r="AX1354" t="inlineStr"/>
      <c r="AY1354" t="inlineStr"/>
    </row>
    <row r="1355">
      <c r="A1355" t="inlineStr">
        <is>
          <t>JOUL</t>
        </is>
      </c>
      <c r="B1355" t="inlineStr">
        <is>
          <t>PRIM US Equity</t>
        </is>
      </c>
      <c r="C1355" s="1" t="inlineStr">
        <is>
          <t>PRIM</t>
        </is>
      </c>
      <c r="D1355" t="inlineStr">
        <is>
          <t>Primoris Services Corp</t>
        </is>
      </c>
      <c r="E1355">
        <f>BDP($B1355,"LEGAL_ENTITY_IDENTIFIER")</f>
        <v/>
      </c>
      <c r="F1355" t="inlineStr">
        <is>
          <t>Primoris Services Corp</t>
        </is>
      </c>
      <c r="G1355">
        <f>custodian!D1355</f>
        <v/>
      </c>
      <c r="H1355">
        <f>BDP($B1355,"ID_ISIN")</f>
        <v/>
      </c>
      <c r="I1355" s="1" t="inlineStr">
        <is>
          <t>PRIM</t>
        </is>
      </c>
      <c r="J1355">
        <f>BDP($B1355,"CNTRY_OF_DOMICILE")</f>
        <v/>
      </c>
      <c r="K1355" t="inlineStr">
        <is>
          <t>EC</t>
        </is>
      </c>
      <c r="L1355" t="inlineStr">
        <is>
          <t>CORP</t>
        </is>
      </c>
      <c r="M1355" t="inlineStr"/>
      <c r="N1355" t="inlineStr"/>
      <c r="O1355" s="1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s="1" t="inlineStr"/>
      <c r="AR1355" s="1" t="inlineStr"/>
      <c r="AS1355" s="1" t="inlineStr"/>
      <c r="AT1355" t="inlineStr"/>
      <c r="AU1355" t="inlineStr"/>
      <c r="AV1355" t="inlineStr"/>
      <c r="AW1355" t="inlineStr"/>
      <c r="AX1355" t="inlineStr"/>
      <c r="AY1355" t="inlineStr"/>
    </row>
    <row r="1356">
      <c r="A1356" t="inlineStr">
        <is>
          <t>JOUL</t>
        </is>
      </c>
      <c r="B1356" t="inlineStr">
        <is>
          <t>PWR US Equity</t>
        </is>
      </c>
      <c r="C1356" s="1" t="inlineStr">
        <is>
          <t>PWR</t>
        </is>
      </c>
      <c r="D1356" t="inlineStr">
        <is>
          <t>Quanta Services Inc</t>
        </is>
      </c>
      <c r="E1356">
        <f>BDP($B1356,"LEGAL_ENTITY_IDENTIFIER")</f>
        <v/>
      </c>
      <c r="F1356" t="inlineStr">
        <is>
          <t>Quanta Services Inc</t>
        </is>
      </c>
      <c r="G1356">
        <f>custodian!D1356</f>
        <v/>
      </c>
      <c r="H1356">
        <f>BDP($B1356,"ID_ISIN")</f>
        <v/>
      </c>
      <c r="I1356" s="1" t="inlineStr">
        <is>
          <t>PWR</t>
        </is>
      </c>
      <c r="J1356">
        <f>BDP($B1356,"CNTRY_OF_DOMICILE")</f>
        <v/>
      </c>
      <c r="K1356" t="inlineStr">
        <is>
          <t>EC</t>
        </is>
      </c>
      <c r="L1356" t="inlineStr">
        <is>
          <t>CORP</t>
        </is>
      </c>
      <c r="M1356" t="inlineStr"/>
      <c r="N1356" t="inlineStr"/>
      <c r="O1356" s="1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s="1" t="inlineStr"/>
      <c r="AR1356" s="1" t="inlineStr"/>
      <c r="AS1356" s="1" t="inlineStr"/>
      <c r="AT1356" t="inlineStr"/>
      <c r="AU1356" t="inlineStr"/>
      <c r="AV1356" t="inlineStr"/>
      <c r="AW1356" t="inlineStr"/>
      <c r="AX1356" t="inlineStr"/>
      <c r="AY1356" t="inlineStr"/>
    </row>
    <row r="1357">
      <c r="A1357" t="inlineStr">
        <is>
          <t>JOUL</t>
        </is>
      </c>
      <c r="B1357" t="inlineStr">
        <is>
          <t>VMI US Equity</t>
        </is>
      </c>
      <c r="C1357" s="1" t="inlineStr">
        <is>
          <t>VMI</t>
        </is>
      </c>
      <c r="D1357" t="inlineStr">
        <is>
          <t>Valmont Industries Inc</t>
        </is>
      </c>
      <c r="E1357">
        <f>BDP($B1357,"LEGAL_ENTITY_IDENTIFIER")</f>
        <v/>
      </c>
      <c r="F1357" t="inlineStr">
        <is>
          <t>Valmont Industries Inc</t>
        </is>
      </c>
      <c r="G1357">
        <f>custodian!D1357</f>
        <v/>
      </c>
      <c r="H1357">
        <f>BDP($B1357,"ID_ISIN")</f>
        <v/>
      </c>
      <c r="I1357" s="1" t="inlineStr">
        <is>
          <t>VMI</t>
        </is>
      </c>
      <c r="J1357">
        <f>BDP($B1357,"CNTRY_OF_DOMICILE")</f>
        <v/>
      </c>
      <c r="K1357" t="inlineStr">
        <is>
          <t>EC</t>
        </is>
      </c>
      <c r="L1357" t="inlineStr">
        <is>
          <t>CORP</t>
        </is>
      </c>
      <c r="M1357" t="inlineStr"/>
      <c r="N1357" t="inlineStr"/>
      <c r="O1357" s="1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s="1" t="inlineStr"/>
      <c r="AR1357" s="1" t="inlineStr"/>
      <c r="AS1357" s="1" t="inlineStr"/>
      <c r="AT1357" t="inlineStr"/>
      <c r="AU1357" t="inlineStr"/>
      <c r="AV1357" t="inlineStr"/>
      <c r="AW1357" t="inlineStr"/>
      <c r="AX1357" t="inlineStr"/>
      <c r="AY1357" t="inlineStr"/>
    </row>
    <row r="1358">
      <c r="A1358" t="inlineStr">
        <is>
          <t>JOUL</t>
        </is>
      </c>
      <c r="B1358" t="inlineStr"/>
      <c r="C1358" s="1" t="inlineStr">
        <is>
          <t>Cash&amp;Other</t>
        </is>
      </c>
      <c r="D1358" t="inlineStr"/>
      <c r="E1358" s="1" t="inlineStr"/>
      <c r="F1358" t="inlineStr"/>
      <c r="G1358">
        <f>custodian!D1358</f>
        <v/>
      </c>
      <c r="H1358" s="1" t="inlineStr"/>
      <c r="I1358" s="1" t="inlineStr"/>
      <c r="J1358" t="inlineStr"/>
      <c r="K1358" t="inlineStr"/>
      <c r="L1358" t="inlineStr"/>
      <c r="M1358" t="inlineStr"/>
      <c r="N1358" t="inlineStr"/>
      <c r="O1358" s="1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s="1" t="inlineStr"/>
      <c r="AR1358" s="1" t="inlineStr"/>
      <c r="AS1358" s="1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JUNC</t>
        </is>
      </c>
      <c r="B1359" t="inlineStr"/>
      <c r="C1359" s="1" t="inlineStr">
        <is>
          <t>2SPY  270528C00151710</t>
        </is>
      </c>
      <c r="D1359" t="inlineStr">
        <is>
          <t>SPY 05/28/2027 151.71 C</t>
        </is>
      </c>
      <c r="E1359" s="1" t="inlineStr">
        <is>
          <t>N/A</t>
        </is>
      </c>
      <c r="F1359" t="inlineStr">
        <is>
          <t>SPY 05/28/2027 151.71 C</t>
        </is>
      </c>
      <c r="G1359">
        <f>custodian!D1359</f>
        <v/>
      </c>
      <c r="H1359" s="1" t="inlineStr"/>
      <c r="I1359" s="1" t="inlineStr">
        <is>
          <t>SPY-C151.71-20270528</t>
        </is>
      </c>
      <c r="J1359" t="inlineStr">
        <is>
          <t>US</t>
        </is>
      </c>
      <c r="K1359" t="inlineStr">
        <is>
          <t>DE</t>
        </is>
      </c>
      <c r="L1359" t="inlineStr">
        <is>
          <t>CORP</t>
        </is>
      </c>
      <c r="M1359" t="inlineStr">
        <is>
          <t>OPT</t>
        </is>
      </c>
      <c r="N1359" t="inlineStr">
        <is>
          <t>The Options Clearing Corporation</t>
        </is>
      </c>
      <c r="O1359" s="1" t="inlineStr">
        <is>
          <t>549300CII6SLYGKNHA04</t>
        </is>
      </c>
      <c r="P1359" t="inlineStr">
        <is>
          <t>Call</t>
        </is>
      </c>
      <c r="Q1359" t="inlineStr">
        <is>
          <t>Purchased</t>
        </is>
      </c>
      <c r="R1359" t="inlineStr">
        <is>
          <t>151.71</t>
        </is>
      </c>
      <c r="S1359" t="inlineStr">
        <is>
          <t>USD</t>
        </is>
      </c>
      <c r="T1359" t="inlineStr">
        <is>
          <t>2027-05-28</t>
        </is>
      </c>
      <c r="U1359" t="inlineStr">
        <is>
          <t>N/A</t>
        </is>
      </c>
      <c r="V1359" t="inlineStr">
        <is>
          <t>indexBasket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-27461.83</t>
        </is>
      </c>
      <c r="AD1359" t="inlineStr">
        <is>
          <t>940339.54</t>
        </is>
      </c>
      <c r="AE1359" t="inlineStr">
        <is>
          <t>76.34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s="1" t="inlineStr"/>
      <c r="AR1359" s="1" t="inlineStr"/>
      <c r="AS1359" s="1" t="inlineStr"/>
      <c r="AT1359" t="inlineStr"/>
      <c r="AU1359" t="inlineStr"/>
      <c r="AV1359" t="inlineStr"/>
      <c r="AW1359" t="inlineStr"/>
      <c r="AX1359" t="inlineStr"/>
      <c r="AY1359" t="inlineStr"/>
    </row>
    <row r="1360">
      <c r="A1360" t="inlineStr">
        <is>
          <t>JUNC</t>
        </is>
      </c>
      <c r="B1360" t="inlineStr"/>
      <c r="C1360" s="1" t="inlineStr">
        <is>
          <t>2SPY  270528C00896220</t>
        </is>
      </c>
      <c r="D1360" t="inlineStr">
        <is>
          <t>SPY 05/28/2027 896.22 C</t>
        </is>
      </c>
      <c r="E1360" s="1" t="inlineStr">
        <is>
          <t>N/A</t>
        </is>
      </c>
      <c r="F1360" t="inlineStr">
        <is>
          <t>SPY 05/28/2027 896.22 C</t>
        </is>
      </c>
      <c r="G1360">
        <f>custodian!D1360</f>
        <v/>
      </c>
      <c r="H1360" s="1" t="inlineStr"/>
      <c r="I1360" s="1" t="inlineStr">
        <is>
          <t>SPY-C896.22-20270528</t>
        </is>
      </c>
      <c r="J1360" t="inlineStr">
        <is>
          <t>US</t>
        </is>
      </c>
      <c r="K1360" t="inlineStr">
        <is>
          <t>DE</t>
        </is>
      </c>
      <c r="L1360" t="inlineStr">
        <is>
          <t>CORP</t>
        </is>
      </c>
      <c r="M1360" t="inlineStr">
        <is>
          <t>OPT</t>
        </is>
      </c>
      <c r="N1360" t="inlineStr">
        <is>
          <t>The Options Clearing Corporation</t>
        </is>
      </c>
      <c r="O1360" s="1" t="inlineStr">
        <is>
          <t>549300CII6SLYGKNHA04</t>
        </is>
      </c>
      <c r="P1360" t="inlineStr">
        <is>
          <t>Call</t>
        </is>
      </c>
      <c r="Q1360" t="inlineStr">
        <is>
          <t>Written</t>
        </is>
      </c>
      <c r="R1360" t="inlineStr">
        <is>
          <t>896.22</t>
        </is>
      </c>
      <c r="S1360" t="inlineStr">
        <is>
          <t>USD</t>
        </is>
      </c>
      <c r="T1360" t="inlineStr">
        <is>
          <t>2027-05-28</t>
        </is>
      </c>
      <c r="U1360" t="inlineStr">
        <is>
          <t>N/A</t>
        </is>
      </c>
      <c r="V1360" t="inlineStr">
        <is>
          <t>indexBasket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9440.95</t>
        </is>
      </c>
      <c r="AD1360" t="inlineStr">
        <is>
          <t>-8835.63</t>
        </is>
      </c>
      <c r="AE1360" t="inlineStr">
        <is>
          <t>-0.72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s="1" t="inlineStr"/>
      <c r="AR1360" s="1" t="inlineStr"/>
      <c r="AS1360" s="1" t="inlineStr"/>
      <c r="AT1360" t="inlineStr"/>
      <c r="AU1360" t="inlineStr"/>
      <c r="AV1360" t="inlineStr"/>
      <c r="AW1360" t="inlineStr"/>
      <c r="AX1360" t="inlineStr"/>
      <c r="AY1360" t="inlineStr"/>
    </row>
    <row r="1361">
      <c r="A1361" t="inlineStr">
        <is>
          <t>JUNC</t>
        </is>
      </c>
      <c r="B1361" t="inlineStr"/>
      <c r="C1361" s="1" t="inlineStr">
        <is>
          <t>2SPY  270528P00682690</t>
        </is>
      </c>
      <c r="D1361" t="inlineStr">
        <is>
          <t>SPY 05/28/2027 682.69 P</t>
        </is>
      </c>
      <c r="E1361" s="1" t="inlineStr">
        <is>
          <t>N/A</t>
        </is>
      </c>
      <c r="F1361" t="inlineStr">
        <is>
          <t>SPY 05/28/2027 682.69 P</t>
        </is>
      </c>
      <c r="G1361">
        <f>custodian!D1361</f>
        <v/>
      </c>
      <c r="H1361" s="1" t="inlineStr"/>
      <c r="I1361" s="1" t="inlineStr">
        <is>
          <t>SPY-P682.69-20270528</t>
        </is>
      </c>
      <c r="J1361" t="inlineStr">
        <is>
          <t>US</t>
        </is>
      </c>
      <c r="K1361" t="inlineStr">
        <is>
          <t>DE</t>
        </is>
      </c>
      <c r="L1361" t="inlineStr">
        <is>
          <t>CORP</t>
        </is>
      </c>
      <c r="M1361" t="inlineStr">
        <is>
          <t>OPT</t>
        </is>
      </c>
      <c r="N1361" t="inlineStr">
        <is>
          <t>The Options Clearing Corporation</t>
        </is>
      </c>
      <c r="O1361" s="1" t="inlineStr">
        <is>
          <t>549300CII6SLYGKNHA04</t>
        </is>
      </c>
      <c r="P1361" t="inlineStr">
        <is>
          <t>Put</t>
        </is>
      </c>
      <c r="Q1361" t="inlineStr">
        <is>
          <t>Written</t>
        </is>
      </c>
      <c r="R1361" t="inlineStr">
        <is>
          <t>682.69</t>
        </is>
      </c>
      <c r="S1361" t="inlineStr">
        <is>
          <t>USD</t>
        </is>
      </c>
      <c r="T1361" t="inlineStr">
        <is>
          <t>2027-05-28</t>
        </is>
      </c>
      <c r="U1361" t="inlineStr">
        <is>
          <t>N/A</t>
        </is>
      </c>
      <c r="V1361" t="inlineStr">
        <is>
          <t>indexBasket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-2611.88</t>
        </is>
      </c>
      <c r="AD1361" t="inlineStr">
        <is>
          <t>-42854.33</t>
        </is>
      </c>
      <c r="AE1361" t="inlineStr">
        <is>
          <t>-3.48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s="1" t="inlineStr"/>
      <c r="AR1361" s="1" t="inlineStr"/>
      <c r="AS1361" s="1" t="inlineStr"/>
      <c r="AT1361" t="inlineStr"/>
      <c r="AU1361" t="inlineStr"/>
      <c r="AV1361" t="inlineStr"/>
      <c r="AW1361" t="inlineStr"/>
      <c r="AX1361" t="inlineStr"/>
      <c r="AY1361" t="inlineStr"/>
    </row>
    <row r="1362">
      <c r="A1362" t="inlineStr">
        <is>
          <t>JUNC</t>
        </is>
      </c>
      <c r="B1362" t="inlineStr"/>
      <c r="C1362" s="1" t="inlineStr">
        <is>
          <t>2SPY  270528P00758540</t>
        </is>
      </c>
      <c r="D1362" t="inlineStr">
        <is>
          <t>SPY 05/28/2027 758.54 P</t>
        </is>
      </c>
      <c r="E1362" s="1" t="inlineStr">
        <is>
          <t>N/A</t>
        </is>
      </c>
      <c r="F1362" t="inlineStr">
        <is>
          <t>SPY 05/28/2027 758.54 P</t>
        </is>
      </c>
      <c r="G1362">
        <f>custodian!D1362</f>
        <v/>
      </c>
      <c r="H1362" s="1" t="inlineStr"/>
      <c r="I1362" s="1" t="inlineStr">
        <is>
          <t>SPY-P758.54-20270528</t>
        </is>
      </c>
      <c r="J1362" t="inlineStr">
        <is>
          <t>US</t>
        </is>
      </c>
      <c r="K1362" t="inlineStr">
        <is>
          <t>DE</t>
        </is>
      </c>
      <c r="L1362" t="inlineStr">
        <is>
          <t>CORP</t>
        </is>
      </c>
      <c r="M1362" t="inlineStr">
        <is>
          <t>OPT</t>
        </is>
      </c>
      <c r="N1362" t="inlineStr">
        <is>
          <t>The Options Clearing Corporation</t>
        </is>
      </c>
      <c r="O1362" s="1" t="inlineStr">
        <is>
          <t>549300CII6SLYGKNHA04</t>
        </is>
      </c>
      <c r="P1362" t="inlineStr">
        <is>
          <t>Put</t>
        </is>
      </c>
      <c r="Q1362" t="inlineStr">
        <is>
          <t>Purchased</t>
        </is>
      </c>
      <c r="R1362" t="inlineStr">
        <is>
          <t>758.54</t>
        </is>
      </c>
      <c r="S1362" t="inlineStr">
        <is>
          <t>USD</t>
        </is>
      </c>
      <c r="T1362" t="inlineStr">
        <is>
          <t>2027-05-28</t>
        </is>
      </c>
      <c r="U1362" t="inlineStr">
        <is>
          <t>N/A</t>
        </is>
      </c>
      <c r="V1362" t="inlineStr">
        <is>
          <t>indexBasket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5664.50</t>
        </is>
      </c>
      <c r="AD1362" t="inlineStr">
        <is>
          <t>76505.87</t>
        </is>
      </c>
      <c r="AE1362" t="inlineStr">
        <is>
          <t>6.21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s="1" t="inlineStr"/>
      <c r="AR1362" s="1" t="inlineStr"/>
      <c r="AS1362" s="1" t="inlineStr"/>
      <c r="AT1362" t="inlineStr"/>
      <c r="AU1362" t="inlineStr"/>
      <c r="AV1362" t="inlineStr"/>
      <c r="AW1362" t="inlineStr"/>
      <c r="AX1362" t="inlineStr"/>
      <c r="AY1362" t="inlineStr"/>
    </row>
    <row r="1363">
      <c r="A1363" t="inlineStr">
        <is>
          <t>JUNC</t>
        </is>
      </c>
      <c r="B1363" t="inlineStr">
        <is>
          <t>912828ZS2 Govt</t>
        </is>
      </c>
      <c r="C1363" s="1" t="inlineStr">
        <is>
          <t>912828ZS2</t>
        </is>
      </c>
      <c r="D1363" t="inlineStr">
        <is>
          <t>United States Treasury Note/Bo</t>
        </is>
      </c>
      <c r="E1363">
        <f>BDP($B1363,"LEGAL_ENTITY_IDENTIFIER")</f>
        <v/>
      </c>
      <c r="F1363" t="inlineStr">
        <is>
          <t>United States Treasury Note/Bond 0.5% 05/31/2027</t>
        </is>
      </c>
      <c r="G1363">
        <f>custodian!D1363</f>
        <v/>
      </c>
      <c r="H1363">
        <f>BDP($B1363,"ID_ISIN")</f>
        <v/>
      </c>
      <c r="I1363" s="1" t="inlineStr"/>
      <c r="J1363">
        <f>BDP($B1363,"CNTRY_OF_DOMICILE")</f>
        <v/>
      </c>
      <c r="K1363" t="inlineStr">
        <is>
          <t>DBT</t>
        </is>
      </c>
      <c r="L1363" t="inlineStr">
        <is>
          <t>UST</t>
        </is>
      </c>
      <c r="M1363" t="inlineStr"/>
      <c r="N1363" t="inlineStr"/>
      <c r="O1363" s="1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s="1" t="inlineStr"/>
      <c r="AR1363" s="1" t="inlineStr"/>
      <c r="AS1363" s="1" t="inlineStr"/>
      <c r="AT1363">
        <f>TEXT(BDP($B1363,"MATURITY"),"yyyy-mm-dd")</f>
        <v/>
      </c>
      <c r="AU1363">
        <f>BDP($B1363,"CPN_TYP")</f>
        <v/>
      </c>
      <c r="AV1363">
        <f>BDP($B1363,"CPN")</f>
        <v/>
      </c>
      <c r="AW1363" t="inlineStr"/>
      <c r="AX1363" t="inlineStr"/>
      <c r="AY1363" t="inlineStr"/>
    </row>
    <row r="1364">
      <c r="A1364" t="inlineStr">
        <is>
          <t>JUNC</t>
        </is>
      </c>
      <c r="B1364" t="inlineStr">
        <is>
          <t>FGXXX US Equity</t>
        </is>
      </c>
      <c r="C1364" s="1" t="inlineStr">
        <is>
          <t>FGXXX</t>
        </is>
      </c>
      <c r="D1364" t="inlineStr">
        <is>
          <t>First American Government Obli</t>
        </is>
      </c>
      <c r="E1364">
        <f>BDP($B1364,"LEGAL_ENTITY_IDENTIFIER")</f>
        <v/>
      </c>
      <c r="F1364" t="inlineStr">
        <is>
          <t>First American Government Obligations Fund</t>
        </is>
      </c>
      <c r="G1364">
        <f>custodian!D1364</f>
        <v/>
      </c>
      <c r="H1364">
        <f>BDP($B1364,"ID_ISIN")</f>
        <v/>
      </c>
      <c r="I1364" s="1" t="inlineStr">
        <is>
          <t>FGXXX</t>
        </is>
      </c>
      <c r="J1364">
        <f>BDP($B1364,"CNTRY_OF_DOMICILE")</f>
        <v/>
      </c>
      <c r="K1364" t="inlineStr">
        <is>
          <t>STIV</t>
        </is>
      </c>
      <c r="L1364" t="inlineStr">
        <is>
          <t>RF</t>
        </is>
      </c>
      <c r="M1364" t="inlineStr"/>
      <c r="N1364" t="inlineStr"/>
      <c r="O1364" s="1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s="1" t="inlineStr"/>
      <c r="AR1364" s="1" t="inlineStr"/>
      <c r="AS1364" s="1" t="inlineStr"/>
      <c r="AT1364" t="inlineStr"/>
      <c r="AU1364" t="inlineStr"/>
      <c r="AV1364" t="inlineStr"/>
      <c r="AW1364" t="inlineStr"/>
      <c r="AX1364" t="inlineStr"/>
      <c r="AY1364" t="inlineStr"/>
    </row>
    <row r="1365">
      <c r="A1365" t="inlineStr">
        <is>
          <t>JUNC</t>
        </is>
      </c>
      <c r="B1365" t="inlineStr"/>
      <c r="C1365" s="1" t="inlineStr">
        <is>
          <t>Cash&amp;Other</t>
        </is>
      </c>
      <c r="D1365" t="inlineStr"/>
      <c r="E1365" s="1" t="inlineStr"/>
      <c r="F1365" t="inlineStr"/>
      <c r="G1365">
        <f>custodian!D1365</f>
        <v/>
      </c>
      <c r="H1365" s="1" t="inlineStr"/>
      <c r="I1365" s="1" t="inlineStr"/>
      <c r="J1365" t="inlineStr"/>
      <c r="K1365" t="inlineStr"/>
      <c r="L1365" t="inlineStr"/>
      <c r="M1365" t="inlineStr"/>
      <c r="N1365" t="inlineStr"/>
      <c r="O1365" s="1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s="1" t="inlineStr"/>
      <c r="AR1365" s="1" t="inlineStr"/>
      <c r="AS1365" s="1" t="inlineStr"/>
      <c r="AT1365" t="inlineStr"/>
      <c r="AU1365" t="inlineStr"/>
      <c r="AV1365" t="inlineStr"/>
      <c r="AW1365" t="inlineStr"/>
      <c r="AX1365" t="inlineStr"/>
      <c r="AY1365" t="inlineStr"/>
    </row>
    <row r="1366">
      <c r="A1366" t="inlineStr">
        <is>
          <t>KEYX</t>
        </is>
      </c>
      <c r="B1366" t="inlineStr">
        <is>
          <t>49338L103 Equity</t>
        </is>
      </c>
      <c r="C1366" s="1" t="inlineStr">
        <is>
          <t>49338L103-TRS-12/01/27-L-CANT</t>
        </is>
      </c>
      <c r="D1366" t="inlineStr">
        <is>
          <t>N/A</t>
        </is>
      </c>
      <c r="E1366" s="1" t="inlineStr">
        <is>
          <t>N/A</t>
        </is>
      </c>
      <c r="F1366" t="inlineStr">
        <is>
          <t>KEYSIGHT TECHNOLOGIES, INC.-SWAP-CANT-L</t>
        </is>
      </c>
      <c r="G1366">
        <f>custodian!D1366</f>
        <v/>
      </c>
      <c r="H1366" s="1" t="inlineStr"/>
      <c r="I1366" s="1" t="inlineStr">
        <is>
          <t>49338L103-TRS-12/01/27-L-CANT</t>
        </is>
      </c>
      <c r="J1366" t="inlineStr">
        <is>
          <t>US</t>
        </is>
      </c>
      <c r="K1366" t="inlineStr">
        <is>
          <t>DE</t>
        </is>
      </c>
      <c r="L1366" t="inlineStr">
        <is>
          <t>OTHER</t>
        </is>
      </c>
      <c r="M1366" t="inlineStr">
        <is>
          <t>SWP</t>
        </is>
      </c>
      <c r="N1366" t="inlineStr"/>
      <c r="O1366" s="1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otherRefInst</t>
        </is>
      </c>
      <c r="W1366" t="inlineStr"/>
      <c r="X1366" t="inlineStr"/>
      <c r="Y1366" t="inlineStr">
        <is>
          <t>Y</t>
        </is>
      </c>
      <c r="Z1366" t="inlineStr">
        <is>
          <t>2027-12-01</t>
        </is>
      </c>
      <c r="AA1366" t="inlineStr">
        <is>
          <t>495684.30</t>
        </is>
      </c>
      <c r="AB1366" t="inlineStr">
        <is>
          <t>USD</t>
        </is>
      </c>
      <c r="AC1366" t="inlineStr">
        <is>
          <t>-1905.58</t>
        </is>
      </c>
      <c r="AD1366" t="inlineStr">
        <is>
          <t>-1905.58</t>
        </is>
      </c>
      <c r="AE1366" t="inlineStr">
        <is>
          <t>-0.77</t>
        </is>
      </c>
      <c r="AF1366" t="inlineStr"/>
      <c r="AG1366" t="inlineStr"/>
      <c r="AH1366" t="inlineStr">
        <is>
          <t>Floating</t>
        </is>
      </c>
      <c r="AI1366" t="inlineStr"/>
      <c r="AJ1366" t="inlineStr"/>
      <c r="AK1366" t="inlineStr">
        <is>
          <t>495684.30</t>
        </is>
      </c>
      <c r="AL1366" t="inlineStr">
        <is>
          <t>USD</t>
        </is>
      </c>
      <c r="AM1366" t="inlineStr"/>
      <c r="AN1366" t="inlineStr"/>
      <c r="AO1366">
        <f>BDP($B1366,"ISSUER")</f>
        <v/>
      </c>
      <c r="AP1366">
        <f>BDP($B1366,"NAME")</f>
        <v/>
      </c>
      <c r="AQ1366" s="1" t="inlineStr">
        <is>
          <t>49338L103</t>
        </is>
      </c>
      <c r="AR1366">
        <f>BDP($B1366,"ID_ISIN")</f>
        <v/>
      </c>
      <c r="AS1366">
        <f>BDP($B1366,"TICKER")</f>
        <v/>
      </c>
      <c r="AT1366" t="inlineStr"/>
      <c r="AU1366" t="inlineStr"/>
      <c r="AV1366" t="inlineStr"/>
      <c r="AW1366" t="inlineStr"/>
      <c r="AX1366" t="inlineStr"/>
      <c r="AY1366" t="inlineStr"/>
    </row>
    <row r="1367">
      <c r="A1367" t="inlineStr">
        <is>
          <t>KEYX</t>
        </is>
      </c>
      <c r="B1367" t="inlineStr">
        <is>
          <t>FGXXX US Equity</t>
        </is>
      </c>
      <c r="C1367" s="1" t="inlineStr">
        <is>
          <t>FGXXX</t>
        </is>
      </c>
      <c r="D1367" t="inlineStr">
        <is>
          <t>First American Government Obli</t>
        </is>
      </c>
      <c r="E1367">
        <f>BDP($B1367,"LEGAL_ENTITY_IDENTIFIER")</f>
        <v/>
      </c>
      <c r="F1367" t="inlineStr">
        <is>
          <t>First American Government Obligations Fund</t>
        </is>
      </c>
      <c r="G1367">
        <f>custodian!D1367</f>
        <v/>
      </c>
      <c r="H1367">
        <f>BDP($B1367,"ID_ISIN")</f>
        <v/>
      </c>
      <c r="I1367" s="1" t="inlineStr">
        <is>
          <t>FGXXX</t>
        </is>
      </c>
      <c r="J1367">
        <f>BDP($B1367,"CNTRY_OF_DOMICILE")</f>
        <v/>
      </c>
      <c r="K1367" t="inlineStr">
        <is>
          <t>STIV</t>
        </is>
      </c>
      <c r="L1367" t="inlineStr">
        <is>
          <t>RF</t>
        </is>
      </c>
      <c r="M1367" t="inlineStr"/>
      <c r="N1367" t="inlineStr"/>
      <c r="O1367" s="1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s="1" t="inlineStr"/>
      <c r="AR1367" s="1" t="inlineStr"/>
      <c r="AS1367" s="1" t="inlineStr"/>
      <c r="AT1367" t="inlineStr"/>
      <c r="AU1367" t="inlineStr"/>
      <c r="AV1367" t="inlineStr"/>
      <c r="AW1367" t="inlineStr"/>
      <c r="AX1367" t="inlineStr"/>
      <c r="AY1367" t="inlineStr"/>
    </row>
    <row r="1368">
      <c r="A1368" t="inlineStr">
        <is>
          <t>KEYX</t>
        </is>
      </c>
      <c r="B1368" t="inlineStr"/>
      <c r="C1368" s="1" t="inlineStr">
        <is>
          <t>Cash&amp;Other</t>
        </is>
      </c>
      <c r="D1368" t="inlineStr"/>
      <c r="E1368" s="1" t="inlineStr"/>
      <c r="F1368" t="inlineStr"/>
      <c r="G1368">
        <f>custodian!D1368</f>
        <v/>
      </c>
      <c r="H1368" s="1" t="inlineStr"/>
      <c r="I1368" s="1" t="inlineStr"/>
      <c r="J1368" t="inlineStr"/>
      <c r="K1368" t="inlineStr"/>
      <c r="L1368" t="inlineStr"/>
      <c r="M1368" t="inlineStr"/>
      <c r="N1368" t="inlineStr"/>
      <c r="O1368" s="1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s="1" t="inlineStr"/>
      <c r="AR1368" s="1" t="inlineStr"/>
      <c r="AS1368" s="1" t="inlineStr"/>
      <c r="AT1368" t="inlineStr"/>
      <c r="AU1368" t="inlineStr"/>
      <c r="AV1368" t="inlineStr"/>
      <c r="AW1368" t="inlineStr"/>
      <c r="AX1368" t="inlineStr"/>
      <c r="AY1368" t="inlineStr"/>
    </row>
    <row r="1369">
      <c r="A1369" t="inlineStr">
        <is>
          <t>KRWX</t>
        </is>
      </c>
      <c r="B1369" t="inlineStr">
        <is>
          <t>464286772 Equity</t>
        </is>
      </c>
      <c r="C1369" s="1" t="inlineStr">
        <is>
          <t>464286772-TRS-07/07/27-L-CLST</t>
        </is>
      </c>
      <c r="D1369" t="inlineStr">
        <is>
          <t>N/A</t>
        </is>
      </c>
      <c r="E1369" s="1" t="inlineStr">
        <is>
          <t>N/A</t>
        </is>
      </c>
      <c r="F1369" t="inlineStr">
        <is>
          <t>ISHARES MSCI SOUTH KOREA ETF-SWAP-CLST-L</t>
        </is>
      </c>
      <c r="G1369">
        <f>custodian!D1369</f>
        <v/>
      </c>
      <c r="H1369" s="1" t="inlineStr"/>
      <c r="I1369" s="1" t="inlineStr">
        <is>
          <t>464286772-TRS-07/07/27-L-CLST</t>
        </is>
      </c>
      <c r="J1369" t="inlineStr">
        <is>
          <t>US</t>
        </is>
      </c>
      <c r="K1369" t="inlineStr">
        <is>
          <t>DE</t>
        </is>
      </c>
      <c r="L1369" t="inlineStr">
        <is>
          <t>OTHER</t>
        </is>
      </c>
      <c r="M1369" t="inlineStr">
        <is>
          <t>SWP</t>
        </is>
      </c>
      <c r="N1369" t="inlineStr"/>
      <c r="O1369" s="1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otherRefInst</t>
        </is>
      </c>
      <c r="W1369" t="inlineStr"/>
      <c r="X1369" t="inlineStr"/>
      <c r="Y1369" t="inlineStr">
        <is>
          <t>Y</t>
        </is>
      </c>
      <c r="Z1369" t="inlineStr">
        <is>
          <t>2027-07-07</t>
        </is>
      </c>
      <c r="AA1369" t="inlineStr">
        <is>
          <t>2580160.80</t>
        </is>
      </c>
      <c r="AB1369" t="inlineStr">
        <is>
          <t>USD</t>
        </is>
      </c>
      <c r="AC1369" t="inlineStr">
        <is>
          <t>-32386.85</t>
        </is>
      </c>
      <c r="AD1369" t="inlineStr">
        <is>
          <t>-32386.85</t>
        </is>
      </c>
      <c r="AE1369" t="inlineStr">
        <is>
          <t>-2.36</t>
        </is>
      </c>
      <c r="AF1369" t="inlineStr"/>
      <c r="AG1369" t="inlineStr"/>
      <c r="AH1369" t="inlineStr">
        <is>
          <t>Floating</t>
        </is>
      </c>
      <c r="AI1369" t="inlineStr"/>
      <c r="AJ1369" t="inlineStr"/>
      <c r="AK1369" t="inlineStr">
        <is>
          <t>2580160.80</t>
        </is>
      </c>
      <c r="AL1369" t="inlineStr">
        <is>
          <t>USD</t>
        </is>
      </c>
      <c r="AM1369" t="inlineStr"/>
      <c r="AN1369" t="inlineStr"/>
      <c r="AO1369">
        <f>BDP($B1369,"ISSUER")</f>
        <v/>
      </c>
      <c r="AP1369">
        <f>BDP($B1369,"NAME")</f>
        <v/>
      </c>
      <c r="AQ1369" s="1" t="inlineStr">
        <is>
          <t>464286772</t>
        </is>
      </c>
      <c r="AR1369">
        <f>BDP($B1369,"ID_ISIN")</f>
        <v/>
      </c>
      <c r="AS1369">
        <f>BDP($B1369,"TICKER")</f>
        <v/>
      </c>
      <c r="AT1369" t="inlineStr"/>
      <c r="AU1369" t="inlineStr"/>
      <c r="AV1369" t="inlineStr"/>
      <c r="AW1369" t="inlineStr"/>
      <c r="AX1369" t="inlineStr"/>
      <c r="AY1369" t="inlineStr"/>
    </row>
    <row r="1370">
      <c r="A1370" t="inlineStr">
        <is>
          <t>KRWX</t>
        </is>
      </c>
      <c r="B1370" t="inlineStr">
        <is>
          <t>464286772 Equity</t>
        </is>
      </c>
      <c r="C1370" s="1" t="inlineStr">
        <is>
          <t>464286772-TRS-12/01/27-L-CANT</t>
        </is>
      </c>
      <c r="D1370" t="inlineStr">
        <is>
          <t>N/A</t>
        </is>
      </c>
      <c r="E1370" s="1" t="inlineStr">
        <is>
          <t>N/A</t>
        </is>
      </c>
      <c r="F1370" t="inlineStr">
        <is>
          <t>ISHARES MSCI SOUTH KOREA ETF-SWAP-CANT-L</t>
        </is>
      </c>
      <c r="G1370">
        <f>custodian!D1370</f>
        <v/>
      </c>
      <c r="H1370" s="1" t="inlineStr"/>
      <c r="I1370" s="1" t="inlineStr">
        <is>
          <t>464286772-TRS-12/01/27-L-CANT</t>
        </is>
      </c>
      <c r="J1370" t="inlineStr">
        <is>
          <t>US</t>
        </is>
      </c>
      <c r="K1370" t="inlineStr">
        <is>
          <t>DE</t>
        </is>
      </c>
      <c r="L1370" t="inlineStr">
        <is>
          <t>OTHER</t>
        </is>
      </c>
      <c r="M1370" t="inlineStr">
        <is>
          <t>SWP</t>
        </is>
      </c>
      <c r="N1370" t="inlineStr"/>
      <c r="O1370" s="1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otherRefInst</t>
        </is>
      </c>
      <c r="W1370" t="inlineStr"/>
      <c r="X1370" t="inlineStr"/>
      <c r="Y1370" t="inlineStr">
        <is>
          <t>Y</t>
        </is>
      </c>
      <c r="Z1370" t="inlineStr">
        <is>
          <t>2027-12-01</t>
        </is>
      </c>
      <c r="AA1370" t="inlineStr">
        <is>
          <t>156229.92</t>
        </is>
      </c>
      <c r="AB1370" t="inlineStr">
        <is>
          <t>USD</t>
        </is>
      </c>
      <c r="AC1370" t="inlineStr">
        <is>
          <t>9903.94</t>
        </is>
      </c>
      <c r="AD1370" t="inlineStr">
        <is>
          <t>9903.94</t>
        </is>
      </c>
      <c r="AE1370" t="inlineStr">
        <is>
          <t>0.72</t>
        </is>
      </c>
      <c r="AF1370" t="inlineStr"/>
      <c r="AG1370" t="inlineStr"/>
      <c r="AH1370" t="inlineStr">
        <is>
          <t>Floating</t>
        </is>
      </c>
      <c r="AI1370" t="inlineStr"/>
      <c r="AJ1370" t="inlineStr"/>
      <c r="AK1370" t="inlineStr">
        <is>
          <t>156229.92</t>
        </is>
      </c>
      <c r="AL1370" t="inlineStr">
        <is>
          <t>USD</t>
        </is>
      </c>
      <c r="AM1370" t="inlineStr"/>
      <c r="AN1370" t="inlineStr"/>
      <c r="AO1370">
        <f>BDP($B1370,"ISSUER")</f>
        <v/>
      </c>
      <c r="AP1370">
        <f>BDP($B1370,"NAME")</f>
        <v/>
      </c>
      <c r="AQ1370" s="1" t="inlineStr">
        <is>
          <t>464286772</t>
        </is>
      </c>
      <c r="AR1370">
        <f>BDP($B1370,"ID_ISIN")</f>
        <v/>
      </c>
      <c r="AS1370">
        <f>BDP($B1370,"TICKER")</f>
        <v/>
      </c>
      <c r="AT1370" t="inlineStr"/>
      <c r="AU1370" t="inlineStr"/>
      <c r="AV1370" t="inlineStr"/>
      <c r="AW1370" t="inlineStr"/>
      <c r="AX1370" t="inlineStr"/>
      <c r="AY1370" t="inlineStr"/>
    </row>
    <row r="1371">
      <c r="A1371" t="inlineStr">
        <is>
          <t>KRWX</t>
        </is>
      </c>
      <c r="B1371" t="inlineStr">
        <is>
          <t>FGXXX US Equity</t>
        </is>
      </c>
      <c r="C1371" s="1" t="inlineStr">
        <is>
          <t>FGXXX</t>
        </is>
      </c>
      <c r="D1371" t="inlineStr">
        <is>
          <t>First American Government Obli</t>
        </is>
      </c>
      <c r="E1371">
        <f>BDP($B1371,"LEGAL_ENTITY_IDENTIFIER")</f>
        <v/>
      </c>
      <c r="F1371" t="inlineStr">
        <is>
          <t>First American Government Obligations Fund</t>
        </is>
      </c>
      <c r="G1371">
        <f>custodian!D1371</f>
        <v/>
      </c>
      <c r="H1371">
        <f>BDP($B1371,"ID_ISIN")</f>
        <v/>
      </c>
      <c r="I1371" s="1" t="inlineStr">
        <is>
          <t>FGXXX</t>
        </is>
      </c>
      <c r="J1371">
        <f>BDP($B1371,"CNTRY_OF_DOMICILE")</f>
        <v/>
      </c>
      <c r="K1371" t="inlineStr">
        <is>
          <t>STIV</t>
        </is>
      </c>
      <c r="L1371" t="inlineStr">
        <is>
          <t>RF</t>
        </is>
      </c>
      <c r="M1371" t="inlineStr"/>
      <c r="N1371" t="inlineStr"/>
      <c r="O1371" s="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s="1" t="inlineStr"/>
      <c r="AR1371" s="1" t="inlineStr"/>
      <c r="AS1371" s="1" t="inlineStr"/>
      <c r="AT1371" t="inlineStr"/>
      <c r="AU1371" t="inlineStr"/>
      <c r="AV1371" t="inlineStr"/>
      <c r="AW1371" t="inlineStr"/>
      <c r="AX1371" t="inlineStr"/>
      <c r="AY1371" t="inlineStr"/>
    </row>
    <row r="1372">
      <c r="A1372" t="inlineStr">
        <is>
          <t>KRWX</t>
        </is>
      </c>
      <c r="B1372" t="inlineStr"/>
      <c r="C1372" s="1" t="inlineStr">
        <is>
          <t>Cash&amp;Other</t>
        </is>
      </c>
      <c r="D1372" t="inlineStr"/>
      <c r="E1372" s="1" t="inlineStr"/>
      <c r="F1372" t="inlineStr"/>
      <c r="G1372">
        <f>custodian!D1372</f>
        <v/>
      </c>
      <c r="H1372" s="1" t="inlineStr"/>
      <c r="I1372" s="1" t="inlineStr"/>
      <c r="J1372" t="inlineStr"/>
      <c r="K1372" t="inlineStr"/>
      <c r="L1372" t="inlineStr"/>
      <c r="M1372" t="inlineStr"/>
      <c r="N1372" t="inlineStr"/>
      <c r="O1372" s="1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s="1" t="inlineStr"/>
      <c r="AR1372" s="1" t="inlineStr"/>
      <c r="AS1372" s="1" t="inlineStr"/>
      <c r="AT1372" t="inlineStr"/>
      <c r="AU1372" t="inlineStr"/>
      <c r="AV1372" t="inlineStr"/>
      <c r="AW1372" t="inlineStr"/>
      <c r="AX1372" t="inlineStr"/>
      <c r="AY1372" t="inlineStr"/>
    </row>
    <row r="1373">
      <c r="A1373" t="inlineStr">
        <is>
          <t>KYC</t>
        </is>
      </c>
      <c r="B1373" t="inlineStr">
        <is>
          <t>AFRM US Equity</t>
        </is>
      </c>
      <c r="C1373" s="1" t="inlineStr">
        <is>
          <t>AFRM</t>
        </is>
      </c>
      <c r="D1373" t="inlineStr">
        <is>
          <t>Affirm Holdings Inc</t>
        </is>
      </c>
      <c r="E1373">
        <f>BDP($B1373,"LEGAL_ENTITY_IDENTIFIER")</f>
        <v/>
      </c>
      <c r="F1373" t="inlineStr">
        <is>
          <t>Affirm Holdings Inc</t>
        </is>
      </c>
      <c r="G1373">
        <f>custodian!D1373</f>
        <v/>
      </c>
      <c r="H1373">
        <f>BDP($B1373,"ID_ISIN")</f>
        <v/>
      </c>
      <c r="I1373" s="1" t="inlineStr">
        <is>
          <t>AFRM</t>
        </is>
      </c>
      <c r="J1373">
        <f>BDP($B1373,"CNTRY_OF_DOMICILE")</f>
        <v/>
      </c>
      <c r="K1373" t="inlineStr">
        <is>
          <t>EC</t>
        </is>
      </c>
      <c r="L1373" t="inlineStr">
        <is>
          <t>CORP</t>
        </is>
      </c>
      <c r="M1373" t="inlineStr"/>
      <c r="N1373" t="inlineStr"/>
      <c r="O1373" s="1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s="1" t="inlineStr"/>
      <c r="AR1373" s="1" t="inlineStr"/>
      <c r="AS1373" s="1" t="inlineStr"/>
      <c r="AT1373" t="inlineStr"/>
      <c r="AU1373" t="inlineStr"/>
      <c r="AV1373" t="inlineStr"/>
      <c r="AW1373" t="inlineStr"/>
      <c r="AX1373" t="inlineStr"/>
      <c r="AY1373" t="inlineStr"/>
    </row>
    <row r="1374">
      <c r="A1374" t="inlineStr">
        <is>
          <t>KYC</t>
        </is>
      </c>
      <c r="B1374" t="inlineStr">
        <is>
          <t>ALLY US Equity</t>
        </is>
      </c>
      <c r="C1374" s="1" t="inlineStr">
        <is>
          <t>ALLY</t>
        </is>
      </c>
      <c r="D1374" t="inlineStr">
        <is>
          <t>Ally Financial Inc</t>
        </is>
      </c>
      <c r="E1374">
        <f>BDP($B1374,"LEGAL_ENTITY_IDENTIFIER")</f>
        <v/>
      </c>
      <c r="F1374" t="inlineStr">
        <is>
          <t>Ally Financial Inc</t>
        </is>
      </c>
      <c r="G1374">
        <f>custodian!D1374</f>
        <v/>
      </c>
      <c r="H1374">
        <f>BDP($B1374,"ID_ISIN")</f>
        <v/>
      </c>
      <c r="I1374" s="1" t="inlineStr">
        <is>
          <t>ALLY</t>
        </is>
      </c>
      <c r="J1374">
        <f>BDP($B1374,"CNTRY_OF_DOMICILE")</f>
        <v/>
      </c>
      <c r="K1374" t="inlineStr">
        <is>
          <t>EC</t>
        </is>
      </c>
      <c r="L1374" t="inlineStr">
        <is>
          <t>CORP</t>
        </is>
      </c>
      <c r="M1374" t="inlineStr"/>
      <c r="N1374" t="inlineStr"/>
      <c r="O1374" s="1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s="1" t="inlineStr"/>
      <c r="AR1374" s="1" t="inlineStr"/>
      <c r="AS1374" s="1" t="inlineStr"/>
      <c r="AT1374" t="inlineStr"/>
      <c r="AU1374" t="inlineStr"/>
      <c r="AV1374" t="inlineStr"/>
      <c r="AW1374" t="inlineStr"/>
      <c r="AX1374" t="inlineStr"/>
      <c r="AY1374" t="inlineStr"/>
    </row>
    <row r="1375">
      <c r="A1375" t="inlineStr">
        <is>
          <t>KYC</t>
        </is>
      </c>
      <c r="B1375" t="inlineStr">
        <is>
          <t>BILL US Equity</t>
        </is>
      </c>
      <c r="C1375" s="1" t="inlineStr">
        <is>
          <t>BILL</t>
        </is>
      </c>
      <c r="D1375" t="inlineStr">
        <is>
          <t>BILL Holdings Inc</t>
        </is>
      </c>
      <c r="E1375">
        <f>BDP($B1375,"LEGAL_ENTITY_IDENTIFIER")</f>
        <v/>
      </c>
      <c r="F1375" t="inlineStr">
        <is>
          <t>BILL Holdings Inc</t>
        </is>
      </c>
      <c r="G1375">
        <f>custodian!D1375</f>
        <v/>
      </c>
      <c r="H1375">
        <f>BDP($B1375,"ID_ISIN")</f>
        <v/>
      </c>
      <c r="I1375" s="1" t="inlineStr">
        <is>
          <t>BILL</t>
        </is>
      </c>
      <c r="J1375">
        <f>BDP($B1375,"CNTRY_OF_DOMICILE")</f>
        <v/>
      </c>
      <c r="K1375" t="inlineStr">
        <is>
          <t>EC</t>
        </is>
      </c>
      <c r="L1375" t="inlineStr">
        <is>
          <t>CORP</t>
        </is>
      </c>
      <c r="M1375" t="inlineStr"/>
      <c r="N1375" t="inlineStr"/>
      <c r="O1375" s="1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s="1" t="inlineStr"/>
      <c r="AR1375" s="1" t="inlineStr"/>
      <c r="AS1375" s="1" t="inlineStr"/>
      <c r="AT1375" t="inlineStr"/>
      <c r="AU1375" t="inlineStr"/>
      <c r="AV1375" t="inlineStr"/>
      <c r="AW1375" t="inlineStr"/>
      <c r="AX1375" t="inlineStr"/>
      <c r="AY1375" t="inlineStr"/>
    </row>
    <row r="1376">
      <c r="A1376" t="inlineStr">
        <is>
          <t>KYC</t>
        </is>
      </c>
      <c r="B1376" t="inlineStr">
        <is>
          <t>BR US Equity</t>
        </is>
      </c>
      <c r="C1376" s="1" t="inlineStr">
        <is>
          <t>BR</t>
        </is>
      </c>
      <c r="D1376" t="inlineStr">
        <is>
          <t>Broadridge Financial Solutions</t>
        </is>
      </c>
      <c r="E1376">
        <f>BDP($B1376,"LEGAL_ENTITY_IDENTIFIER")</f>
        <v/>
      </c>
      <c r="F1376" t="inlineStr">
        <is>
          <t>Broadridge Financial Solutions Inc</t>
        </is>
      </c>
      <c r="G1376">
        <f>custodian!D1376</f>
        <v/>
      </c>
      <c r="H1376">
        <f>BDP($B1376,"ID_ISIN")</f>
        <v/>
      </c>
      <c r="I1376" s="1" t="inlineStr">
        <is>
          <t>BR</t>
        </is>
      </c>
      <c r="J1376">
        <f>BDP($B1376,"CNTRY_OF_DOMICILE")</f>
        <v/>
      </c>
      <c r="K1376" t="inlineStr">
        <is>
          <t>EC</t>
        </is>
      </c>
      <c r="L1376" t="inlineStr">
        <is>
          <t>CORP</t>
        </is>
      </c>
      <c r="M1376" t="inlineStr"/>
      <c r="N1376" t="inlineStr"/>
      <c r="O1376" s="1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s="1" t="inlineStr"/>
      <c r="AR1376" s="1" t="inlineStr"/>
      <c r="AS1376" s="1" t="inlineStr"/>
      <c r="AT1376" t="inlineStr"/>
      <c r="AU1376" t="inlineStr"/>
      <c r="AV1376" t="inlineStr"/>
      <c r="AW1376" t="inlineStr"/>
      <c r="AX1376" t="inlineStr"/>
      <c r="AY1376" t="inlineStr"/>
    </row>
    <row r="1377">
      <c r="A1377" t="inlineStr">
        <is>
          <t>KYC</t>
        </is>
      </c>
      <c r="B1377" t="inlineStr">
        <is>
          <t>CHYM US Equity</t>
        </is>
      </c>
      <c r="C1377" s="1" t="inlineStr">
        <is>
          <t>CHYM</t>
        </is>
      </c>
      <c r="D1377" t="inlineStr">
        <is>
          <t>Chime Financial Inc</t>
        </is>
      </c>
      <c r="E1377">
        <f>BDP($B1377,"LEGAL_ENTITY_IDENTIFIER")</f>
        <v/>
      </c>
      <c r="F1377" t="inlineStr">
        <is>
          <t>Chime Financial Inc</t>
        </is>
      </c>
      <c r="G1377">
        <f>custodian!D1377</f>
        <v/>
      </c>
      <c r="H1377">
        <f>BDP($B1377,"ID_ISIN")</f>
        <v/>
      </c>
      <c r="I1377" s="1" t="inlineStr">
        <is>
          <t>CHYM</t>
        </is>
      </c>
      <c r="J1377">
        <f>BDP($B1377,"CNTRY_OF_DOMICILE")</f>
        <v/>
      </c>
      <c r="K1377" t="inlineStr">
        <is>
          <t>EC</t>
        </is>
      </c>
      <c r="L1377" t="inlineStr">
        <is>
          <t>CORP</t>
        </is>
      </c>
      <c r="M1377" t="inlineStr"/>
      <c r="N1377" t="inlineStr"/>
      <c r="O1377" s="1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s="1" t="inlineStr"/>
      <c r="AR1377" s="1" t="inlineStr"/>
      <c r="AS1377" s="1" t="inlineStr"/>
      <c r="AT1377" t="inlineStr"/>
      <c r="AU1377" t="inlineStr"/>
      <c r="AV1377" t="inlineStr"/>
      <c r="AW1377" t="inlineStr"/>
      <c r="AX1377" t="inlineStr"/>
      <c r="AY1377" t="inlineStr"/>
    </row>
    <row r="1378">
      <c r="A1378" t="inlineStr">
        <is>
          <t>KYC</t>
        </is>
      </c>
      <c r="B1378" t="inlineStr">
        <is>
          <t>COIN US Equity</t>
        </is>
      </c>
      <c r="C1378" s="1" t="inlineStr">
        <is>
          <t>COIN</t>
        </is>
      </c>
      <c r="D1378" t="inlineStr">
        <is>
          <t>Coinbase Global Inc</t>
        </is>
      </c>
      <c r="E1378">
        <f>BDP($B1378,"LEGAL_ENTITY_IDENTIFIER")</f>
        <v/>
      </c>
      <c r="F1378" t="inlineStr">
        <is>
          <t>Coinbase Global Inc</t>
        </is>
      </c>
      <c r="G1378">
        <f>custodian!D1378</f>
        <v/>
      </c>
      <c r="H1378">
        <f>BDP($B1378,"ID_ISIN")</f>
        <v/>
      </c>
      <c r="I1378" s="1" t="inlineStr">
        <is>
          <t>COIN</t>
        </is>
      </c>
      <c r="J1378">
        <f>BDP($B1378,"CNTRY_OF_DOMICILE")</f>
        <v/>
      </c>
      <c r="K1378" t="inlineStr">
        <is>
          <t>EC</t>
        </is>
      </c>
      <c r="L1378" t="inlineStr">
        <is>
          <t>CORP</t>
        </is>
      </c>
      <c r="M1378" t="inlineStr"/>
      <c r="N1378" t="inlineStr"/>
      <c r="O1378" s="1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s="1" t="inlineStr"/>
      <c r="AR1378" s="1" t="inlineStr"/>
      <c r="AS1378" s="1" t="inlineStr"/>
      <c r="AT1378" t="inlineStr"/>
      <c r="AU1378" t="inlineStr"/>
      <c r="AV1378" t="inlineStr"/>
      <c r="AW1378" t="inlineStr"/>
      <c r="AX1378" t="inlineStr"/>
      <c r="AY1378" t="inlineStr"/>
    </row>
    <row r="1379">
      <c r="A1379" t="inlineStr">
        <is>
          <t>KYC</t>
        </is>
      </c>
      <c r="B1379" t="inlineStr">
        <is>
          <t>CPAY US Equity</t>
        </is>
      </c>
      <c r="C1379" s="1" t="inlineStr">
        <is>
          <t>CPAY</t>
        </is>
      </c>
      <c r="D1379" t="inlineStr">
        <is>
          <t>Corpay Inc</t>
        </is>
      </c>
      <c r="E1379">
        <f>BDP($B1379,"LEGAL_ENTITY_IDENTIFIER")</f>
        <v/>
      </c>
      <c r="F1379" t="inlineStr">
        <is>
          <t>Corpay Inc</t>
        </is>
      </c>
      <c r="G1379">
        <f>custodian!D1379</f>
        <v/>
      </c>
      <c r="H1379">
        <f>BDP($B1379,"ID_ISIN")</f>
        <v/>
      </c>
      <c r="I1379" s="1" t="inlineStr">
        <is>
          <t>CPAY</t>
        </is>
      </c>
      <c r="J1379">
        <f>BDP($B1379,"CNTRY_OF_DOMICILE")</f>
        <v/>
      </c>
      <c r="K1379" t="inlineStr">
        <is>
          <t>EC</t>
        </is>
      </c>
      <c r="L1379" t="inlineStr">
        <is>
          <t>CORP</t>
        </is>
      </c>
      <c r="M1379" t="inlineStr"/>
      <c r="N1379" t="inlineStr"/>
      <c r="O1379" s="1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s="1" t="inlineStr"/>
      <c r="AR1379" s="1" t="inlineStr"/>
      <c r="AS1379" s="1" t="inlineStr"/>
      <c r="AT1379" t="inlineStr"/>
      <c r="AU1379" t="inlineStr"/>
      <c r="AV1379" t="inlineStr"/>
      <c r="AW1379" t="inlineStr"/>
      <c r="AX1379" t="inlineStr"/>
      <c r="AY1379" t="inlineStr"/>
    </row>
    <row r="1380">
      <c r="A1380" t="inlineStr">
        <is>
          <t>KYC</t>
        </is>
      </c>
      <c r="B1380" t="inlineStr">
        <is>
          <t>CRCL US Equity</t>
        </is>
      </c>
      <c r="C1380" s="1" t="inlineStr">
        <is>
          <t>CRCL</t>
        </is>
      </c>
      <c r="D1380" t="inlineStr">
        <is>
          <t>Circle Internet Group Inc</t>
        </is>
      </c>
      <c r="E1380">
        <f>BDP($B1380,"LEGAL_ENTITY_IDENTIFIER")</f>
        <v/>
      </c>
      <c r="F1380" t="inlineStr">
        <is>
          <t>Circle Internet Group Inc</t>
        </is>
      </c>
      <c r="G1380">
        <f>custodian!D1380</f>
        <v/>
      </c>
      <c r="H1380">
        <f>BDP($B1380,"ID_ISIN")</f>
        <v/>
      </c>
      <c r="I1380" s="1" t="inlineStr">
        <is>
          <t>CRCL</t>
        </is>
      </c>
      <c r="J1380">
        <f>BDP($B1380,"CNTRY_OF_DOMICILE")</f>
        <v/>
      </c>
      <c r="K1380" t="inlineStr">
        <is>
          <t>EC</t>
        </is>
      </c>
      <c r="L1380" t="inlineStr">
        <is>
          <t>CORP</t>
        </is>
      </c>
      <c r="M1380" t="inlineStr"/>
      <c r="N1380" t="inlineStr"/>
      <c r="O1380" s="1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s="1" t="inlineStr"/>
      <c r="AR1380" s="1" t="inlineStr"/>
      <c r="AS1380" s="1" t="inlineStr"/>
      <c r="AT1380" t="inlineStr"/>
      <c r="AU1380" t="inlineStr"/>
      <c r="AV1380" t="inlineStr"/>
      <c r="AW1380" t="inlineStr"/>
      <c r="AX1380" t="inlineStr"/>
      <c r="AY1380" t="inlineStr"/>
    </row>
    <row r="1381">
      <c r="A1381" t="inlineStr">
        <is>
          <t>KYC</t>
        </is>
      </c>
      <c r="B1381" t="inlineStr">
        <is>
          <t>DAVE US Equity</t>
        </is>
      </c>
      <c r="C1381" s="1" t="inlineStr">
        <is>
          <t>DAVE</t>
        </is>
      </c>
      <c r="D1381" t="inlineStr">
        <is>
          <t>Dave Inc</t>
        </is>
      </c>
      <c r="E1381">
        <f>BDP($B1381,"LEGAL_ENTITY_IDENTIFIER")</f>
        <v/>
      </c>
      <c r="F1381" t="inlineStr">
        <is>
          <t>Dave Inc</t>
        </is>
      </c>
      <c r="G1381">
        <f>custodian!D1381</f>
        <v/>
      </c>
      <c r="H1381">
        <f>BDP($B1381,"ID_ISIN")</f>
        <v/>
      </c>
      <c r="I1381" s="1" t="inlineStr">
        <is>
          <t>DAVE</t>
        </is>
      </c>
      <c r="J1381">
        <f>BDP($B1381,"CNTRY_OF_DOMICILE")</f>
        <v/>
      </c>
      <c r="K1381" t="inlineStr">
        <is>
          <t>EC</t>
        </is>
      </c>
      <c r="L1381" t="inlineStr">
        <is>
          <t>CORP</t>
        </is>
      </c>
      <c r="M1381" t="inlineStr"/>
      <c r="N1381" t="inlineStr"/>
      <c r="O1381" s="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s="1" t="inlineStr"/>
      <c r="AR1381" s="1" t="inlineStr"/>
      <c r="AS1381" s="1" t="inlineStr"/>
      <c r="AT1381" t="inlineStr"/>
      <c r="AU1381" t="inlineStr"/>
      <c r="AV1381" t="inlineStr"/>
      <c r="AW1381" t="inlineStr"/>
      <c r="AX1381" t="inlineStr"/>
      <c r="AY1381" t="inlineStr"/>
    </row>
    <row r="1382">
      <c r="A1382" t="inlineStr">
        <is>
          <t>KYC</t>
        </is>
      </c>
      <c r="B1382" t="inlineStr">
        <is>
          <t>DLO US Equity</t>
        </is>
      </c>
      <c r="C1382" s="1" t="inlineStr">
        <is>
          <t>DLO</t>
        </is>
      </c>
      <c r="D1382" t="inlineStr">
        <is>
          <t>Dlocal Ltd/Uruguay</t>
        </is>
      </c>
      <c r="E1382">
        <f>BDP($B1382,"LEGAL_ENTITY_IDENTIFIER")</f>
        <v/>
      </c>
      <c r="F1382" t="inlineStr">
        <is>
          <t>Dlocal Ltd/Uruguay</t>
        </is>
      </c>
      <c r="G1382">
        <f>custodian!D1382</f>
        <v/>
      </c>
      <c r="H1382">
        <f>BDP($B1382,"ID_ISIN")</f>
        <v/>
      </c>
      <c r="I1382" s="1" t="inlineStr">
        <is>
          <t>DLO</t>
        </is>
      </c>
      <c r="J1382">
        <f>BDP($B1382,"CNTRY_OF_DOMICILE")</f>
        <v/>
      </c>
      <c r="K1382" t="inlineStr">
        <is>
          <t>EC</t>
        </is>
      </c>
      <c r="L1382" t="inlineStr">
        <is>
          <t>CORP</t>
        </is>
      </c>
      <c r="M1382" t="inlineStr"/>
      <c r="N1382" t="inlineStr"/>
      <c r="O1382" s="1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s="1" t="inlineStr"/>
      <c r="AR1382" s="1" t="inlineStr"/>
      <c r="AS1382" s="1" t="inlineStr"/>
      <c r="AT1382" t="inlineStr"/>
      <c r="AU1382" t="inlineStr"/>
      <c r="AV1382" t="inlineStr"/>
      <c r="AW1382" t="inlineStr"/>
      <c r="AX1382" t="inlineStr"/>
      <c r="AY1382" t="inlineStr"/>
    </row>
    <row r="1383">
      <c r="A1383" t="inlineStr">
        <is>
          <t>KYC</t>
        </is>
      </c>
      <c r="B1383" t="inlineStr">
        <is>
          <t>EFX US Equity</t>
        </is>
      </c>
      <c r="C1383" s="1" t="inlineStr">
        <is>
          <t>EFX</t>
        </is>
      </c>
      <c r="D1383" t="inlineStr">
        <is>
          <t>Equifax Inc</t>
        </is>
      </c>
      <c r="E1383">
        <f>BDP($B1383,"LEGAL_ENTITY_IDENTIFIER")</f>
        <v/>
      </c>
      <c r="F1383" t="inlineStr">
        <is>
          <t>Equifax Inc</t>
        </is>
      </c>
      <c r="G1383">
        <f>custodian!D1383</f>
        <v/>
      </c>
      <c r="H1383">
        <f>BDP($B1383,"ID_ISIN")</f>
        <v/>
      </c>
      <c r="I1383" s="1" t="inlineStr">
        <is>
          <t>EFX</t>
        </is>
      </c>
      <c r="J1383">
        <f>BDP($B1383,"CNTRY_OF_DOMICILE")</f>
        <v/>
      </c>
      <c r="K1383" t="inlineStr">
        <is>
          <t>EC</t>
        </is>
      </c>
      <c r="L1383" t="inlineStr">
        <is>
          <t>CORP</t>
        </is>
      </c>
      <c r="M1383" t="inlineStr"/>
      <c r="N1383" t="inlineStr"/>
      <c r="O1383" s="1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s="1" t="inlineStr"/>
      <c r="AR1383" s="1" t="inlineStr"/>
      <c r="AS1383" s="1" t="inlineStr"/>
      <c r="AT1383" t="inlineStr"/>
      <c r="AU1383" t="inlineStr"/>
      <c r="AV1383" t="inlineStr"/>
      <c r="AW1383" t="inlineStr"/>
      <c r="AX1383" t="inlineStr"/>
      <c r="AY1383" t="inlineStr"/>
    </row>
    <row r="1384">
      <c r="A1384" t="inlineStr">
        <is>
          <t>KYC</t>
        </is>
      </c>
      <c r="B1384" t="inlineStr">
        <is>
          <t>ETOR US Equity</t>
        </is>
      </c>
      <c r="C1384" s="1" t="inlineStr">
        <is>
          <t>ETOR</t>
        </is>
      </c>
      <c r="D1384" t="inlineStr">
        <is>
          <t>Etoro Group Ltd</t>
        </is>
      </c>
      <c r="E1384">
        <f>BDP($B1384,"LEGAL_ENTITY_IDENTIFIER")</f>
        <v/>
      </c>
      <c r="F1384" t="inlineStr">
        <is>
          <t>Etoro Group Ltd</t>
        </is>
      </c>
      <c r="G1384">
        <f>custodian!D1384</f>
        <v/>
      </c>
      <c r="H1384">
        <f>BDP($B1384,"ID_ISIN")</f>
        <v/>
      </c>
      <c r="I1384" s="1" t="inlineStr">
        <is>
          <t>ETOR</t>
        </is>
      </c>
      <c r="J1384">
        <f>BDP($B1384,"CNTRY_OF_DOMICILE")</f>
        <v/>
      </c>
      <c r="K1384" t="inlineStr">
        <is>
          <t>EC</t>
        </is>
      </c>
      <c r="L1384" t="inlineStr">
        <is>
          <t>CORP</t>
        </is>
      </c>
      <c r="M1384" t="inlineStr"/>
      <c r="N1384" t="inlineStr"/>
      <c r="O1384" s="1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s="1" t="inlineStr"/>
      <c r="AR1384" s="1" t="inlineStr"/>
      <c r="AS1384" s="1" t="inlineStr"/>
      <c r="AT1384" t="inlineStr"/>
      <c r="AU1384" t="inlineStr"/>
      <c r="AV1384" t="inlineStr"/>
      <c r="AW1384" t="inlineStr"/>
      <c r="AX1384" t="inlineStr"/>
      <c r="AY1384" t="inlineStr"/>
    </row>
    <row r="1385">
      <c r="A1385" t="inlineStr">
        <is>
          <t>KYC</t>
        </is>
      </c>
      <c r="B1385" t="inlineStr">
        <is>
          <t>FGXXX US Equity</t>
        </is>
      </c>
      <c r="C1385" s="1" t="inlineStr">
        <is>
          <t>FGXXX</t>
        </is>
      </c>
      <c r="D1385" t="inlineStr">
        <is>
          <t>First American Government Obli</t>
        </is>
      </c>
      <c r="E1385">
        <f>BDP($B1385,"LEGAL_ENTITY_IDENTIFIER")</f>
        <v/>
      </c>
      <c r="F1385" t="inlineStr">
        <is>
          <t>First American Government Obligations Fund</t>
        </is>
      </c>
      <c r="G1385">
        <f>custodian!D1385</f>
        <v/>
      </c>
      <c r="H1385">
        <f>BDP($B1385,"ID_ISIN")</f>
        <v/>
      </c>
      <c r="I1385" s="1" t="inlineStr">
        <is>
          <t>FGXXX</t>
        </is>
      </c>
      <c r="J1385">
        <f>BDP($B1385,"CNTRY_OF_DOMICILE")</f>
        <v/>
      </c>
      <c r="K1385" t="inlineStr">
        <is>
          <t>STIV</t>
        </is>
      </c>
      <c r="L1385" t="inlineStr">
        <is>
          <t>RF</t>
        </is>
      </c>
      <c r="M1385" t="inlineStr"/>
      <c r="N1385" t="inlineStr"/>
      <c r="O1385" s="1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s="1" t="inlineStr"/>
      <c r="AR1385" s="1" t="inlineStr"/>
      <c r="AS1385" s="1" t="inlineStr"/>
      <c r="AT1385" t="inlineStr"/>
      <c r="AU1385" t="inlineStr"/>
      <c r="AV1385" t="inlineStr"/>
      <c r="AW1385" t="inlineStr"/>
      <c r="AX1385" t="inlineStr"/>
      <c r="AY1385" t="inlineStr"/>
    </row>
    <row r="1386">
      <c r="A1386" t="inlineStr">
        <is>
          <t>KYC</t>
        </is>
      </c>
      <c r="B1386" t="inlineStr">
        <is>
          <t>FICO US Equity</t>
        </is>
      </c>
      <c r="C1386" s="1" t="inlineStr">
        <is>
          <t>FICO</t>
        </is>
      </c>
      <c r="D1386" t="inlineStr">
        <is>
          <t>Fair Isaac Corp</t>
        </is>
      </c>
      <c r="E1386">
        <f>BDP($B1386,"LEGAL_ENTITY_IDENTIFIER")</f>
        <v/>
      </c>
      <c r="F1386" t="inlineStr">
        <is>
          <t>Fair Isaac Corp</t>
        </is>
      </c>
      <c r="G1386">
        <f>custodian!D1386</f>
        <v/>
      </c>
      <c r="H1386">
        <f>BDP($B1386,"ID_ISIN")</f>
        <v/>
      </c>
      <c r="I1386" s="1" t="inlineStr">
        <is>
          <t>FICO</t>
        </is>
      </c>
      <c r="J1386">
        <f>BDP($B1386,"CNTRY_OF_DOMICILE")</f>
        <v/>
      </c>
      <c r="K1386" t="inlineStr">
        <is>
          <t>EC</t>
        </is>
      </c>
      <c r="L1386" t="inlineStr">
        <is>
          <t>CORP</t>
        </is>
      </c>
      <c r="M1386" t="inlineStr"/>
      <c r="N1386" t="inlineStr"/>
      <c r="O1386" s="1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s="1" t="inlineStr"/>
      <c r="AR1386" s="1" t="inlineStr"/>
      <c r="AS1386" s="1" t="inlineStr"/>
      <c r="AT1386" t="inlineStr"/>
      <c r="AU1386" t="inlineStr"/>
      <c r="AV1386" t="inlineStr"/>
      <c r="AW1386" t="inlineStr"/>
      <c r="AX1386" t="inlineStr"/>
      <c r="AY1386" t="inlineStr"/>
    </row>
    <row r="1387">
      <c r="A1387" t="inlineStr">
        <is>
          <t>KYC</t>
        </is>
      </c>
      <c r="B1387" t="inlineStr">
        <is>
          <t>FIS US Equity</t>
        </is>
      </c>
      <c r="C1387" s="1" t="inlineStr">
        <is>
          <t>FIS</t>
        </is>
      </c>
      <c r="D1387" t="inlineStr">
        <is>
          <t xml:space="preserve">Fidelity National Information </t>
        </is>
      </c>
      <c r="E1387">
        <f>BDP($B1387,"LEGAL_ENTITY_IDENTIFIER")</f>
        <v/>
      </c>
      <c r="F1387" t="inlineStr">
        <is>
          <t>Fidelity National Information Services Inc</t>
        </is>
      </c>
      <c r="G1387">
        <f>custodian!D1387</f>
        <v/>
      </c>
      <c r="H1387">
        <f>BDP($B1387,"ID_ISIN")</f>
        <v/>
      </c>
      <c r="I1387" s="1" t="inlineStr">
        <is>
          <t>FIS</t>
        </is>
      </c>
      <c r="J1387">
        <f>BDP($B1387,"CNTRY_OF_DOMICILE")</f>
        <v/>
      </c>
      <c r="K1387" t="inlineStr">
        <is>
          <t>EC</t>
        </is>
      </c>
      <c r="L1387" t="inlineStr">
        <is>
          <t>CORP</t>
        </is>
      </c>
      <c r="M1387" t="inlineStr"/>
      <c r="N1387" t="inlineStr"/>
      <c r="O1387" s="1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s="1" t="inlineStr"/>
      <c r="AR1387" s="1" t="inlineStr"/>
      <c r="AS1387" s="1" t="inlineStr"/>
      <c r="AT1387" t="inlineStr"/>
      <c r="AU1387" t="inlineStr"/>
      <c r="AV1387" t="inlineStr"/>
      <c r="AW1387" t="inlineStr"/>
      <c r="AX1387" t="inlineStr"/>
      <c r="AY1387" t="inlineStr"/>
    </row>
    <row r="1388">
      <c r="A1388" t="inlineStr">
        <is>
          <t>KYC</t>
        </is>
      </c>
      <c r="B1388" t="inlineStr">
        <is>
          <t>FISV US Equity</t>
        </is>
      </c>
      <c r="C1388" s="1" t="inlineStr">
        <is>
          <t>FISV</t>
        </is>
      </c>
      <c r="D1388" t="inlineStr">
        <is>
          <t>Fiserv Inc</t>
        </is>
      </c>
      <c r="E1388">
        <f>BDP($B1388,"LEGAL_ENTITY_IDENTIFIER")</f>
        <v/>
      </c>
      <c r="F1388" t="inlineStr">
        <is>
          <t>Fiserv Inc</t>
        </is>
      </c>
      <c r="G1388">
        <f>custodian!D1388</f>
        <v/>
      </c>
      <c r="H1388">
        <f>BDP($B1388,"ID_ISIN")</f>
        <v/>
      </c>
      <c r="I1388" s="1" t="inlineStr">
        <is>
          <t>FISV</t>
        </is>
      </c>
      <c r="J1388">
        <f>BDP($B1388,"CNTRY_OF_DOMICILE")</f>
        <v/>
      </c>
      <c r="K1388" t="inlineStr">
        <is>
          <t>EC</t>
        </is>
      </c>
      <c r="L1388" t="inlineStr">
        <is>
          <t>CORP</t>
        </is>
      </c>
      <c r="M1388" t="inlineStr"/>
      <c r="N1388" t="inlineStr"/>
      <c r="O1388" s="1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s="1" t="inlineStr"/>
      <c r="AR1388" s="1" t="inlineStr"/>
      <c r="AS1388" s="1" t="inlineStr"/>
      <c r="AT1388" t="inlineStr"/>
      <c r="AU1388" t="inlineStr"/>
      <c r="AV1388" t="inlineStr"/>
      <c r="AW1388" t="inlineStr"/>
      <c r="AX1388" t="inlineStr"/>
      <c r="AY1388" t="inlineStr"/>
    </row>
    <row r="1389">
      <c r="A1389" t="inlineStr">
        <is>
          <t>KYC</t>
        </is>
      </c>
      <c r="B1389" t="inlineStr">
        <is>
          <t>FLYW US Equity</t>
        </is>
      </c>
      <c r="C1389" s="1" t="inlineStr">
        <is>
          <t>FLYW</t>
        </is>
      </c>
      <c r="D1389" t="inlineStr">
        <is>
          <t>Flywire Corp</t>
        </is>
      </c>
      <c r="E1389">
        <f>BDP($B1389,"LEGAL_ENTITY_IDENTIFIER")</f>
        <v/>
      </c>
      <c r="F1389" t="inlineStr">
        <is>
          <t>Flywire Corp</t>
        </is>
      </c>
      <c r="G1389">
        <f>custodian!D1389</f>
        <v/>
      </c>
      <c r="H1389">
        <f>BDP($B1389,"ID_ISIN")</f>
        <v/>
      </c>
      <c r="I1389" s="1" t="inlineStr">
        <is>
          <t>FLYW</t>
        </is>
      </c>
      <c r="J1389">
        <f>BDP($B1389,"CNTRY_OF_DOMICILE")</f>
        <v/>
      </c>
      <c r="K1389" t="inlineStr">
        <is>
          <t>EC</t>
        </is>
      </c>
      <c r="L1389" t="inlineStr">
        <is>
          <t>CORP</t>
        </is>
      </c>
      <c r="M1389" t="inlineStr"/>
      <c r="N1389" t="inlineStr"/>
      <c r="O1389" s="1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s="1" t="inlineStr"/>
      <c r="AR1389" s="1" t="inlineStr"/>
      <c r="AS1389" s="1" t="inlineStr"/>
      <c r="AT1389" t="inlineStr"/>
      <c r="AU1389" t="inlineStr"/>
      <c r="AV1389" t="inlineStr"/>
      <c r="AW1389" t="inlineStr"/>
      <c r="AX1389" t="inlineStr"/>
      <c r="AY1389" t="inlineStr"/>
    </row>
    <row r="1390">
      <c r="A1390" t="inlineStr">
        <is>
          <t>KYC</t>
        </is>
      </c>
      <c r="B1390" t="inlineStr">
        <is>
          <t>FOUR US Equity</t>
        </is>
      </c>
      <c r="C1390" s="1" t="inlineStr">
        <is>
          <t>FOUR</t>
        </is>
      </c>
      <c r="D1390" t="inlineStr">
        <is>
          <t>Shift4 Payments Inc</t>
        </is>
      </c>
      <c r="E1390">
        <f>BDP($B1390,"LEGAL_ENTITY_IDENTIFIER")</f>
        <v/>
      </c>
      <c r="F1390" t="inlineStr">
        <is>
          <t>Shift4 Payments Inc</t>
        </is>
      </c>
      <c r="G1390">
        <f>custodian!D1390</f>
        <v/>
      </c>
      <c r="H1390">
        <f>BDP($B1390,"ID_ISIN")</f>
        <v/>
      </c>
      <c r="I1390" s="1" t="inlineStr">
        <is>
          <t>FOUR</t>
        </is>
      </c>
      <c r="J1390">
        <f>BDP($B1390,"CNTRY_OF_DOMICILE")</f>
        <v/>
      </c>
      <c r="K1390" t="inlineStr">
        <is>
          <t>EC</t>
        </is>
      </c>
      <c r="L1390" t="inlineStr">
        <is>
          <t>CORP</t>
        </is>
      </c>
      <c r="M1390" t="inlineStr"/>
      <c r="N1390" t="inlineStr"/>
      <c r="O1390" s="1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s="1" t="inlineStr"/>
      <c r="AR1390" s="1" t="inlineStr"/>
      <c r="AS1390" s="1" t="inlineStr"/>
      <c r="AT1390" t="inlineStr"/>
      <c r="AU1390" t="inlineStr"/>
      <c r="AV1390" t="inlineStr"/>
      <c r="AW1390" t="inlineStr"/>
      <c r="AX1390" t="inlineStr"/>
      <c r="AY1390" t="inlineStr"/>
    </row>
    <row r="1391">
      <c r="A1391" t="inlineStr">
        <is>
          <t>KYC</t>
        </is>
      </c>
      <c r="B1391" t="inlineStr">
        <is>
          <t>GDOT US Equity</t>
        </is>
      </c>
      <c r="C1391" s="1" t="inlineStr">
        <is>
          <t>GDOT</t>
        </is>
      </c>
      <c r="D1391" t="inlineStr">
        <is>
          <t>Green Dot Corp</t>
        </is>
      </c>
      <c r="E1391">
        <f>BDP($B1391,"LEGAL_ENTITY_IDENTIFIER")</f>
        <v/>
      </c>
      <c r="F1391" t="inlineStr">
        <is>
          <t>Green Dot Corp</t>
        </is>
      </c>
      <c r="G1391">
        <f>custodian!D1391</f>
        <v/>
      </c>
      <c r="H1391">
        <f>BDP($B1391,"ID_ISIN")</f>
        <v/>
      </c>
      <c r="I1391" s="1" t="inlineStr">
        <is>
          <t>GDOT</t>
        </is>
      </c>
      <c r="J1391">
        <f>BDP($B1391,"CNTRY_OF_DOMICILE")</f>
        <v/>
      </c>
      <c r="K1391" t="inlineStr">
        <is>
          <t>EC</t>
        </is>
      </c>
      <c r="L1391" t="inlineStr">
        <is>
          <t>CORP</t>
        </is>
      </c>
      <c r="M1391" t="inlineStr"/>
      <c r="N1391" t="inlineStr"/>
      <c r="O1391" s="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s="1" t="inlineStr"/>
      <c r="AR1391" s="1" t="inlineStr"/>
      <c r="AS1391" s="1" t="inlineStr"/>
      <c r="AT1391" t="inlineStr"/>
      <c r="AU1391" t="inlineStr"/>
      <c r="AV1391" t="inlineStr"/>
      <c r="AW1391" t="inlineStr"/>
      <c r="AX1391" t="inlineStr"/>
      <c r="AY1391" t="inlineStr"/>
    </row>
    <row r="1392">
      <c r="A1392" t="inlineStr">
        <is>
          <t>KYC</t>
        </is>
      </c>
      <c r="B1392" t="inlineStr">
        <is>
          <t>GLBE US Equity</t>
        </is>
      </c>
      <c r="C1392" s="1" t="inlineStr">
        <is>
          <t>GLBE</t>
        </is>
      </c>
      <c r="D1392" t="inlineStr">
        <is>
          <t>Global-e Online Ltd</t>
        </is>
      </c>
      <c r="E1392">
        <f>BDP($B1392,"LEGAL_ENTITY_IDENTIFIER")</f>
        <v/>
      </c>
      <c r="F1392" t="inlineStr">
        <is>
          <t>Global-e Online Ltd</t>
        </is>
      </c>
      <c r="G1392">
        <f>custodian!D1392</f>
        <v/>
      </c>
      <c r="H1392">
        <f>BDP($B1392,"ID_ISIN")</f>
        <v/>
      </c>
      <c r="I1392" s="1" t="inlineStr">
        <is>
          <t>GLBE</t>
        </is>
      </c>
      <c r="J1392">
        <f>BDP($B1392,"CNTRY_OF_DOMICILE")</f>
        <v/>
      </c>
      <c r="K1392" t="inlineStr">
        <is>
          <t>EC</t>
        </is>
      </c>
      <c r="L1392" t="inlineStr">
        <is>
          <t>CORP</t>
        </is>
      </c>
      <c r="M1392" t="inlineStr"/>
      <c r="N1392" t="inlineStr"/>
      <c r="O1392" s="1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s="1" t="inlineStr"/>
      <c r="AR1392" s="1" t="inlineStr"/>
      <c r="AS1392" s="1" t="inlineStr"/>
      <c r="AT1392" t="inlineStr"/>
      <c r="AU1392" t="inlineStr"/>
      <c r="AV1392" t="inlineStr"/>
      <c r="AW1392" t="inlineStr"/>
      <c r="AX1392" t="inlineStr"/>
      <c r="AY1392" t="inlineStr"/>
    </row>
    <row r="1393">
      <c r="A1393" t="inlineStr">
        <is>
          <t>KYC</t>
        </is>
      </c>
      <c r="B1393" t="inlineStr">
        <is>
          <t>GPN US Equity</t>
        </is>
      </c>
      <c r="C1393" s="1" t="inlineStr">
        <is>
          <t>GPN</t>
        </is>
      </c>
      <c r="D1393" t="inlineStr">
        <is>
          <t>Global Payments Inc</t>
        </is>
      </c>
      <c r="E1393">
        <f>BDP($B1393,"LEGAL_ENTITY_IDENTIFIER")</f>
        <v/>
      </c>
      <c r="F1393" t="inlineStr">
        <is>
          <t>Global Payments Inc</t>
        </is>
      </c>
      <c r="G1393">
        <f>custodian!D1393</f>
        <v/>
      </c>
      <c r="H1393">
        <f>BDP($B1393,"ID_ISIN")</f>
        <v/>
      </c>
      <c r="I1393" s="1" t="inlineStr">
        <is>
          <t>GPN</t>
        </is>
      </c>
      <c r="J1393">
        <f>BDP($B1393,"CNTRY_OF_DOMICILE")</f>
        <v/>
      </c>
      <c r="K1393" t="inlineStr">
        <is>
          <t>EC</t>
        </is>
      </c>
      <c r="L1393" t="inlineStr">
        <is>
          <t>CORP</t>
        </is>
      </c>
      <c r="M1393" t="inlineStr"/>
      <c r="N1393" t="inlineStr"/>
      <c r="O1393" s="1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s="1" t="inlineStr"/>
      <c r="AR1393" s="1" t="inlineStr"/>
      <c r="AS1393" s="1" t="inlineStr"/>
      <c r="AT1393" t="inlineStr"/>
      <c r="AU1393" t="inlineStr"/>
      <c r="AV1393" t="inlineStr"/>
      <c r="AW1393" t="inlineStr"/>
      <c r="AX1393" t="inlineStr"/>
      <c r="AY1393" t="inlineStr"/>
    </row>
    <row r="1394">
      <c r="A1394" t="inlineStr">
        <is>
          <t>KYC</t>
        </is>
      </c>
      <c r="B1394" t="inlineStr">
        <is>
          <t>HOOD US Equity</t>
        </is>
      </c>
      <c r="C1394" s="1" t="inlineStr">
        <is>
          <t>HOOD</t>
        </is>
      </c>
      <c r="D1394" t="inlineStr">
        <is>
          <t>Robinhood Markets Inc</t>
        </is>
      </c>
      <c r="E1394">
        <f>BDP($B1394,"LEGAL_ENTITY_IDENTIFIER")</f>
        <v/>
      </c>
      <c r="F1394" t="inlineStr">
        <is>
          <t>Robinhood Markets Inc</t>
        </is>
      </c>
      <c r="G1394">
        <f>custodian!D1394</f>
        <v/>
      </c>
      <c r="H1394">
        <f>BDP($B1394,"ID_ISIN")</f>
        <v/>
      </c>
      <c r="I1394" s="1" t="inlineStr">
        <is>
          <t>HOOD</t>
        </is>
      </c>
      <c r="J1394">
        <f>BDP($B1394,"CNTRY_OF_DOMICILE")</f>
        <v/>
      </c>
      <c r="K1394" t="inlineStr">
        <is>
          <t>EC</t>
        </is>
      </c>
      <c r="L1394" t="inlineStr">
        <is>
          <t>CORP</t>
        </is>
      </c>
      <c r="M1394" t="inlineStr"/>
      <c r="N1394" t="inlineStr"/>
      <c r="O1394" s="1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s="1" t="inlineStr"/>
      <c r="AR1394" s="1" t="inlineStr"/>
      <c r="AS1394" s="1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KYC</t>
        </is>
      </c>
      <c r="B1395" t="inlineStr">
        <is>
          <t>INTR US Equity</t>
        </is>
      </c>
      <c r="C1395" s="1" t="inlineStr">
        <is>
          <t>INTR</t>
        </is>
      </c>
      <c r="D1395" t="inlineStr">
        <is>
          <t>Inter &amp; Co Inc</t>
        </is>
      </c>
      <c r="E1395">
        <f>BDP($B1395,"LEGAL_ENTITY_IDENTIFIER")</f>
        <v/>
      </c>
      <c r="F1395" t="inlineStr">
        <is>
          <t>Inter &amp; Co Inc</t>
        </is>
      </c>
      <c r="G1395">
        <f>custodian!D1395</f>
        <v/>
      </c>
      <c r="H1395">
        <f>BDP($B1395,"ID_ISIN")</f>
        <v/>
      </c>
      <c r="I1395" s="1" t="inlineStr">
        <is>
          <t>INTR</t>
        </is>
      </c>
      <c r="J1395">
        <f>BDP($B1395,"CNTRY_OF_DOMICILE")</f>
        <v/>
      </c>
      <c r="K1395" t="inlineStr">
        <is>
          <t>EC</t>
        </is>
      </c>
      <c r="L1395" t="inlineStr">
        <is>
          <t>CORP</t>
        </is>
      </c>
      <c r="M1395" t="inlineStr"/>
      <c r="N1395" t="inlineStr"/>
      <c r="O1395" s="1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s="1" t="inlineStr"/>
      <c r="AR1395" s="1" t="inlineStr"/>
      <c r="AS1395" s="1" t="inlineStr"/>
      <c r="AT1395" t="inlineStr"/>
      <c r="AU1395" t="inlineStr"/>
      <c r="AV1395" t="inlineStr"/>
      <c r="AW1395" t="inlineStr"/>
      <c r="AX1395" t="inlineStr"/>
      <c r="AY1395" t="inlineStr"/>
    </row>
    <row r="1396">
      <c r="A1396" t="inlineStr">
        <is>
          <t>KYC</t>
        </is>
      </c>
      <c r="B1396" t="inlineStr">
        <is>
          <t>INTU US Equity</t>
        </is>
      </c>
      <c r="C1396" s="1" t="inlineStr">
        <is>
          <t>INTU</t>
        </is>
      </c>
      <c r="D1396" t="inlineStr">
        <is>
          <t>Intuit Inc</t>
        </is>
      </c>
      <c r="E1396">
        <f>BDP($B1396,"LEGAL_ENTITY_IDENTIFIER")</f>
        <v/>
      </c>
      <c r="F1396" t="inlineStr">
        <is>
          <t>Intuit Inc</t>
        </is>
      </c>
      <c r="G1396">
        <f>custodian!D1396</f>
        <v/>
      </c>
      <c r="H1396">
        <f>BDP($B1396,"ID_ISIN")</f>
        <v/>
      </c>
      <c r="I1396" s="1" t="inlineStr">
        <is>
          <t>INTU</t>
        </is>
      </c>
      <c r="J1396">
        <f>BDP($B1396,"CNTRY_OF_DOMICILE")</f>
        <v/>
      </c>
      <c r="K1396" t="inlineStr">
        <is>
          <t>EC</t>
        </is>
      </c>
      <c r="L1396" t="inlineStr">
        <is>
          <t>CORP</t>
        </is>
      </c>
      <c r="M1396" t="inlineStr"/>
      <c r="N1396" t="inlineStr"/>
      <c r="O1396" s="1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s="1" t="inlineStr"/>
      <c r="AR1396" s="1" t="inlineStr"/>
      <c r="AS1396" s="1" t="inlineStr"/>
      <c r="AT1396" t="inlineStr"/>
      <c r="AU1396" t="inlineStr"/>
      <c r="AV1396" t="inlineStr"/>
      <c r="AW1396" t="inlineStr"/>
      <c r="AX1396" t="inlineStr"/>
      <c r="AY1396" t="inlineStr"/>
    </row>
    <row r="1397">
      <c r="A1397" t="inlineStr">
        <is>
          <t>KYC</t>
        </is>
      </c>
      <c r="B1397" t="inlineStr">
        <is>
          <t>JKHY US Equity</t>
        </is>
      </c>
      <c r="C1397" s="1" t="inlineStr">
        <is>
          <t>JKHY</t>
        </is>
      </c>
      <c r="D1397" t="inlineStr">
        <is>
          <t>Jack Henry &amp; Associates Inc</t>
        </is>
      </c>
      <c r="E1397">
        <f>BDP($B1397,"LEGAL_ENTITY_IDENTIFIER")</f>
        <v/>
      </c>
      <c r="F1397" t="inlineStr">
        <is>
          <t>Jack Henry &amp; Associates Inc</t>
        </is>
      </c>
      <c r="G1397">
        <f>custodian!D1397</f>
        <v/>
      </c>
      <c r="H1397">
        <f>BDP($B1397,"ID_ISIN")</f>
        <v/>
      </c>
      <c r="I1397" s="1" t="inlineStr">
        <is>
          <t>JKHY</t>
        </is>
      </c>
      <c r="J1397">
        <f>BDP($B1397,"CNTRY_OF_DOMICILE")</f>
        <v/>
      </c>
      <c r="K1397" t="inlineStr">
        <is>
          <t>EC</t>
        </is>
      </c>
      <c r="L1397" t="inlineStr">
        <is>
          <t>CORP</t>
        </is>
      </c>
      <c r="M1397" t="inlineStr"/>
      <c r="N1397" t="inlineStr"/>
      <c r="O1397" s="1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s="1" t="inlineStr"/>
      <c r="AR1397" s="1" t="inlineStr"/>
      <c r="AS1397" s="1" t="inlineStr"/>
      <c r="AT1397" t="inlineStr"/>
      <c r="AU1397" t="inlineStr"/>
      <c r="AV1397" t="inlineStr"/>
      <c r="AW1397" t="inlineStr"/>
      <c r="AX1397" t="inlineStr"/>
      <c r="AY1397" t="inlineStr"/>
    </row>
    <row r="1398">
      <c r="A1398" t="inlineStr">
        <is>
          <t>KYC</t>
        </is>
      </c>
      <c r="B1398" t="inlineStr">
        <is>
          <t>KSPI US Equity</t>
        </is>
      </c>
      <c r="C1398" s="1" t="inlineStr">
        <is>
          <t>KSPI</t>
        </is>
      </c>
      <c r="D1398" t="inlineStr">
        <is>
          <t>Kaspi.KZ JSC</t>
        </is>
      </c>
      <c r="E1398">
        <f>BDP($B1398,"LEGAL_ENTITY_IDENTIFIER")</f>
        <v/>
      </c>
      <c r="F1398" t="inlineStr">
        <is>
          <t>Kaspi.KZ JSC</t>
        </is>
      </c>
      <c r="G1398">
        <f>custodian!D1398</f>
        <v/>
      </c>
      <c r="H1398">
        <f>BDP($B1398,"ID_ISIN")</f>
        <v/>
      </c>
      <c r="I1398" s="1" t="inlineStr">
        <is>
          <t>KSPI</t>
        </is>
      </c>
      <c r="J1398">
        <f>BDP($B1398,"CNTRY_OF_DOMICILE")</f>
        <v/>
      </c>
      <c r="K1398" t="inlineStr">
        <is>
          <t>EC</t>
        </is>
      </c>
      <c r="L1398" t="inlineStr">
        <is>
          <t>CORP</t>
        </is>
      </c>
      <c r="M1398" t="inlineStr"/>
      <c r="N1398" t="inlineStr"/>
      <c r="O1398" s="1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s="1" t="inlineStr"/>
      <c r="AR1398" s="1" t="inlineStr"/>
      <c r="AS1398" s="1" t="inlineStr"/>
      <c r="AT1398" t="inlineStr"/>
      <c r="AU1398" t="inlineStr"/>
      <c r="AV1398" t="inlineStr"/>
      <c r="AW1398" t="inlineStr"/>
      <c r="AX1398" t="inlineStr"/>
      <c r="AY1398" t="inlineStr"/>
    </row>
    <row r="1399">
      <c r="A1399" t="inlineStr">
        <is>
          <t>KYC</t>
        </is>
      </c>
      <c r="B1399" t="inlineStr">
        <is>
          <t>LPRO US Equity</t>
        </is>
      </c>
      <c r="C1399" s="1" t="inlineStr">
        <is>
          <t>LPRO</t>
        </is>
      </c>
      <c r="D1399" t="inlineStr">
        <is>
          <t>Open Lending Corp</t>
        </is>
      </c>
      <c r="E1399">
        <f>BDP($B1399,"LEGAL_ENTITY_IDENTIFIER")</f>
        <v/>
      </c>
      <c r="F1399" t="inlineStr">
        <is>
          <t>Open Lending Corp</t>
        </is>
      </c>
      <c r="G1399">
        <f>custodian!D1399</f>
        <v/>
      </c>
      <c r="H1399">
        <f>BDP($B1399,"ID_ISIN")</f>
        <v/>
      </c>
      <c r="I1399" s="1" t="inlineStr">
        <is>
          <t>LPRO</t>
        </is>
      </c>
      <c r="J1399">
        <f>BDP($B1399,"CNTRY_OF_DOMICILE")</f>
        <v/>
      </c>
      <c r="K1399" t="inlineStr">
        <is>
          <t>EC</t>
        </is>
      </c>
      <c r="L1399" t="inlineStr">
        <is>
          <t>CORP</t>
        </is>
      </c>
      <c r="M1399" t="inlineStr"/>
      <c r="N1399" t="inlineStr"/>
      <c r="O1399" s="1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s="1" t="inlineStr"/>
      <c r="AR1399" s="1" t="inlineStr"/>
      <c r="AS1399" s="1" t="inlineStr"/>
      <c r="AT1399" t="inlineStr"/>
      <c r="AU1399" t="inlineStr"/>
      <c r="AV1399" t="inlineStr"/>
      <c r="AW1399" t="inlineStr"/>
      <c r="AX1399" t="inlineStr"/>
      <c r="AY1399" t="inlineStr"/>
    </row>
    <row r="1400">
      <c r="A1400" t="inlineStr">
        <is>
          <t>KYC</t>
        </is>
      </c>
      <c r="B1400" t="inlineStr">
        <is>
          <t>MA US Equity</t>
        </is>
      </c>
      <c r="C1400" s="1" t="inlineStr">
        <is>
          <t>MA</t>
        </is>
      </c>
      <c r="D1400" t="inlineStr">
        <is>
          <t>Mastercard Inc</t>
        </is>
      </c>
      <c r="E1400">
        <f>BDP($B1400,"LEGAL_ENTITY_IDENTIFIER")</f>
        <v/>
      </c>
      <c r="F1400" t="inlineStr">
        <is>
          <t>Mastercard Inc</t>
        </is>
      </c>
      <c r="G1400">
        <f>custodian!D1400</f>
        <v/>
      </c>
      <c r="H1400">
        <f>BDP($B1400,"ID_ISIN")</f>
        <v/>
      </c>
      <c r="I1400" s="1" t="inlineStr">
        <is>
          <t>MA</t>
        </is>
      </c>
      <c r="J1400">
        <f>BDP($B1400,"CNTRY_OF_DOMICILE")</f>
        <v/>
      </c>
      <c r="K1400" t="inlineStr">
        <is>
          <t>EC</t>
        </is>
      </c>
      <c r="L1400" t="inlineStr">
        <is>
          <t>CORP</t>
        </is>
      </c>
      <c r="M1400" t="inlineStr"/>
      <c r="N1400" t="inlineStr"/>
      <c r="O1400" s="1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s="1" t="inlineStr"/>
      <c r="AR1400" s="1" t="inlineStr"/>
      <c r="AS1400" s="1" t="inlineStr"/>
      <c r="AT1400" t="inlineStr"/>
      <c r="AU1400" t="inlineStr"/>
      <c r="AV1400" t="inlineStr"/>
      <c r="AW1400" t="inlineStr"/>
      <c r="AX1400" t="inlineStr"/>
      <c r="AY1400" t="inlineStr"/>
    </row>
    <row r="1401">
      <c r="A1401" t="inlineStr">
        <is>
          <t>KYC</t>
        </is>
      </c>
      <c r="B1401" t="inlineStr">
        <is>
          <t>MELI US Equity</t>
        </is>
      </c>
      <c r="C1401" s="1" t="inlineStr">
        <is>
          <t>MELI</t>
        </is>
      </c>
      <c r="D1401" t="inlineStr">
        <is>
          <t>MercadoLibre Inc</t>
        </is>
      </c>
      <c r="E1401">
        <f>BDP($B1401,"LEGAL_ENTITY_IDENTIFIER")</f>
        <v/>
      </c>
      <c r="F1401" t="inlineStr">
        <is>
          <t>MercadoLibre Inc</t>
        </is>
      </c>
      <c r="G1401">
        <f>custodian!D1401</f>
        <v/>
      </c>
      <c r="H1401">
        <f>BDP($B1401,"ID_ISIN")</f>
        <v/>
      </c>
      <c r="I1401" s="1" t="inlineStr">
        <is>
          <t>MELI</t>
        </is>
      </c>
      <c r="J1401">
        <f>BDP($B1401,"CNTRY_OF_DOMICILE")</f>
        <v/>
      </c>
      <c r="K1401" t="inlineStr">
        <is>
          <t>EC</t>
        </is>
      </c>
      <c r="L1401" t="inlineStr">
        <is>
          <t>CORP</t>
        </is>
      </c>
      <c r="M1401" t="inlineStr"/>
      <c r="N1401" t="inlineStr"/>
      <c r="O1401" s="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s="1" t="inlineStr"/>
      <c r="AR1401" s="1" t="inlineStr"/>
      <c r="AS1401" s="1" t="inlineStr"/>
      <c r="AT1401" t="inlineStr"/>
      <c r="AU1401" t="inlineStr"/>
      <c r="AV1401" t="inlineStr"/>
      <c r="AW1401" t="inlineStr"/>
      <c r="AX1401" t="inlineStr"/>
      <c r="AY1401" t="inlineStr"/>
    </row>
    <row r="1402">
      <c r="A1402" t="inlineStr">
        <is>
          <t>KYC</t>
        </is>
      </c>
      <c r="B1402" t="inlineStr">
        <is>
          <t>MIAX US Equity</t>
        </is>
      </c>
      <c r="C1402" s="1" t="inlineStr">
        <is>
          <t>MIAX</t>
        </is>
      </c>
      <c r="D1402" t="inlineStr">
        <is>
          <t>Miami International Holdings I</t>
        </is>
      </c>
      <c r="E1402">
        <f>BDP($B1402,"LEGAL_ENTITY_IDENTIFIER")</f>
        <v/>
      </c>
      <c r="F1402" t="inlineStr">
        <is>
          <t>Miami International Holdings Inc</t>
        </is>
      </c>
      <c r="G1402">
        <f>custodian!D1402</f>
        <v/>
      </c>
      <c r="H1402">
        <f>BDP($B1402,"ID_ISIN")</f>
        <v/>
      </c>
      <c r="I1402" s="1" t="inlineStr">
        <is>
          <t>MIAX</t>
        </is>
      </c>
      <c r="J1402">
        <f>BDP($B1402,"CNTRY_OF_DOMICILE")</f>
        <v/>
      </c>
      <c r="K1402" t="inlineStr">
        <is>
          <t>EC</t>
        </is>
      </c>
      <c r="L1402" t="inlineStr">
        <is>
          <t>CORP</t>
        </is>
      </c>
      <c r="M1402" t="inlineStr"/>
      <c r="N1402" t="inlineStr"/>
      <c r="O1402" s="1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s="1" t="inlineStr"/>
      <c r="AR1402" s="1" t="inlineStr"/>
      <c r="AS1402" s="1" t="inlineStr"/>
      <c r="AT1402" t="inlineStr"/>
      <c r="AU1402" t="inlineStr"/>
      <c r="AV1402" t="inlineStr"/>
      <c r="AW1402" t="inlineStr"/>
      <c r="AX1402" t="inlineStr"/>
      <c r="AY1402" t="inlineStr"/>
    </row>
    <row r="1403">
      <c r="A1403" t="inlineStr">
        <is>
          <t>KYC</t>
        </is>
      </c>
      <c r="B1403" t="inlineStr">
        <is>
          <t>MQ US Equity</t>
        </is>
      </c>
      <c r="C1403" s="1" t="inlineStr">
        <is>
          <t>MQ</t>
        </is>
      </c>
      <c r="D1403" t="inlineStr">
        <is>
          <t>Marqeta Inc</t>
        </is>
      </c>
      <c r="E1403">
        <f>BDP($B1403,"LEGAL_ENTITY_IDENTIFIER")</f>
        <v/>
      </c>
      <c r="F1403" t="inlineStr">
        <is>
          <t>Marqeta Inc</t>
        </is>
      </c>
      <c r="G1403">
        <f>custodian!D1403</f>
        <v/>
      </c>
      <c r="H1403">
        <f>BDP($B1403,"ID_ISIN")</f>
        <v/>
      </c>
      <c r="I1403" s="1" t="inlineStr">
        <is>
          <t>MQ</t>
        </is>
      </c>
      <c r="J1403">
        <f>BDP($B1403,"CNTRY_OF_DOMICILE")</f>
        <v/>
      </c>
      <c r="K1403" t="inlineStr">
        <is>
          <t>EC</t>
        </is>
      </c>
      <c r="L1403" t="inlineStr">
        <is>
          <t>CORP</t>
        </is>
      </c>
      <c r="M1403" t="inlineStr"/>
      <c r="N1403" t="inlineStr"/>
      <c r="O1403" s="1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s="1" t="inlineStr"/>
      <c r="AR1403" s="1" t="inlineStr"/>
      <c r="AS1403" s="1" t="inlineStr"/>
      <c r="AT1403" t="inlineStr"/>
      <c r="AU1403" t="inlineStr"/>
      <c r="AV1403" t="inlineStr"/>
      <c r="AW1403" t="inlineStr"/>
      <c r="AX1403" t="inlineStr"/>
      <c r="AY1403" t="inlineStr"/>
    </row>
    <row r="1404">
      <c r="A1404" t="inlineStr">
        <is>
          <t>KYC</t>
        </is>
      </c>
      <c r="B1404" t="inlineStr">
        <is>
          <t>NCNO US Equity</t>
        </is>
      </c>
      <c r="C1404" s="1" t="inlineStr">
        <is>
          <t>NCNO</t>
        </is>
      </c>
      <c r="D1404" t="inlineStr">
        <is>
          <t>nCino Inc</t>
        </is>
      </c>
      <c r="E1404">
        <f>BDP($B1404,"LEGAL_ENTITY_IDENTIFIER")</f>
        <v/>
      </c>
      <c r="F1404" t="inlineStr">
        <is>
          <t>nCino Inc</t>
        </is>
      </c>
      <c r="G1404">
        <f>custodian!D1404</f>
        <v/>
      </c>
      <c r="H1404">
        <f>BDP($B1404,"ID_ISIN")</f>
        <v/>
      </c>
      <c r="I1404" s="1" t="inlineStr">
        <is>
          <t>NCNO</t>
        </is>
      </c>
      <c r="J1404">
        <f>BDP($B1404,"CNTRY_OF_DOMICILE")</f>
        <v/>
      </c>
      <c r="K1404" t="inlineStr">
        <is>
          <t>EC</t>
        </is>
      </c>
      <c r="L1404" t="inlineStr">
        <is>
          <t>CORP</t>
        </is>
      </c>
      <c r="M1404" t="inlineStr"/>
      <c r="N1404" t="inlineStr"/>
      <c r="O1404" s="1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s="1" t="inlineStr"/>
      <c r="AR1404" s="1" t="inlineStr"/>
      <c r="AS1404" s="1" t="inlineStr"/>
      <c r="AT1404" t="inlineStr"/>
      <c r="AU1404" t="inlineStr"/>
      <c r="AV1404" t="inlineStr"/>
      <c r="AW1404" t="inlineStr"/>
      <c r="AX1404" t="inlineStr"/>
      <c r="AY1404" t="inlineStr"/>
    </row>
    <row r="1405">
      <c r="A1405" t="inlineStr">
        <is>
          <t>KYC</t>
        </is>
      </c>
      <c r="B1405" t="inlineStr">
        <is>
          <t>NRDS US Equity</t>
        </is>
      </c>
      <c r="C1405" s="1" t="inlineStr">
        <is>
          <t>NRDS</t>
        </is>
      </c>
      <c r="D1405" t="inlineStr">
        <is>
          <t>NerdWallet Inc</t>
        </is>
      </c>
      <c r="E1405">
        <f>BDP($B1405,"LEGAL_ENTITY_IDENTIFIER")</f>
        <v/>
      </c>
      <c r="F1405" t="inlineStr">
        <is>
          <t>NerdWallet Inc</t>
        </is>
      </c>
      <c r="G1405">
        <f>custodian!D1405</f>
        <v/>
      </c>
      <c r="H1405">
        <f>BDP($B1405,"ID_ISIN")</f>
        <v/>
      </c>
      <c r="I1405" s="1" t="inlineStr">
        <is>
          <t>NRDS</t>
        </is>
      </c>
      <c r="J1405">
        <f>BDP($B1405,"CNTRY_OF_DOMICILE")</f>
        <v/>
      </c>
      <c r="K1405" t="inlineStr">
        <is>
          <t>EC</t>
        </is>
      </c>
      <c r="L1405" t="inlineStr">
        <is>
          <t>CORP</t>
        </is>
      </c>
      <c r="M1405" t="inlineStr"/>
      <c r="N1405" t="inlineStr"/>
      <c r="O1405" s="1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s="1" t="inlineStr"/>
      <c r="AR1405" s="1" t="inlineStr"/>
      <c r="AS1405" s="1" t="inlineStr"/>
      <c r="AT1405" t="inlineStr"/>
      <c r="AU1405" t="inlineStr"/>
      <c r="AV1405" t="inlineStr"/>
      <c r="AW1405" t="inlineStr"/>
      <c r="AX1405" t="inlineStr"/>
      <c r="AY1405" t="inlineStr"/>
    </row>
    <row r="1406">
      <c r="A1406" t="inlineStr">
        <is>
          <t>KYC</t>
        </is>
      </c>
      <c r="B1406" t="inlineStr">
        <is>
          <t>NU US Equity</t>
        </is>
      </c>
      <c r="C1406" s="1" t="inlineStr">
        <is>
          <t>NU</t>
        </is>
      </c>
      <c r="D1406" t="inlineStr">
        <is>
          <t>NU Holdings Ltd/Cayman Islands</t>
        </is>
      </c>
      <c r="E1406">
        <f>BDP($B1406,"LEGAL_ENTITY_IDENTIFIER")</f>
        <v/>
      </c>
      <c r="F1406" t="inlineStr">
        <is>
          <t>NU Holdings Ltd/Cayman Islands</t>
        </is>
      </c>
      <c r="G1406">
        <f>custodian!D1406</f>
        <v/>
      </c>
      <c r="H1406">
        <f>BDP($B1406,"ID_ISIN")</f>
        <v/>
      </c>
      <c r="I1406" s="1" t="inlineStr">
        <is>
          <t>NU</t>
        </is>
      </c>
      <c r="J1406">
        <f>BDP($B1406,"CNTRY_OF_DOMICILE")</f>
        <v/>
      </c>
      <c r="K1406" t="inlineStr">
        <is>
          <t>EC</t>
        </is>
      </c>
      <c r="L1406" t="inlineStr">
        <is>
          <t>CORP</t>
        </is>
      </c>
      <c r="M1406" t="inlineStr"/>
      <c r="N1406" t="inlineStr"/>
      <c r="O1406" s="1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s="1" t="inlineStr"/>
      <c r="AR1406" s="1" t="inlineStr"/>
      <c r="AS1406" s="1" t="inlineStr"/>
      <c r="AT1406" t="inlineStr"/>
      <c r="AU1406" t="inlineStr"/>
      <c r="AV1406" t="inlineStr"/>
      <c r="AW1406" t="inlineStr"/>
      <c r="AX1406" t="inlineStr"/>
      <c r="AY1406" t="inlineStr"/>
    </row>
    <row r="1407">
      <c r="A1407" t="inlineStr">
        <is>
          <t>KYC</t>
        </is>
      </c>
      <c r="B1407" t="inlineStr">
        <is>
          <t>OPRT US Equity</t>
        </is>
      </c>
      <c r="C1407" s="1" t="inlineStr">
        <is>
          <t>OPRT</t>
        </is>
      </c>
      <c r="D1407" t="inlineStr">
        <is>
          <t>Oportun Financial Corp</t>
        </is>
      </c>
      <c r="E1407">
        <f>BDP($B1407,"LEGAL_ENTITY_IDENTIFIER")</f>
        <v/>
      </c>
      <c r="F1407" t="inlineStr">
        <is>
          <t>Oportun Financial Corp</t>
        </is>
      </c>
      <c r="G1407">
        <f>custodian!D1407</f>
        <v/>
      </c>
      <c r="H1407">
        <f>BDP($B1407,"ID_ISIN")</f>
        <v/>
      </c>
      <c r="I1407" s="1" t="inlineStr">
        <is>
          <t>OPRT</t>
        </is>
      </c>
      <c r="J1407">
        <f>BDP($B1407,"CNTRY_OF_DOMICILE")</f>
        <v/>
      </c>
      <c r="K1407" t="inlineStr">
        <is>
          <t>EC</t>
        </is>
      </c>
      <c r="L1407" t="inlineStr">
        <is>
          <t>CORP</t>
        </is>
      </c>
      <c r="M1407" t="inlineStr"/>
      <c r="N1407" t="inlineStr"/>
      <c r="O1407" s="1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s="1" t="inlineStr"/>
      <c r="AR1407" s="1" t="inlineStr"/>
      <c r="AS1407" s="1" t="inlineStr"/>
      <c r="AT1407" t="inlineStr"/>
      <c r="AU1407" t="inlineStr"/>
      <c r="AV1407" t="inlineStr"/>
      <c r="AW1407" t="inlineStr"/>
      <c r="AX1407" t="inlineStr"/>
      <c r="AY1407" t="inlineStr"/>
    </row>
    <row r="1408">
      <c r="A1408" t="inlineStr">
        <is>
          <t>KYC</t>
        </is>
      </c>
      <c r="B1408" t="inlineStr">
        <is>
          <t>OSPN US Equity</t>
        </is>
      </c>
      <c r="C1408" s="1" t="inlineStr">
        <is>
          <t>OSPN</t>
        </is>
      </c>
      <c r="D1408" t="inlineStr">
        <is>
          <t>OneSpan Inc</t>
        </is>
      </c>
      <c r="E1408">
        <f>BDP($B1408,"LEGAL_ENTITY_IDENTIFIER")</f>
        <v/>
      </c>
      <c r="F1408" t="inlineStr">
        <is>
          <t>OneSpan Inc</t>
        </is>
      </c>
      <c r="G1408">
        <f>custodian!D1408</f>
        <v/>
      </c>
      <c r="H1408">
        <f>BDP($B1408,"ID_ISIN")</f>
        <v/>
      </c>
      <c r="I1408" s="1" t="inlineStr">
        <is>
          <t>OSPN</t>
        </is>
      </c>
      <c r="J1408">
        <f>BDP($B1408,"CNTRY_OF_DOMICILE")</f>
        <v/>
      </c>
      <c r="K1408" t="inlineStr">
        <is>
          <t>EC</t>
        </is>
      </c>
      <c r="L1408" t="inlineStr">
        <is>
          <t>CORP</t>
        </is>
      </c>
      <c r="M1408" t="inlineStr"/>
      <c r="N1408" t="inlineStr"/>
      <c r="O1408" s="1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s="1" t="inlineStr"/>
      <c r="AR1408" s="1" t="inlineStr"/>
      <c r="AS1408" s="1" t="inlineStr"/>
      <c r="AT1408" t="inlineStr"/>
      <c r="AU1408" t="inlineStr"/>
      <c r="AV1408" t="inlineStr"/>
      <c r="AW1408" t="inlineStr"/>
      <c r="AX1408" t="inlineStr"/>
      <c r="AY1408" t="inlineStr"/>
    </row>
    <row r="1409">
      <c r="A1409" t="inlineStr">
        <is>
          <t>KYC</t>
        </is>
      </c>
      <c r="B1409" t="inlineStr">
        <is>
          <t>PAGS US Equity</t>
        </is>
      </c>
      <c r="C1409" s="1" t="inlineStr">
        <is>
          <t>PAGS</t>
        </is>
      </c>
      <c r="D1409" t="inlineStr">
        <is>
          <t>Pagseguro Digital Ltd</t>
        </is>
      </c>
      <c r="E1409">
        <f>BDP($B1409,"LEGAL_ENTITY_IDENTIFIER")</f>
        <v/>
      </c>
      <c r="F1409" t="inlineStr">
        <is>
          <t>Pagseguro Digital Ltd</t>
        </is>
      </c>
      <c r="G1409">
        <f>custodian!D1409</f>
        <v/>
      </c>
      <c r="H1409">
        <f>BDP($B1409,"ID_ISIN")</f>
        <v/>
      </c>
      <c r="I1409" s="1" t="inlineStr">
        <is>
          <t>PAGS</t>
        </is>
      </c>
      <c r="J1409">
        <f>BDP($B1409,"CNTRY_OF_DOMICILE")</f>
        <v/>
      </c>
      <c r="K1409" t="inlineStr">
        <is>
          <t>EC</t>
        </is>
      </c>
      <c r="L1409" t="inlineStr">
        <is>
          <t>CORP</t>
        </is>
      </c>
      <c r="M1409" t="inlineStr"/>
      <c r="N1409" t="inlineStr"/>
      <c r="O1409" s="1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s="1" t="inlineStr"/>
      <c r="AR1409" s="1" t="inlineStr"/>
      <c r="AS1409" s="1" t="inlineStr"/>
      <c r="AT1409" t="inlineStr"/>
      <c r="AU1409" t="inlineStr"/>
      <c r="AV1409" t="inlineStr"/>
      <c r="AW1409" t="inlineStr"/>
      <c r="AX1409" t="inlineStr"/>
      <c r="AY1409" t="inlineStr"/>
    </row>
    <row r="1410">
      <c r="A1410" t="inlineStr">
        <is>
          <t>KYC</t>
        </is>
      </c>
      <c r="B1410" t="inlineStr">
        <is>
          <t>PAYO US Equity</t>
        </is>
      </c>
      <c r="C1410" s="1" t="inlineStr">
        <is>
          <t>PAYO</t>
        </is>
      </c>
      <c r="D1410" t="inlineStr">
        <is>
          <t>Payoneer Global Inc</t>
        </is>
      </c>
      <c r="E1410">
        <f>BDP($B1410,"LEGAL_ENTITY_IDENTIFIER")</f>
        <v/>
      </c>
      <c r="F1410" t="inlineStr">
        <is>
          <t>Payoneer Global Inc</t>
        </is>
      </c>
      <c r="G1410">
        <f>custodian!D1410</f>
        <v/>
      </c>
      <c r="H1410">
        <f>BDP($B1410,"ID_ISIN")</f>
        <v/>
      </c>
      <c r="I1410" s="1" t="inlineStr">
        <is>
          <t>PAYO</t>
        </is>
      </c>
      <c r="J1410">
        <f>BDP($B1410,"CNTRY_OF_DOMICILE")</f>
        <v/>
      </c>
      <c r="K1410" t="inlineStr">
        <is>
          <t>EC</t>
        </is>
      </c>
      <c r="L1410" t="inlineStr">
        <is>
          <t>CORP</t>
        </is>
      </c>
      <c r="M1410" t="inlineStr"/>
      <c r="N1410" t="inlineStr"/>
      <c r="O1410" s="1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s="1" t="inlineStr"/>
      <c r="AR1410" s="1" t="inlineStr"/>
      <c r="AS1410" s="1" t="inlineStr"/>
      <c r="AT1410" t="inlineStr"/>
      <c r="AU1410" t="inlineStr"/>
      <c r="AV1410" t="inlineStr"/>
      <c r="AW1410" t="inlineStr"/>
      <c r="AX1410" t="inlineStr"/>
      <c r="AY1410" t="inlineStr"/>
    </row>
    <row r="1411">
      <c r="A1411" t="inlineStr">
        <is>
          <t>KYC</t>
        </is>
      </c>
      <c r="B1411" t="inlineStr">
        <is>
          <t>PGY US Equity</t>
        </is>
      </c>
      <c r="C1411" s="1" t="inlineStr">
        <is>
          <t>PGY</t>
        </is>
      </c>
      <c r="D1411" t="inlineStr">
        <is>
          <t>Pagaya Technologies Ltd</t>
        </is>
      </c>
      <c r="E1411">
        <f>BDP($B1411,"LEGAL_ENTITY_IDENTIFIER")</f>
        <v/>
      </c>
      <c r="F1411" t="inlineStr">
        <is>
          <t>Pagaya Technologies Ltd</t>
        </is>
      </c>
      <c r="G1411">
        <f>custodian!D1411</f>
        <v/>
      </c>
      <c r="H1411">
        <f>BDP($B1411,"ID_ISIN")</f>
        <v/>
      </c>
      <c r="I1411" s="1" t="inlineStr">
        <is>
          <t>PGY</t>
        </is>
      </c>
      <c r="J1411">
        <f>BDP($B1411,"CNTRY_OF_DOMICILE")</f>
        <v/>
      </c>
      <c r="K1411" t="inlineStr">
        <is>
          <t>EC</t>
        </is>
      </c>
      <c r="L1411" t="inlineStr">
        <is>
          <t>CORP</t>
        </is>
      </c>
      <c r="M1411" t="inlineStr"/>
      <c r="N1411" t="inlineStr"/>
      <c r="O1411" s="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s="1" t="inlineStr"/>
      <c r="AR1411" s="1" t="inlineStr"/>
      <c r="AS1411" s="1" t="inlineStr"/>
      <c r="AT1411" t="inlineStr"/>
      <c r="AU1411" t="inlineStr"/>
      <c r="AV1411" t="inlineStr"/>
      <c r="AW1411" t="inlineStr"/>
      <c r="AX1411" t="inlineStr"/>
      <c r="AY1411" t="inlineStr"/>
    </row>
    <row r="1412">
      <c r="A1412" t="inlineStr">
        <is>
          <t>KYC</t>
        </is>
      </c>
      <c r="B1412" t="inlineStr">
        <is>
          <t>PSFE US Equity</t>
        </is>
      </c>
      <c r="C1412" s="1" t="inlineStr">
        <is>
          <t>PSFE</t>
        </is>
      </c>
      <c r="D1412" t="inlineStr">
        <is>
          <t>Paysafe Ltd</t>
        </is>
      </c>
      <c r="E1412">
        <f>BDP($B1412,"LEGAL_ENTITY_IDENTIFIER")</f>
        <v/>
      </c>
      <c r="F1412" t="inlineStr">
        <is>
          <t>Paysafe Ltd</t>
        </is>
      </c>
      <c r="G1412">
        <f>custodian!D1412</f>
        <v/>
      </c>
      <c r="H1412">
        <f>BDP($B1412,"ID_ISIN")</f>
        <v/>
      </c>
      <c r="I1412" s="1" t="inlineStr">
        <is>
          <t>PSFE</t>
        </is>
      </c>
      <c r="J1412">
        <f>BDP($B1412,"CNTRY_OF_DOMICILE")</f>
        <v/>
      </c>
      <c r="K1412" t="inlineStr">
        <is>
          <t>EC</t>
        </is>
      </c>
      <c r="L1412" t="inlineStr">
        <is>
          <t>CORP</t>
        </is>
      </c>
      <c r="M1412" t="inlineStr"/>
      <c r="N1412" t="inlineStr"/>
      <c r="O1412" s="1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s="1" t="inlineStr"/>
      <c r="AR1412" s="1" t="inlineStr"/>
      <c r="AS1412" s="1" t="inlineStr"/>
      <c r="AT1412" t="inlineStr"/>
      <c r="AU1412" t="inlineStr"/>
      <c r="AV1412" t="inlineStr"/>
      <c r="AW1412" t="inlineStr"/>
      <c r="AX1412" t="inlineStr"/>
      <c r="AY1412" t="inlineStr"/>
    </row>
    <row r="1413">
      <c r="A1413" t="inlineStr">
        <is>
          <t>KYC</t>
        </is>
      </c>
      <c r="B1413" t="inlineStr">
        <is>
          <t>PYPL US Equity</t>
        </is>
      </c>
      <c r="C1413" s="1" t="inlineStr">
        <is>
          <t>PYPL</t>
        </is>
      </c>
      <c r="D1413" t="inlineStr">
        <is>
          <t>PayPal Holdings Inc</t>
        </is>
      </c>
      <c r="E1413">
        <f>BDP($B1413,"LEGAL_ENTITY_IDENTIFIER")</f>
        <v/>
      </c>
      <c r="F1413" t="inlineStr">
        <is>
          <t>PayPal Holdings Inc</t>
        </is>
      </c>
      <c r="G1413">
        <f>custodian!D1413</f>
        <v/>
      </c>
      <c r="H1413">
        <f>BDP($B1413,"ID_ISIN")</f>
        <v/>
      </c>
      <c r="I1413" s="1" t="inlineStr">
        <is>
          <t>PYPL</t>
        </is>
      </c>
      <c r="J1413">
        <f>BDP($B1413,"CNTRY_OF_DOMICILE")</f>
        <v/>
      </c>
      <c r="K1413" t="inlineStr">
        <is>
          <t>EC</t>
        </is>
      </c>
      <c r="L1413" t="inlineStr">
        <is>
          <t>CORP</t>
        </is>
      </c>
      <c r="M1413" t="inlineStr"/>
      <c r="N1413" t="inlineStr"/>
      <c r="O1413" s="1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s="1" t="inlineStr"/>
      <c r="AR1413" s="1" t="inlineStr"/>
      <c r="AS1413" s="1" t="inlineStr"/>
      <c r="AT1413" t="inlineStr"/>
      <c r="AU1413" t="inlineStr"/>
      <c r="AV1413" t="inlineStr"/>
      <c r="AW1413" t="inlineStr"/>
      <c r="AX1413" t="inlineStr"/>
      <c r="AY1413" t="inlineStr"/>
    </row>
    <row r="1414">
      <c r="A1414" t="inlineStr">
        <is>
          <t>KYC</t>
        </is>
      </c>
      <c r="B1414" t="inlineStr">
        <is>
          <t>QTWO US Equity</t>
        </is>
      </c>
      <c r="C1414" s="1" t="inlineStr">
        <is>
          <t>QTWO</t>
        </is>
      </c>
      <c r="D1414" t="inlineStr">
        <is>
          <t>Q2 Holdings Inc</t>
        </is>
      </c>
      <c r="E1414">
        <f>BDP($B1414,"LEGAL_ENTITY_IDENTIFIER")</f>
        <v/>
      </c>
      <c r="F1414" t="inlineStr">
        <is>
          <t>Q2 Holdings Inc</t>
        </is>
      </c>
      <c r="G1414">
        <f>custodian!D1414</f>
        <v/>
      </c>
      <c r="H1414">
        <f>BDP($B1414,"ID_ISIN")</f>
        <v/>
      </c>
      <c r="I1414" s="1" t="inlineStr">
        <is>
          <t>QTWO</t>
        </is>
      </c>
      <c r="J1414">
        <f>BDP($B1414,"CNTRY_OF_DOMICILE")</f>
        <v/>
      </c>
      <c r="K1414" t="inlineStr">
        <is>
          <t>EC</t>
        </is>
      </c>
      <c r="L1414" t="inlineStr">
        <is>
          <t>CORP</t>
        </is>
      </c>
      <c r="M1414" t="inlineStr"/>
      <c r="N1414" t="inlineStr"/>
      <c r="O1414" s="1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s="1" t="inlineStr"/>
      <c r="AR1414" s="1" t="inlineStr"/>
      <c r="AS1414" s="1" t="inlineStr"/>
      <c r="AT1414" t="inlineStr"/>
      <c r="AU1414" t="inlineStr"/>
      <c r="AV1414" t="inlineStr"/>
      <c r="AW1414" t="inlineStr"/>
      <c r="AX1414" t="inlineStr"/>
      <c r="AY1414" t="inlineStr"/>
    </row>
    <row r="1415">
      <c r="A1415" t="inlineStr">
        <is>
          <t>KYC</t>
        </is>
      </c>
      <c r="B1415" t="inlineStr">
        <is>
          <t>RELY US Equity</t>
        </is>
      </c>
      <c r="C1415" s="1" t="inlineStr">
        <is>
          <t>RELY</t>
        </is>
      </c>
      <c r="D1415" t="inlineStr">
        <is>
          <t>Remitly Global Inc</t>
        </is>
      </c>
      <c r="E1415">
        <f>BDP($B1415,"LEGAL_ENTITY_IDENTIFIER")</f>
        <v/>
      </c>
      <c r="F1415" t="inlineStr">
        <is>
          <t>Remitly Global Inc</t>
        </is>
      </c>
      <c r="G1415">
        <f>custodian!D1415</f>
        <v/>
      </c>
      <c r="H1415">
        <f>BDP($B1415,"ID_ISIN")</f>
        <v/>
      </c>
      <c r="I1415" s="1" t="inlineStr">
        <is>
          <t>RELY</t>
        </is>
      </c>
      <c r="J1415">
        <f>BDP($B1415,"CNTRY_OF_DOMICILE")</f>
        <v/>
      </c>
      <c r="K1415" t="inlineStr">
        <is>
          <t>EC</t>
        </is>
      </c>
      <c r="L1415" t="inlineStr">
        <is>
          <t>CORP</t>
        </is>
      </c>
      <c r="M1415" t="inlineStr"/>
      <c r="N1415" t="inlineStr"/>
      <c r="O1415" s="1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s="1" t="inlineStr"/>
      <c r="AR1415" s="1" t="inlineStr"/>
      <c r="AS1415" s="1" t="inlineStr"/>
      <c r="AT1415" t="inlineStr"/>
      <c r="AU1415" t="inlineStr"/>
      <c r="AV1415" t="inlineStr"/>
      <c r="AW1415" t="inlineStr"/>
      <c r="AX1415" t="inlineStr"/>
      <c r="AY1415" t="inlineStr"/>
    </row>
    <row r="1416">
      <c r="A1416" t="inlineStr">
        <is>
          <t>KYC</t>
        </is>
      </c>
      <c r="B1416" t="inlineStr">
        <is>
          <t>RKT US Equity</t>
        </is>
      </c>
      <c r="C1416" s="1" t="inlineStr">
        <is>
          <t>RKT</t>
        </is>
      </c>
      <c r="D1416" t="inlineStr">
        <is>
          <t>Rocket Cos Inc</t>
        </is>
      </c>
      <c r="E1416">
        <f>BDP($B1416,"LEGAL_ENTITY_IDENTIFIER")</f>
        <v/>
      </c>
      <c r="F1416" t="inlineStr">
        <is>
          <t>Rocket Cos Inc</t>
        </is>
      </c>
      <c r="G1416">
        <f>custodian!D1416</f>
        <v/>
      </c>
      <c r="H1416">
        <f>BDP($B1416,"ID_ISIN")</f>
        <v/>
      </c>
      <c r="I1416" s="1" t="inlineStr">
        <is>
          <t>RKT</t>
        </is>
      </c>
      <c r="J1416">
        <f>BDP($B1416,"CNTRY_OF_DOMICILE")</f>
        <v/>
      </c>
      <c r="K1416" t="inlineStr">
        <is>
          <t>EC</t>
        </is>
      </c>
      <c r="L1416" t="inlineStr">
        <is>
          <t>CORP</t>
        </is>
      </c>
      <c r="M1416" t="inlineStr"/>
      <c r="N1416" t="inlineStr"/>
      <c r="O1416" s="1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s="1" t="inlineStr"/>
      <c r="AR1416" s="1" t="inlineStr"/>
      <c r="AS1416" s="1" t="inlineStr"/>
      <c r="AT1416" t="inlineStr"/>
      <c r="AU1416" t="inlineStr"/>
      <c r="AV1416" t="inlineStr"/>
      <c r="AW1416" t="inlineStr"/>
      <c r="AX1416" t="inlineStr"/>
      <c r="AY1416" t="inlineStr"/>
    </row>
    <row r="1417">
      <c r="A1417" t="inlineStr">
        <is>
          <t>KYC</t>
        </is>
      </c>
      <c r="B1417" t="inlineStr">
        <is>
          <t>RPAY US Equity</t>
        </is>
      </c>
      <c r="C1417" s="1" t="inlineStr">
        <is>
          <t>RPAY</t>
        </is>
      </c>
      <c r="D1417" t="inlineStr">
        <is>
          <t>Repay Holdings Corp</t>
        </is>
      </c>
      <c r="E1417">
        <f>BDP($B1417,"LEGAL_ENTITY_IDENTIFIER")</f>
        <v/>
      </c>
      <c r="F1417" t="inlineStr">
        <is>
          <t>Repay Holdings Corp</t>
        </is>
      </c>
      <c r="G1417">
        <f>custodian!D1417</f>
        <v/>
      </c>
      <c r="H1417">
        <f>BDP($B1417,"ID_ISIN")</f>
        <v/>
      </c>
      <c r="I1417" s="1" t="inlineStr">
        <is>
          <t>RPAY</t>
        </is>
      </c>
      <c r="J1417">
        <f>BDP($B1417,"CNTRY_OF_DOMICILE")</f>
        <v/>
      </c>
      <c r="K1417" t="inlineStr">
        <is>
          <t>EC</t>
        </is>
      </c>
      <c r="L1417" t="inlineStr">
        <is>
          <t>CORP</t>
        </is>
      </c>
      <c r="M1417" t="inlineStr"/>
      <c r="N1417" t="inlineStr"/>
      <c r="O1417" s="1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s="1" t="inlineStr"/>
      <c r="AR1417" s="1" t="inlineStr"/>
      <c r="AS1417" s="1" t="inlineStr"/>
      <c r="AT1417" t="inlineStr"/>
      <c r="AU1417" t="inlineStr"/>
      <c r="AV1417" t="inlineStr"/>
      <c r="AW1417" t="inlineStr"/>
      <c r="AX1417" t="inlineStr"/>
      <c r="AY1417" t="inlineStr"/>
    </row>
    <row r="1418">
      <c r="A1418" t="inlineStr">
        <is>
          <t>KYC</t>
        </is>
      </c>
      <c r="B1418" t="inlineStr">
        <is>
          <t>RSKD US Equity</t>
        </is>
      </c>
      <c r="C1418" s="1" t="inlineStr">
        <is>
          <t>RSKD</t>
        </is>
      </c>
      <c r="D1418" t="inlineStr">
        <is>
          <t>Riskified Ltd</t>
        </is>
      </c>
      <c r="E1418">
        <f>BDP($B1418,"LEGAL_ENTITY_IDENTIFIER")</f>
        <v/>
      </c>
      <c r="F1418" t="inlineStr">
        <is>
          <t>Riskified Ltd</t>
        </is>
      </c>
      <c r="G1418">
        <f>custodian!D1418</f>
        <v/>
      </c>
      <c r="H1418">
        <f>BDP($B1418,"ID_ISIN")</f>
        <v/>
      </c>
      <c r="I1418" s="1" t="inlineStr">
        <is>
          <t>RSKD</t>
        </is>
      </c>
      <c r="J1418">
        <f>BDP($B1418,"CNTRY_OF_DOMICILE")</f>
        <v/>
      </c>
      <c r="K1418" t="inlineStr">
        <is>
          <t>EC</t>
        </is>
      </c>
      <c r="L1418" t="inlineStr">
        <is>
          <t>CORP</t>
        </is>
      </c>
      <c r="M1418" t="inlineStr"/>
      <c r="N1418" t="inlineStr"/>
      <c r="O1418" s="1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s="1" t="inlineStr"/>
      <c r="AR1418" s="1" t="inlineStr"/>
      <c r="AS1418" s="1" t="inlineStr"/>
      <c r="AT1418" t="inlineStr"/>
      <c r="AU1418" t="inlineStr"/>
      <c r="AV1418" t="inlineStr"/>
      <c r="AW1418" t="inlineStr"/>
      <c r="AX1418" t="inlineStr"/>
      <c r="AY1418" t="inlineStr"/>
    </row>
    <row r="1419">
      <c r="A1419" t="inlineStr">
        <is>
          <t>KYC</t>
        </is>
      </c>
      <c r="B1419" t="inlineStr">
        <is>
          <t>SE US Equity</t>
        </is>
      </c>
      <c r="C1419" s="1" t="inlineStr">
        <is>
          <t>SE</t>
        </is>
      </c>
      <c r="D1419" t="inlineStr">
        <is>
          <t>Sea Ltd</t>
        </is>
      </c>
      <c r="E1419">
        <f>BDP($B1419,"LEGAL_ENTITY_IDENTIFIER")</f>
        <v/>
      </c>
      <c r="F1419" t="inlineStr">
        <is>
          <t>Sea Ltd</t>
        </is>
      </c>
      <c r="G1419">
        <f>custodian!D1419</f>
        <v/>
      </c>
      <c r="H1419">
        <f>BDP($B1419,"ID_ISIN")</f>
        <v/>
      </c>
      <c r="I1419" s="1" t="inlineStr">
        <is>
          <t>SE</t>
        </is>
      </c>
      <c r="J1419">
        <f>BDP($B1419,"CNTRY_OF_DOMICILE")</f>
        <v/>
      </c>
      <c r="K1419" t="inlineStr">
        <is>
          <t>EC</t>
        </is>
      </c>
      <c r="L1419" t="inlineStr">
        <is>
          <t>CORP</t>
        </is>
      </c>
      <c r="M1419" t="inlineStr"/>
      <c r="N1419" t="inlineStr"/>
      <c r="O1419" s="1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s="1" t="inlineStr"/>
      <c r="AR1419" s="1" t="inlineStr"/>
      <c r="AS1419" s="1" t="inlineStr"/>
      <c r="AT1419" t="inlineStr"/>
      <c r="AU1419" t="inlineStr"/>
      <c r="AV1419" t="inlineStr"/>
      <c r="AW1419" t="inlineStr"/>
      <c r="AX1419" t="inlineStr"/>
      <c r="AY1419" t="inlineStr"/>
    </row>
    <row r="1420">
      <c r="A1420" t="inlineStr">
        <is>
          <t>KYC</t>
        </is>
      </c>
      <c r="B1420" t="inlineStr">
        <is>
          <t>SOFI US Equity</t>
        </is>
      </c>
      <c r="C1420" s="1" t="inlineStr">
        <is>
          <t>SOFI</t>
        </is>
      </c>
      <c r="D1420" t="inlineStr">
        <is>
          <t>SoFi Technologies Inc</t>
        </is>
      </c>
      <c r="E1420">
        <f>BDP($B1420,"LEGAL_ENTITY_IDENTIFIER")</f>
        <v/>
      </c>
      <c r="F1420" t="inlineStr">
        <is>
          <t>SoFi Technologies Inc</t>
        </is>
      </c>
      <c r="G1420">
        <f>custodian!D1420</f>
        <v/>
      </c>
      <c r="H1420">
        <f>BDP($B1420,"ID_ISIN")</f>
        <v/>
      </c>
      <c r="I1420" s="1" t="inlineStr">
        <is>
          <t>SOFI</t>
        </is>
      </c>
      <c r="J1420">
        <f>BDP($B1420,"CNTRY_OF_DOMICILE")</f>
        <v/>
      </c>
      <c r="K1420" t="inlineStr">
        <is>
          <t>EC</t>
        </is>
      </c>
      <c r="L1420" t="inlineStr">
        <is>
          <t>CORP</t>
        </is>
      </c>
      <c r="M1420" t="inlineStr"/>
      <c r="N1420" t="inlineStr"/>
      <c r="O1420" s="1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s="1" t="inlineStr"/>
      <c r="AR1420" s="1" t="inlineStr"/>
      <c r="AS1420" s="1" t="inlineStr"/>
      <c r="AT1420" t="inlineStr"/>
      <c r="AU1420" t="inlineStr"/>
      <c r="AV1420" t="inlineStr"/>
      <c r="AW1420" t="inlineStr"/>
      <c r="AX1420" t="inlineStr"/>
      <c r="AY1420" t="inlineStr"/>
    </row>
    <row r="1421">
      <c r="A1421" t="inlineStr">
        <is>
          <t>KYC</t>
        </is>
      </c>
      <c r="B1421" t="inlineStr">
        <is>
          <t>STNE US Equity</t>
        </is>
      </c>
      <c r="C1421" s="1" t="inlineStr">
        <is>
          <t>STNE</t>
        </is>
      </c>
      <c r="D1421" t="inlineStr">
        <is>
          <t>StoneCo Ltd</t>
        </is>
      </c>
      <c r="E1421">
        <f>BDP($B1421,"LEGAL_ENTITY_IDENTIFIER")</f>
        <v/>
      </c>
      <c r="F1421" t="inlineStr">
        <is>
          <t>StoneCo Ltd</t>
        </is>
      </c>
      <c r="G1421">
        <f>custodian!D1421</f>
        <v/>
      </c>
      <c r="H1421">
        <f>BDP($B1421,"ID_ISIN")</f>
        <v/>
      </c>
      <c r="I1421" s="1" t="inlineStr">
        <is>
          <t>STNE</t>
        </is>
      </c>
      <c r="J1421">
        <f>BDP($B1421,"CNTRY_OF_DOMICILE")</f>
        <v/>
      </c>
      <c r="K1421" t="inlineStr">
        <is>
          <t>EC</t>
        </is>
      </c>
      <c r="L1421" t="inlineStr">
        <is>
          <t>CORP</t>
        </is>
      </c>
      <c r="M1421" t="inlineStr"/>
      <c r="N1421" t="inlineStr"/>
      <c r="O1421" s="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s="1" t="inlineStr"/>
      <c r="AR1421" s="1" t="inlineStr"/>
      <c r="AS1421" s="1" t="inlineStr"/>
      <c r="AT1421" t="inlineStr"/>
      <c r="AU1421" t="inlineStr"/>
      <c r="AV1421" t="inlineStr"/>
      <c r="AW1421" t="inlineStr"/>
      <c r="AX1421" t="inlineStr"/>
      <c r="AY1421" t="inlineStr"/>
    </row>
    <row r="1422">
      <c r="A1422" t="inlineStr">
        <is>
          <t>KYC</t>
        </is>
      </c>
      <c r="B1422" t="inlineStr">
        <is>
          <t>TOST US Equity</t>
        </is>
      </c>
      <c r="C1422" s="1" t="inlineStr">
        <is>
          <t>TOST</t>
        </is>
      </c>
      <c r="D1422" t="inlineStr">
        <is>
          <t>Toast Inc</t>
        </is>
      </c>
      <c r="E1422">
        <f>BDP($B1422,"LEGAL_ENTITY_IDENTIFIER")</f>
        <v/>
      </c>
      <c r="F1422" t="inlineStr">
        <is>
          <t>Toast Inc</t>
        </is>
      </c>
      <c r="G1422">
        <f>custodian!D1422</f>
        <v/>
      </c>
      <c r="H1422">
        <f>BDP($B1422,"ID_ISIN")</f>
        <v/>
      </c>
      <c r="I1422" s="1" t="inlineStr">
        <is>
          <t>TOST</t>
        </is>
      </c>
      <c r="J1422">
        <f>BDP($B1422,"CNTRY_OF_DOMICILE")</f>
        <v/>
      </c>
      <c r="K1422" t="inlineStr">
        <is>
          <t>EC</t>
        </is>
      </c>
      <c r="L1422" t="inlineStr">
        <is>
          <t>CORP</t>
        </is>
      </c>
      <c r="M1422" t="inlineStr"/>
      <c r="N1422" t="inlineStr"/>
      <c r="O1422" s="1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s="1" t="inlineStr"/>
      <c r="AR1422" s="1" t="inlineStr"/>
      <c r="AS1422" s="1" t="inlineStr"/>
      <c r="AT1422" t="inlineStr"/>
      <c r="AU1422" t="inlineStr"/>
      <c r="AV1422" t="inlineStr"/>
      <c r="AW1422" t="inlineStr"/>
      <c r="AX1422" t="inlineStr"/>
      <c r="AY1422" t="inlineStr"/>
    </row>
    <row r="1423">
      <c r="A1423" t="inlineStr">
        <is>
          <t>KYC</t>
        </is>
      </c>
      <c r="B1423" t="inlineStr">
        <is>
          <t>TREE US Equity</t>
        </is>
      </c>
      <c r="C1423" s="1" t="inlineStr">
        <is>
          <t>TREE</t>
        </is>
      </c>
      <c r="D1423" t="inlineStr">
        <is>
          <t>LendingTree Inc</t>
        </is>
      </c>
      <c r="E1423">
        <f>BDP($B1423,"LEGAL_ENTITY_IDENTIFIER")</f>
        <v/>
      </c>
      <c r="F1423" t="inlineStr">
        <is>
          <t>LendingTree Inc</t>
        </is>
      </c>
      <c r="G1423">
        <f>custodian!D1423</f>
        <v/>
      </c>
      <c r="H1423">
        <f>BDP($B1423,"ID_ISIN")</f>
        <v/>
      </c>
      <c r="I1423" s="1" t="inlineStr">
        <is>
          <t>TREE</t>
        </is>
      </c>
      <c r="J1423">
        <f>BDP($B1423,"CNTRY_OF_DOMICILE")</f>
        <v/>
      </c>
      <c r="K1423" t="inlineStr">
        <is>
          <t>EC</t>
        </is>
      </c>
      <c r="L1423" t="inlineStr">
        <is>
          <t>CORP</t>
        </is>
      </c>
      <c r="M1423" t="inlineStr"/>
      <c r="N1423" t="inlineStr"/>
      <c r="O1423" s="1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s="1" t="inlineStr"/>
      <c r="AR1423" s="1" t="inlineStr"/>
      <c r="AS1423" s="1" t="inlineStr"/>
      <c r="AT1423" t="inlineStr"/>
      <c r="AU1423" t="inlineStr"/>
      <c r="AV1423" t="inlineStr"/>
      <c r="AW1423" t="inlineStr"/>
      <c r="AX1423" t="inlineStr"/>
      <c r="AY1423" t="inlineStr"/>
    </row>
    <row r="1424">
      <c r="A1424" t="inlineStr">
        <is>
          <t>KYC</t>
        </is>
      </c>
      <c r="B1424" t="inlineStr">
        <is>
          <t>UPST US Equity</t>
        </is>
      </c>
      <c r="C1424" s="1" t="inlineStr">
        <is>
          <t>UPST</t>
        </is>
      </c>
      <c r="D1424" t="inlineStr">
        <is>
          <t>Upstart Holdings Inc</t>
        </is>
      </c>
      <c r="E1424">
        <f>BDP($B1424,"LEGAL_ENTITY_IDENTIFIER")</f>
        <v/>
      </c>
      <c r="F1424" t="inlineStr">
        <is>
          <t>Upstart Holdings Inc</t>
        </is>
      </c>
      <c r="G1424">
        <f>custodian!D1424</f>
        <v/>
      </c>
      <c r="H1424">
        <f>BDP($B1424,"ID_ISIN")</f>
        <v/>
      </c>
      <c r="I1424" s="1" t="inlineStr">
        <is>
          <t>UPST</t>
        </is>
      </c>
      <c r="J1424">
        <f>BDP($B1424,"CNTRY_OF_DOMICILE")</f>
        <v/>
      </c>
      <c r="K1424" t="inlineStr">
        <is>
          <t>EC</t>
        </is>
      </c>
      <c r="L1424" t="inlineStr">
        <is>
          <t>CORP</t>
        </is>
      </c>
      <c r="M1424" t="inlineStr"/>
      <c r="N1424" t="inlineStr"/>
      <c r="O1424" s="1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s="1" t="inlineStr"/>
      <c r="AR1424" s="1" t="inlineStr"/>
      <c r="AS1424" s="1" t="inlineStr"/>
      <c r="AT1424" t="inlineStr"/>
      <c r="AU1424" t="inlineStr"/>
      <c r="AV1424" t="inlineStr"/>
      <c r="AW1424" t="inlineStr"/>
      <c r="AX1424" t="inlineStr"/>
      <c r="AY1424" t="inlineStr"/>
    </row>
    <row r="1425">
      <c r="A1425" t="inlineStr">
        <is>
          <t>KYC</t>
        </is>
      </c>
      <c r="B1425" t="inlineStr">
        <is>
          <t>V US Equity</t>
        </is>
      </c>
      <c r="C1425" s="1" t="inlineStr">
        <is>
          <t>V</t>
        </is>
      </c>
      <c r="D1425" t="inlineStr">
        <is>
          <t>Visa Inc</t>
        </is>
      </c>
      <c r="E1425">
        <f>BDP($B1425,"LEGAL_ENTITY_IDENTIFIER")</f>
        <v/>
      </c>
      <c r="F1425" t="inlineStr">
        <is>
          <t>Visa Inc</t>
        </is>
      </c>
      <c r="G1425">
        <f>custodian!D1425</f>
        <v/>
      </c>
      <c r="H1425">
        <f>BDP($B1425,"ID_ISIN")</f>
        <v/>
      </c>
      <c r="I1425" s="1" t="inlineStr">
        <is>
          <t>V</t>
        </is>
      </c>
      <c r="J1425">
        <f>BDP($B1425,"CNTRY_OF_DOMICILE")</f>
        <v/>
      </c>
      <c r="K1425" t="inlineStr">
        <is>
          <t>EC</t>
        </is>
      </c>
      <c r="L1425" t="inlineStr">
        <is>
          <t>CORP</t>
        </is>
      </c>
      <c r="M1425" t="inlineStr"/>
      <c r="N1425" t="inlineStr"/>
      <c r="O1425" s="1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s="1" t="inlineStr"/>
      <c r="AR1425" s="1" t="inlineStr"/>
      <c r="AS1425" s="1" t="inlineStr"/>
      <c r="AT1425" t="inlineStr"/>
      <c r="AU1425" t="inlineStr"/>
      <c r="AV1425" t="inlineStr"/>
      <c r="AW1425" t="inlineStr"/>
      <c r="AX1425" t="inlineStr"/>
      <c r="AY1425" t="inlineStr"/>
    </row>
    <row r="1426">
      <c r="A1426" t="inlineStr">
        <is>
          <t>KYC</t>
        </is>
      </c>
      <c r="B1426" t="inlineStr">
        <is>
          <t>WEX US Equity</t>
        </is>
      </c>
      <c r="C1426" s="1" t="inlineStr">
        <is>
          <t>WEX</t>
        </is>
      </c>
      <c r="D1426" t="inlineStr">
        <is>
          <t>WEX Inc</t>
        </is>
      </c>
      <c r="E1426">
        <f>BDP($B1426,"LEGAL_ENTITY_IDENTIFIER")</f>
        <v/>
      </c>
      <c r="F1426" t="inlineStr">
        <is>
          <t>WEX Inc</t>
        </is>
      </c>
      <c r="G1426">
        <f>custodian!D1426</f>
        <v/>
      </c>
      <c r="H1426">
        <f>BDP($B1426,"ID_ISIN")</f>
        <v/>
      </c>
      <c r="I1426" s="1" t="inlineStr">
        <is>
          <t>WEX</t>
        </is>
      </c>
      <c r="J1426">
        <f>BDP($B1426,"CNTRY_OF_DOMICILE")</f>
        <v/>
      </c>
      <c r="K1426" t="inlineStr">
        <is>
          <t>EC</t>
        </is>
      </c>
      <c r="L1426" t="inlineStr">
        <is>
          <t>CORP</t>
        </is>
      </c>
      <c r="M1426" t="inlineStr"/>
      <c r="N1426" t="inlineStr"/>
      <c r="O1426" s="1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s="1" t="inlineStr"/>
      <c r="AR1426" s="1" t="inlineStr"/>
      <c r="AS1426" s="1" t="inlineStr"/>
      <c r="AT1426" t="inlineStr"/>
      <c r="AU1426" t="inlineStr"/>
      <c r="AV1426" t="inlineStr"/>
      <c r="AW1426" t="inlineStr"/>
      <c r="AX1426" t="inlineStr"/>
      <c r="AY1426" t="inlineStr"/>
    </row>
    <row r="1427">
      <c r="A1427" t="inlineStr">
        <is>
          <t>KYC</t>
        </is>
      </c>
      <c r="B1427" t="inlineStr">
        <is>
          <t>WLTH US Equity</t>
        </is>
      </c>
      <c r="C1427" s="1" t="inlineStr">
        <is>
          <t>WLTH</t>
        </is>
      </c>
      <c r="D1427" t="inlineStr">
        <is>
          <t>Wealthfront Corp</t>
        </is>
      </c>
      <c r="E1427">
        <f>BDP($B1427,"LEGAL_ENTITY_IDENTIFIER")</f>
        <v/>
      </c>
      <c r="F1427" t="inlineStr">
        <is>
          <t>Wealthfront Corp</t>
        </is>
      </c>
      <c r="G1427">
        <f>custodian!D1427</f>
        <v/>
      </c>
      <c r="H1427">
        <f>BDP($B1427,"ID_ISIN")</f>
        <v/>
      </c>
      <c r="I1427" s="1" t="inlineStr">
        <is>
          <t>WLTH</t>
        </is>
      </c>
      <c r="J1427">
        <f>BDP($B1427,"CNTRY_OF_DOMICILE")</f>
        <v/>
      </c>
      <c r="K1427" t="inlineStr">
        <is>
          <t>EC</t>
        </is>
      </c>
      <c r="L1427" t="inlineStr">
        <is>
          <t>CORP</t>
        </is>
      </c>
      <c r="M1427" t="inlineStr"/>
      <c r="N1427" t="inlineStr"/>
      <c r="O1427" s="1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s="1" t="inlineStr"/>
      <c r="AR1427" s="1" t="inlineStr"/>
      <c r="AS1427" s="1" t="inlineStr"/>
      <c r="AT1427" t="inlineStr"/>
      <c r="AU1427" t="inlineStr"/>
      <c r="AV1427" t="inlineStr"/>
      <c r="AW1427" t="inlineStr"/>
      <c r="AX1427" t="inlineStr"/>
      <c r="AY1427" t="inlineStr"/>
    </row>
    <row r="1428">
      <c r="A1428" t="inlineStr">
        <is>
          <t>KYC</t>
        </is>
      </c>
      <c r="B1428" t="inlineStr">
        <is>
          <t>WU US Equity</t>
        </is>
      </c>
      <c r="C1428" s="1" t="inlineStr">
        <is>
          <t>WU</t>
        </is>
      </c>
      <c r="D1428" t="inlineStr">
        <is>
          <t>Western Union Co/The</t>
        </is>
      </c>
      <c r="E1428">
        <f>BDP($B1428,"LEGAL_ENTITY_IDENTIFIER")</f>
        <v/>
      </c>
      <c r="F1428" t="inlineStr">
        <is>
          <t>Western Union Co/The</t>
        </is>
      </c>
      <c r="G1428">
        <f>custodian!D1428</f>
        <v/>
      </c>
      <c r="H1428">
        <f>BDP($B1428,"ID_ISIN")</f>
        <v/>
      </c>
      <c r="I1428" s="1" t="inlineStr">
        <is>
          <t>WU</t>
        </is>
      </c>
      <c r="J1428">
        <f>BDP($B1428,"CNTRY_OF_DOMICILE")</f>
        <v/>
      </c>
      <c r="K1428" t="inlineStr">
        <is>
          <t>EC</t>
        </is>
      </c>
      <c r="L1428" t="inlineStr">
        <is>
          <t>CORP</t>
        </is>
      </c>
      <c r="M1428" t="inlineStr"/>
      <c r="N1428" t="inlineStr"/>
      <c r="O1428" s="1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s="1" t="inlineStr"/>
      <c r="AR1428" s="1" t="inlineStr"/>
      <c r="AS1428" s="1" t="inlineStr"/>
      <c r="AT1428" t="inlineStr"/>
      <c r="AU1428" t="inlineStr"/>
      <c r="AV1428" t="inlineStr"/>
      <c r="AW1428" t="inlineStr"/>
      <c r="AX1428" t="inlineStr"/>
      <c r="AY1428" t="inlineStr"/>
    </row>
    <row r="1429">
      <c r="A1429" t="inlineStr">
        <is>
          <t>KYC</t>
        </is>
      </c>
      <c r="B1429" t="inlineStr">
        <is>
          <t>XYZ US Equity</t>
        </is>
      </c>
      <c r="C1429" s="1" t="inlineStr">
        <is>
          <t>XYZ</t>
        </is>
      </c>
      <c r="D1429" t="inlineStr">
        <is>
          <t>Block Inc</t>
        </is>
      </c>
      <c r="E1429">
        <f>BDP($B1429,"LEGAL_ENTITY_IDENTIFIER")</f>
        <v/>
      </c>
      <c r="F1429" t="inlineStr">
        <is>
          <t>Block Inc</t>
        </is>
      </c>
      <c r="G1429">
        <f>custodian!D1429</f>
        <v/>
      </c>
      <c r="H1429">
        <f>BDP($B1429,"ID_ISIN")</f>
        <v/>
      </c>
      <c r="I1429" s="1" t="inlineStr">
        <is>
          <t>XYZ</t>
        </is>
      </c>
      <c r="J1429">
        <f>BDP($B1429,"CNTRY_OF_DOMICILE")</f>
        <v/>
      </c>
      <c r="K1429" t="inlineStr">
        <is>
          <t>EC</t>
        </is>
      </c>
      <c r="L1429" t="inlineStr">
        <is>
          <t>CORP</t>
        </is>
      </c>
      <c r="M1429" t="inlineStr"/>
      <c r="N1429" t="inlineStr"/>
      <c r="O1429" s="1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s="1" t="inlineStr"/>
      <c r="AR1429" s="1" t="inlineStr"/>
      <c r="AS1429" s="1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KYC</t>
        </is>
      </c>
      <c r="B1430" t="inlineStr"/>
      <c r="C1430" s="1" t="inlineStr">
        <is>
          <t>Cash&amp;Other</t>
        </is>
      </c>
      <c r="D1430" t="inlineStr"/>
      <c r="E1430" s="1" t="inlineStr"/>
      <c r="F1430" t="inlineStr"/>
      <c r="G1430">
        <f>custodian!D1430</f>
        <v/>
      </c>
      <c r="H1430" s="1" t="inlineStr"/>
      <c r="I1430" s="1" t="inlineStr"/>
      <c r="J1430" t="inlineStr"/>
      <c r="K1430" t="inlineStr"/>
      <c r="L1430" t="inlineStr"/>
      <c r="M1430" t="inlineStr"/>
      <c r="N1430" t="inlineStr"/>
      <c r="O1430" s="1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s="1" t="inlineStr"/>
      <c r="AR1430" s="1" t="inlineStr"/>
      <c r="AS1430" s="1" t="inlineStr"/>
      <c r="AT1430" t="inlineStr"/>
      <c r="AU1430" t="inlineStr"/>
      <c r="AV1430" t="inlineStr"/>
      <c r="AW1430" t="inlineStr"/>
      <c r="AX1430" t="inlineStr"/>
      <c r="AY1430" t="inlineStr"/>
    </row>
    <row r="1431">
      <c r="A1431" t="inlineStr">
        <is>
          <t>LASC</t>
        </is>
      </c>
      <c r="B1431" t="inlineStr">
        <is>
          <t>65487K100 Equity</t>
        </is>
      </c>
      <c r="C1431" s="1" t="inlineStr">
        <is>
          <t>65487K100-TRS-12/01/27-L-CANT</t>
        </is>
      </c>
      <c r="D1431" t="inlineStr">
        <is>
          <t>N/A</t>
        </is>
      </c>
      <c r="E1431" s="1" t="inlineStr">
        <is>
          <t>N/A</t>
        </is>
      </c>
      <c r="F1431" t="inlineStr">
        <is>
          <t>NLIGHT, INC.-SWAP-CANT-L</t>
        </is>
      </c>
      <c r="G1431">
        <f>custodian!D1431</f>
        <v/>
      </c>
      <c r="H1431" s="1" t="inlineStr"/>
      <c r="I1431" s="1" t="inlineStr">
        <is>
          <t>65487K100-TRS-12/01/27-L-CANT</t>
        </is>
      </c>
      <c r="J1431" t="inlineStr">
        <is>
          <t>US</t>
        </is>
      </c>
      <c r="K1431" t="inlineStr">
        <is>
          <t>DE</t>
        </is>
      </c>
      <c r="L1431" t="inlineStr">
        <is>
          <t>OTHER</t>
        </is>
      </c>
      <c r="M1431" t="inlineStr">
        <is>
          <t>SWP</t>
        </is>
      </c>
      <c r="N1431" t="inlineStr"/>
      <c r="O1431" s="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otherRefInst</t>
        </is>
      </c>
      <c r="W1431" t="inlineStr"/>
      <c r="X1431" t="inlineStr"/>
      <c r="Y1431" t="inlineStr">
        <is>
          <t>Y</t>
        </is>
      </c>
      <c r="Z1431" t="inlineStr">
        <is>
          <t>2027-12-01</t>
        </is>
      </c>
      <c r="AA1431" t="inlineStr">
        <is>
          <t>460644.39</t>
        </is>
      </c>
      <c r="AB1431" t="inlineStr">
        <is>
          <t>USD</t>
        </is>
      </c>
      <c r="AC1431" t="inlineStr">
        <is>
          <t>-19856.08</t>
        </is>
      </c>
      <c r="AD1431" t="inlineStr">
        <is>
          <t>-19856.08</t>
        </is>
      </c>
      <c r="AE1431" t="inlineStr">
        <is>
          <t>-8.62</t>
        </is>
      </c>
      <c r="AF1431" t="inlineStr"/>
      <c r="AG1431" t="inlineStr"/>
      <c r="AH1431" t="inlineStr">
        <is>
          <t>Floating</t>
        </is>
      </c>
      <c r="AI1431" t="inlineStr"/>
      <c r="AJ1431" t="inlineStr"/>
      <c r="AK1431" t="inlineStr">
        <is>
          <t>460644.39</t>
        </is>
      </c>
      <c r="AL1431" t="inlineStr">
        <is>
          <t>USD</t>
        </is>
      </c>
      <c r="AM1431" t="inlineStr"/>
      <c r="AN1431" t="inlineStr"/>
      <c r="AO1431">
        <f>BDP($B1431,"ISSUER")</f>
        <v/>
      </c>
      <c r="AP1431">
        <f>BDP($B1431,"NAME")</f>
        <v/>
      </c>
      <c r="AQ1431" s="1" t="inlineStr">
        <is>
          <t>65487K100</t>
        </is>
      </c>
      <c r="AR1431">
        <f>BDP($B1431,"ID_ISIN")</f>
        <v/>
      </c>
      <c r="AS1431">
        <f>BDP($B1431,"TICKER")</f>
        <v/>
      </c>
      <c r="AT1431" t="inlineStr"/>
      <c r="AU1431" t="inlineStr"/>
      <c r="AV1431" t="inlineStr"/>
      <c r="AW1431" t="inlineStr"/>
      <c r="AX1431" t="inlineStr"/>
      <c r="AY1431" t="inlineStr"/>
    </row>
    <row r="1432">
      <c r="A1432" t="inlineStr">
        <is>
          <t>LASC</t>
        </is>
      </c>
      <c r="B1432" t="inlineStr">
        <is>
          <t>FGXXX US Equity</t>
        </is>
      </c>
      <c r="C1432" s="1" t="inlineStr">
        <is>
          <t>FGXXX</t>
        </is>
      </c>
      <c r="D1432" t="inlineStr">
        <is>
          <t>First American Government Obli</t>
        </is>
      </c>
      <c r="E1432">
        <f>BDP($B1432,"LEGAL_ENTITY_IDENTIFIER")</f>
        <v/>
      </c>
      <c r="F1432" t="inlineStr">
        <is>
          <t>First American Government Obligations Fund</t>
        </is>
      </c>
      <c r="G1432">
        <f>custodian!D1432</f>
        <v/>
      </c>
      <c r="H1432">
        <f>BDP($B1432,"ID_ISIN")</f>
        <v/>
      </c>
      <c r="I1432" s="1" t="inlineStr">
        <is>
          <t>FGXXX</t>
        </is>
      </c>
      <c r="J1432">
        <f>BDP($B1432,"CNTRY_OF_DOMICILE")</f>
        <v/>
      </c>
      <c r="K1432" t="inlineStr">
        <is>
          <t>STIV</t>
        </is>
      </c>
      <c r="L1432" t="inlineStr">
        <is>
          <t>RF</t>
        </is>
      </c>
      <c r="M1432" t="inlineStr"/>
      <c r="N1432" t="inlineStr"/>
      <c r="O1432" s="1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s="1" t="inlineStr"/>
      <c r="AR1432" s="1" t="inlineStr"/>
      <c r="AS1432" s="1" t="inlineStr"/>
      <c r="AT1432" t="inlineStr"/>
      <c r="AU1432" t="inlineStr"/>
      <c r="AV1432" t="inlineStr"/>
      <c r="AW1432" t="inlineStr"/>
      <c r="AX1432" t="inlineStr"/>
      <c r="AY1432" t="inlineStr"/>
    </row>
    <row r="1433">
      <c r="A1433" t="inlineStr">
        <is>
          <t>LASC</t>
        </is>
      </c>
      <c r="B1433" t="inlineStr"/>
      <c r="C1433" s="1" t="inlineStr">
        <is>
          <t>Cash&amp;Other</t>
        </is>
      </c>
      <c r="D1433" t="inlineStr"/>
      <c r="E1433" s="1" t="inlineStr"/>
      <c r="F1433" t="inlineStr"/>
      <c r="G1433">
        <f>custodian!D1433</f>
        <v/>
      </c>
      <c r="H1433" s="1" t="inlineStr"/>
      <c r="I1433" s="1" t="inlineStr"/>
      <c r="J1433" t="inlineStr"/>
      <c r="K1433" t="inlineStr"/>
      <c r="L1433" t="inlineStr"/>
      <c r="M1433" t="inlineStr"/>
      <c r="N1433" t="inlineStr"/>
      <c r="O1433" s="1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s="1" t="inlineStr"/>
      <c r="AR1433" s="1" t="inlineStr"/>
      <c r="AS1433" s="1" t="inlineStr"/>
      <c r="AT1433" t="inlineStr"/>
      <c r="AU1433" t="inlineStr"/>
      <c r="AV1433" t="inlineStr"/>
      <c r="AW1433" t="inlineStr"/>
      <c r="AX1433" t="inlineStr"/>
      <c r="AY1433" t="inlineStr"/>
    </row>
    <row r="1434">
      <c r="A1434" t="inlineStr">
        <is>
          <t>LATR</t>
        </is>
      </c>
      <c r="B1434" t="inlineStr">
        <is>
          <t>AFRM US Equity</t>
        </is>
      </c>
      <c r="C1434" s="1" t="inlineStr">
        <is>
          <t>AFRM</t>
        </is>
      </c>
      <c r="D1434" t="inlineStr">
        <is>
          <t>Affirm Holdings Inc</t>
        </is>
      </c>
      <c r="E1434">
        <f>BDP($B1434,"LEGAL_ENTITY_IDENTIFIER")</f>
        <v/>
      </c>
      <c r="F1434" t="inlineStr">
        <is>
          <t>Affirm Holdings Inc</t>
        </is>
      </c>
      <c r="G1434">
        <f>custodian!D1434</f>
        <v/>
      </c>
      <c r="H1434">
        <f>BDP($B1434,"ID_ISIN")</f>
        <v/>
      </c>
      <c r="I1434" s="1" t="inlineStr">
        <is>
          <t>AFRM</t>
        </is>
      </c>
      <c r="J1434">
        <f>BDP($B1434,"CNTRY_OF_DOMICILE")</f>
        <v/>
      </c>
      <c r="K1434" t="inlineStr">
        <is>
          <t>EC</t>
        </is>
      </c>
      <c r="L1434" t="inlineStr">
        <is>
          <t>CORP</t>
        </is>
      </c>
      <c r="M1434" t="inlineStr"/>
      <c r="N1434" t="inlineStr"/>
      <c r="O1434" s="1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s="1" t="inlineStr"/>
      <c r="AR1434" s="1" t="inlineStr"/>
      <c r="AS1434" s="1" t="inlineStr"/>
      <c r="AT1434" t="inlineStr"/>
      <c r="AU1434" t="inlineStr"/>
      <c r="AV1434" t="inlineStr"/>
      <c r="AW1434" t="inlineStr"/>
      <c r="AX1434" t="inlineStr"/>
      <c r="AY1434" t="inlineStr"/>
    </row>
    <row r="1435">
      <c r="A1435" t="inlineStr">
        <is>
          <t>LATR</t>
        </is>
      </c>
      <c r="B1435" t="inlineStr">
        <is>
          <t>BFH US Equity</t>
        </is>
      </c>
      <c r="C1435" s="1" t="inlineStr">
        <is>
          <t>BFH</t>
        </is>
      </c>
      <c r="D1435" t="inlineStr">
        <is>
          <t>Bread Financial Holdings Inc</t>
        </is>
      </c>
      <c r="E1435">
        <f>BDP($B1435,"LEGAL_ENTITY_IDENTIFIER")</f>
        <v/>
      </c>
      <c r="F1435" t="inlineStr">
        <is>
          <t>Bread Financial Holdings Inc</t>
        </is>
      </c>
      <c r="G1435">
        <f>custodian!D1435</f>
        <v/>
      </c>
      <c r="H1435">
        <f>BDP($B1435,"ID_ISIN")</f>
        <v/>
      </c>
      <c r="I1435" s="1" t="inlineStr">
        <is>
          <t>BFH</t>
        </is>
      </c>
      <c r="J1435">
        <f>BDP($B1435,"CNTRY_OF_DOMICILE")</f>
        <v/>
      </c>
      <c r="K1435" t="inlineStr">
        <is>
          <t>EC</t>
        </is>
      </c>
      <c r="L1435" t="inlineStr">
        <is>
          <t>CORP</t>
        </is>
      </c>
      <c r="M1435" t="inlineStr"/>
      <c r="N1435" t="inlineStr"/>
      <c r="O1435" s="1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s="1" t="inlineStr"/>
      <c r="AR1435" s="1" t="inlineStr"/>
      <c r="AS1435" s="1" t="inlineStr"/>
      <c r="AT1435" t="inlineStr"/>
      <c r="AU1435" t="inlineStr"/>
      <c r="AV1435" t="inlineStr"/>
      <c r="AW1435" t="inlineStr"/>
      <c r="AX1435" t="inlineStr"/>
      <c r="AY1435" t="inlineStr"/>
    </row>
    <row r="1436">
      <c r="A1436" t="inlineStr">
        <is>
          <t>LATR</t>
        </is>
      </c>
      <c r="B1436" t="inlineStr">
        <is>
          <t>FGXXX US Equity</t>
        </is>
      </c>
      <c r="C1436" s="1" t="inlineStr">
        <is>
          <t>FGXXX</t>
        </is>
      </c>
      <c r="D1436" t="inlineStr">
        <is>
          <t>First American Government Obli</t>
        </is>
      </c>
      <c r="E1436">
        <f>BDP($B1436,"LEGAL_ENTITY_IDENTIFIER")</f>
        <v/>
      </c>
      <c r="F1436" t="inlineStr">
        <is>
          <t>First American Government Obligations Fund</t>
        </is>
      </c>
      <c r="G1436">
        <f>custodian!D1436</f>
        <v/>
      </c>
      <c r="H1436">
        <f>BDP($B1436,"ID_ISIN")</f>
        <v/>
      </c>
      <c r="I1436" s="1" t="inlineStr">
        <is>
          <t>FGXXX</t>
        </is>
      </c>
      <c r="J1436">
        <f>BDP($B1436,"CNTRY_OF_DOMICILE")</f>
        <v/>
      </c>
      <c r="K1436" t="inlineStr">
        <is>
          <t>STIV</t>
        </is>
      </c>
      <c r="L1436" t="inlineStr">
        <is>
          <t>RF</t>
        </is>
      </c>
      <c r="M1436" t="inlineStr"/>
      <c r="N1436" t="inlineStr"/>
      <c r="O1436" s="1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s="1" t="inlineStr"/>
      <c r="AR1436" s="1" t="inlineStr"/>
      <c r="AS1436" s="1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LATR</t>
        </is>
      </c>
      <c r="B1437" t="inlineStr">
        <is>
          <t>FINV US Equity</t>
        </is>
      </c>
      <c r="C1437" s="1" t="inlineStr">
        <is>
          <t>FINV</t>
        </is>
      </c>
      <c r="D1437" t="inlineStr">
        <is>
          <t>FinVolution Group</t>
        </is>
      </c>
      <c r="E1437">
        <f>BDP($B1437,"LEGAL_ENTITY_IDENTIFIER")</f>
        <v/>
      </c>
      <c r="F1437" t="inlineStr">
        <is>
          <t>FinVolution Group</t>
        </is>
      </c>
      <c r="G1437">
        <f>custodian!D1437</f>
        <v/>
      </c>
      <c r="H1437">
        <f>BDP($B1437,"ID_ISIN")</f>
        <v/>
      </c>
      <c r="I1437" s="1" t="inlineStr">
        <is>
          <t>FINV</t>
        </is>
      </c>
      <c r="J1437">
        <f>BDP($B1437,"CNTRY_OF_DOMICILE")</f>
        <v/>
      </c>
      <c r="K1437" t="inlineStr">
        <is>
          <t>EC</t>
        </is>
      </c>
      <c r="L1437" t="inlineStr">
        <is>
          <t>CORP</t>
        </is>
      </c>
      <c r="M1437" t="inlineStr"/>
      <c r="N1437" t="inlineStr"/>
      <c r="O1437" s="1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s="1" t="inlineStr"/>
      <c r="AR1437" s="1" t="inlineStr"/>
      <c r="AS1437" s="1" t="inlineStr"/>
      <c r="AT1437" t="inlineStr"/>
      <c r="AU1437" t="inlineStr"/>
      <c r="AV1437" t="inlineStr"/>
      <c r="AW1437" t="inlineStr"/>
      <c r="AX1437" t="inlineStr"/>
      <c r="AY1437" t="inlineStr"/>
    </row>
    <row r="1438">
      <c r="A1438" t="inlineStr">
        <is>
          <t>LATR</t>
        </is>
      </c>
      <c r="B1438" t="inlineStr">
        <is>
          <t>KLAR US Equity</t>
        </is>
      </c>
      <c r="C1438" s="1" t="inlineStr">
        <is>
          <t>KLAR</t>
        </is>
      </c>
      <c r="D1438" t="inlineStr">
        <is>
          <t>Klarna Group PLC</t>
        </is>
      </c>
      <c r="E1438">
        <f>BDP($B1438,"LEGAL_ENTITY_IDENTIFIER")</f>
        <v/>
      </c>
      <c r="F1438" t="inlineStr">
        <is>
          <t>Klarna Group PLC</t>
        </is>
      </c>
      <c r="G1438">
        <f>custodian!D1438</f>
        <v/>
      </c>
      <c r="H1438">
        <f>BDP($B1438,"ID_ISIN")</f>
        <v/>
      </c>
      <c r="I1438" s="1" t="inlineStr">
        <is>
          <t>KLAR</t>
        </is>
      </c>
      <c r="J1438">
        <f>BDP($B1438,"CNTRY_OF_DOMICILE")</f>
        <v/>
      </c>
      <c r="K1438" t="inlineStr">
        <is>
          <t>EC</t>
        </is>
      </c>
      <c r="L1438" t="inlineStr">
        <is>
          <t>CORP</t>
        </is>
      </c>
      <c r="M1438" t="inlineStr"/>
      <c r="N1438" t="inlineStr"/>
      <c r="O1438" s="1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s="1" t="inlineStr"/>
      <c r="AR1438" s="1" t="inlineStr"/>
      <c r="AS1438" s="1" t="inlineStr"/>
      <c r="AT1438" t="inlineStr"/>
      <c r="AU1438" t="inlineStr"/>
      <c r="AV1438" t="inlineStr"/>
      <c r="AW1438" t="inlineStr"/>
      <c r="AX1438" t="inlineStr"/>
      <c r="AY1438" t="inlineStr"/>
    </row>
    <row r="1439">
      <c r="A1439" t="inlineStr">
        <is>
          <t>LATR</t>
        </is>
      </c>
      <c r="B1439" t="inlineStr">
        <is>
          <t>KSPI US Equity</t>
        </is>
      </c>
      <c r="C1439" s="1" t="inlineStr">
        <is>
          <t>KSPI</t>
        </is>
      </c>
      <c r="D1439" t="inlineStr">
        <is>
          <t>Kaspi.KZ JSC</t>
        </is>
      </c>
      <c r="E1439">
        <f>BDP($B1439,"LEGAL_ENTITY_IDENTIFIER")</f>
        <v/>
      </c>
      <c r="F1439" t="inlineStr">
        <is>
          <t>Kaspi.KZ JSC</t>
        </is>
      </c>
      <c r="G1439">
        <f>custodian!D1439</f>
        <v/>
      </c>
      <c r="H1439">
        <f>BDP($B1439,"ID_ISIN")</f>
        <v/>
      </c>
      <c r="I1439" s="1" t="inlineStr">
        <is>
          <t>KSPI</t>
        </is>
      </c>
      <c r="J1439">
        <f>BDP($B1439,"CNTRY_OF_DOMICILE")</f>
        <v/>
      </c>
      <c r="K1439" t="inlineStr">
        <is>
          <t>EC</t>
        </is>
      </c>
      <c r="L1439" t="inlineStr">
        <is>
          <t>CORP</t>
        </is>
      </c>
      <c r="M1439" t="inlineStr"/>
      <c r="N1439" t="inlineStr"/>
      <c r="O1439" s="1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s="1" t="inlineStr"/>
      <c r="AR1439" s="1" t="inlineStr"/>
      <c r="AS1439" s="1" t="inlineStr"/>
      <c r="AT1439" t="inlineStr"/>
      <c r="AU1439" t="inlineStr"/>
      <c r="AV1439" t="inlineStr"/>
      <c r="AW1439" t="inlineStr"/>
      <c r="AX1439" t="inlineStr"/>
      <c r="AY1439" t="inlineStr"/>
    </row>
    <row r="1440">
      <c r="A1440" t="inlineStr">
        <is>
          <t>LATR</t>
        </is>
      </c>
      <c r="B1440" t="inlineStr">
        <is>
          <t>MA US Equity</t>
        </is>
      </c>
      <c r="C1440" s="1" t="inlineStr">
        <is>
          <t>MA</t>
        </is>
      </c>
      <c r="D1440" t="inlineStr">
        <is>
          <t>Mastercard Inc</t>
        </is>
      </c>
      <c r="E1440">
        <f>BDP($B1440,"LEGAL_ENTITY_IDENTIFIER")</f>
        <v/>
      </c>
      <c r="F1440" t="inlineStr">
        <is>
          <t>Mastercard Inc</t>
        </is>
      </c>
      <c r="G1440">
        <f>custodian!D1440</f>
        <v/>
      </c>
      <c r="H1440">
        <f>BDP($B1440,"ID_ISIN")</f>
        <v/>
      </c>
      <c r="I1440" s="1" t="inlineStr">
        <is>
          <t>MA</t>
        </is>
      </c>
      <c r="J1440">
        <f>BDP($B1440,"CNTRY_OF_DOMICILE")</f>
        <v/>
      </c>
      <c r="K1440" t="inlineStr">
        <is>
          <t>EC</t>
        </is>
      </c>
      <c r="L1440" t="inlineStr">
        <is>
          <t>CORP</t>
        </is>
      </c>
      <c r="M1440" t="inlineStr"/>
      <c r="N1440" t="inlineStr"/>
      <c r="O1440" s="1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s="1" t="inlineStr"/>
      <c r="AR1440" s="1" t="inlineStr"/>
      <c r="AS1440" s="1" t="inlineStr"/>
      <c r="AT1440" t="inlineStr"/>
      <c r="AU1440" t="inlineStr"/>
      <c r="AV1440" t="inlineStr"/>
      <c r="AW1440" t="inlineStr"/>
      <c r="AX1440" t="inlineStr"/>
      <c r="AY1440" t="inlineStr"/>
    </row>
    <row r="1441">
      <c r="A1441" t="inlineStr">
        <is>
          <t>LATR</t>
        </is>
      </c>
      <c r="B1441" t="inlineStr">
        <is>
          <t>MELI US Equity</t>
        </is>
      </c>
      <c r="C1441" s="1" t="inlineStr">
        <is>
          <t>MELI</t>
        </is>
      </c>
      <c r="D1441" t="inlineStr">
        <is>
          <t>MercadoLibre Inc</t>
        </is>
      </c>
      <c r="E1441">
        <f>BDP($B1441,"LEGAL_ENTITY_IDENTIFIER")</f>
        <v/>
      </c>
      <c r="F1441" t="inlineStr">
        <is>
          <t>MercadoLibre Inc</t>
        </is>
      </c>
      <c r="G1441">
        <f>custodian!D1441</f>
        <v/>
      </c>
      <c r="H1441">
        <f>BDP($B1441,"ID_ISIN")</f>
        <v/>
      </c>
      <c r="I1441" s="1" t="inlineStr">
        <is>
          <t>MELI</t>
        </is>
      </c>
      <c r="J1441">
        <f>BDP($B1441,"CNTRY_OF_DOMICILE")</f>
        <v/>
      </c>
      <c r="K1441" t="inlineStr">
        <is>
          <t>EC</t>
        </is>
      </c>
      <c r="L1441" t="inlineStr">
        <is>
          <t>CORP</t>
        </is>
      </c>
      <c r="M1441" t="inlineStr"/>
      <c r="N1441" t="inlineStr"/>
      <c r="O1441" s="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s="1" t="inlineStr"/>
      <c r="AR1441" s="1" t="inlineStr"/>
      <c r="AS1441" s="1" t="inlineStr"/>
      <c r="AT1441" t="inlineStr"/>
      <c r="AU1441" t="inlineStr"/>
      <c r="AV1441" t="inlineStr"/>
      <c r="AW1441" t="inlineStr"/>
      <c r="AX1441" t="inlineStr"/>
      <c r="AY1441" t="inlineStr"/>
    </row>
    <row r="1442">
      <c r="A1442" t="inlineStr">
        <is>
          <t>LATR</t>
        </is>
      </c>
      <c r="B1442" t="inlineStr">
        <is>
          <t>MITK US Equity</t>
        </is>
      </c>
      <c r="C1442" s="1" t="inlineStr">
        <is>
          <t>MITK</t>
        </is>
      </c>
      <c r="D1442" t="inlineStr">
        <is>
          <t>Mitek Systems Inc</t>
        </is>
      </c>
      <c r="E1442">
        <f>BDP($B1442,"LEGAL_ENTITY_IDENTIFIER")</f>
        <v/>
      </c>
      <c r="F1442" t="inlineStr">
        <is>
          <t>Mitek Systems Inc</t>
        </is>
      </c>
      <c r="G1442">
        <f>custodian!D1442</f>
        <v/>
      </c>
      <c r="H1442">
        <f>BDP($B1442,"ID_ISIN")</f>
        <v/>
      </c>
      <c r="I1442" s="1" t="inlineStr">
        <is>
          <t>MITK</t>
        </is>
      </c>
      <c r="J1442">
        <f>BDP($B1442,"CNTRY_OF_DOMICILE")</f>
        <v/>
      </c>
      <c r="K1442" t="inlineStr">
        <is>
          <t>EC</t>
        </is>
      </c>
      <c r="L1442" t="inlineStr">
        <is>
          <t>CORP</t>
        </is>
      </c>
      <c r="M1442" t="inlineStr"/>
      <c r="N1442" t="inlineStr"/>
      <c r="O1442" s="1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s="1" t="inlineStr"/>
      <c r="AR1442" s="1" t="inlineStr"/>
      <c r="AS1442" s="1" t="inlineStr"/>
      <c r="AT1442" t="inlineStr"/>
      <c r="AU1442" t="inlineStr"/>
      <c r="AV1442" t="inlineStr"/>
      <c r="AW1442" t="inlineStr"/>
      <c r="AX1442" t="inlineStr"/>
      <c r="AY1442" t="inlineStr"/>
    </row>
    <row r="1443">
      <c r="A1443" t="inlineStr">
        <is>
          <t>LATR</t>
        </is>
      </c>
      <c r="B1443" t="inlineStr">
        <is>
          <t>MQ US Equity</t>
        </is>
      </c>
      <c r="C1443" s="1" t="inlineStr">
        <is>
          <t>MQ</t>
        </is>
      </c>
      <c r="D1443" t="inlineStr">
        <is>
          <t>Marqeta Inc</t>
        </is>
      </c>
      <c r="E1443">
        <f>BDP($B1443,"LEGAL_ENTITY_IDENTIFIER")</f>
        <v/>
      </c>
      <c r="F1443" t="inlineStr">
        <is>
          <t>Marqeta Inc</t>
        </is>
      </c>
      <c r="G1443">
        <f>custodian!D1443</f>
        <v/>
      </c>
      <c r="H1443">
        <f>BDP($B1443,"ID_ISIN")</f>
        <v/>
      </c>
      <c r="I1443" s="1" t="inlineStr">
        <is>
          <t>MQ</t>
        </is>
      </c>
      <c r="J1443">
        <f>BDP($B1443,"CNTRY_OF_DOMICILE")</f>
        <v/>
      </c>
      <c r="K1443" t="inlineStr">
        <is>
          <t>EC</t>
        </is>
      </c>
      <c r="L1443" t="inlineStr">
        <is>
          <t>CORP</t>
        </is>
      </c>
      <c r="M1443" t="inlineStr"/>
      <c r="N1443" t="inlineStr"/>
      <c r="O1443" s="1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s="1" t="inlineStr"/>
      <c r="AR1443" s="1" t="inlineStr"/>
      <c r="AS1443" s="1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LATR</t>
        </is>
      </c>
      <c r="B1444" t="inlineStr">
        <is>
          <t>NU US Equity</t>
        </is>
      </c>
      <c r="C1444" s="1" t="inlineStr">
        <is>
          <t>NU</t>
        </is>
      </c>
      <c r="D1444" t="inlineStr">
        <is>
          <t>NU Holdings Ltd/Cayman Islands</t>
        </is>
      </c>
      <c r="E1444">
        <f>BDP($B1444,"LEGAL_ENTITY_IDENTIFIER")</f>
        <v/>
      </c>
      <c r="F1444" t="inlineStr">
        <is>
          <t>NU Holdings Ltd/Cayman Islands</t>
        </is>
      </c>
      <c r="G1444">
        <f>custodian!D1444</f>
        <v/>
      </c>
      <c r="H1444">
        <f>BDP($B1444,"ID_ISIN")</f>
        <v/>
      </c>
      <c r="I1444" s="1" t="inlineStr">
        <is>
          <t>NU</t>
        </is>
      </c>
      <c r="J1444">
        <f>BDP($B1444,"CNTRY_OF_DOMICILE")</f>
        <v/>
      </c>
      <c r="K1444" t="inlineStr">
        <is>
          <t>EC</t>
        </is>
      </c>
      <c r="L1444" t="inlineStr">
        <is>
          <t>CORP</t>
        </is>
      </c>
      <c r="M1444" t="inlineStr"/>
      <c r="N1444" t="inlineStr"/>
      <c r="O1444" s="1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s="1" t="inlineStr"/>
      <c r="AR1444" s="1" t="inlineStr"/>
      <c r="AS1444" s="1" t="inlineStr"/>
      <c r="AT1444" t="inlineStr"/>
      <c r="AU1444" t="inlineStr"/>
      <c r="AV1444" t="inlineStr"/>
      <c r="AW1444" t="inlineStr"/>
      <c r="AX1444" t="inlineStr"/>
      <c r="AY1444" t="inlineStr"/>
    </row>
    <row r="1445">
      <c r="A1445" t="inlineStr">
        <is>
          <t>LATR</t>
        </is>
      </c>
      <c r="B1445" t="inlineStr">
        <is>
          <t>OMF US Equity</t>
        </is>
      </c>
      <c r="C1445" s="1" t="inlineStr">
        <is>
          <t>OMF</t>
        </is>
      </c>
      <c r="D1445" t="inlineStr">
        <is>
          <t>OneMain Holdings Inc</t>
        </is>
      </c>
      <c r="E1445">
        <f>BDP($B1445,"LEGAL_ENTITY_IDENTIFIER")</f>
        <v/>
      </c>
      <c r="F1445" t="inlineStr">
        <is>
          <t>OneMain Holdings Inc</t>
        </is>
      </c>
      <c r="G1445">
        <f>custodian!D1445</f>
        <v/>
      </c>
      <c r="H1445">
        <f>BDP($B1445,"ID_ISIN")</f>
        <v/>
      </c>
      <c r="I1445" s="1" t="inlineStr">
        <is>
          <t>OMF</t>
        </is>
      </c>
      <c r="J1445">
        <f>BDP($B1445,"CNTRY_OF_DOMICILE")</f>
        <v/>
      </c>
      <c r="K1445" t="inlineStr">
        <is>
          <t>EC</t>
        </is>
      </c>
      <c r="L1445" t="inlineStr">
        <is>
          <t>CORP</t>
        </is>
      </c>
      <c r="M1445" t="inlineStr"/>
      <c r="N1445" t="inlineStr"/>
      <c r="O1445" s="1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s="1" t="inlineStr"/>
      <c r="AR1445" s="1" t="inlineStr"/>
      <c r="AS1445" s="1" t="inlineStr"/>
      <c r="AT1445" t="inlineStr"/>
      <c r="AU1445" t="inlineStr"/>
      <c r="AV1445" t="inlineStr"/>
      <c r="AW1445" t="inlineStr"/>
      <c r="AX1445" t="inlineStr"/>
      <c r="AY1445" t="inlineStr"/>
    </row>
    <row r="1446">
      <c r="A1446" t="inlineStr">
        <is>
          <t>LATR</t>
        </is>
      </c>
      <c r="B1446" t="inlineStr">
        <is>
          <t>OPFI US Equity</t>
        </is>
      </c>
      <c r="C1446" s="1" t="inlineStr">
        <is>
          <t>OPFI</t>
        </is>
      </c>
      <c r="D1446" t="inlineStr">
        <is>
          <t>OppFi Inc</t>
        </is>
      </c>
      <c r="E1446">
        <f>BDP($B1446,"LEGAL_ENTITY_IDENTIFIER")</f>
        <v/>
      </c>
      <c r="F1446" t="inlineStr">
        <is>
          <t>OppFi Inc</t>
        </is>
      </c>
      <c r="G1446">
        <f>custodian!D1446</f>
        <v/>
      </c>
      <c r="H1446">
        <f>BDP($B1446,"ID_ISIN")</f>
        <v/>
      </c>
      <c r="I1446" s="1" t="inlineStr">
        <is>
          <t>OPFI</t>
        </is>
      </c>
      <c r="J1446">
        <f>BDP($B1446,"CNTRY_OF_DOMICILE")</f>
        <v/>
      </c>
      <c r="K1446" t="inlineStr">
        <is>
          <t>EC</t>
        </is>
      </c>
      <c r="L1446" t="inlineStr">
        <is>
          <t>CORP</t>
        </is>
      </c>
      <c r="M1446" t="inlineStr"/>
      <c r="N1446" t="inlineStr"/>
      <c r="O1446" s="1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s="1" t="inlineStr"/>
      <c r="AR1446" s="1" t="inlineStr"/>
      <c r="AS1446" s="1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LATR</t>
        </is>
      </c>
      <c r="B1447" t="inlineStr">
        <is>
          <t>PGY US Equity</t>
        </is>
      </c>
      <c r="C1447" s="1" t="inlineStr">
        <is>
          <t>PGY</t>
        </is>
      </c>
      <c r="D1447" t="inlineStr">
        <is>
          <t>Pagaya Technologies Ltd</t>
        </is>
      </c>
      <c r="E1447">
        <f>BDP($B1447,"LEGAL_ENTITY_IDENTIFIER")</f>
        <v/>
      </c>
      <c r="F1447" t="inlineStr">
        <is>
          <t>Pagaya Technologies Ltd</t>
        </is>
      </c>
      <c r="G1447">
        <f>custodian!D1447</f>
        <v/>
      </c>
      <c r="H1447">
        <f>BDP($B1447,"ID_ISIN")</f>
        <v/>
      </c>
      <c r="I1447" s="1" t="inlineStr">
        <is>
          <t>PGY</t>
        </is>
      </c>
      <c r="J1447">
        <f>BDP($B1447,"CNTRY_OF_DOMICILE")</f>
        <v/>
      </c>
      <c r="K1447" t="inlineStr">
        <is>
          <t>EC</t>
        </is>
      </c>
      <c r="L1447" t="inlineStr">
        <is>
          <t>CORP</t>
        </is>
      </c>
      <c r="M1447" t="inlineStr"/>
      <c r="N1447" t="inlineStr"/>
      <c r="O1447" s="1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s="1" t="inlineStr"/>
      <c r="AR1447" s="1" t="inlineStr"/>
      <c r="AS1447" s="1" t="inlineStr"/>
      <c r="AT1447" t="inlineStr"/>
      <c r="AU1447" t="inlineStr"/>
      <c r="AV1447" t="inlineStr"/>
      <c r="AW1447" t="inlineStr"/>
      <c r="AX1447" t="inlineStr"/>
      <c r="AY1447" t="inlineStr"/>
    </row>
    <row r="1448">
      <c r="A1448" t="inlineStr">
        <is>
          <t>LATR</t>
        </is>
      </c>
      <c r="B1448" t="inlineStr">
        <is>
          <t>PYPL US Equity</t>
        </is>
      </c>
      <c r="C1448" s="1" t="inlineStr">
        <is>
          <t>PYPL</t>
        </is>
      </c>
      <c r="D1448" t="inlineStr">
        <is>
          <t>PayPal Holdings Inc</t>
        </is>
      </c>
      <c r="E1448">
        <f>BDP($B1448,"LEGAL_ENTITY_IDENTIFIER")</f>
        <v/>
      </c>
      <c r="F1448" t="inlineStr">
        <is>
          <t>PayPal Holdings Inc</t>
        </is>
      </c>
      <c r="G1448">
        <f>custodian!D1448</f>
        <v/>
      </c>
      <c r="H1448">
        <f>BDP($B1448,"ID_ISIN")</f>
        <v/>
      </c>
      <c r="I1448" s="1" t="inlineStr">
        <is>
          <t>PYPL</t>
        </is>
      </c>
      <c r="J1448">
        <f>BDP($B1448,"CNTRY_OF_DOMICILE")</f>
        <v/>
      </c>
      <c r="K1448" t="inlineStr">
        <is>
          <t>EC</t>
        </is>
      </c>
      <c r="L1448" t="inlineStr">
        <is>
          <t>CORP</t>
        </is>
      </c>
      <c r="M1448" t="inlineStr"/>
      <c r="N1448" t="inlineStr"/>
      <c r="O1448" s="1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s="1" t="inlineStr"/>
      <c r="AR1448" s="1" t="inlineStr"/>
      <c r="AS1448" s="1" t="inlineStr"/>
      <c r="AT1448" t="inlineStr"/>
      <c r="AU1448" t="inlineStr"/>
      <c r="AV1448" t="inlineStr"/>
      <c r="AW1448" t="inlineStr"/>
      <c r="AX1448" t="inlineStr"/>
      <c r="AY1448" t="inlineStr"/>
    </row>
    <row r="1449">
      <c r="A1449" t="inlineStr">
        <is>
          <t>LATR</t>
        </is>
      </c>
      <c r="B1449" t="inlineStr">
        <is>
          <t>SE US Equity</t>
        </is>
      </c>
      <c r="C1449" s="1" t="inlineStr">
        <is>
          <t>SE</t>
        </is>
      </c>
      <c r="D1449" t="inlineStr">
        <is>
          <t>Sea Ltd</t>
        </is>
      </c>
      <c r="E1449">
        <f>BDP($B1449,"LEGAL_ENTITY_IDENTIFIER")</f>
        <v/>
      </c>
      <c r="F1449" t="inlineStr">
        <is>
          <t>Sea Ltd</t>
        </is>
      </c>
      <c r="G1449">
        <f>custodian!D1449</f>
        <v/>
      </c>
      <c r="H1449">
        <f>BDP($B1449,"ID_ISIN")</f>
        <v/>
      </c>
      <c r="I1449" s="1" t="inlineStr">
        <is>
          <t>SE</t>
        </is>
      </c>
      <c r="J1449">
        <f>BDP($B1449,"CNTRY_OF_DOMICILE")</f>
        <v/>
      </c>
      <c r="K1449" t="inlineStr">
        <is>
          <t>EC</t>
        </is>
      </c>
      <c r="L1449" t="inlineStr">
        <is>
          <t>CORP</t>
        </is>
      </c>
      <c r="M1449" t="inlineStr"/>
      <c r="N1449" t="inlineStr"/>
      <c r="O1449" s="1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s="1" t="inlineStr"/>
      <c r="AR1449" s="1" t="inlineStr"/>
      <c r="AS1449" s="1" t="inlineStr"/>
      <c r="AT1449" t="inlineStr"/>
      <c r="AU1449" t="inlineStr"/>
      <c r="AV1449" t="inlineStr"/>
      <c r="AW1449" t="inlineStr"/>
      <c r="AX1449" t="inlineStr"/>
      <c r="AY1449" t="inlineStr"/>
    </row>
    <row r="1450">
      <c r="A1450" t="inlineStr">
        <is>
          <t>LATR</t>
        </is>
      </c>
      <c r="B1450" t="inlineStr">
        <is>
          <t>SEZL US Equity</t>
        </is>
      </c>
      <c r="C1450" s="1" t="inlineStr">
        <is>
          <t>SEZL</t>
        </is>
      </c>
      <c r="D1450" t="inlineStr">
        <is>
          <t>Sezzle Inc</t>
        </is>
      </c>
      <c r="E1450">
        <f>BDP($B1450,"LEGAL_ENTITY_IDENTIFIER")</f>
        <v/>
      </c>
      <c r="F1450" t="inlineStr">
        <is>
          <t>Sezzle Inc</t>
        </is>
      </c>
      <c r="G1450">
        <f>custodian!D1450</f>
        <v/>
      </c>
      <c r="H1450">
        <f>BDP($B1450,"ID_ISIN")</f>
        <v/>
      </c>
      <c r="I1450" s="1" t="inlineStr">
        <is>
          <t>SEZL</t>
        </is>
      </c>
      <c r="J1450">
        <f>BDP($B1450,"CNTRY_OF_DOMICILE")</f>
        <v/>
      </c>
      <c r="K1450" t="inlineStr">
        <is>
          <t>EC</t>
        </is>
      </c>
      <c r="L1450" t="inlineStr">
        <is>
          <t>CORP</t>
        </is>
      </c>
      <c r="M1450" t="inlineStr"/>
      <c r="N1450" t="inlineStr"/>
      <c r="O1450" s="1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s="1" t="inlineStr"/>
      <c r="AR1450" s="1" t="inlineStr"/>
      <c r="AS1450" s="1" t="inlineStr"/>
      <c r="AT1450" t="inlineStr"/>
      <c r="AU1450" t="inlineStr"/>
      <c r="AV1450" t="inlineStr"/>
      <c r="AW1450" t="inlineStr"/>
      <c r="AX1450" t="inlineStr"/>
      <c r="AY1450" t="inlineStr"/>
    </row>
    <row r="1451">
      <c r="A1451" t="inlineStr">
        <is>
          <t>LATR</t>
        </is>
      </c>
      <c r="B1451" t="inlineStr">
        <is>
          <t>SHOP US Equity</t>
        </is>
      </c>
      <c r="C1451" s="1" t="inlineStr">
        <is>
          <t>SHOP</t>
        </is>
      </c>
      <c r="D1451" t="inlineStr">
        <is>
          <t>Shopify Inc</t>
        </is>
      </c>
      <c r="E1451">
        <f>BDP($B1451,"LEGAL_ENTITY_IDENTIFIER")</f>
        <v/>
      </c>
      <c r="F1451" t="inlineStr">
        <is>
          <t>Shopify Inc</t>
        </is>
      </c>
      <c r="G1451">
        <f>custodian!D1451</f>
        <v/>
      </c>
      <c r="H1451">
        <f>BDP($B1451,"ID_ISIN")</f>
        <v/>
      </c>
      <c r="I1451" s="1" t="inlineStr">
        <is>
          <t>SHOP</t>
        </is>
      </c>
      <c r="J1451">
        <f>BDP($B1451,"CNTRY_OF_DOMICILE")</f>
        <v/>
      </c>
      <c r="K1451" t="inlineStr">
        <is>
          <t>EC</t>
        </is>
      </c>
      <c r="L1451" t="inlineStr">
        <is>
          <t>CORP</t>
        </is>
      </c>
      <c r="M1451" t="inlineStr"/>
      <c r="N1451" t="inlineStr"/>
      <c r="O1451" s="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s="1" t="inlineStr"/>
      <c r="AR1451" s="1" t="inlineStr"/>
      <c r="AS1451" s="1" t="inlineStr"/>
      <c r="AT1451" t="inlineStr"/>
      <c r="AU1451" t="inlineStr"/>
      <c r="AV1451" t="inlineStr"/>
      <c r="AW1451" t="inlineStr"/>
      <c r="AX1451" t="inlineStr"/>
      <c r="AY1451" t="inlineStr"/>
    </row>
    <row r="1452">
      <c r="A1452" t="inlineStr">
        <is>
          <t>LATR</t>
        </is>
      </c>
      <c r="B1452" t="inlineStr">
        <is>
          <t>SYF US Equity</t>
        </is>
      </c>
      <c r="C1452" s="1" t="inlineStr">
        <is>
          <t>SYF</t>
        </is>
      </c>
      <c r="D1452" t="inlineStr">
        <is>
          <t>Synchrony Financial</t>
        </is>
      </c>
      <c r="E1452">
        <f>BDP($B1452,"LEGAL_ENTITY_IDENTIFIER")</f>
        <v/>
      </c>
      <c r="F1452" t="inlineStr">
        <is>
          <t>Synchrony Financial</t>
        </is>
      </c>
      <c r="G1452">
        <f>custodian!D1452</f>
        <v/>
      </c>
      <c r="H1452">
        <f>BDP($B1452,"ID_ISIN")</f>
        <v/>
      </c>
      <c r="I1452" s="1" t="inlineStr">
        <is>
          <t>SYF</t>
        </is>
      </c>
      <c r="J1452">
        <f>BDP($B1452,"CNTRY_OF_DOMICILE")</f>
        <v/>
      </c>
      <c r="K1452" t="inlineStr">
        <is>
          <t>EC</t>
        </is>
      </c>
      <c r="L1452" t="inlineStr">
        <is>
          <t>CORP</t>
        </is>
      </c>
      <c r="M1452" t="inlineStr"/>
      <c r="N1452" t="inlineStr"/>
      <c r="O1452" s="1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s="1" t="inlineStr"/>
      <c r="AR1452" s="1" t="inlineStr"/>
      <c r="AS1452" s="1" t="inlineStr"/>
      <c r="AT1452" t="inlineStr"/>
      <c r="AU1452" t="inlineStr"/>
      <c r="AV1452" t="inlineStr"/>
      <c r="AW1452" t="inlineStr"/>
      <c r="AX1452" t="inlineStr"/>
      <c r="AY1452" t="inlineStr"/>
    </row>
    <row r="1453">
      <c r="A1453" t="inlineStr">
        <is>
          <t>LATR</t>
        </is>
      </c>
      <c r="B1453" t="inlineStr">
        <is>
          <t>UPST US Equity</t>
        </is>
      </c>
      <c r="C1453" s="1" t="inlineStr">
        <is>
          <t>UPST</t>
        </is>
      </c>
      <c r="D1453" t="inlineStr">
        <is>
          <t>Upstart Holdings Inc</t>
        </is>
      </c>
      <c r="E1453">
        <f>BDP($B1453,"LEGAL_ENTITY_IDENTIFIER")</f>
        <v/>
      </c>
      <c r="F1453" t="inlineStr">
        <is>
          <t>Upstart Holdings Inc</t>
        </is>
      </c>
      <c r="G1453">
        <f>custodian!D1453</f>
        <v/>
      </c>
      <c r="H1453">
        <f>BDP($B1453,"ID_ISIN")</f>
        <v/>
      </c>
      <c r="I1453" s="1" t="inlineStr">
        <is>
          <t>UPST</t>
        </is>
      </c>
      <c r="J1453">
        <f>BDP($B1453,"CNTRY_OF_DOMICILE")</f>
        <v/>
      </c>
      <c r="K1453" t="inlineStr">
        <is>
          <t>EC</t>
        </is>
      </c>
      <c r="L1453" t="inlineStr">
        <is>
          <t>CORP</t>
        </is>
      </c>
      <c r="M1453" t="inlineStr"/>
      <c r="N1453" t="inlineStr"/>
      <c r="O1453" s="1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s="1" t="inlineStr"/>
      <c r="AR1453" s="1" t="inlineStr"/>
      <c r="AS1453" s="1" t="inlineStr"/>
      <c r="AT1453" t="inlineStr"/>
      <c r="AU1453" t="inlineStr"/>
      <c r="AV1453" t="inlineStr"/>
      <c r="AW1453" t="inlineStr"/>
      <c r="AX1453" t="inlineStr"/>
      <c r="AY1453" t="inlineStr"/>
    </row>
    <row r="1454">
      <c r="A1454" t="inlineStr">
        <is>
          <t>LATR</t>
        </is>
      </c>
      <c r="B1454" t="inlineStr">
        <is>
          <t>V US Equity</t>
        </is>
      </c>
      <c r="C1454" s="1" t="inlineStr">
        <is>
          <t>V</t>
        </is>
      </c>
      <c r="D1454" t="inlineStr">
        <is>
          <t>Visa Inc</t>
        </is>
      </c>
      <c r="E1454">
        <f>BDP($B1454,"LEGAL_ENTITY_IDENTIFIER")</f>
        <v/>
      </c>
      <c r="F1454" t="inlineStr">
        <is>
          <t>Visa Inc</t>
        </is>
      </c>
      <c r="G1454">
        <f>custodian!D1454</f>
        <v/>
      </c>
      <c r="H1454">
        <f>BDP($B1454,"ID_ISIN")</f>
        <v/>
      </c>
      <c r="I1454" s="1" t="inlineStr">
        <is>
          <t>V</t>
        </is>
      </c>
      <c r="J1454">
        <f>BDP($B1454,"CNTRY_OF_DOMICILE")</f>
        <v/>
      </c>
      <c r="K1454" t="inlineStr">
        <is>
          <t>EC</t>
        </is>
      </c>
      <c r="L1454" t="inlineStr">
        <is>
          <t>CORP</t>
        </is>
      </c>
      <c r="M1454" t="inlineStr"/>
      <c r="N1454" t="inlineStr"/>
      <c r="O1454" s="1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s="1" t="inlineStr"/>
      <c r="AR1454" s="1" t="inlineStr"/>
      <c r="AS1454" s="1" t="inlineStr"/>
      <c r="AT1454" t="inlineStr"/>
      <c r="AU1454" t="inlineStr"/>
      <c r="AV1454" t="inlineStr"/>
      <c r="AW1454" t="inlineStr"/>
      <c r="AX1454" t="inlineStr"/>
      <c r="AY1454" t="inlineStr"/>
    </row>
    <row r="1455">
      <c r="A1455" t="inlineStr">
        <is>
          <t>LATR</t>
        </is>
      </c>
      <c r="B1455" t="inlineStr">
        <is>
          <t>XYZ US Equity</t>
        </is>
      </c>
      <c r="C1455" s="1" t="inlineStr">
        <is>
          <t>XYZ</t>
        </is>
      </c>
      <c r="D1455" t="inlineStr">
        <is>
          <t>Block Inc</t>
        </is>
      </c>
      <c r="E1455">
        <f>BDP($B1455,"LEGAL_ENTITY_IDENTIFIER")</f>
        <v/>
      </c>
      <c r="F1455" t="inlineStr">
        <is>
          <t>Block Inc</t>
        </is>
      </c>
      <c r="G1455">
        <f>custodian!D1455</f>
        <v/>
      </c>
      <c r="H1455">
        <f>BDP($B1455,"ID_ISIN")</f>
        <v/>
      </c>
      <c r="I1455" s="1" t="inlineStr">
        <is>
          <t>XYZ</t>
        </is>
      </c>
      <c r="J1455">
        <f>BDP($B1455,"CNTRY_OF_DOMICILE")</f>
        <v/>
      </c>
      <c r="K1455" t="inlineStr">
        <is>
          <t>EC</t>
        </is>
      </c>
      <c r="L1455" t="inlineStr">
        <is>
          <t>CORP</t>
        </is>
      </c>
      <c r="M1455" t="inlineStr"/>
      <c r="N1455" t="inlineStr"/>
      <c r="O1455" s="1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s="1" t="inlineStr"/>
      <c r="AR1455" s="1" t="inlineStr"/>
      <c r="AS1455" s="1" t="inlineStr"/>
      <c r="AT1455" t="inlineStr"/>
      <c r="AU1455" t="inlineStr"/>
      <c r="AV1455" t="inlineStr"/>
      <c r="AW1455" t="inlineStr"/>
      <c r="AX1455" t="inlineStr"/>
      <c r="AY1455" t="inlineStr"/>
    </row>
    <row r="1456">
      <c r="A1456" t="inlineStr">
        <is>
          <t>LATR</t>
        </is>
      </c>
      <c r="B1456" t="inlineStr"/>
      <c r="C1456" s="1" t="inlineStr">
        <is>
          <t>Cash&amp;Other</t>
        </is>
      </c>
      <c r="D1456" t="inlineStr"/>
      <c r="E1456" s="1" t="inlineStr"/>
      <c r="F1456" t="inlineStr"/>
      <c r="G1456">
        <f>custodian!D1456</f>
        <v/>
      </c>
      <c r="H1456" s="1" t="inlineStr"/>
      <c r="I1456" s="1" t="inlineStr"/>
      <c r="J1456" t="inlineStr"/>
      <c r="K1456" t="inlineStr"/>
      <c r="L1456" t="inlineStr"/>
      <c r="M1456" t="inlineStr"/>
      <c r="N1456" t="inlineStr"/>
      <c r="O1456" s="1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s="1" t="inlineStr"/>
      <c r="AR1456" s="1" t="inlineStr"/>
      <c r="AS1456" s="1" t="inlineStr"/>
      <c r="AT1456" t="inlineStr"/>
      <c r="AU1456" t="inlineStr"/>
      <c r="AV1456" t="inlineStr"/>
      <c r="AW1456" t="inlineStr"/>
      <c r="AX1456" t="inlineStr"/>
      <c r="AY1456" t="inlineStr"/>
    </row>
    <row r="1457">
      <c r="A1457" t="inlineStr">
        <is>
          <t>LRNX</t>
        </is>
      </c>
      <c r="B1457" t="inlineStr">
        <is>
          <t>86333M108 Equity</t>
        </is>
      </c>
      <c r="C1457" s="1" t="inlineStr">
        <is>
          <t>86333M108-TRS-12/01/27-L-CANT</t>
        </is>
      </c>
      <c r="D1457" t="inlineStr">
        <is>
          <t>N/A</t>
        </is>
      </c>
      <c r="E1457" s="1" t="inlineStr">
        <is>
          <t>N/A</t>
        </is>
      </c>
      <c r="F1457" t="inlineStr">
        <is>
          <t>STRIDE, INC.-SWAP-CANT-L</t>
        </is>
      </c>
      <c r="G1457">
        <f>custodian!D1457</f>
        <v/>
      </c>
      <c r="H1457" s="1" t="inlineStr"/>
      <c r="I1457" s="1" t="inlineStr">
        <is>
          <t>86333M108-TRS-12/01/27-L-CANT</t>
        </is>
      </c>
      <c r="J1457" t="inlineStr">
        <is>
          <t>US</t>
        </is>
      </c>
      <c r="K1457" t="inlineStr">
        <is>
          <t>DE</t>
        </is>
      </c>
      <c r="L1457" t="inlineStr">
        <is>
          <t>OTHER</t>
        </is>
      </c>
      <c r="M1457" t="inlineStr">
        <is>
          <t>SWP</t>
        </is>
      </c>
      <c r="N1457" t="inlineStr"/>
      <c r="O1457" s="1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otherRefInst</t>
        </is>
      </c>
      <c r="W1457" t="inlineStr"/>
      <c r="X1457" t="inlineStr"/>
      <c r="Y1457" t="inlineStr">
        <is>
          <t>Y</t>
        </is>
      </c>
      <c r="Z1457" t="inlineStr">
        <is>
          <t>2027-12-01</t>
        </is>
      </c>
      <c r="AA1457" t="inlineStr">
        <is>
          <t>522005.55</t>
        </is>
      </c>
      <c r="AB1457" t="inlineStr">
        <is>
          <t>USD</t>
        </is>
      </c>
      <c r="AC1457" t="inlineStr">
        <is>
          <t>10947.52</t>
        </is>
      </c>
      <c r="AD1457" t="inlineStr">
        <is>
          <t>10947.52</t>
        </is>
      </c>
      <c r="AE1457" t="inlineStr">
        <is>
          <t>4.19</t>
        </is>
      </c>
      <c r="AF1457" t="inlineStr"/>
      <c r="AG1457" t="inlineStr"/>
      <c r="AH1457" t="inlineStr">
        <is>
          <t>Floating</t>
        </is>
      </c>
      <c r="AI1457" t="inlineStr"/>
      <c r="AJ1457" t="inlineStr"/>
      <c r="AK1457" t="inlineStr">
        <is>
          <t>522005.55</t>
        </is>
      </c>
      <c r="AL1457" t="inlineStr">
        <is>
          <t>USD</t>
        </is>
      </c>
      <c r="AM1457" t="inlineStr"/>
      <c r="AN1457" t="inlineStr"/>
      <c r="AO1457">
        <f>BDP($B1457,"ISSUER")</f>
        <v/>
      </c>
      <c r="AP1457">
        <f>BDP($B1457,"NAME")</f>
        <v/>
      </c>
      <c r="AQ1457" s="1" t="inlineStr">
        <is>
          <t>86333M108</t>
        </is>
      </c>
      <c r="AR1457">
        <f>BDP($B1457,"ID_ISIN")</f>
        <v/>
      </c>
      <c r="AS1457">
        <f>BDP($B1457,"TICKER")</f>
        <v/>
      </c>
      <c r="AT1457" t="inlineStr"/>
      <c r="AU1457" t="inlineStr"/>
      <c r="AV1457" t="inlineStr"/>
      <c r="AW1457" t="inlineStr"/>
      <c r="AX1457" t="inlineStr"/>
      <c r="AY1457" t="inlineStr"/>
    </row>
    <row r="1458">
      <c r="A1458" t="inlineStr">
        <is>
          <t>LRNX</t>
        </is>
      </c>
      <c r="B1458" t="inlineStr">
        <is>
          <t>FGXXX US Equity</t>
        </is>
      </c>
      <c r="C1458" s="1" t="inlineStr">
        <is>
          <t>FGXXX</t>
        </is>
      </c>
      <c r="D1458" t="inlineStr">
        <is>
          <t>First American Government Obli</t>
        </is>
      </c>
      <c r="E1458">
        <f>BDP($B1458,"LEGAL_ENTITY_IDENTIFIER")</f>
        <v/>
      </c>
      <c r="F1458" t="inlineStr">
        <is>
          <t>First American Government Obligations Fund</t>
        </is>
      </c>
      <c r="G1458">
        <f>custodian!D1458</f>
        <v/>
      </c>
      <c r="H1458">
        <f>BDP($B1458,"ID_ISIN")</f>
        <v/>
      </c>
      <c r="I1458" s="1" t="inlineStr">
        <is>
          <t>FGXXX</t>
        </is>
      </c>
      <c r="J1458">
        <f>BDP($B1458,"CNTRY_OF_DOMICILE")</f>
        <v/>
      </c>
      <c r="K1458" t="inlineStr">
        <is>
          <t>STIV</t>
        </is>
      </c>
      <c r="L1458" t="inlineStr">
        <is>
          <t>RF</t>
        </is>
      </c>
      <c r="M1458" t="inlineStr"/>
      <c r="N1458" t="inlineStr"/>
      <c r="O1458" s="1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s="1" t="inlineStr"/>
      <c r="AR1458" s="1" t="inlineStr"/>
      <c r="AS1458" s="1" t="inlineStr"/>
      <c r="AT1458" t="inlineStr"/>
      <c r="AU1458" t="inlineStr"/>
      <c r="AV1458" t="inlineStr"/>
      <c r="AW1458" t="inlineStr"/>
      <c r="AX1458" t="inlineStr"/>
      <c r="AY1458" t="inlineStr"/>
    </row>
    <row r="1459">
      <c r="A1459" t="inlineStr">
        <is>
          <t>LRNX</t>
        </is>
      </c>
      <c r="B1459" t="inlineStr"/>
      <c r="C1459" s="1" t="inlineStr">
        <is>
          <t>Cash&amp;Other</t>
        </is>
      </c>
      <c r="D1459" t="inlineStr"/>
      <c r="E1459" s="1" t="inlineStr"/>
      <c r="F1459" t="inlineStr"/>
      <c r="G1459">
        <f>custodian!D1459</f>
        <v/>
      </c>
      <c r="H1459" s="1" t="inlineStr"/>
      <c r="I1459" s="1" t="inlineStr"/>
      <c r="J1459" t="inlineStr"/>
      <c r="K1459" t="inlineStr"/>
      <c r="L1459" t="inlineStr"/>
      <c r="M1459" t="inlineStr"/>
      <c r="N1459" t="inlineStr"/>
      <c r="O1459" s="1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s="1" t="inlineStr"/>
      <c r="AR1459" s="1" t="inlineStr"/>
      <c r="AS1459" s="1" t="inlineStr"/>
      <c r="AT1459" t="inlineStr"/>
      <c r="AU1459" t="inlineStr"/>
      <c r="AV1459" t="inlineStr"/>
      <c r="AW1459" t="inlineStr"/>
      <c r="AX1459" t="inlineStr"/>
      <c r="AY1459" t="inlineStr"/>
    </row>
    <row r="1460">
      <c r="A1460" t="inlineStr">
        <is>
          <t>MAYC</t>
        </is>
      </c>
      <c r="B1460" t="inlineStr"/>
      <c r="C1460" s="1" t="inlineStr">
        <is>
          <t>2SPY  270430C00143730</t>
        </is>
      </c>
      <c r="D1460" t="inlineStr">
        <is>
          <t>SPY 04/30/2027 143.73 C</t>
        </is>
      </c>
      <c r="E1460" s="1" t="inlineStr">
        <is>
          <t>N/A</t>
        </is>
      </c>
      <c r="F1460" t="inlineStr">
        <is>
          <t>SPY 04/30/2027 143.73 C</t>
        </is>
      </c>
      <c r="G1460">
        <f>custodian!D1460</f>
        <v/>
      </c>
      <c r="H1460" s="1" t="inlineStr"/>
      <c r="I1460" s="1" t="inlineStr">
        <is>
          <t>SPY-C143.73-20270430</t>
        </is>
      </c>
      <c r="J1460" t="inlineStr">
        <is>
          <t>US</t>
        </is>
      </c>
      <c r="K1460" t="inlineStr">
        <is>
          <t>DE</t>
        </is>
      </c>
      <c r="L1460" t="inlineStr">
        <is>
          <t>CORP</t>
        </is>
      </c>
      <c r="M1460" t="inlineStr">
        <is>
          <t>OPT</t>
        </is>
      </c>
      <c r="N1460" t="inlineStr">
        <is>
          <t>The Options Clearing Corporation</t>
        </is>
      </c>
      <c r="O1460" s="1" t="inlineStr">
        <is>
          <t>549300CII6SLYGKNHA04</t>
        </is>
      </c>
      <c r="P1460" t="inlineStr">
        <is>
          <t>Call</t>
        </is>
      </c>
      <c r="Q1460" t="inlineStr">
        <is>
          <t>Purchased</t>
        </is>
      </c>
      <c r="R1460" t="inlineStr">
        <is>
          <t>143.73</t>
        </is>
      </c>
      <c r="S1460" t="inlineStr">
        <is>
          <t>USD</t>
        </is>
      </c>
      <c r="T1460" t="inlineStr">
        <is>
          <t>2027-04-30</t>
        </is>
      </c>
      <c r="U1460" t="inlineStr">
        <is>
          <t>N/A</t>
        </is>
      </c>
      <c r="V1460" t="inlineStr">
        <is>
          <t>indexBasket</t>
        </is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116673.43</t>
        </is>
      </c>
      <c r="AD1460" t="inlineStr">
        <is>
          <t>3862210.43</t>
        </is>
      </c>
      <c r="AE1460" t="inlineStr">
        <is>
          <t>81.66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s="1" t="inlineStr"/>
      <c r="AR1460" s="1" t="inlineStr"/>
      <c r="AS1460" s="1" t="inlineStr"/>
      <c r="AT1460" t="inlineStr"/>
      <c r="AU1460" t="inlineStr"/>
      <c r="AV1460" t="inlineStr"/>
      <c r="AW1460" t="inlineStr"/>
      <c r="AX1460" t="inlineStr"/>
      <c r="AY1460" t="inlineStr"/>
    </row>
    <row r="1461">
      <c r="A1461" t="inlineStr">
        <is>
          <t>MAYC</t>
        </is>
      </c>
      <c r="B1461" t="inlineStr"/>
      <c r="C1461" s="1" t="inlineStr">
        <is>
          <t>2SPY  270430C00815680</t>
        </is>
      </c>
      <c r="D1461" t="inlineStr">
        <is>
          <t>SPY 04/30/2027 815.68 C</t>
        </is>
      </c>
      <c r="E1461" s="1" t="inlineStr">
        <is>
          <t>N/A</t>
        </is>
      </c>
      <c r="F1461" t="inlineStr">
        <is>
          <t>SPY 04/30/2027 815.68 C</t>
        </is>
      </c>
      <c r="G1461">
        <f>custodian!D1461</f>
        <v/>
      </c>
      <c r="H1461" s="1" t="inlineStr"/>
      <c r="I1461" s="1" t="inlineStr">
        <is>
          <t>SPY-C815.68-20270430</t>
        </is>
      </c>
      <c r="J1461" t="inlineStr">
        <is>
          <t>US</t>
        </is>
      </c>
      <c r="K1461" t="inlineStr">
        <is>
          <t>DE</t>
        </is>
      </c>
      <c r="L1461" t="inlineStr">
        <is>
          <t>CORP</t>
        </is>
      </c>
      <c r="M1461" t="inlineStr">
        <is>
          <t>OPT</t>
        </is>
      </c>
      <c r="N1461" t="inlineStr">
        <is>
          <t>The Options Clearing Corporation</t>
        </is>
      </c>
      <c r="O1461" s="1" t="inlineStr">
        <is>
          <t>549300CII6SLYGKNHA04</t>
        </is>
      </c>
      <c r="P1461" t="inlineStr">
        <is>
          <t>Call</t>
        </is>
      </c>
      <c r="Q1461" t="inlineStr">
        <is>
          <t>Written</t>
        </is>
      </c>
      <c r="R1461" t="inlineStr">
        <is>
          <t>815.68</t>
        </is>
      </c>
      <c r="S1461" t="inlineStr">
        <is>
          <t>USD</t>
        </is>
      </c>
      <c r="T1461" t="inlineStr">
        <is>
          <t>2027-04-30</t>
        </is>
      </c>
      <c r="U1461" t="inlineStr">
        <is>
          <t>N/A</t>
        </is>
      </c>
      <c r="V1461" t="inlineStr">
        <is>
          <t>indexBasket</t>
        </is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-26205.06</t>
        </is>
      </c>
      <c r="AD1461" t="inlineStr">
        <is>
          <t>-129402.06</t>
        </is>
      </c>
      <c r="AE1461" t="inlineStr">
        <is>
          <t>-2.74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s="1" t="inlineStr"/>
      <c r="AR1461" s="1" t="inlineStr"/>
      <c r="AS1461" s="1" t="inlineStr"/>
      <c r="AT1461" t="inlineStr"/>
      <c r="AU1461" t="inlineStr"/>
      <c r="AV1461" t="inlineStr"/>
      <c r="AW1461" t="inlineStr"/>
      <c r="AX1461" t="inlineStr"/>
      <c r="AY1461" t="inlineStr"/>
    </row>
    <row r="1462">
      <c r="A1462" t="inlineStr">
        <is>
          <t>MAYC</t>
        </is>
      </c>
      <c r="B1462" t="inlineStr"/>
      <c r="C1462" s="1" t="inlineStr">
        <is>
          <t>2SPY  270430P00646790</t>
        </is>
      </c>
      <c r="D1462" t="inlineStr">
        <is>
          <t>SPY 04/30/2027 646.79 P</t>
        </is>
      </c>
      <c r="E1462" s="1" t="inlineStr">
        <is>
          <t>N/A</t>
        </is>
      </c>
      <c r="F1462" t="inlineStr">
        <is>
          <t>SPY 04/30/2027 646.79 P</t>
        </is>
      </c>
      <c r="G1462">
        <f>custodian!D1462</f>
        <v/>
      </c>
      <c r="H1462" s="1" t="inlineStr"/>
      <c r="I1462" s="1" t="inlineStr">
        <is>
          <t>SPY-P646.79-20270430</t>
        </is>
      </c>
      <c r="J1462" t="inlineStr">
        <is>
          <t>US</t>
        </is>
      </c>
      <c r="K1462" t="inlineStr">
        <is>
          <t>DE</t>
        </is>
      </c>
      <c r="L1462" t="inlineStr">
        <is>
          <t>CORP</t>
        </is>
      </c>
      <c r="M1462" t="inlineStr">
        <is>
          <t>OPT</t>
        </is>
      </c>
      <c r="N1462" t="inlineStr">
        <is>
          <t>The Options Clearing Corporation</t>
        </is>
      </c>
      <c r="O1462" s="1" t="inlineStr">
        <is>
          <t>549300CII6SLYGKNHA04</t>
        </is>
      </c>
      <c r="P1462" t="inlineStr">
        <is>
          <t>Put</t>
        </is>
      </c>
      <c r="Q1462" t="inlineStr">
        <is>
          <t>Written</t>
        </is>
      </c>
      <c r="R1462" t="inlineStr">
        <is>
          <t>646.79</t>
        </is>
      </c>
      <c r="S1462" t="inlineStr">
        <is>
          <t>USD</t>
        </is>
      </c>
      <c r="T1462" t="inlineStr">
        <is>
          <t>2027-04-30</t>
        </is>
      </c>
      <c r="U1462" t="inlineStr">
        <is>
          <t>N/A</t>
        </is>
      </c>
      <c r="V1462" t="inlineStr">
        <is>
          <t>indexBasket</t>
        </is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19848.89</t>
        </is>
      </c>
      <c r="AD1462" t="inlineStr">
        <is>
          <t>-124239.12</t>
        </is>
      </c>
      <c r="AE1462" t="inlineStr">
        <is>
          <t>-2.63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s="1" t="inlineStr"/>
      <c r="AR1462" s="1" t="inlineStr"/>
      <c r="AS1462" s="1" t="inlineStr"/>
      <c r="AT1462" t="inlineStr"/>
      <c r="AU1462" t="inlineStr"/>
      <c r="AV1462" t="inlineStr"/>
      <c r="AW1462" t="inlineStr"/>
      <c r="AX1462" t="inlineStr"/>
      <c r="AY1462" t="inlineStr"/>
    </row>
    <row r="1463">
      <c r="A1463" t="inlineStr">
        <is>
          <t>MAYC</t>
        </is>
      </c>
      <c r="B1463" t="inlineStr"/>
      <c r="C1463" s="1" t="inlineStr">
        <is>
          <t>2SPY  270430P00718660</t>
        </is>
      </c>
      <c r="D1463" t="inlineStr">
        <is>
          <t>SPY 04/30/2027 718.66 P</t>
        </is>
      </c>
      <c r="E1463" s="1" t="inlineStr">
        <is>
          <t>N/A</t>
        </is>
      </c>
      <c r="F1463" t="inlineStr">
        <is>
          <t>SPY 04/30/2027 718.66 P</t>
        </is>
      </c>
      <c r="G1463">
        <f>custodian!D1463</f>
        <v/>
      </c>
      <c r="H1463" s="1" t="inlineStr"/>
      <c r="I1463" s="1" t="inlineStr">
        <is>
          <t>SPY-P718.66-20270430</t>
        </is>
      </c>
      <c r="J1463" t="inlineStr">
        <is>
          <t>US</t>
        </is>
      </c>
      <c r="K1463" t="inlineStr">
        <is>
          <t>DE</t>
        </is>
      </c>
      <c r="L1463" t="inlineStr">
        <is>
          <t>CORP</t>
        </is>
      </c>
      <c r="M1463" t="inlineStr">
        <is>
          <t>OPT</t>
        </is>
      </c>
      <c r="N1463" t="inlineStr">
        <is>
          <t>The Options Clearing Corporation</t>
        </is>
      </c>
      <c r="O1463" s="1" t="inlineStr">
        <is>
          <t>549300CII6SLYGKNHA04</t>
        </is>
      </c>
      <c r="P1463" t="inlineStr">
        <is>
          <t>Put</t>
        </is>
      </c>
      <c r="Q1463" t="inlineStr">
        <is>
          <t>Purchased</t>
        </is>
      </c>
      <c r="R1463" t="inlineStr">
        <is>
          <t>718.66</t>
        </is>
      </c>
      <c r="S1463" t="inlineStr">
        <is>
          <t>USD</t>
        </is>
      </c>
      <c r="T1463" t="inlineStr">
        <is>
          <t>2027-04-30</t>
        </is>
      </c>
      <c r="U1463" t="inlineStr">
        <is>
          <t>N/A</t>
        </is>
      </c>
      <c r="V1463" t="inlineStr">
        <is>
          <t>indexBasket</t>
        </is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1774.13</t>
        </is>
      </c>
      <c r="AD1463" t="inlineStr">
        <is>
          <t>219550.13</t>
        </is>
      </c>
      <c r="AE1463" t="inlineStr">
        <is>
          <t>4.64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s="1" t="inlineStr"/>
      <c r="AR1463" s="1" t="inlineStr"/>
      <c r="AS1463" s="1" t="inlineStr"/>
      <c r="AT1463" t="inlineStr"/>
      <c r="AU1463" t="inlineStr"/>
      <c r="AV1463" t="inlineStr"/>
      <c r="AW1463" t="inlineStr"/>
      <c r="AX1463" t="inlineStr"/>
      <c r="AY1463" t="inlineStr"/>
    </row>
    <row r="1464">
      <c r="A1464" t="inlineStr">
        <is>
          <t>MAYC</t>
        </is>
      </c>
      <c r="B1464" t="inlineStr">
        <is>
          <t>912828ZN3 Govt</t>
        </is>
      </c>
      <c r="C1464" s="1" t="inlineStr">
        <is>
          <t>912828ZN3</t>
        </is>
      </c>
      <c r="D1464" t="inlineStr">
        <is>
          <t>United States Treasury Note/Bo</t>
        </is>
      </c>
      <c r="E1464">
        <f>BDP($B1464,"LEGAL_ENTITY_IDENTIFIER")</f>
        <v/>
      </c>
      <c r="F1464" t="inlineStr">
        <is>
          <t>United States Treasury Note/Bond 0.5% 04/30/2027</t>
        </is>
      </c>
      <c r="G1464">
        <f>custodian!D1464</f>
        <v/>
      </c>
      <c r="H1464">
        <f>BDP($B1464,"ID_ISIN")</f>
        <v/>
      </c>
      <c r="I1464" s="1" t="inlineStr"/>
      <c r="J1464">
        <f>BDP($B1464,"CNTRY_OF_DOMICILE")</f>
        <v/>
      </c>
      <c r="K1464" t="inlineStr">
        <is>
          <t>DBT</t>
        </is>
      </c>
      <c r="L1464" t="inlineStr">
        <is>
          <t>UST</t>
        </is>
      </c>
      <c r="M1464" t="inlineStr"/>
      <c r="N1464" t="inlineStr"/>
      <c r="O1464" s="1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s="1" t="inlineStr"/>
      <c r="AR1464" s="1" t="inlineStr"/>
      <c r="AS1464" s="1" t="inlineStr"/>
      <c r="AT1464">
        <f>TEXT(BDP($B1464,"MATURITY"),"yyyy-mm-dd")</f>
        <v/>
      </c>
      <c r="AU1464">
        <f>BDP($B1464,"CPN_TYP")</f>
        <v/>
      </c>
      <c r="AV1464">
        <f>BDP($B1464,"CPN")</f>
        <v/>
      </c>
      <c r="AW1464" t="inlineStr"/>
      <c r="AX1464" t="inlineStr"/>
      <c r="AY1464" t="inlineStr"/>
    </row>
    <row r="1465">
      <c r="A1465" t="inlineStr">
        <is>
          <t>MAYC</t>
        </is>
      </c>
      <c r="B1465" t="inlineStr">
        <is>
          <t>FGXXX US Equity</t>
        </is>
      </c>
      <c r="C1465" s="1" t="inlineStr">
        <is>
          <t>FGXXX</t>
        </is>
      </c>
      <c r="D1465" t="inlineStr">
        <is>
          <t>First American Government Obli</t>
        </is>
      </c>
      <c r="E1465">
        <f>BDP($B1465,"LEGAL_ENTITY_IDENTIFIER")</f>
        <v/>
      </c>
      <c r="F1465" t="inlineStr">
        <is>
          <t>First American Government Obligations Fund</t>
        </is>
      </c>
      <c r="G1465">
        <f>custodian!D1465</f>
        <v/>
      </c>
      <c r="H1465">
        <f>BDP($B1465,"ID_ISIN")</f>
        <v/>
      </c>
      <c r="I1465" s="1" t="inlineStr">
        <is>
          <t>FGXXX</t>
        </is>
      </c>
      <c r="J1465">
        <f>BDP($B1465,"CNTRY_OF_DOMICILE")</f>
        <v/>
      </c>
      <c r="K1465" t="inlineStr">
        <is>
          <t>STIV</t>
        </is>
      </c>
      <c r="L1465" t="inlineStr">
        <is>
          <t>RF</t>
        </is>
      </c>
      <c r="M1465" t="inlineStr"/>
      <c r="N1465" t="inlineStr"/>
      <c r="O1465" s="1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s="1" t="inlineStr"/>
      <c r="AR1465" s="1" t="inlineStr"/>
      <c r="AS1465" s="1" t="inlineStr"/>
      <c r="AT1465" t="inlineStr"/>
      <c r="AU1465" t="inlineStr"/>
      <c r="AV1465" t="inlineStr"/>
      <c r="AW1465" t="inlineStr"/>
      <c r="AX1465" t="inlineStr"/>
      <c r="AY1465" t="inlineStr"/>
    </row>
    <row r="1466">
      <c r="A1466" t="inlineStr">
        <is>
          <t>MAYC</t>
        </is>
      </c>
      <c r="B1466" t="inlineStr"/>
      <c r="C1466" s="1" t="inlineStr">
        <is>
          <t>Cash&amp;Other</t>
        </is>
      </c>
      <c r="D1466" t="inlineStr"/>
      <c r="E1466" s="1" t="inlineStr"/>
      <c r="F1466" t="inlineStr"/>
      <c r="G1466">
        <f>custodian!D1466</f>
        <v/>
      </c>
      <c r="H1466" s="1" t="inlineStr"/>
      <c r="I1466" s="1" t="inlineStr"/>
      <c r="J1466" t="inlineStr"/>
      <c r="K1466" t="inlineStr"/>
      <c r="L1466" t="inlineStr"/>
      <c r="M1466" t="inlineStr"/>
      <c r="N1466" t="inlineStr"/>
      <c r="O1466" s="1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s="1" t="inlineStr"/>
      <c r="AR1466" s="1" t="inlineStr"/>
      <c r="AS1466" s="1" t="inlineStr"/>
      <c r="AT1466" t="inlineStr"/>
      <c r="AU1466" t="inlineStr"/>
      <c r="AV1466" t="inlineStr"/>
      <c r="AW1466" t="inlineStr"/>
      <c r="AX1466" t="inlineStr"/>
      <c r="AY1466" t="inlineStr"/>
    </row>
    <row r="1467">
      <c r="A1467" t="inlineStr">
        <is>
          <t>MGKX</t>
        </is>
      </c>
      <c r="B1467" t="inlineStr">
        <is>
          <t>921910816 Equity</t>
        </is>
      </c>
      <c r="C1467" s="1" t="inlineStr">
        <is>
          <t>921910816-TRS-07/05/27-L-MREX</t>
        </is>
      </c>
      <c r="D1467" t="inlineStr">
        <is>
          <t>N/A</t>
        </is>
      </c>
      <c r="E1467" s="1" t="inlineStr">
        <is>
          <t>N/A</t>
        </is>
      </c>
      <c r="F1467" t="inlineStr">
        <is>
          <t>VANGUARD MEGA CAP GROWTH INDEX FUND-SWAP-MREX-L</t>
        </is>
      </c>
      <c r="G1467">
        <f>custodian!D1467</f>
        <v/>
      </c>
      <c r="H1467" s="1" t="inlineStr"/>
      <c r="I1467" s="1" t="inlineStr">
        <is>
          <t>921910816-TRS-07/05/27-L-MREX</t>
        </is>
      </c>
      <c r="J1467" t="inlineStr">
        <is>
          <t>US</t>
        </is>
      </c>
      <c r="K1467" t="inlineStr">
        <is>
          <t>DE</t>
        </is>
      </c>
      <c r="L1467" t="inlineStr">
        <is>
          <t>OTHER</t>
        </is>
      </c>
      <c r="M1467" t="inlineStr">
        <is>
          <t>SWP</t>
        </is>
      </c>
      <c r="N1467" t="inlineStr"/>
      <c r="O1467" s="1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otherRefInst</t>
        </is>
      </c>
      <c r="W1467" t="inlineStr"/>
      <c r="X1467" t="inlineStr"/>
      <c r="Y1467" t="inlineStr">
        <is>
          <t>Y</t>
        </is>
      </c>
      <c r="Z1467" t="inlineStr">
        <is>
          <t>2027-07-05</t>
        </is>
      </c>
      <c r="AA1467" t="inlineStr">
        <is>
          <t>637827.84</t>
        </is>
      </c>
      <c r="AB1467" t="inlineStr">
        <is>
          <t>USD</t>
        </is>
      </c>
      <c r="AC1467" t="inlineStr">
        <is>
          <t>-41728.19</t>
        </is>
      </c>
      <c r="AD1467" t="inlineStr">
        <is>
          <t>-41728.19</t>
        </is>
      </c>
      <c r="AE1467" t="inlineStr">
        <is>
          <t>-13.07</t>
        </is>
      </c>
      <c r="AF1467" t="inlineStr"/>
      <c r="AG1467" t="inlineStr"/>
      <c r="AH1467" t="inlineStr">
        <is>
          <t>Floating</t>
        </is>
      </c>
      <c r="AI1467" t="inlineStr"/>
      <c r="AJ1467" t="inlineStr"/>
      <c r="AK1467" t="inlineStr">
        <is>
          <t>637827.84</t>
        </is>
      </c>
      <c r="AL1467" t="inlineStr">
        <is>
          <t>USD</t>
        </is>
      </c>
      <c r="AM1467" t="inlineStr"/>
      <c r="AN1467" t="inlineStr"/>
      <c r="AO1467">
        <f>BDP($B1467,"ISSUER")</f>
        <v/>
      </c>
      <c r="AP1467">
        <f>BDP($B1467,"NAME")</f>
        <v/>
      </c>
      <c r="AQ1467" s="1" t="inlineStr">
        <is>
          <t>921910816</t>
        </is>
      </c>
      <c r="AR1467">
        <f>BDP($B1467,"ID_ISIN")</f>
        <v/>
      </c>
      <c r="AS1467">
        <f>BDP($B1467,"TICKER")</f>
        <v/>
      </c>
      <c r="AT1467" t="inlineStr"/>
      <c r="AU1467" t="inlineStr"/>
      <c r="AV1467" t="inlineStr"/>
      <c r="AW1467" t="inlineStr"/>
      <c r="AX1467" t="inlineStr"/>
      <c r="AY1467" t="inlineStr"/>
    </row>
    <row r="1468">
      <c r="A1468" t="inlineStr">
        <is>
          <t>MGKX</t>
        </is>
      </c>
      <c r="B1468" t="inlineStr">
        <is>
          <t>FGXXX US Equity</t>
        </is>
      </c>
      <c r="C1468" s="1" t="inlineStr">
        <is>
          <t>FGXXX</t>
        </is>
      </c>
      <c r="D1468" t="inlineStr">
        <is>
          <t>First American Government Obli</t>
        </is>
      </c>
      <c r="E1468">
        <f>BDP($B1468,"LEGAL_ENTITY_IDENTIFIER")</f>
        <v/>
      </c>
      <c r="F1468" t="inlineStr">
        <is>
          <t>First American Government Obligations Fund</t>
        </is>
      </c>
      <c r="G1468">
        <f>custodian!D1468</f>
        <v/>
      </c>
      <c r="H1468">
        <f>BDP($B1468,"ID_ISIN")</f>
        <v/>
      </c>
      <c r="I1468" s="1" t="inlineStr">
        <is>
          <t>FGXXX</t>
        </is>
      </c>
      <c r="J1468">
        <f>BDP($B1468,"CNTRY_OF_DOMICILE")</f>
        <v/>
      </c>
      <c r="K1468" t="inlineStr">
        <is>
          <t>STIV</t>
        </is>
      </c>
      <c r="L1468" t="inlineStr">
        <is>
          <t>RF</t>
        </is>
      </c>
      <c r="M1468" t="inlineStr"/>
      <c r="N1468" t="inlineStr"/>
      <c r="O1468" s="1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s="1" t="inlineStr"/>
      <c r="AR1468" s="1" t="inlineStr"/>
      <c r="AS1468" s="1" t="inlineStr"/>
      <c r="AT1468" t="inlineStr"/>
      <c r="AU1468" t="inlineStr"/>
      <c r="AV1468" t="inlineStr"/>
      <c r="AW1468" t="inlineStr"/>
      <c r="AX1468" t="inlineStr"/>
      <c r="AY1468" t="inlineStr"/>
    </row>
    <row r="1469">
      <c r="A1469" t="inlineStr">
        <is>
          <t>MGKX</t>
        </is>
      </c>
      <c r="B1469" t="inlineStr"/>
      <c r="C1469" s="1" t="inlineStr">
        <is>
          <t>Cash&amp;Other</t>
        </is>
      </c>
      <c r="D1469" t="inlineStr"/>
      <c r="E1469" s="1" t="inlineStr"/>
      <c r="F1469" t="inlineStr"/>
      <c r="G1469">
        <f>custodian!D1469</f>
        <v/>
      </c>
      <c r="H1469" s="1" t="inlineStr"/>
      <c r="I1469" s="1" t="inlineStr"/>
      <c r="J1469" t="inlineStr"/>
      <c r="K1469" t="inlineStr"/>
      <c r="L1469" t="inlineStr"/>
      <c r="M1469" t="inlineStr"/>
      <c r="N1469" t="inlineStr"/>
      <c r="O1469" s="1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s="1" t="inlineStr"/>
      <c r="AR1469" s="1" t="inlineStr"/>
      <c r="AS1469" s="1" t="inlineStr"/>
      <c r="AT1469" t="inlineStr"/>
      <c r="AU1469" t="inlineStr"/>
      <c r="AV1469" t="inlineStr"/>
      <c r="AW1469" t="inlineStr"/>
      <c r="AX1469" t="inlineStr"/>
      <c r="AY1469" t="inlineStr"/>
    </row>
    <row r="1470">
      <c r="A1470" t="inlineStr">
        <is>
          <t>MNSX</t>
        </is>
      </c>
      <c r="B1470" t="inlineStr">
        <is>
          <t>61174X109 Equity</t>
        </is>
      </c>
      <c r="C1470" s="1" t="inlineStr">
        <is>
          <t>61174X109-TRS-12/01/27-L-CANT</t>
        </is>
      </c>
      <c r="D1470" t="inlineStr">
        <is>
          <t>N/A</t>
        </is>
      </c>
      <c r="E1470" s="1" t="inlineStr">
        <is>
          <t>N/A</t>
        </is>
      </c>
      <c r="F1470" t="inlineStr">
        <is>
          <t>MONSTER BEVERAGE CORPORATION-SWAP-CANT-L</t>
        </is>
      </c>
      <c r="G1470">
        <f>custodian!D1470</f>
        <v/>
      </c>
      <c r="H1470" s="1" t="inlineStr"/>
      <c r="I1470" s="1" t="inlineStr">
        <is>
          <t>61174X109-TRS-12/01/27-L-CANT</t>
        </is>
      </c>
      <c r="J1470" t="inlineStr">
        <is>
          <t>US</t>
        </is>
      </c>
      <c r="K1470" t="inlineStr">
        <is>
          <t>DE</t>
        </is>
      </c>
      <c r="L1470" t="inlineStr">
        <is>
          <t>OTHER</t>
        </is>
      </c>
      <c r="M1470" t="inlineStr">
        <is>
          <t>SWP</t>
        </is>
      </c>
      <c r="N1470" t="inlineStr"/>
      <c r="O1470" s="1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otherRefInst</t>
        </is>
      </c>
      <c r="W1470" t="inlineStr"/>
      <c r="X1470" t="inlineStr"/>
      <c r="Y1470" t="inlineStr">
        <is>
          <t>Y</t>
        </is>
      </c>
      <c r="Z1470" t="inlineStr">
        <is>
          <t>2027-12-01</t>
        </is>
      </c>
      <c r="AA1470" t="inlineStr">
        <is>
          <t>510433.00</t>
        </is>
      </c>
      <c r="AB1470" t="inlineStr">
        <is>
          <t>USD</t>
        </is>
      </c>
      <c r="AC1470" t="inlineStr">
        <is>
          <t>5290.37</t>
        </is>
      </c>
      <c r="AD1470" t="inlineStr">
        <is>
          <t>5290.37</t>
        </is>
      </c>
      <c r="AE1470" t="inlineStr">
        <is>
          <t>2.07</t>
        </is>
      </c>
      <c r="AF1470" t="inlineStr"/>
      <c r="AG1470" t="inlineStr"/>
      <c r="AH1470" t="inlineStr">
        <is>
          <t>Floating</t>
        </is>
      </c>
      <c r="AI1470" t="inlineStr"/>
      <c r="AJ1470" t="inlineStr"/>
      <c r="AK1470" t="inlineStr">
        <is>
          <t>510433.00</t>
        </is>
      </c>
      <c r="AL1470" t="inlineStr">
        <is>
          <t>USD</t>
        </is>
      </c>
      <c r="AM1470" t="inlineStr"/>
      <c r="AN1470" t="inlineStr"/>
      <c r="AO1470">
        <f>BDP($B1470,"ISSUER")</f>
        <v/>
      </c>
      <c r="AP1470">
        <f>BDP($B1470,"NAME")</f>
        <v/>
      </c>
      <c r="AQ1470" s="1" t="inlineStr">
        <is>
          <t>61174X109</t>
        </is>
      </c>
      <c r="AR1470">
        <f>BDP($B1470,"ID_ISIN")</f>
        <v/>
      </c>
      <c r="AS1470">
        <f>BDP($B1470,"TICKER")</f>
        <v/>
      </c>
      <c r="AT1470" t="inlineStr"/>
      <c r="AU1470" t="inlineStr"/>
      <c r="AV1470" t="inlineStr"/>
      <c r="AW1470" t="inlineStr"/>
      <c r="AX1470" t="inlineStr"/>
      <c r="AY1470" t="inlineStr"/>
    </row>
    <row r="1471">
      <c r="A1471" t="inlineStr">
        <is>
          <t>MNSX</t>
        </is>
      </c>
      <c r="B1471" t="inlineStr">
        <is>
          <t>FGXXX US Equity</t>
        </is>
      </c>
      <c r="C1471" s="1" t="inlineStr">
        <is>
          <t>FGXXX</t>
        </is>
      </c>
      <c r="D1471" t="inlineStr">
        <is>
          <t>First American Government Obli</t>
        </is>
      </c>
      <c r="E1471">
        <f>BDP($B1471,"LEGAL_ENTITY_IDENTIFIER")</f>
        <v/>
      </c>
      <c r="F1471" t="inlineStr">
        <is>
          <t>First American Government Obligations Fund</t>
        </is>
      </c>
      <c r="G1471">
        <f>custodian!D1471</f>
        <v/>
      </c>
      <c r="H1471">
        <f>BDP($B1471,"ID_ISIN")</f>
        <v/>
      </c>
      <c r="I1471" s="1" t="inlineStr">
        <is>
          <t>FGXXX</t>
        </is>
      </c>
      <c r="J1471">
        <f>BDP($B1471,"CNTRY_OF_DOMICILE")</f>
        <v/>
      </c>
      <c r="K1471" t="inlineStr">
        <is>
          <t>STIV</t>
        </is>
      </c>
      <c r="L1471" t="inlineStr">
        <is>
          <t>RF</t>
        </is>
      </c>
      <c r="M1471" t="inlineStr"/>
      <c r="N1471" t="inlineStr"/>
      <c r="O1471" s="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s="1" t="inlineStr"/>
      <c r="AR1471" s="1" t="inlineStr"/>
      <c r="AS1471" s="1" t="inlineStr"/>
      <c r="AT1471" t="inlineStr"/>
      <c r="AU1471" t="inlineStr"/>
      <c r="AV1471" t="inlineStr"/>
      <c r="AW1471" t="inlineStr"/>
      <c r="AX1471" t="inlineStr"/>
      <c r="AY1471" t="inlineStr"/>
    </row>
    <row r="1472">
      <c r="A1472" t="inlineStr">
        <is>
          <t>MNSX</t>
        </is>
      </c>
      <c r="B1472" t="inlineStr"/>
      <c r="C1472" s="1" t="inlineStr">
        <is>
          <t>Cash&amp;Other</t>
        </is>
      </c>
      <c r="D1472" t="inlineStr"/>
      <c r="E1472" s="1" t="inlineStr"/>
      <c r="F1472" t="inlineStr"/>
      <c r="G1472">
        <f>custodian!D1472</f>
        <v/>
      </c>
      <c r="H1472" s="1" t="inlineStr"/>
      <c r="I1472" s="1" t="inlineStr"/>
      <c r="J1472" t="inlineStr"/>
      <c r="K1472" t="inlineStr"/>
      <c r="L1472" t="inlineStr"/>
      <c r="M1472" t="inlineStr"/>
      <c r="N1472" t="inlineStr"/>
      <c r="O1472" s="1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s="1" t="inlineStr"/>
      <c r="AR1472" s="1" t="inlineStr"/>
      <c r="AS1472" s="1" t="inlineStr"/>
      <c r="AT1472" t="inlineStr"/>
      <c r="AU1472" t="inlineStr"/>
      <c r="AV1472" t="inlineStr"/>
      <c r="AW1472" t="inlineStr"/>
      <c r="AX1472" t="inlineStr"/>
      <c r="AY1472" t="inlineStr"/>
    </row>
    <row r="1473">
      <c r="A1473" t="inlineStr">
        <is>
          <t>MSIX</t>
        </is>
      </c>
      <c r="B1473" t="inlineStr">
        <is>
          <t>620076307 Equity</t>
        </is>
      </c>
      <c r="C1473" s="1" t="inlineStr">
        <is>
          <t>620076307-TRS-12/01/27-L-CANT</t>
        </is>
      </c>
      <c r="D1473" t="inlineStr">
        <is>
          <t>N/A</t>
        </is>
      </c>
      <c r="E1473" s="1" t="inlineStr">
        <is>
          <t>N/A</t>
        </is>
      </c>
      <c r="F1473" t="inlineStr">
        <is>
          <t>MOTOROLA SOLUTIONS, INC.-SWAP-CANT-L</t>
        </is>
      </c>
      <c r="G1473">
        <f>custodian!D1473</f>
        <v/>
      </c>
      <c r="H1473" s="1" t="inlineStr"/>
      <c r="I1473" s="1" t="inlineStr">
        <is>
          <t>620076307-TRS-12/01/27-L-CANT</t>
        </is>
      </c>
      <c r="J1473" t="inlineStr">
        <is>
          <t>US</t>
        </is>
      </c>
      <c r="K1473" t="inlineStr">
        <is>
          <t>DE</t>
        </is>
      </c>
      <c r="L1473" t="inlineStr">
        <is>
          <t>OTHER</t>
        </is>
      </c>
      <c r="M1473" t="inlineStr">
        <is>
          <t>SWP</t>
        </is>
      </c>
      <c r="N1473" t="inlineStr"/>
      <c r="O1473" s="1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otherRefInst</t>
        </is>
      </c>
      <c r="W1473" t="inlineStr"/>
      <c r="X1473" t="inlineStr"/>
      <c r="Y1473" t="inlineStr">
        <is>
          <t>Y</t>
        </is>
      </c>
      <c r="Z1473" t="inlineStr">
        <is>
          <t>2027-12-01</t>
        </is>
      </c>
      <c r="AA1473" t="inlineStr">
        <is>
          <t>531195.60</t>
        </is>
      </c>
      <c r="AB1473" t="inlineStr">
        <is>
          <t>USD</t>
        </is>
      </c>
      <c r="AC1473" t="inlineStr">
        <is>
          <t>14174.02</t>
        </is>
      </c>
      <c r="AD1473" t="inlineStr">
        <is>
          <t>14174.02</t>
        </is>
      </c>
      <c r="AE1473" t="inlineStr">
        <is>
          <t>5.36</t>
        </is>
      </c>
      <c r="AF1473" t="inlineStr"/>
      <c r="AG1473" t="inlineStr"/>
      <c r="AH1473" t="inlineStr">
        <is>
          <t>Floating</t>
        </is>
      </c>
      <c r="AI1473" t="inlineStr"/>
      <c r="AJ1473" t="inlineStr"/>
      <c r="AK1473" t="inlineStr">
        <is>
          <t>531195.60</t>
        </is>
      </c>
      <c r="AL1473" t="inlineStr">
        <is>
          <t>USD</t>
        </is>
      </c>
      <c r="AM1473" t="inlineStr"/>
      <c r="AN1473" t="inlineStr"/>
      <c r="AO1473">
        <f>BDP($B1473,"ISSUER")</f>
        <v/>
      </c>
      <c r="AP1473">
        <f>BDP($B1473,"NAME")</f>
        <v/>
      </c>
      <c r="AQ1473" s="1" t="inlineStr">
        <is>
          <t>620076307</t>
        </is>
      </c>
      <c r="AR1473">
        <f>BDP($B1473,"ID_ISIN")</f>
        <v/>
      </c>
      <c r="AS1473">
        <f>BDP($B1473,"TICKER")</f>
        <v/>
      </c>
      <c r="AT1473" t="inlineStr"/>
      <c r="AU1473" t="inlineStr"/>
      <c r="AV1473" t="inlineStr"/>
      <c r="AW1473" t="inlineStr"/>
      <c r="AX1473" t="inlineStr"/>
      <c r="AY1473" t="inlineStr"/>
    </row>
    <row r="1474">
      <c r="A1474" t="inlineStr">
        <is>
          <t>MSIX</t>
        </is>
      </c>
      <c r="B1474" t="inlineStr">
        <is>
          <t>FGXXX US Equity</t>
        </is>
      </c>
      <c r="C1474" s="1" t="inlineStr">
        <is>
          <t>FGXXX</t>
        </is>
      </c>
      <c r="D1474" t="inlineStr">
        <is>
          <t>First American Government Obli</t>
        </is>
      </c>
      <c r="E1474">
        <f>BDP($B1474,"LEGAL_ENTITY_IDENTIFIER")</f>
        <v/>
      </c>
      <c r="F1474" t="inlineStr">
        <is>
          <t>First American Government Obligations Fund</t>
        </is>
      </c>
      <c r="G1474">
        <f>custodian!D1474</f>
        <v/>
      </c>
      <c r="H1474">
        <f>BDP($B1474,"ID_ISIN")</f>
        <v/>
      </c>
      <c r="I1474" s="1" t="inlineStr">
        <is>
          <t>FGXXX</t>
        </is>
      </c>
      <c r="J1474">
        <f>BDP($B1474,"CNTRY_OF_DOMICILE")</f>
        <v/>
      </c>
      <c r="K1474" t="inlineStr">
        <is>
          <t>STIV</t>
        </is>
      </c>
      <c r="L1474" t="inlineStr">
        <is>
          <t>RF</t>
        </is>
      </c>
      <c r="M1474" t="inlineStr"/>
      <c r="N1474" t="inlineStr"/>
      <c r="O1474" s="1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s="1" t="inlineStr"/>
      <c r="AR1474" s="1" t="inlineStr"/>
      <c r="AS1474" s="1" t="inlineStr"/>
      <c r="AT1474" t="inlineStr"/>
      <c r="AU1474" t="inlineStr"/>
      <c r="AV1474" t="inlineStr"/>
      <c r="AW1474" t="inlineStr"/>
      <c r="AX1474" t="inlineStr"/>
      <c r="AY1474" t="inlineStr"/>
    </row>
    <row r="1475">
      <c r="A1475" t="inlineStr">
        <is>
          <t>MSIX</t>
        </is>
      </c>
      <c r="B1475" t="inlineStr"/>
      <c r="C1475" s="1" t="inlineStr">
        <is>
          <t>Cash&amp;Other</t>
        </is>
      </c>
      <c r="D1475" t="inlineStr"/>
      <c r="E1475" s="1" t="inlineStr"/>
      <c r="F1475" t="inlineStr"/>
      <c r="G1475">
        <f>custodian!D1475</f>
        <v/>
      </c>
      <c r="H1475" s="1" t="inlineStr"/>
      <c r="I1475" s="1" t="inlineStr"/>
      <c r="J1475" t="inlineStr"/>
      <c r="K1475" t="inlineStr"/>
      <c r="L1475" t="inlineStr"/>
      <c r="M1475" t="inlineStr"/>
      <c r="N1475" t="inlineStr"/>
      <c r="O1475" s="1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s="1" t="inlineStr"/>
      <c r="AR1475" s="1" t="inlineStr"/>
      <c r="AS1475" s="1" t="inlineStr"/>
      <c r="AT1475" t="inlineStr"/>
      <c r="AU1475" t="inlineStr"/>
      <c r="AV1475" t="inlineStr"/>
      <c r="AW1475" t="inlineStr"/>
      <c r="AX1475" t="inlineStr"/>
      <c r="AY1475" t="inlineStr"/>
    </row>
    <row r="1476">
      <c r="A1476" t="inlineStr">
        <is>
          <t>NYNY</t>
        </is>
      </c>
      <c r="B1476" t="inlineStr">
        <is>
          <t>AIG US Equity</t>
        </is>
      </c>
      <c r="C1476" s="1" t="inlineStr">
        <is>
          <t>AIG</t>
        </is>
      </c>
      <c r="D1476" t="inlineStr">
        <is>
          <t>American International Group I</t>
        </is>
      </c>
      <c r="E1476">
        <f>BDP($B1476,"LEGAL_ENTITY_IDENTIFIER")</f>
        <v/>
      </c>
      <c r="F1476" t="inlineStr">
        <is>
          <t>American International Group Inc</t>
        </is>
      </c>
      <c r="G1476">
        <f>custodian!D1476</f>
        <v/>
      </c>
      <c r="H1476">
        <f>BDP($B1476,"ID_ISIN")</f>
        <v/>
      </c>
      <c r="I1476" s="1" t="inlineStr">
        <is>
          <t>AIG</t>
        </is>
      </c>
      <c r="J1476">
        <f>BDP($B1476,"CNTRY_OF_DOMICILE")</f>
        <v/>
      </c>
      <c r="K1476" t="inlineStr">
        <is>
          <t>EC</t>
        </is>
      </c>
      <c r="L1476" t="inlineStr">
        <is>
          <t>CORP</t>
        </is>
      </c>
      <c r="M1476" t="inlineStr"/>
      <c r="N1476" t="inlineStr"/>
      <c r="O1476" s="1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s="1" t="inlineStr"/>
      <c r="AR1476" s="1" t="inlineStr"/>
      <c r="AS1476" s="1" t="inlineStr"/>
      <c r="AT1476" t="inlineStr"/>
      <c r="AU1476" t="inlineStr"/>
      <c r="AV1476" t="inlineStr"/>
      <c r="AW1476" t="inlineStr"/>
      <c r="AX1476" t="inlineStr"/>
      <c r="AY1476" t="inlineStr"/>
    </row>
    <row r="1477">
      <c r="A1477" t="inlineStr">
        <is>
          <t>NYNY</t>
        </is>
      </c>
      <c r="B1477" t="inlineStr">
        <is>
          <t>AIZ US Equity</t>
        </is>
      </c>
      <c r="C1477" s="1" t="inlineStr">
        <is>
          <t>AIZ</t>
        </is>
      </c>
      <c r="D1477" t="inlineStr">
        <is>
          <t>Assurant Inc</t>
        </is>
      </c>
      <c r="E1477">
        <f>BDP($B1477,"LEGAL_ENTITY_IDENTIFIER")</f>
        <v/>
      </c>
      <c r="F1477" t="inlineStr">
        <is>
          <t>Assurant Inc</t>
        </is>
      </c>
      <c r="G1477">
        <f>custodian!D1477</f>
        <v/>
      </c>
      <c r="H1477">
        <f>BDP($B1477,"ID_ISIN")</f>
        <v/>
      </c>
      <c r="I1477" s="1" t="inlineStr">
        <is>
          <t>AIZ</t>
        </is>
      </c>
      <c r="J1477">
        <f>BDP($B1477,"CNTRY_OF_DOMICILE")</f>
        <v/>
      </c>
      <c r="K1477" t="inlineStr">
        <is>
          <t>EC</t>
        </is>
      </c>
      <c r="L1477" t="inlineStr">
        <is>
          <t>CORP</t>
        </is>
      </c>
      <c r="M1477" t="inlineStr"/>
      <c r="N1477" t="inlineStr"/>
      <c r="O1477" s="1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s="1" t="inlineStr"/>
      <c r="AR1477" s="1" t="inlineStr"/>
      <c r="AS1477" s="1" t="inlineStr"/>
      <c r="AT1477" t="inlineStr"/>
      <c r="AU1477" t="inlineStr"/>
      <c r="AV1477" t="inlineStr"/>
      <c r="AW1477" t="inlineStr"/>
      <c r="AX1477" t="inlineStr"/>
      <c r="AY1477" t="inlineStr"/>
    </row>
    <row r="1478">
      <c r="A1478" t="inlineStr">
        <is>
          <t>NYNY</t>
        </is>
      </c>
      <c r="B1478" t="inlineStr">
        <is>
          <t>APO US Equity</t>
        </is>
      </c>
      <c r="C1478" s="1" t="inlineStr">
        <is>
          <t>APO</t>
        </is>
      </c>
      <c r="D1478" t="inlineStr">
        <is>
          <t>Apollo Global Management Inc</t>
        </is>
      </c>
      <c r="E1478">
        <f>BDP($B1478,"LEGAL_ENTITY_IDENTIFIER")</f>
        <v/>
      </c>
      <c r="F1478" t="inlineStr">
        <is>
          <t>Apollo Global Management Inc</t>
        </is>
      </c>
      <c r="G1478">
        <f>custodian!D1478</f>
        <v/>
      </c>
      <c r="H1478">
        <f>BDP($B1478,"ID_ISIN")</f>
        <v/>
      </c>
      <c r="I1478" s="1" t="inlineStr">
        <is>
          <t>APO</t>
        </is>
      </c>
      <c r="J1478">
        <f>BDP($B1478,"CNTRY_OF_DOMICILE")</f>
        <v/>
      </c>
      <c r="K1478" t="inlineStr">
        <is>
          <t>EC</t>
        </is>
      </c>
      <c r="L1478" t="inlineStr">
        <is>
          <t>CORP</t>
        </is>
      </c>
      <c r="M1478" t="inlineStr"/>
      <c r="N1478" t="inlineStr"/>
      <c r="O1478" s="1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s="1" t="inlineStr"/>
      <c r="AR1478" s="1" t="inlineStr"/>
      <c r="AS1478" s="1" t="inlineStr"/>
      <c r="AT1478" t="inlineStr"/>
      <c r="AU1478" t="inlineStr"/>
      <c r="AV1478" t="inlineStr"/>
      <c r="AW1478" t="inlineStr"/>
      <c r="AX1478" t="inlineStr"/>
      <c r="AY1478" t="inlineStr"/>
    </row>
    <row r="1479">
      <c r="A1479" t="inlineStr">
        <is>
          <t>NYNY</t>
        </is>
      </c>
      <c r="B1479" t="inlineStr">
        <is>
          <t>AXP US Equity</t>
        </is>
      </c>
      <c r="C1479" s="1" t="inlineStr">
        <is>
          <t>AXP</t>
        </is>
      </c>
      <c r="D1479" t="inlineStr">
        <is>
          <t>American Express Co</t>
        </is>
      </c>
      <c r="E1479">
        <f>BDP($B1479,"LEGAL_ENTITY_IDENTIFIER")</f>
        <v/>
      </c>
      <c r="F1479" t="inlineStr">
        <is>
          <t>American Express Co</t>
        </is>
      </c>
      <c r="G1479">
        <f>custodian!D1479</f>
        <v/>
      </c>
      <c r="H1479">
        <f>BDP($B1479,"ID_ISIN")</f>
        <v/>
      </c>
      <c r="I1479" s="1" t="inlineStr">
        <is>
          <t>AXP</t>
        </is>
      </c>
      <c r="J1479">
        <f>BDP($B1479,"CNTRY_OF_DOMICILE")</f>
        <v/>
      </c>
      <c r="K1479" t="inlineStr">
        <is>
          <t>EC</t>
        </is>
      </c>
      <c r="L1479" t="inlineStr">
        <is>
          <t>CORP</t>
        </is>
      </c>
      <c r="M1479" t="inlineStr"/>
      <c r="N1479" t="inlineStr"/>
      <c r="O1479" s="1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s="1" t="inlineStr"/>
      <c r="AR1479" s="1" t="inlineStr"/>
      <c r="AS1479" s="1" t="inlineStr"/>
      <c r="AT1479" t="inlineStr"/>
      <c r="AU1479" t="inlineStr"/>
      <c r="AV1479" t="inlineStr"/>
      <c r="AW1479" t="inlineStr"/>
      <c r="AX1479" t="inlineStr"/>
      <c r="AY1479" t="inlineStr"/>
    </row>
    <row r="1480">
      <c r="A1480" t="inlineStr">
        <is>
          <t>NYNY</t>
        </is>
      </c>
      <c r="B1480" t="inlineStr">
        <is>
          <t>AXSM US Equity</t>
        </is>
      </c>
      <c r="C1480" s="1" t="inlineStr">
        <is>
          <t>AXSM</t>
        </is>
      </c>
      <c r="D1480" t="inlineStr">
        <is>
          <t>Axsome Therapeutics Inc</t>
        </is>
      </c>
      <c r="E1480">
        <f>BDP($B1480,"LEGAL_ENTITY_IDENTIFIER")</f>
        <v/>
      </c>
      <c r="F1480" t="inlineStr">
        <is>
          <t>Axsome Therapeutics Inc</t>
        </is>
      </c>
      <c r="G1480">
        <f>custodian!D1480</f>
        <v/>
      </c>
      <c r="H1480">
        <f>BDP($B1480,"ID_ISIN")</f>
        <v/>
      </c>
      <c r="I1480" s="1" t="inlineStr">
        <is>
          <t>AXSM</t>
        </is>
      </c>
      <c r="J1480">
        <f>BDP($B1480,"CNTRY_OF_DOMICILE")</f>
        <v/>
      </c>
      <c r="K1480" t="inlineStr">
        <is>
          <t>EC</t>
        </is>
      </c>
      <c r="L1480" t="inlineStr">
        <is>
          <t>CORP</t>
        </is>
      </c>
      <c r="M1480" t="inlineStr"/>
      <c r="N1480" t="inlineStr"/>
      <c r="O1480" s="1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s="1" t="inlineStr"/>
      <c r="AR1480" s="1" t="inlineStr"/>
      <c r="AS1480" s="1" t="inlineStr"/>
      <c r="AT1480" t="inlineStr"/>
      <c r="AU1480" t="inlineStr"/>
      <c r="AV1480" t="inlineStr"/>
      <c r="AW1480" t="inlineStr"/>
      <c r="AX1480" t="inlineStr"/>
      <c r="AY1480" t="inlineStr"/>
    </row>
    <row r="1481">
      <c r="A1481" t="inlineStr">
        <is>
          <t>NYNY</t>
        </is>
      </c>
      <c r="B1481" t="inlineStr">
        <is>
          <t>BGC US Equity</t>
        </is>
      </c>
      <c r="C1481" s="1" t="inlineStr">
        <is>
          <t>BGC</t>
        </is>
      </c>
      <c r="D1481" t="inlineStr">
        <is>
          <t>BGC Group Inc</t>
        </is>
      </c>
      <c r="E1481">
        <f>BDP($B1481,"LEGAL_ENTITY_IDENTIFIER")</f>
        <v/>
      </c>
      <c r="F1481" t="inlineStr">
        <is>
          <t>BGC Group Inc</t>
        </is>
      </c>
      <c r="G1481">
        <f>custodian!D1481</f>
        <v/>
      </c>
      <c r="H1481">
        <f>BDP($B1481,"ID_ISIN")</f>
        <v/>
      </c>
      <c r="I1481" s="1" t="inlineStr">
        <is>
          <t>BGC</t>
        </is>
      </c>
      <c r="J1481">
        <f>BDP($B1481,"CNTRY_OF_DOMICILE")</f>
        <v/>
      </c>
      <c r="K1481" t="inlineStr">
        <is>
          <t>EC</t>
        </is>
      </c>
      <c r="L1481" t="inlineStr">
        <is>
          <t>CORP</t>
        </is>
      </c>
      <c r="M1481" t="inlineStr"/>
      <c r="N1481" t="inlineStr"/>
      <c r="O1481" s="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s="1" t="inlineStr"/>
      <c r="AR1481" s="1" t="inlineStr"/>
      <c r="AS1481" s="1" t="inlineStr"/>
      <c r="AT1481" t="inlineStr"/>
      <c r="AU1481" t="inlineStr"/>
      <c r="AV1481" t="inlineStr"/>
      <c r="AW1481" t="inlineStr"/>
      <c r="AX1481" t="inlineStr"/>
      <c r="AY1481" t="inlineStr"/>
    </row>
    <row r="1482">
      <c r="A1482" t="inlineStr">
        <is>
          <t>NYNY</t>
        </is>
      </c>
      <c r="B1482" t="inlineStr">
        <is>
          <t>BLK US Equity</t>
        </is>
      </c>
      <c r="C1482" s="1" t="inlineStr">
        <is>
          <t>BLK</t>
        </is>
      </c>
      <c r="D1482" t="inlineStr">
        <is>
          <t>Blackrock Inc</t>
        </is>
      </c>
      <c r="E1482">
        <f>BDP($B1482,"LEGAL_ENTITY_IDENTIFIER")</f>
        <v/>
      </c>
      <c r="F1482" t="inlineStr">
        <is>
          <t>Blackrock Inc</t>
        </is>
      </c>
      <c r="G1482">
        <f>custodian!D1482</f>
        <v/>
      </c>
      <c r="H1482">
        <f>BDP($B1482,"ID_ISIN")</f>
        <v/>
      </c>
      <c r="I1482" s="1" t="inlineStr">
        <is>
          <t>BLK</t>
        </is>
      </c>
      <c r="J1482">
        <f>BDP($B1482,"CNTRY_OF_DOMICILE")</f>
        <v/>
      </c>
      <c r="K1482" t="inlineStr">
        <is>
          <t>EC</t>
        </is>
      </c>
      <c r="L1482" t="inlineStr">
        <is>
          <t>CORP</t>
        </is>
      </c>
      <c r="M1482" t="inlineStr"/>
      <c r="N1482" t="inlineStr"/>
      <c r="O1482" s="1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s="1" t="inlineStr"/>
      <c r="AR1482" s="1" t="inlineStr"/>
      <c r="AS1482" s="1" t="inlineStr"/>
      <c r="AT1482" t="inlineStr"/>
      <c r="AU1482" t="inlineStr"/>
      <c r="AV1482" t="inlineStr"/>
      <c r="AW1482" t="inlineStr"/>
      <c r="AX1482" t="inlineStr"/>
      <c r="AY1482" t="inlineStr"/>
    </row>
    <row r="1483">
      <c r="A1483" t="inlineStr">
        <is>
          <t>NYNY</t>
        </is>
      </c>
      <c r="B1483" t="inlineStr">
        <is>
          <t>BMY US Equity</t>
        </is>
      </c>
      <c r="C1483" s="1" t="inlineStr">
        <is>
          <t>BMY</t>
        </is>
      </c>
      <c r="D1483" t="inlineStr">
        <is>
          <t>Bristol-Myers Squibb Co</t>
        </is>
      </c>
      <c r="E1483">
        <f>BDP($B1483,"LEGAL_ENTITY_IDENTIFIER")</f>
        <v/>
      </c>
      <c r="F1483" t="inlineStr">
        <is>
          <t>Bristol-Myers Squibb Co</t>
        </is>
      </c>
      <c r="G1483">
        <f>custodian!D1483</f>
        <v/>
      </c>
      <c r="H1483">
        <f>BDP($B1483,"ID_ISIN")</f>
        <v/>
      </c>
      <c r="I1483" s="1" t="inlineStr">
        <is>
          <t>BMY</t>
        </is>
      </c>
      <c r="J1483">
        <f>BDP($B1483,"CNTRY_OF_DOMICILE")</f>
        <v/>
      </c>
      <c r="K1483" t="inlineStr">
        <is>
          <t>EC</t>
        </is>
      </c>
      <c r="L1483" t="inlineStr">
        <is>
          <t>CORP</t>
        </is>
      </c>
      <c r="M1483" t="inlineStr"/>
      <c r="N1483" t="inlineStr"/>
      <c r="O1483" s="1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s="1" t="inlineStr"/>
      <c r="AR1483" s="1" t="inlineStr"/>
      <c r="AS1483" s="1" t="inlineStr"/>
      <c r="AT1483" t="inlineStr"/>
      <c r="AU1483" t="inlineStr"/>
      <c r="AV1483" t="inlineStr"/>
      <c r="AW1483" t="inlineStr"/>
      <c r="AX1483" t="inlineStr"/>
      <c r="AY1483" t="inlineStr"/>
    </row>
    <row r="1484">
      <c r="A1484" t="inlineStr">
        <is>
          <t>NYNY</t>
        </is>
      </c>
      <c r="B1484" t="inlineStr">
        <is>
          <t>BNY US Equity</t>
        </is>
      </c>
      <c r="C1484" s="1" t="inlineStr">
        <is>
          <t>BNY</t>
        </is>
      </c>
      <c r="D1484" t="inlineStr">
        <is>
          <t>Bank of New York Mellon Corp/T</t>
        </is>
      </c>
      <c r="E1484">
        <f>BDP($B1484,"LEGAL_ENTITY_IDENTIFIER")</f>
        <v/>
      </c>
      <c r="F1484" t="inlineStr">
        <is>
          <t>Bank of New York Mellon Corp/The</t>
        </is>
      </c>
      <c r="G1484">
        <f>custodian!D1484</f>
        <v/>
      </c>
      <c r="H1484">
        <f>BDP($B1484,"ID_ISIN")</f>
        <v/>
      </c>
      <c r="I1484" s="1" t="inlineStr">
        <is>
          <t>BNY</t>
        </is>
      </c>
      <c r="J1484">
        <f>BDP($B1484,"CNTRY_OF_DOMICILE")</f>
        <v/>
      </c>
      <c r="K1484" t="inlineStr">
        <is>
          <t>EC</t>
        </is>
      </c>
      <c r="L1484" t="inlineStr">
        <is>
          <t>CORP</t>
        </is>
      </c>
      <c r="M1484" t="inlineStr"/>
      <c r="N1484" t="inlineStr"/>
      <c r="O1484" s="1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s="1" t="inlineStr"/>
      <c r="AR1484" s="1" t="inlineStr"/>
      <c r="AS1484" s="1" t="inlineStr"/>
      <c r="AT1484" t="inlineStr"/>
      <c r="AU1484" t="inlineStr"/>
      <c r="AV1484" t="inlineStr"/>
      <c r="AW1484" t="inlineStr"/>
      <c r="AX1484" t="inlineStr"/>
      <c r="AY1484" t="inlineStr"/>
    </row>
    <row r="1485">
      <c r="A1485" t="inlineStr">
        <is>
          <t>NYNY</t>
        </is>
      </c>
      <c r="B1485" t="inlineStr">
        <is>
          <t>BRX US Equity</t>
        </is>
      </c>
      <c r="C1485" s="1" t="inlineStr">
        <is>
          <t>BRX</t>
        </is>
      </c>
      <c r="D1485" t="inlineStr">
        <is>
          <t>Brixmor Property Group Inc</t>
        </is>
      </c>
      <c r="E1485">
        <f>BDP($B1485,"LEGAL_ENTITY_IDENTIFIER")</f>
        <v/>
      </c>
      <c r="F1485" t="inlineStr">
        <is>
          <t>Brixmor Property Group Inc</t>
        </is>
      </c>
      <c r="G1485">
        <f>custodian!D1485</f>
        <v/>
      </c>
      <c r="H1485">
        <f>BDP($B1485,"ID_ISIN")</f>
        <v/>
      </c>
      <c r="I1485" s="1" t="inlineStr">
        <is>
          <t>BRX</t>
        </is>
      </c>
      <c r="J1485">
        <f>BDP($B1485,"CNTRY_OF_DOMICILE")</f>
        <v/>
      </c>
      <c r="K1485" t="inlineStr">
        <is>
          <t>EC</t>
        </is>
      </c>
      <c r="L1485" t="inlineStr">
        <is>
          <t>CORP</t>
        </is>
      </c>
      <c r="M1485" t="inlineStr"/>
      <c r="N1485" t="inlineStr"/>
      <c r="O1485" s="1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s="1" t="inlineStr"/>
      <c r="AR1485" s="1" t="inlineStr"/>
      <c r="AS1485" s="1" t="inlineStr"/>
      <c r="AT1485" t="inlineStr"/>
      <c r="AU1485" t="inlineStr"/>
      <c r="AV1485" t="inlineStr"/>
      <c r="AW1485" t="inlineStr"/>
      <c r="AX1485" t="inlineStr"/>
      <c r="AY1485" t="inlineStr"/>
    </row>
    <row r="1486">
      <c r="A1486" t="inlineStr">
        <is>
          <t>NYNY</t>
        </is>
      </c>
      <c r="B1486" t="inlineStr">
        <is>
          <t>BX US Equity</t>
        </is>
      </c>
      <c r="C1486" s="1" t="inlineStr">
        <is>
          <t>BX</t>
        </is>
      </c>
      <c r="D1486" t="inlineStr">
        <is>
          <t>Blackstone Inc</t>
        </is>
      </c>
      <c r="E1486">
        <f>BDP($B1486,"LEGAL_ENTITY_IDENTIFIER")</f>
        <v/>
      </c>
      <c r="F1486" t="inlineStr">
        <is>
          <t>Blackstone Inc</t>
        </is>
      </c>
      <c r="G1486">
        <f>custodian!D1486</f>
        <v/>
      </c>
      <c r="H1486">
        <f>BDP($B1486,"ID_ISIN")</f>
        <v/>
      </c>
      <c r="I1486" s="1" t="inlineStr">
        <is>
          <t>BX</t>
        </is>
      </c>
      <c r="J1486">
        <f>BDP($B1486,"CNTRY_OF_DOMICILE")</f>
        <v/>
      </c>
      <c r="K1486" t="inlineStr">
        <is>
          <t>EC</t>
        </is>
      </c>
      <c r="L1486" t="inlineStr">
        <is>
          <t>CORP</t>
        </is>
      </c>
      <c r="M1486" t="inlineStr"/>
      <c r="N1486" t="inlineStr"/>
      <c r="O1486" s="1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s="1" t="inlineStr"/>
      <c r="AR1486" s="1" t="inlineStr"/>
      <c r="AS1486" s="1" t="inlineStr"/>
      <c r="AT1486" t="inlineStr"/>
      <c r="AU1486" t="inlineStr"/>
      <c r="AV1486" t="inlineStr"/>
      <c r="AW1486" t="inlineStr"/>
      <c r="AX1486" t="inlineStr"/>
      <c r="AY1486" t="inlineStr"/>
    </row>
    <row r="1487">
      <c r="A1487" t="inlineStr">
        <is>
          <t>NYNY</t>
        </is>
      </c>
      <c r="B1487" t="inlineStr">
        <is>
          <t>C US Equity</t>
        </is>
      </c>
      <c r="C1487" s="1" t="inlineStr">
        <is>
          <t>C</t>
        </is>
      </c>
      <c r="D1487" t="inlineStr">
        <is>
          <t>Citigroup Inc</t>
        </is>
      </c>
      <c r="E1487">
        <f>BDP($B1487,"LEGAL_ENTITY_IDENTIFIER")</f>
        <v/>
      </c>
      <c r="F1487" t="inlineStr">
        <is>
          <t>Citigroup Inc</t>
        </is>
      </c>
      <c r="G1487">
        <f>custodian!D1487</f>
        <v/>
      </c>
      <c r="H1487">
        <f>BDP($B1487,"ID_ISIN")</f>
        <v/>
      </c>
      <c r="I1487" s="1" t="inlineStr">
        <is>
          <t>C</t>
        </is>
      </c>
      <c r="J1487">
        <f>BDP($B1487,"CNTRY_OF_DOMICILE")</f>
        <v/>
      </c>
      <c r="K1487" t="inlineStr">
        <is>
          <t>EC</t>
        </is>
      </c>
      <c r="L1487" t="inlineStr">
        <is>
          <t>CORP</t>
        </is>
      </c>
      <c r="M1487" t="inlineStr"/>
      <c r="N1487" t="inlineStr"/>
      <c r="O1487" s="1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s="1" t="inlineStr"/>
      <c r="AR1487" s="1" t="inlineStr"/>
      <c r="AS1487" s="1" t="inlineStr"/>
      <c r="AT1487" t="inlineStr"/>
      <c r="AU1487" t="inlineStr"/>
      <c r="AV1487" t="inlineStr"/>
      <c r="AW1487" t="inlineStr"/>
      <c r="AX1487" t="inlineStr"/>
      <c r="AY1487" t="inlineStr"/>
    </row>
    <row r="1488">
      <c r="A1488" t="inlineStr">
        <is>
          <t>NYNY</t>
        </is>
      </c>
      <c r="B1488" t="inlineStr">
        <is>
          <t>CL US Equity</t>
        </is>
      </c>
      <c r="C1488" s="1" t="inlineStr">
        <is>
          <t>CL</t>
        </is>
      </c>
      <c r="D1488" t="inlineStr">
        <is>
          <t>Colgate-Palmolive Co</t>
        </is>
      </c>
      <c r="E1488">
        <f>BDP($B1488,"LEGAL_ENTITY_IDENTIFIER")</f>
        <v/>
      </c>
      <c r="F1488" t="inlineStr">
        <is>
          <t>Colgate-Palmolive Co</t>
        </is>
      </c>
      <c r="G1488">
        <f>custodian!D1488</f>
        <v/>
      </c>
      <c r="H1488">
        <f>BDP($B1488,"ID_ISIN")</f>
        <v/>
      </c>
      <c r="I1488" s="1" t="inlineStr">
        <is>
          <t>CL</t>
        </is>
      </c>
      <c r="J1488">
        <f>BDP($B1488,"CNTRY_OF_DOMICILE")</f>
        <v/>
      </c>
      <c r="K1488" t="inlineStr">
        <is>
          <t>EC</t>
        </is>
      </c>
      <c r="L1488" t="inlineStr">
        <is>
          <t>CORP</t>
        </is>
      </c>
      <c r="M1488" t="inlineStr"/>
      <c r="N1488" t="inlineStr"/>
      <c r="O1488" s="1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s="1" t="inlineStr"/>
      <c r="AR1488" s="1" t="inlineStr"/>
      <c r="AS1488" s="1" t="inlineStr"/>
      <c r="AT1488" t="inlineStr"/>
      <c r="AU1488" t="inlineStr"/>
      <c r="AV1488" t="inlineStr"/>
      <c r="AW1488" t="inlineStr"/>
      <c r="AX1488" t="inlineStr"/>
      <c r="AY1488" t="inlineStr"/>
    </row>
    <row r="1489">
      <c r="A1489" t="inlineStr">
        <is>
          <t>NYNY</t>
        </is>
      </c>
      <c r="B1489" t="inlineStr">
        <is>
          <t>COMP US Equity</t>
        </is>
      </c>
      <c r="C1489" s="1" t="inlineStr">
        <is>
          <t>COMP</t>
        </is>
      </c>
      <c r="D1489" t="inlineStr">
        <is>
          <t>Compass Inc</t>
        </is>
      </c>
      <c r="E1489">
        <f>BDP($B1489,"LEGAL_ENTITY_IDENTIFIER")</f>
        <v/>
      </c>
      <c r="F1489" t="inlineStr">
        <is>
          <t>Compass Inc</t>
        </is>
      </c>
      <c r="G1489">
        <f>custodian!D1489</f>
        <v/>
      </c>
      <c r="H1489">
        <f>BDP($B1489,"ID_ISIN")</f>
        <v/>
      </c>
      <c r="I1489" s="1" t="inlineStr">
        <is>
          <t>COMP</t>
        </is>
      </c>
      <c r="J1489">
        <f>BDP($B1489,"CNTRY_OF_DOMICILE")</f>
        <v/>
      </c>
      <c r="K1489" t="inlineStr">
        <is>
          <t>EC</t>
        </is>
      </c>
      <c r="L1489" t="inlineStr">
        <is>
          <t>CORP</t>
        </is>
      </c>
      <c r="M1489" t="inlineStr"/>
      <c r="N1489" t="inlineStr"/>
      <c r="O1489" s="1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s="1" t="inlineStr"/>
      <c r="AR1489" s="1" t="inlineStr"/>
      <c r="AS1489" s="1" t="inlineStr"/>
      <c r="AT1489" t="inlineStr"/>
      <c r="AU1489" t="inlineStr"/>
      <c r="AV1489" t="inlineStr"/>
      <c r="AW1489" t="inlineStr"/>
      <c r="AX1489" t="inlineStr"/>
      <c r="AY1489" t="inlineStr"/>
    </row>
    <row r="1490">
      <c r="A1490" t="inlineStr">
        <is>
          <t>NYNY</t>
        </is>
      </c>
      <c r="B1490" t="inlineStr">
        <is>
          <t>DDOG US Equity</t>
        </is>
      </c>
      <c r="C1490" s="1" t="inlineStr">
        <is>
          <t>DDOG</t>
        </is>
      </c>
      <c r="D1490" t="inlineStr">
        <is>
          <t>Datadog Inc</t>
        </is>
      </c>
      <c r="E1490">
        <f>BDP($B1490,"LEGAL_ENTITY_IDENTIFIER")</f>
        <v/>
      </c>
      <c r="F1490" t="inlineStr">
        <is>
          <t>Datadog Inc</t>
        </is>
      </c>
      <c r="G1490">
        <f>custodian!D1490</f>
        <v/>
      </c>
      <c r="H1490">
        <f>BDP($B1490,"ID_ISIN")</f>
        <v/>
      </c>
      <c r="I1490" s="1" t="inlineStr">
        <is>
          <t>DDOG</t>
        </is>
      </c>
      <c r="J1490">
        <f>BDP($B1490,"CNTRY_OF_DOMICILE")</f>
        <v/>
      </c>
      <c r="K1490" t="inlineStr">
        <is>
          <t>EC</t>
        </is>
      </c>
      <c r="L1490" t="inlineStr">
        <is>
          <t>CORP</t>
        </is>
      </c>
      <c r="M1490" t="inlineStr"/>
      <c r="N1490" t="inlineStr"/>
      <c r="O1490" s="1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s="1" t="inlineStr"/>
      <c r="AR1490" s="1" t="inlineStr"/>
      <c r="AS1490" s="1" t="inlineStr"/>
      <c r="AT1490" t="inlineStr"/>
      <c r="AU1490" t="inlineStr"/>
      <c r="AV1490" t="inlineStr"/>
      <c r="AW1490" t="inlineStr"/>
      <c r="AX1490" t="inlineStr"/>
      <c r="AY1490" t="inlineStr"/>
    </row>
    <row r="1491">
      <c r="A1491" t="inlineStr">
        <is>
          <t>NYNY</t>
        </is>
      </c>
      <c r="B1491" t="inlineStr">
        <is>
          <t>DOCN US Equity</t>
        </is>
      </c>
      <c r="C1491" s="1" t="inlineStr">
        <is>
          <t>DOCN</t>
        </is>
      </c>
      <c r="D1491" t="inlineStr">
        <is>
          <t>DigitalOcean Holdings Inc</t>
        </is>
      </c>
      <c r="E1491">
        <f>BDP($B1491,"LEGAL_ENTITY_IDENTIFIER")</f>
        <v/>
      </c>
      <c r="F1491" t="inlineStr">
        <is>
          <t>DigitalOcean Holdings Inc</t>
        </is>
      </c>
      <c r="G1491">
        <f>custodian!D1491</f>
        <v/>
      </c>
      <c r="H1491">
        <f>BDP($B1491,"ID_ISIN")</f>
        <v/>
      </c>
      <c r="I1491" s="1" t="inlineStr">
        <is>
          <t>DOCN</t>
        </is>
      </c>
      <c r="J1491">
        <f>BDP($B1491,"CNTRY_OF_DOMICILE")</f>
        <v/>
      </c>
      <c r="K1491" t="inlineStr">
        <is>
          <t>EC</t>
        </is>
      </c>
      <c r="L1491" t="inlineStr">
        <is>
          <t>CORP</t>
        </is>
      </c>
      <c r="M1491" t="inlineStr"/>
      <c r="N1491" t="inlineStr"/>
      <c r="O1491" s="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s="1" t="inlineStr"/>
      <c r="AR1491" s="1" t="inlineStr"/>
      <c r="AS1491" s="1" t="inlineStr"/>
      <c r="AT1491" t="inlineStr"/>
      <c r="AU1491" t="inlineStr"/>
      <c r="AV1491" t="inlineStr"/>
      <c r="AW1491" t="inlineStr"/>
      <c r="AX1491" t="inlineStr"/>
      <c r="AY1491" t="inlineStr"/>
    </row>
    <row r="1492">
      <c r="A1492" t="inlineStr">
        <is>
          <t>NYNY</t>
        </is>
      </c>
      <c r="B1492" t="inlineStr">
        <is>
          <t>ED US Equity</t>
        </is>
      </c>
      <c r="C1492" s="1" t="inlineStr">
        <is>
          <t>ED</t>
        </is>
      </c>
      <c r="D1492" t="inlineStr">
        <is>
          <t>Consolidated Edison Inc</t>
        </is>
      </c>
      <c r="E1492">
        <f>BDP($B1492,"LEGAL_ENTITY_IDENTIFIER")</f>
        <v/>
      </c>
      <c r="F1492" t="inlineStr">
        <is>
          <t>Consolidated Edison Inc</t>
        </is>
      </c>
      <c r="G1492">
        <f>custodian!D1492</f>
        <v/>
      </c>
      <c r="H1492">
        <f>BDP($B1492,"ID_ISIN")</f>
        <v/>
      </c>
      <c r="I1492" s="1" t="inlineStr">
        <is>
          <t>ED</t>
        </is>
      </c>
      <c r="J1492">
        <f>BDP($B1492,"CNTRY_OF_DOMICILE")</f>
        <v/>
      </c>
      <c r="K1492" t="inlineStr">
        <is>
          <t>EC</t>
        </is>
      </c>
      <c r="L1492" t="inlineStr">
        <is>
          <t>CORP</t>
        </is>
      </c>
      <c r="M1492" t="inlineStr"/>
      <c r="N1492" t="inlineStr"/>
      <c r="O1492" s="1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s="1" t="inlineStr"/>
      <c r="AR1492" s="1" t="inlineStr"/>
      <c r="AS1492" s="1" t="inlineStr"/>
      <c r="AT1492" t="inlineStr"/>
      <c r="AU1492" t="inlineStr"/>
      <c r="AV1492" t="inlineStr"/>
      <c r="AW1492" t="inlineStr"/>
      <c r="AX1492" t="inlineStr"/>
      <c r="AY1492" t="inlineStr"/>
    </row>
    <row r="1493">
      <c r="A1493" t="inlineStr">
        <is>
          <t>NYNY</t>
        </is>
      </c>
      <c r="B1493" t="inlineStr">
        <is>
          <t>EL US Equity</t>
        </is>
      </c>
      <c r="C1493" s="1" t="inlineStr">
        <is>
          <t>EL</t>
        </is>
      </c>
      <c r="D1493" t="inlineStr">
        <is>
          <t>Estee Lauder Cos Inc/The</t>
        </is>
      </c>
      <c r="E1493">
        <f>BDP($B1493,"LEGAL_ENTITY_IDENTIFIER")</f>
        <v/>
      </c>
      <c r="F1493" t="inlineStr">
        <is>
          <t>Estee Lauder Cos Inc/The</t>
        </is>
      </c>
      <c r="G1493">
        <f>custodian!D1493</f>
        <v/>
      </c>
      <c r="H1493">
        <f>BDP($B1493,"ID_ISIN")</f>
        <v/>
      </c>
      <c r="I1493" s="1" t="inlineStr">
        <is>
          <t>EL</t>
        </is>
      </c>
      <c r="J1493">
        <f>BDP($B1493,"CNTRY_OF_DOMICILE")</f>
        <v/>
      </c>
      <c r="K1493" t="inlineStr">
        <is>
          <t>EC</t>
        </is>
      </c>
      <c r="L1493" t="inlineStr">
        <is>
          <t>CORP</t>
        </is>
      </c>
      <c r="M1493" t="inlineStr"/>
      <c r="N1493" t="inlineStr"/>
      <c r="O1493" s="1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s="1" t="inlineStr"/>
      <c r="AR1493" s="1" t="inlineStr"/>
      <c r="AS1493" s="1" t="inlineStr"/>
      <c r="AT1493" t="inlineStr"/>
      <c r="AU1493" t="inlineStr"/>
      <c r="AV1493" t="inlineStr"/>
      <c r="AW1493" t="inlineStr"/>
      <c r="AX1493" t="inlineStr"/>
      <c r="AY1493" t="inlineStr"/>
    </row>
    <row r="1494">
      <c r="A1494" t="inlineStr">
        <is>
          <t>NYNY</t>
        </is>
      </c>
      <c r="B1494" t="inlineStr">
        <is>
          <t>ETSY US Equity</t>
        </is>
      </c>
      <c r="C1494" s="1" t="inlineStr">
        <is>
          <t>ETSY</t>
        </is>
      </c>
      <c r="D1494" t="inlineStr">
        <is>
          <t>Etsy Inc</t>
        </is>
      </c>
      <c r="E1494">
        <f>BDP($B1494,"LEGAL_ENTITY_IDENTIFIER")</f>
        <v/>
      </c>
      <c r="F1494" t="inlineStr">
        <is>
          <t>Etsy Inc</t>
        </is>
      </c>
      <c r="G1494">
        <f>custodian!D1494</f>
        <v/>
      </c>
      <c r="H1494">
        <f>BDP($B1494,"ID_ISIN")</f>
        <v/>
      </c>
      <c r="I1494" s="1" t="inlineStr">
        <is>
          <t>ETSY</t>
        </is>
      </c>
      <c r="J1494">
        <f>BDP($B1494,"CNTRY_OF_DOMICILE")</f>
        <v/>
      </c>
      <c r="K1494" t="inlineStr">
        <is>
          <t>EC</t>
        </is>
      </c>
      <c r="L1494" t="inlineStr">
        <is>
          <t>CORP</t>
        </is>
      </c>
      <c r="M1494" t="inlineStr"/>
      <c r="N1494" t="inlineStr"/>
      <c r="O1494" s="1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s="1" t="inlineStr"/>
      <c r="AR1494" s="1" t="inlineStr"/>
      <c r="AS1494" s="1" t="inlineStr"/>
      <c r="AT1494" t="inlineStr"/>
      <c r="AU1494" t="inlineStr"/>
      <c r="AV1494" t="inlineStr"/>
      <c r="AW1494" t="inlineStr"/>
      <c r="AX1494" t="inlineStr"/>
      <c r="AY1494" t="inlineStr"/>
    </row>
    <row r="1495">
      <c r="A1495" t="inlineStr">
        <is>
          <t>NYNY</t>
        </is>
      </c>
      <c r="B1495" t="inlineStr">
        <is>
          <t>EVR US Equity</t>
        </is>
      </c>
      <c r="C1495" s="1" t="inlineStr">
        <is>
          <t>EVR</t>
        </is>
      </c>
      <c r="D1495" t="inlineStr">
        <is>
          <t>Evercore Inc</t>
        </is>
      </c>
      <c r="E1495">
        <f>BDP($B1495,"LEGAL_ENTITY_IDENTIFIER")</f>
        <v/>
      </c>
      <c r="F1495" t="inlineStr">
        <is>
          <t>Evercore Inc</t>
        </is>
      </c>
      <c r="G1495">
        <f>custodian!D1495</f>
        <v/>
      </c>
      <c r="H1495">
        <f>BDP($B1495,"ID_ISIN")</f>
        <v/>
      </c>
      <c r="I1495" s="1" t="inlineStr">
        <is>
          <t>EVR</t>
        </is>
      </c>
      <c r="J1495">
        <f>BDP($B1495,"CNTRY_OF_DOMICILE")</f>
        <v/>
      </c>
      <c r="K1495" t="inlineStr">
        <is>
          <t>EC</t>
        </is>
      </c>
      <c r="L1495" t="inlineStr">
        <is>
          <t>CORP</t>
        </is>
      </c>
      <c r="M1495" t="inlineStr"/>
      <c r="N1495" t="inlineStr"/>
      <c r="O1495" s="1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s="1" t="inlineStr"/>
      <c r="AR1495" s="1" t="inlineStr"/>
      <c r="AS1495" s="1" t="inlineStr"/>
      <c r="AT1495" t="inlineStr"/>
      <c r="AU1495" t="inlineStr"/>
      <c r="AV1495" t="inlineStr"/>
      <c r="AW1495" t="inlineStr"/>
      <c r="AX1495" t="inlineStr"/>
      <c r="AY1495" t="inlineStr"/>
    </row>
    <row r="1496">
      <c r="A1496" t="inlineStr">
        <is>
          <t>NYNY</t>
        </is>
      </c>
      <c r="B1496" t="inlineStr">
        <is>
          <t>FGXXX US Equity</t>
        </is>
      </c>
      <c r="C1496" s="1" t="inlineStr">
        <is>
          <t>FGXXX</t>
        </is>
      </c>
      <c r="D1496" t="inlineStr">
        <is>
          <t>First American Government Obli</t>
        </is>
      </c>
      <c r="E1496">
        <f>BDP($B1496,"LEGAL_ENTITY_IDENTIFIER")</f>
        <v/>
      </c>
      <c r="F1496" t="inlineStr">
        <is>
          <t>First American Government Obligations Fund</t>
        </is>
      </c>
      <c r="G1496">
        <f>custodian!D1496</f>
        <v/>
      </c>
      <c r="H1496">
        <f>BDP($B1496,"ID_ISIN")</f>
        <v/>
      </c>
      <c r="I1496" s="1" t="inlineStr">
        <is>
          <t>FGXXX</t>
        </is>
      </c>
      <c r="J1496">
        <f>BDP($B1496,"CNTRY_OF_DOMICILE")</f>
        <v/>
      </c>
      <c r="K1496" t="inlineStr">
        <is>
          <t>STIV</t>
        </is>
      </c>
      <c r="L1496" t="inlineStr">
        <is>
          <t>RF</t>
        </is>
      </c>
      <c r="M1496" t="inlineStr"/>
      <c r="N1496" t="inlineStr"/>
      <c r="O1496" s="1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s="1" t="inlineStr"/>
      <c r="AR1496" s="1" t="inlineStr"/>
      <c r="AS1496" s="1" t="inlineStr"/>
      <c r="AT1496" t="inlineStr"/>
      <c r="AU1496" t="inlineStr"/>
      <c r="AV1496" t="inlineStr"/>
      <c r="AW1496" t="inlineStr"/>
      <c r="AX1496" t="inlineStr"/>
      <c r="AY1496" t="inlineStr"/>
    </row>
    <row r="1497">
      <c r="A1497" t="inlineStr">
        <is>
          <t>NYNY</t>
        </is>
      </c>
      <c r="B1497" t="inlineStr">
        <is>
          <t>FOXA US Equity</t>
        </is>
      </c>
      <c r="C1497" s="1" t="inlineStr">
        <is>
          <t>FOXA</t>
        </is>
      </c>
      <c r="D1497" t="inlineStr">
        <is>
          <t>Fox Corp</t>
        </is>
      </c>
      <c r="E1497">
        <f>BDP($B1497,"LEGAL_ENTITY_IDENTIFIER")</f>
        <v/>
      </c>
      <c r="F1497" t="inlineStr">
        <is>
          <t>Fox Corp</t>
        </is>
      </c>
      <c r="G1497">
        <f>custodian!D1497</f>
        <v/>
      </c>
      <c r="H1497">
        <f>BDP($B1497,"ID_ISIN")</f>
        <v/>
      </c>
      <c r="I1497" s="1" t="inlineStr">
        <is>
          <t>FOXA</t>
        </is>
      </c>
      <c r="J1497">
        <f>BDP($B1497,"CNTRY_OF_DOMICILE")</f>
        <v/>
      </c>
      <c r="K1497" t="inlineStr">
        <is>
          <t>EC</t>
        </is>
      </c>
      <c r="L1497" t="inlineStr">
        <is>
          <t>CORP</t>
        </is>
      </c>
      <c r="M1497" t="inlineStr"/>
      <c r="N1497" t="inlineStr"/>
      <c r="O1497" s="1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s="1" t="inlineStr"/>
      <c r="AR1497" s="1" t="inlineStr"/>
      <c r="AS1497" s="1" t="inlineStr"/>
      <c r="AT1497" t="inlineStr"/>
      <c r="AU1497" t="inlineStr"/>
      <c r="AV1497" t="inlineStr"/>
      <c r="AW1497" t="inlineStr"/>
      <c r="AX1497" t="inlineStr"/>
      <c r="AY1497" t="inlineStr"/>
    </row>
    <row r="1498">
      <c r="A1498" t="inlineStr">
        <is>
          <t>NYNY</t>
        </is>
      </c>
      <c r="B1498" t="inlineStr">
        <is>
          <t>GS US Equity</t>
        </is>
      </c>
      <c r="C1498" s="1" t="inlineStr">
        <is>
          <t>GS</t>
        </is>
      </c>
      <c r="D1498" t="inlineStr">
        <is>
          <t>Goldman Sachs Group Inc/The</t>
        </is>
      </c>
      <c r="E1498">
        <f>BDP($B1498,"LEGAL_ENTITY_IDENTIFIER")</f>
        <v/>
      </c>
      <c r="F1498" t="inlineStr">
        <is>
          <t>Goldman Sachs Group Inc/The</t>
        </is>
      </c>
      <c r="G1498">
        <f>custodian!D1498</f>
        <v/>
      </c>
      <c r="H1498">
        <f>BDP($B1498,"ID_ISIN")</f>
        <v/>
      </c>
      <c r="I1498" s="1" t="inlineStr">
        <is>
          <t>GS</t>
        </is>
      </c>
      <c r="J1498">
        <f>BDP($B1498,"CNTRY_OF_DOMICILE")</f>
        <v/>
      </c>
      <c r="K1498" t="inlineStr">
        <is>
          <t>EC</t>
        </is>
      </c>
      <c r="L1498" t="inlineStr">
        <is>
          <t>CORP</t>
        </is>
      </c>
      <c r="M1498" t="inlineStr"/>
      <c r="N1498" t="inlineStr"/>
      <c r="O1498" s="1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s="1" t="inlineStr"/>
      <c r="AR1498" s="1" t="inlineStr"/>
      <c r="AS1498" s="1" t="inlineStr"/>
      <c r="AT1498" t="inlineStr"/>
      <c r="AU1498" t="inlineStr"/>
      <c r="AV1498" t="inlineStr"/>
      <c r="AW1498" t="inlineStr"/>
      <c r="AX1498" t="inlineStr"/>
      <c r="AY1498" t="inlineStr"/>
    </row>
    <row r="1499">
      <c r="A1499" t="inlineStr">
        <is>
          <t>NYNY</t>
        </is>
      </c>
      <c r="B1499" t="inlineStr">
        <is>
          <t>JEF US Equity</t>
        </is>
      </c>
      <c r="C1499" s="1" t="inlineStr">
        <is>
          <t>JEF</t>
        </is>
      </c>
      <c r="D1499" t="inlineStr">
        <is>
          <t>Jefferies Financial Group Inc</t>
        </is>
      </c>
      <c r="E1499">
        <f>BDP($B1499,"LEGAL_ENTITY_IDENTIFIER")</f>
        <v/>
      </c>
      <c r="F1499" t="inlineStr">
        <is>
          <t>Jefferies Financial Group Inc</t>
        </is>
      </c>
      <c r="G1499">
        <f>custodian!D1499</f>
        <v/>
      </c>
      <c r="H1499">
        <f>BDP($B1499,"ID_ISIN")</f>
        <v/>
      </c>
      <c r="I1499" s="1" t="inlineStr">
        <is>
          <t>JEF</t>
        </is>
      </c>
      <c r="J1499">
        <f>BDP($B1499,"CNTRY_OF_DOMICILE")</f>
        <v/>
      </c>
      <c r="K1499" t="inlineStr">
        <is>
          <t>EC</t>
        </is>
      </c>
      <c r="L1499" t="inlineStr">
        <is>
          <t>CORP</t>
        </is>
      </c>
      <c r="M1499" t="inlineStr"/>
      <c r="N1499" t="inlineStr"/>
      <c r="O1499" s="1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s="1" t="inlineStr"/>
      <c r="AR1499" s="1" t="inlineStr"/>
      <c r="AS1499" s="1" t="inlineStr"/>
      <c r="AT1499" t="inlineStr"/>
      <c r="AU1499" t="inlineStr"/>
      <c r="AV1499" t="inlineStr"/>
      <c r="AW1499" t="inlineStr"/>
      <c r="AX1499" t="inlineStr"/>
      <c r="AY1499" t="inlineStr"/>
    </row>
    <row r="1500">
      <c r="A1500" t="inlineStr">
        <is>
          <t>NYNY</t>
        </is>
      </c>
      <c r="B1500" t="inlineStr">
        <is>
          <t>JPM US Equity</t>
        </is>
      </c>
      <c r="C1500" s="1" t="inlineStr">
        <is>
          <t>JPM</t>
        </is>
      </c>
      <c r="D1500" t="inlineStr">
        <is>
          <t>JPMORGAN CHASE &amp; CO.</t>
        </is>
      </c>
      <c r="E1500">
        <f>BDP($B1500,"LEGAL_ENTITY_IDENTIFIER")</f>
        <v/>
      </c>
      <c r="F1500" t="inlineStr">
        <is>
          <t>JPMORGAN CHASE &amp; CO.</t>
        </is>
      </c>
      <c r="G1500">
        <f>custodian!D1500</f>
        <v/>
      </c>
      <c r="H1500">
        <f>BDP($B1500,"ID_ISIN")</f>
        <v/>
      </c>
      <c r="I1500" s="1" t="inlineStr">
        <is>
          <t>JPM</t>
        </is>
      </c>
      <c r="J1500">
        <f>BDP($B1500,"CNTRY_OF_DOMICILE")</f>
        <v/>
      </c>
      <c r="K1500" t="inlineStr">
        <is>
          <t>EC</t>
        </is>
      </c>
      <c r="L1500" t="inlineStr">
        <is>
          <t>CORP</t>
        </is>
      </c>
      <c r="M1500" t="inlineStr"/>
      <c r="N1500" t="inlineStr"/>
      <c r="O1500" s="1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s="1" t="inlineStr"/>
      <c r="AR1500" s="1" t="inlineStr"/>
      <c r="AS1500" s="1" t="inlineStr"/>
      <c r="AT1500" t="inlineStr"/>
      <c r="AU1500" t="inlineStr"/>
      <c r="AV1500" t="inlineStr"/>
      <c r="AW1500" t="inlineStr"/>
      <c r="AX1500" t="inlineStr"/>
      <c r="AY1500" t="inlineStr"/>
    </row>
    <row r="1501">
      <c r="A1501" t="inlineStr">
        <is>
          <t>NYNY</t>
        </is>
      </c>
      <c r="B1501" t="inlineStr">
        <is>
          <t>KKR US Equity</t>
        </is>
      </c>
      <c r="C1501" s="1" t="inlineStr">
        <is>
          <t>KKR</t>
        </is>
      </c>
      <c r="D1501" t="inlineStr">
        <is>
          <t>KKR &amp; Co Inc</t>
        </is>
      </c>
      <c r="E1501">
        <f>BDP($B1501,"LEGAL_ENTITY_IDENTIFIER")</f>
        <v/>
      </c>
      <c r="F1501" t="inlineStr">
        <is>
          <t>KKR &amp; Co Inc</t>
        </is>
      </c>
      <c r="G1501">
        <f>custodian!D1501</f>
        <v/>
      </c>
      <c r="H1501">
        <f>BDP($B1501,"ID_ISIN")</f>
        <v/>
      </c>
      <c r="I1501" s="1" t="inlineStr">
        <is>
          <t>KKR</t>
        </is>
      </c>
      <c r="J1501">
        <f>BDP($B1501,"CNTRY_OF_DOMICILE")</f>
        <v/>
      </c>
      <c r="K1501" t="inlineStr">
        <is>
          <t>EC</t>
        </is>
      </c>
      <c r="L1501" t="inlineStr">
        <is>
          <t>CORP</t>
        </is>
      </c>
      <c r="M1501" t="inlineStr"/>
      <c r="N1501" t="inlineStr"/>
      <c r="O1501" s="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s="1" t="inlineStr"/>
      <c r="AR1501" s="1" t="inlineStr"/>
      <c r="AS1501" s="1" t="inlineStr"/>
      <c r="AT1501" t="inlineStr"/>
      <c r="AU1501" t="inlineStr"/>
      <c r="AV1501" t="inlineStr"/>
      <c r="AW1501" t="inlineStr"/>
      <c r="AX1501" t="inlineStr"/>
      <c r="AY1501" t="inlineStr"/>
    </row>
    <row r="1502">
      <c r="A1502" t="inlineStr">
        <is>
          <t>NYNY</t>
        </is>
      </c>
      <c r="B1502" t="inlineStr">
        <is>
          <t>L US Equity</t>
        </is>
      </c>
      <c r="C1502" s="1" t="inlineStr">
        <is>
          <t>L</t>
        </is>
      </c>
      <c r="D1502" t="inlineStr">
        <is>
          <t>Loews Corp</t>
        </is>
      </c>
      <c r="E1502">
        <f>BDP($B1502,"LEGAL_ENTITY_IDENTIFIER")</f>
        <v/>
      </c>
      <c r="F1502" t="inlineStr">
        <is>
          <t>Loews Corp</t>
        </is>
      </c>
      <c r="G1502">
        <f>custodian!D1502</f>
        <v/>
      </c>
      <c r="H1502">
        <f>BDP($B1502,"ID_ISIN")</f>
        <v/>
      </c>
      <c r="I1502" s="1" t="inlineStr">
        <is>
          <t>L</t>
        </is>
      </c>
      <c r="J1502">
        <f>BDP($B1502,"CNTRY_OF_DOMICILE")</f>
        <v/>
      </c>
      <c r="K1502" t="inlineStr">
        <is>
          <t>EC</t>
        </is>
      </c>
      <c r="L1502" t="inlineStr">
        <is>
          <t>CORP</t>
        </is>
      </c>
      <c r="M1502" t="inlineStr"/>
      <c r="N1502" t="inlineStr"/>
      <c r="O1502" s="1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s="1" t="inlineStr"/>
      <c r="AR1502" s="1" t="inlineStr"/>
      <c r="AS1502" s="1" t="inlineStr"/>
      <c r="AT1502" t="inlineStr"/>
      <c r="AU1502" t="inlineStr"/>
      <c r="AV1502" t="inlineStr"/>
      <c r="AW1502" t="inlineStr"/>
      <c r="AX1502" t="inlineStr"/>
      <c r="AY1502" t="inlineStr"/>
    </row>
    <row r="1503">
      <c r="A1503" t="inlineStr">
        <is>
          <t>NYNY</t>
        </is>
      </c>
      <c r="B1503" t="inlineStr">
        <is>
          <t>LAZ US Equity</t>
        </is>
      </c>
      <c r="C1503" s="1" t="inlineStr">
        <is>
          <t>LAZ</t>
        </is>
      </c>
      <c r="D1503" t="inlineStr">
        <is>
          <t>Lazard Inc</t>
        </is>
      </c>
      <c r="E1503">
        <f>BDP($B1503,"LEGAL_ENTITY_IDENTIFIER")</f>
        <v/>
      </c>
      <c r="F1503" t="inlineStr">
        <is>
          <t>Lazard Inc</t>
        </is>
      </c>
      <c r="G1503">
        <f>custodian!D1503</f>
        <v/>
      </c>
      <c r="H1503">
        <f>BDP($B1503,"ID_ISIN")</f>
        <v/>
      </c>
      <c r="I1503" s="1" t="inlineStr">
        <is>
          <t>LAZ</t>
        </is>
      </c>
      <c r="J1503">
        <f>BDP($B1503,"CNTRY_OF_DOMICILE")</f>
        <v/>
      </c>
      <c r="K1503" t="inlineStr">
        <is>
          <t>EC</t>
        </is>
      </c>
      <c r="L1503" t="inlineStr">
        <is>
          <t>CORP</t>
        </is>
      </c>
      <c r="M1503" t="inlineStr"/>
      <c r="N1503" t="inlineStr"/>
      <c r="O1503" s="1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s="1" t="inlineStr"/>
      <c r="AR1503" s="1" t="inlineStr"/>
      <c r="AS1503" s="1" t="inlineStr"/>
      <c r="AT1503" t="inlineStr"/>
      <c r="AU1503" t="inlineStr"/>
      <c r="AV1503" t="inlineStr"/>
      <c r="AW1503" t="inlineStr"/>
      <c r="AX1503" t="inlineStr"/>
      <c r="AY1503" t="inlineStr"/>
    </row>
    <row r="1504">
      <c r="A1504" t="inlineStr">
        <is>
          <t>NYNY</t>
        </is>
      </c>
      <c r="B1504" t="inlineStr">
        <is>
          <t>MC US Equity</t>
        </is>
      </c>
      <c r="C1504" s="1" t="inlineStr">
        <is>
          <t>MC</t>
        </is>
      </c>
      <c r="D1504" t="inlineStr">
        <is>
          <t>Moelis &amp; Co</t>
        </is>
      </c>
      <c r="E1504">
        <f>BDP($B1504,"LEGAL_ENTITY_IDENTIFIER")</f>
        <v/>
      </c>
      <c r="F1504" t="inlineStr">
        <is>
          <t>Moelis &amp; Co</t>
        </is>
      </c>
      <c r="G1504">
        <f>custodian!D1504</f>
        <v/>
      </c>
      <c r="H1504">
        <f>BDP($B1504,"ID_ISIN")</f>
        <v/>
      </c>
      <c r="I1504" s="1" t="inlineStr">
        <is>
          <t>MC</t>
        </is>
      </c>
      <c r="J1504">
        <f>BDP($B1504,"CNTRY_OF_DOMICILE")</f>
        <v/>
      </c>
      <c r="K1504" t="inlineStr">
        <is>
          <t>EC</t>
        </is>
      </c>
      <c r="L1504" t="inlineStr">
        <is>
          <t>CORP</t>
        </is>
      </c>
      <c r="M1504" t="inlineStr"/>
      <c r="N1504" t="inlineStr"/>
      <c r="O1504" s="1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s="1" t="inlineStr"/>
      <c r="AR1504" s="1" t="inlineStr"/>
      <c r="AS1504" s="1" t="inlineStr"/>
      <c r="AT1504" t="inlineStr"/>
      <c r="AU1504" t="inlineStr"/>
      <c r="AV1504" t="inlineStr"/>
      <c r="AW1504" t="inlineStr"/>
      <c r="AX1504" t="inlineStr"/>
      <c r="AY1504" t="inlineStr"/>
    </row>
    <row r="1505">
      <c r="A1505" t="inlineStr">
        <is>
          <t>NYNY</t>
        </is>
      </c>
      <c r="B1505" t="inlineStr">
        <is>
          <t>MCO US Equity</t>
        </is>
      </c>
      <c r="C1505" s="1" t="inlineStr">
        <is>
          <t>MCO</t>
        </is>
      </c>
      <c r="D1505" t="inlineStr">
        <is>
          <t>Moody's Corp</t>
        </is>
      </c>
      <c r="E1505">
        <f>BDP($B1505,"LEGAL_ENTITY_IDENTIFIER")</f>
        <v/>
      </c>
      <c r="F1505" t="inlineStr">
        <is>
          <t>Moody's Corp</t>
        </is>
      </c>
      <c r="G1505">
        <f>custodian!D1505</f>
        <v/>
      </c>
      <c r="H1505">
        <f>BDP($B1505,"ID_ISIN")</f>
        <v/>
      </c>
      <c r="I1505" s="1" t="inlineStr">
        <is>
          <t>MCO</t>
        </is>
      </c>
      <c r="J1505">
        <f>BDP($B1505,"CNTRY_OF_DOMICILE")</f>
        <v/>
      </c>
      <c r="K1505" t="inlineStr">
        <is>
          <t>EC</t>
        </is>
      </c>
      <c r="L1505" t="inlineStr">
        <is>
          <t>CORP</t>
        </is>
      </c>
      <c r="M1505" t="inlineStr"/>
      <c r="N1505" t="inlineStr"/>
      <c r="O1505" s="1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s="1" t="inlineStr"/>
      <c r="AR1505" s="1" t="inlineStr"/>
      <c r="AS1505" s="1" t="inlineStr"/>
      <c r="AT1505" t="inlineStr"/>
      <c r="AU1505" t="inlineStr"/>
      <c r="AV1505" t="inlineStr"/>
      <c r="AW1505" t="inlineStr"/>
      <c r="AX1505" t="inlineStr"/>
      <c r="AY1505" t="inlineStr"/>
    </row>
    <row r="1506">
      <c r="A1506" t="inlineStr">
        <is>
          <t>NYNY</t>
        </is>
      </c>
      <c r="B1506" t="inlineStr">
        <is>
          <t>MDB US Equity</t>
        </is>
      </c>
      <c r="C1506" s="1" t="inlineStr">
        <is>
          <t>MDB</t>
        </is>
      </c>
      <c r="D1506" t="inlineStr">
        <is>
          <t>MongoDB Inc</t>
        </is>
      </c>
      <c r="E1506">
        <f>BDP($B1506,"LEGAL_ENTITY_IDENTIFIER")</f>
        <v/>
      </c>
      <c r="F1506" t="inlineStr">
        <is>
          <t>MongoDB Inc</t>
        </is>
      </c>
      <c r="G1506">
        <f>custodian!D1506</f>
        <v/>
      </c>
      <c r="H1506">
        <f>BDP($B1506,"ID_ISIN")</f>
        <v/>
      </c>
      <c r="I1506" s="1" t="inlineStr">
        <is>
          <t>MDB</t>
        </is>
      </c>
      <c r="J1506">
        <f>BDP($B1506,"CNTRY_OF_DOMICILE")</f>
        <v/>
      </c>
      <c r="K1506" t="inlineStr">
        <is>
          <t>EC</t>
        </is>
      </c>
      <c r="L1506" t="inlineStr">
        <is>
          <t>CORP</t>
        </is>
      </c>
      <c r="M1506" t="inlineStr"/>
      <c r="N1506" t="inlineStr"/>
      <c r="O1506" s="1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s="1" t="inlineStr"/>
      <c r="AR1506" s="1" t="inlineStr"/>
      <c r="AS1506" s="1" t="inlineStr"/>
      <c r="AT1506" t="inlineStr"/>
      <c r="AU1506" t="inlineStr"/>
      <c r="AV1506" t="inlineStr"/>
      <c r="AW1506" t="inlineStr"/>
      <c r="AX1506" t="inlineStr"/>
      <c r="AY1506" t="inlineStr"/>
    </row>
    <row r="1507">
      <c r="A1507" t="inlineStr">
        <is>
          <t>NYNY</t>
        </is>
      </c>
      <c r="B1507" t="inlineStr">
        <is>
          <t>MET US Equity</t>
        </is>
      </c>
      <c r="C1507" s="1" t="inlineStr">
        <is>
          <t>MET</t>
        </is>
      </c>
      <c r="D1507" t="inlineStr">
        <is>
          <t>MetLife Inc</t>
        </is>
      </c>
      <c r="E1507">
        <f>BDP($B1507,"LEGAL_ENTITY_IDENTIFIER")</f>
        <v/>
      </c>
      <c r="F1507" t="inlineStr">
        <is>
          <t>MetLife Inc</t>
        </is>
      </c>
      <c r="G1507">
        <f>custodian!D1507</f>
        <v/>
      </c>
      <c r="H1507">
        <f>BDP($B1507,"ID_ISIN")</f>
        <v/>
      </c>
      <c r="I1507" s="1" t="inlineStr">
        <is>
          <t>MET</t>
        </is>
      </c>
      <c r="J1507">
        <f>BDP($B1507,"CNTRY_OF_DOMICILE")</f>
        <v/>
      </c>
      <c r="K1507" t="inlineStr">
        <is>
          <t>EC</t>
        </is>
      </c>
      <c r="L1507" t="inlineStr">
        <is>
          <t>CORP</t>
        </is>
      </c>
      <c r="M1507" t="inlineStr"/>
      <c r="N1507" t="inlineStr"/>
      <c r="O1507" s="1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s="1" t="inlineStr"/>
      <c r="AR1507" s="1" t="inlineStr"/>
      <c r="AS1507" s="1" t="inlineStr"/>
      <c r="AT1507" t="inlineStr"/>
      <c r="AU1507" t="inlineStr"/>
      <c r="AV1507" t="inlineStr"/>
      <c r="AW1507" t="inlineStr"/>
      <c r="AX1507" t="inlineStr"/>
      <c r="AY1507" t="inlineStr"/>
    </row>
    <row r="1508">
      <c r="A1508" t="inlineStr">
        <is>
          <t>NYNY</t>
        </is>
      </c>
      <c r="B1508" t="inlineStr">
        <is>
          <t>MKTX US Equity</t>
        </is>
      </c>
      <c r="C1508" s="1" t="inlineStr">
        <is>
          <t>MKTX</t>
        </is>
      </c>
      <c r="D1508" t="inlineStr">
        <is>
          <t>MarketAxess Holdings Inc</t>
        </is>
      </c>
      <c r="E1508">
        <f>BDP($B1508,"LEGAL_ENTITY_IDENTIFIER")</f>
        <v/>
      </c>
      <c r="F1508" t="inlineStr">
        <is>
          <t>MarketAxess Holdings Inc</t>
        </is>
      </c>
      <c r="G1508">
        <f>custodian!D1508</f>
        <v/>
      </c>
      <c r="H1508">
        <f>BDP($B1508,"ID_ISIN")</f>
        <v/>
      </c>
      <c r="I1508" s="1" t="inlineStr">
        <is>
          <t>MKTX</t>
        </is>
      </c>
      <c r="J1508">
        <f>BDP($B1508,"CNTRY_OF_DOMICILE")</f>
        <v/>
      </c>
      <c r="K1508" t="inlineStr">
        <is>
          <t>EC</t>
        </is>
      </c>
      <c r="L1508" t="inlineStr">
        <is>
          <t>CORP</t>
        </is>
      </c>
      <c r="M1508" t="inlineStr"/>
      <c r="N1508" t="inlineStr"/>
      <c r="O1508" s="1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s="1" t="inlineStr"/>
      <c r="AR1508" s="1" t="inlineStr"/>
      <c r="AS1508" s="1" t="inlineStr"/>
      <c r="AT1508" t="inlineStr"/>
      <c r="AU1508" t="inlineStr"/>
      <c r="AV1508" t="inlineStr"/>
      <c r="AW1508" t="inlineStr"/>
      <c r="AX1508" t="inlineStr"/>
      <c r="AY1508" t="inlineStr"/>
    </row>
    <row r="1509">
      <c r="A1509" t="inlineStr">
        <is>
          <t>NYNY</t>
        </is>
      </c>
      <c r="B1509" t="inlineStr">
        <is>
          <t>MRSH US Equity</t>
        </is>
      </c>
      <c r="C1509" s="1" t="inlineStr">
        <is>
          <t>MRSH</t>
        </is>
      </c>
      <c r="D1509" t="inlineStr">
        <is>
          <t>Marsh &amp; McLennan Cos Inc</t>
        </is>
      </c>
      <c r="E1509">
        <f>BDP($B1509,"LEGAL_ENTITY_IDENTIFIER")</f>
        <v/>
      </c>
      <c r="F1509" t="inlineStr">
        <is>
          <t>Marsh &amp; McLennan Cos Inc</t>
        </is>
      </c>
      <c r="G1509">
        <f>custodian!D1509</f>
        <v/>
      </c>
      <c r="H1509">
        <f>BDP($B1509,"ID_ISIN")</f>
        <v/>
      </c>
      <c r="I1509" s="1" t="inlineStr">
        <is>
          <t>MRSH</t>
        </is>
      </c>
      <c r="J1509">
        <f>BDP($B1509,"CNTRY_OF_DOMICILE")</f>
        <v/>
      </c>
      <c r="K1509" t="inlineStr">
        <is>
          <t>EC</t>
        </is>
      </c>
      <c r="L1509" t="inlineStr">
        <is>
          <t>CORP</t>
        </is>
      </c>
      <c r="M1509" t="inlineStr"/>
      <c r="N1509" t="inlineStr"/>
      <c r="O1509" s="1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s="1" t="inlineStr"/>
      <c r="AR1509" s="1" t="inlineStr"/>
      <c r="AS1509" s="1" t="inlineStr"/>
      <c r="AT1509" t="inlineStr"/>
      <c r="AU1509" t="inlineStr"/>
      <c r="AV1509" t="inlineStr"/>
      <c r="AW1509" t="inlineStr"/>
      <c r="AX1509" t="inlineStr"/>
      <c r="AY1509" t="inlineStr"/>
    </row>
    <row r="1510">
      <c r="A1510" t="inlineStr">
        <is>
          <t>NYNY</t>
        </is>
      </c>
      <c r="B1510" t="inlineStr">
        <is>
          <t>MS US Equity</t>
        </is>
      </c>
      <c r="C1510" s="1" t="inlineStr">
        <is>
          <t>MS</t>
        </is>
      </c>
      <c r="D1510" t="inlineStr">
        <is>
          <t>Morgan Stanley</t>
        </is>
      </c>
      <c r="E1510">
        <f>BDP($B1510,"LEGAL_ENTITY_IDENTIFIER")</f>
        <v/>
      </c>
      <c r="F1510" t="inlineStr">
        <is>
          <t>Morgan Stanley</t>
        </is>
      </c>
      <c r="G1510">
        <f>custodian!D1510</f>
        <v/>
      </c>
      <c r="H1510">
        <f>BDP($B1510,"ID_ISIN")</f>
        <v/>
      </c>
      <c r="I1510" s="1" t="inlineStr">
        <is>
          <t>MS</t>
        </is>
      </c>
      <c r="J1510">
        <f>BDP($B1510,"CNTRY_OF_DOMICILE")</f>
        <v/>
      </c>
      <c r="K1510" t="inlineStr">
        <is>
          <t>EC</t>
        </is>
      </c>
      <c r="L1510" t="inlineStr">
        <is>
          <t>CORP</t>
        </is>
      </c>
      <c r="M1510" t="inlineStr"/>
      <c r="N1510" t="inlineStr"/>
      <c r="O1510" s="1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s="1" t="inlineStr"/>
      <c r="AR1510" s="1" t="inlineStr"/>
      <c r="AS1510" s="1" t="inlineStr"/>
      <c r="AT1510" t="inlineStr"/>
      <c r="AU1510" t="inlineStr"/>
      <c r="AV1510" t="inlineStr"/>
      <c r="AW1510" t="inlineStr"/>
      <c r="AX1510" t="inlineStr"/>
      <c r="AY1510" t="inlineStr"/>
    </row>
    <row r="1511">
      <c r="A1511" t="inlineStr">
        <is>
          <t>NYNY</t>
        </is>
      </c>
      <c r="B1511" t="inlineStr">
        <is>
          <t>MSCI US Equity</t>
        </is>
      </c>
      <c r="C1511" s="1" t="inlineStr">
        <is>
          <t>MSCI</t>
        </is>
      </c>
      <c r="D1511" t="inlineStr">
        <is>
          <t>MSCI Inc</t>
        </is>
      </c>
      <c r="E1511">
        <f>BDP($B1511,"LEGAL_ENTITY_IDENTIFIER")</f>
        <v/>
      </c>
      <c r="F1511" t="inlineStr">
        <is>
          <t>MSCI Inc</t>
        </is>
      </c>
      <c r="G1511">
        <f>custodian!D1511</f>
        <v/>
      </c>
      <c r="H1511">
        <f>BDP($B1511,"ID_ISIN")</f>
        <v/>
      </c>
      <c r="I1511" s="1" t="inlineStr">
        <is>
          <t>MSCI</t>
        </is>
      </c>
      <c r="J1511">
        <f>BDP($B1511,"CNTRY_OF_DOMICILE")</f>
        <v/>
      </c>
      <c r="K1511" t="inlineStr">
        <is>
          <t>EC</t>
        </is>
      </c>
      <c r="L1511" t="inlineStr">
        <is>
          <t>CORP</t>
        </is>
      </c>
      <c r="M1511" t="inlineStr"/>
      <c r="N1511" t="inlineStr"/>
      <c r="O1511" s="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s="1" t="inlineStr"/>
      <c r="AR1511" s="1" t="inlineStr"/>
      <c r="AS1511" s="1" t="inlineStr"/>
      <c r="AT1511" t="inlineStr"/>
      <c r="AU1511" t="inlineStr"/>
      <c r="AV1511" t="inlineStr"/>
      <c r="AW1511" t="inlineStr"/>
      <c r="AX1511" t="inlineStr"/>
      <c r="AY1511" t="inlineStr"/>
    </row>
    <row r="1512">
      <c r="A1512" t="inlineStr">
        <is>
          <t>NYNY</t>
        </is>
      </c>
      <c r="B1512" t="inlineStr">
        <is>
          <t>MSGS US Equity</t>
        </is>
      </c>
      <c r="C1512" s="1" t="inlineStr">
        <is>
          <t>MSGS</t>
        </is>
      </c>
      <c r="D1512" t="inlineStr">
        <is>
          <t>Madison Square Garden Sports C</t>
        </is>
      </c>
      <c r="E1512">
        <f>BDP($B1512,"LEGAL_ENTITY_IDENTIFIER")</f>
        <v/>
      </c>
      <c r="F1512" t="inlineStr">
        <is>
          <t>Madison Square Garden Sports Corp</t>
        </is>
      </c>
      <c r="G1512">
        <f>custodian!D1512</f>
        <v/>
      </c>
      <c r="H1512">
        <f>BDP($B1512,"ID_ISIN")</f>
        <v/>
      </c>
      <c r="I1512" s="1" t="inlineStr">
        <is>
          <t>MSGS</t>
        </is>
      </c>
      <c r="J1512">
        <f>BDP($B1512,"CNTRY_OF_DOMICILE")</f>
        <v/>
      </c>
      <c r="K1512" t="inlineStr">
        <is>
          <t>EC</t>
        </is>
      </c>
      <c r="L1512" t="inlineStr">
        <is>
          <t>CORP</t>
        </is>
      </c>
      <c r="M1512" t="inlineStr"/>
      <c r="N1512" t="inlineStr"/>
      <c r="O1512" s="1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s="1" t="inlineStr"/>
      <c r="AR1512" s="1" t="inlineStr"/>
      <c r="AS1512" s="1" t="inlineStr"/>
      <c r="AT1512" t="inlineStr"/>
      <c r="AU1512" t="inlineStr"/>
      <c r="AV1512" t="inlineStr"/>
      <c r="AW1512" t="inlineStr"/>
      <c r="AX1512" t="inlineStr"/>
      <c r="AY1512" t="inlineStr"/>
    </row>
    <row r="1513">
      <c r="A1513" t="inlineStr">
        <is>
          <t>NYNY</t>
        </is>
      </c>
      <c r="B1513" t="inlineStr">
        <is>
          <t>NDAQ US Equity</t>
        </is>
      </c>
      <c r="C1513" s="1" t="inlineStr">
        <is>
          <t>NDAQ</t>
        </is>
      </c>
      <c r="D1513" t="inlineStr">
        <is>
          <t>Nasdaq Inc</t>
        </is>
      </c>
      <c r="E1513">
        <f>BDP($B1513,"LEGAL_ENTITY_IDENTIFIER")</f>
        <v/>
      </c>
      <c r="F1513" t="inlineStr">
        <is>
          <t>Nasdaq Inc</t>
        </is>
      </c>
      <c r="G1513">
        <f>custodian!D1513</f>
        <v/>
      </c>
      <c r="H1513">
        <f>BDP($B1513,"ID_ISIN")</f>
        <v/>
      </c>
      <c r="I1513" s="1" t="inlineStr">
        <is>
          <t>NDAQ</t>
        </is>
      </c>
      <c r="J1513">
        <f>BDP($B1513,"CNTRY_OF_DOMICILE")</f>
        <v/>
      </c>
      <c r="K1513" t="inlineStr">
        <is>
          <t>EC</t>
        </is>
      </c>
      <c r="L1513" t="inlineStr">
        <is>
          <t>CORP</t>
        </is>
      </c>
      <c r="M1513" t="inlineStr"/>
      <c r="N1513" t="inlineStr"/>
      <c r="O1513" s="1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s="1" t="inlineStr"/>
      <c r="AR1513" s="1" t="inlineStr"/>
      <c r="AS1513" s="1" t="inlineStr"/>
      <c r="AT1513" t="inlineStr"/>
      <c r="AU1513" t="inlineStr"/>
      <c r="AV1513" t="inlineStr"/>
      <c r="AW1513" t="inlineStr"/>
      <c r="AX1513" t="inlineStr"/>
      <c r="AY1513" t="inlineStr"/>
    </row>
    <row r="1514">
      <c r="A1514" t="inlineStr">
        <is>
          <t>NYNY</t>
        </is>
      </c>
      <c r="B1514" t="inlineStr">
        <is>
          <t>NLY US Equity</t>
        </is>
      </c>
      <c r="C1514" s="1" t="inlineStr">
        <is>
          <t>NLY</t>
        </is>
      </c>
      <c r="D1514" t="inlineStr">
        <is>
          <t>Annaly Capital Management Inc</t>
        </is>
      </c>
      <c r="E1514">
        <f>BDP($B1514,"LEGAL_ENTITY_IDENTIFIER")</f>
        <v/>
      </c>
      <c r="F1514" t="inlineStr">
        <is>
          <t>Annaly Capital Management Inc</t>
        </is>
      </c>
      <c r="G1514">
        <f>custodian!D1514</f>
        <v/>
      </c>
      <c r="H1514">
        <f>BDP($B1514,"ID_ISIN")</f>
        <v/>
      </c>
      <c r="I1514" s="1" t="inlineStr">
        <is>
          <t>NLY</t>
        </is>
      </c>
      <c r="J1514">
        <f>BDP($B1514,"CNTRY_OF_DOMICILE")</f>
        <v/>
      </c>
      <c r="K1514" t="inlineStr">
        <is>
          <t>EC</t>
        </is>
      </c>
      <c r="L1514" t="inlineStr">
        <is>
          <t>CORP</t>
        </is>
      </c>
      <c r="M1514" t="inlineStr"/>
      <c r="N1514" t="inlineStr"/>
      <c r="O1514" s="1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s="1" t="inlineStr"/>
      <c r="AR1514" s="1" t="inlineStr"/>
      <c r="AS1514" s="1" t="inlineStr"/>
      <c r="AT1514" t="inlineStr"/>
      <c r="AU1514" t="inlineStr"/>
      <c r="AV1514" t="inlineStr"/>
      <c r="AW1514" t="inlineStr"/>
      <c r="AX1514" t="inlineStr"/>
      <c r="AY1514" t="inlineStr"/>
    </row>
    <row r="1515">
      <c r="A1515" t="inlineStr">
        <is>
          <t>NYNY</t>
        </is>
      </c>
      <c r="B1515" t="inlineStr">
        <is>
          <t>NWSA US Equity</t>
        </is>
      </c>
      <c r="C1515" s="1" t="inlineStr">
        <is>
          <t>NWSA</t>
        </is>
      </c>
      <c r="D1515" t="inlineStr">
        <is>
          <t>News Corp</t>
        </is>
      </c>
      <c r="E1515">
        <f>BDP($B1515,"LEGAL_ENTITY_IDENTIFIER")</f>
        <v/>
      </c>
      <c r="F1515" t="inlineStr">
        <is>
          <t>News Corp</t>
        </is>
      </c>
      <c r="G1515">
        <f>custodian!D1515</f>
        <v/>
      </c>
      <c r="H1515">
        <f>BDP($B1515,"ID_ISIN")</f>
        <v/>
      </c>
      <c r="I1515" s="1" t="inlineStr">
        <is>
          <t>NWSA</t>
        </is>
      </c>
      <c r="J1515">
        <f>BDP($B1515,"CNTRY_OF_DOMICILE")</f>
        <v/>
      </c>
      <c r="K1515" t="inlineStr">
        <is>
          <t>EC</t>
        </is>
      </c>
      <c r="L1515" t="inlineStr">
        <is>
          <t>CORP</t>
        </is>
      </c>
      <c r="M1515" t="inlineStr"/>
      <c r="N1515" t="inlineStr"/>
      <c r="O1515" s="1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s="1" t="inlineStr"/>
      <c r="AR1515" s="1" t="inlineStr"/>
      <c r="AS1515" s="1" t="inlineStr"/>
      <c r="AT1515" t="inlineStr"/>
      <c r="AU1515" t="inlineStr"/>
      <c r="AV1515" t="inlineStr"/>
      <c r="AW1515" t="inlineStr"/>
      <c r="AX1515" t="inlineStr"/>
      <c r="AY1515" t="inlineStr"/>
    </row>
    <row r="1516">
      <c r="A1516" t="inlineStr">
        <is>
          <t>NYNY</t>
        </is>
      </c>
      <c r="B1516" t="inlineStr">
        <is>
          <t>NYT US Equity</t>
        </is>
      </c>
      <c r="C1516" s="1" t="inlineStr">
        <is>
          <t>NYT</t>
        </is>
      </c>
      <c r="D1516" t="inlineStr">
        <is>
          <t>New York Times Co/The</t>
        </is>
      </c>
      <c r="E1516">
        <f>BDP($B1516,"LEGAL_ENTITY_IDENTIFIER")</f>
        <v/>
      </c>
      <c r="F1516" t="inlineStr">
        <is>
          <t>New York Times Co/The</t>
        </is>
      </c>
      <c r="G1516">
        <f>custodian!D1516</f>
        <v/>
      </c>
      <c r="H1516">
        <f>BDP($B1516,"ID_ISIN")</f>
        <v/>
      </c>
      <c r="I1516" s="1" t="inlineStr">
        <is>
          <t>NYT</t>
        </is>
      </c>
      <c r="J1516">
        <f>BDP($B1516,"CNTRY_OF_DOMICILE")</f>
        <v/>
      </c>
      <c r="K1516" t="inlineStr">
        <is>
          <t>EC</t>
        </is>
      </c>
      <c r="L1516" t="inlineStr">
        <is>
          <t>CORP</t>
        </is>
      </c>
      <c r="M1516" t="inlineStr"/>
      <c r="N1516" t="inlineStr"/>
      <c r="O1516" s="1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s="1" t="inlineStr"/>
      <c r="AR1516" s="1" t="inlineStr"/>
      <c r="AS1516" s="1" t="inlineStr"/>
      <c r="AT1516" t="inlineStr"/>
      <c r="AU1516" t="inlineStr"/>
      <c r="AV1516" t="inlineStr"/>
      <c r="AW1516" t="inlineStr"/>
      <c r="AX1516" t="inlineStr"/>
      <c r="AY1516" t="inlineStr"/>
    </row>
    <row r="1517">
      <c r="A1517" t="inlineStr">
        <is>
          <t>NYNY</t>
        </is>
      </c>
      <c r="B1517" t="inlineStr">
        <is>
          <t>OMC US Equity</t>
        </is>
      </c>
      <c r="C1517" s="1" t="inlineStr">
        <is>
          <t>OMC</t>
        </is>
      </c>
      <c r="D1517" t="inlineStr">
        <is>
          <t>Omnicom Group Inc</t>
        </is>
      </c>
      <c r="E1517">
        <f>BDP($B1517,"LEGAL_ENTITY_IDENTIFIER")</f>
        <v/>
      </c>
      <c r="F1517" t="inlineStr">
        <is>
          <t>Omnicom Group Inc</t>
        </is>
      </c>
      <c r="G1517">
        <f>custodian!D1517</f>
        <v/>
      </c>
      <c r="H1517">
        <f>BDP($B1517,"ID_ISIN")</f>
        <v/>
      </c>
      <c r="I1517" s="1" t="inlineStr">
        <is>
          <t>OMC</t>
        </is>
      </c>
      <c r="J1517">
        <f>BDP($B1517,"CNTRY_OF_DOMICILE")</f>
        <v/>
      </c>
      <c r="K1517" t="inlineStr">
        <is>
          <t>EC</t>
        </is>
      </c>
      <c r="L1517" t="inlineStr">
        <is>
          <t>CORP</t>
        </is>
      </c>
      <c r="M1517" t="inlineStr"/>
      <c r="N1517" t="inlineStr"/>
      <c r="O1517" s="1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s="1" t="inlineStr"/>
      <c r="AR1517" s="1" t="inlineStr"/>
      <c r="AS1517" s="1" t="inlineStr"/>
      <c r="AT1517" t="inlineStr"/>
      <c r="AU1517" t="inlineStr"/>
      <c r="AV1517" t="inlineStr"/>
      <c r="AW1517" t="inlineStr"/>
      <c r="AX1517" t="inlineStr"/>
      <c r="AY1517" t="inlineStr"/>
    </row>
    <row r="1518">
      <c r="A1518" t="inlineStr">
        <is>
          <t>NYNY</t>
        </is>
      </c>
      <c r="B1518" t="inlineStr">
        <is>
          <t>OWL US Equity</t>
        </is>
      </c>
      <c r="C1518" s="1" t="inlineStr">
        <is>
          <t>OWL</t>
        </is>
      </c>
      <c r="D1518" t="inlineStr">
        <is>
          <t>Blue Owl Capital Inc</t>
        </is>
      </c>
      <c r="E1518">
        <f>BDP($B1518,"LEGAL_ENTITY_IDENTIFIER")</f>
        <v/>
      </c>
      <c r="F1518" t="inlineStr">
        <is>
          <t>Blue Owl Capital Inc</t>
        </is>
      </c>
      <c r="G1518">
        <f>custodian!D1518</f>
        <v/>
      </c>
      <c r="H1518">
        <f>BDP($B1518,"ID_ISIN")</f>
        <v/>
      </c>
      <c r="I1518" s="1" t="inlineStr">
        <is>
          <t>OWL</t>
        </is>
      </c>
      <c r="J1518">
        <f>BDP($B1518,"CNTRY_OF_DOMICILE")</f>
        <v/>
      </c>
      <c r="K1518" t="inlineStr">
        <is>
          <t>EC</t>
        </is>
      </c>
      <c r="L1518" t="inlineStr">
        <is>
          <t>CORP</t>
        </is>
      </c>
      <c r="M1518" t="inlineStr"/>
      <c r="N1518" t="inlineStr"/>
      <c r="O1518" s="1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s="1" t="inlineStr"/>
      <c r="AR1518" s="1" t="inlineStr"/>
      <c r="AS1518" s="1" t="inlineStr"/>
      <c r="AT1518" t="inlineStr"/>
      <c r="AU1518" t="inlineStr"/>
      <c r="AV1518" t="inlineStr"/>
      <c r="AW1518" t="inlineStr"/>
      <c r="AX1518" t="inlineStr"/>
      <c r="AY1518" t="inlineStr"/>
    </row>
    <row r="1519">
      <c r="A1519" t="inlineStr">
        <is>
          <t>NYNY</t>
        </is>
      </c>
      <c r="B1519" t="inlineStr">
        <is>
          <t>PFE US Equity</t>
        </is>
      </c>
      <c r="C1519" s="1" t="inlineStr">
        <is>
          <t>PFE</t>
        </is>
      </c>
      <c r="D1519" t="inlineStr">
        <is>
          <t>Pfizer Inc</t>
        </is>
      </c>
      <c r="E1519">
        <f>BDP($B1519,"LEGAL_ENTITY_IDENTIFIER")</f>
        <v/>
      </c>
      <c r="F1519" t="inlineStr">
        <is>
          <t>Pfizer Inc</t>
        </is>
      </c>
      <c r="G1519">
        <f>custodian!D1519</f>
        <v/>
      </c>
      <c r="H1519">
        <f>BDP($B1519,"ID_ISIN")</f>
        <v/>
      </c>
      <c r="I1519" s="1" t="inlineStr">
        <is>
          <t>PFE</t>
        </is>
      </c>
      <c r="J1519">
        <f>BDP($B1519,"CNTRY_OF_DOMICILE")</f>
        <v/>
      </c>
      <c r="K1519" t="inlineStr">
        <is>
          <t>EC</t>
        </is>
      </c>
      <c r="L1519" t="inlineStr">
        <is>
          <t>CORP</t>
        </is>
      </c>
      <c r="M1519" t="inlineStr"/>
      <c r="N1519" t="inlineStr"/>
      <c r="O1519" s="1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s="1" t="inlineStr"/>
      <c r="AR1519" s="1" t="inlineStr"/>
      <c r="AS1519" s="1" t="inlineStr"/>
      <c r="AT1519" t="inlineStr"/>
      <c r="AU1519" t="inlineStr"/>
      <c r="AV1519" t="inlineStr"/>
      <c r="AW1519" t="inlineStr"/>
      <c r="AX1519" t="inlineStr"/>
      <c r="AY1519" t="inlineStr"/>
    </row>
    <row r="1520">
      <c r="A1520" t="inlineStr">
        <is>
          <t>NYNY</t>
        </is>
      </c>
      <c r="B1520" t="inlineStr">
        <is>
          <t>PJT US Equity</t>
        </is>
      </c>
      <c r="C1520" s="1" t="inlineStr">
        <is>
          <t>PJT</t>
        </is>
      </c>
      <c r="D1520" t="inlineStr">
        <is>
          <t>PJT Partners Inc</t>
        </is>
      </c>
      <c r="E1520">
        <f>BDP($B1520,"LEGAL_ENTITY_IDENTIFIER")</f>
        <v/>
      </c>
      <c r="F1520" t="inlineStr">
        <is>
          <t>PJT Partners Inc</t>
        </is>
      </c>
      <c r="G1520">
        <f>custodian!D1520</f>
        <v/>
      </c>
      <c r="H1520">
        <f>BDP($B1520,"ID_ISIN")</f>
        <v/>
      </c>
      <c r="I1520" s="1" t="inlineStr">
        <is>
          <t>PJT</t>
        </is>
      </c>
      <c r="J1520">
        <f>BDP($B1520,"CNTRY_OF_DOMICILE")</f>
        <v/>
      </c>
      <c r="K1520" t="inlineStr">
        <is>
          <t>EC</t>
        </is>
      </c>
      <c r="L1520" t="inlineStr">
        <is>
          <t>CORP</t>
        </is>
      </c>
      <c r="M1520" t="inlineStr"/>
      <c r="N1520" t="inlineStr"/>
      <c r="O1520" s="1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s="1" t="inlineStr"/>
      <c r="AR1520" s="1" t="inlineStr"/>
      <c r="AS1520" s="1" t="inlineStr"/>
      <c r="AT1520" t="inlineStr"/>
      <c r="AU1520" t="inlineStr"/>
      <c r="AV1520" t="inlineStr"/>
      <c r="AW1520" t="inlineStr"/>
      <c r="AX1520" t="inlineStr"/>
      <c r="AY1520" t="inlineStr"/>
    </row>
    <row r="1521">
      <c r="A1521" t="inlineStr">
        <is>
          <t>NYNY</t>
        </is>
      </c>
      <c r="B1521" t="inlineStr">
        <is>
          <t>PSKY US Equity</t>
        </is>
      </c>
      <c r="C1521" s="1" t="inlineStr">
        <is>
          <t>PSKY</t>
        </is>
      </c>
      <c r="D1521" t="inlineStr">
        <is>
          <t>Paramount Skydance Corp</t>
        </is>
      </c>
      <c r="E1521">
        <f>BDP($B1521,"LEGAL_ENTITY_IDENTIFIER")</f>
        <v/>
      </c>
      <c r="F1521" t="inlineStr">
        <is>
          <t>Paramount Skydance Corp</t>
        </is>
      </c>
      <c r="G1521">
        <f>custodian!D1521</f>
        <v/>
      </c>
      <c r="H1521">
        <f>BDP($B1521,"ID_ISIN")</f>
        <v/>
      </c>
      <c r="I1521" s="1" t="inlineStr">
        <is>
          <t>PSKY</t>
        </is>
      </c>
      <c r="J1521">
        <f>BDP($B1521,"CNTRY_OF_DOMICILE")</f>
        <v/>
      </c>
      <c r="K1521" t="inlineStr">
        <is>
          <t>EC</t>
        </is>
      </c>
      <c r="L1521" t="inlineStr">
        <is>
          <t>CORP</t>
        </is>
      </c>
      <c r="M1521" t="inlineStr"/>
      <c r="N1521" t="inlineStr"/>
      <c r="O1521" s="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s="1" t="inlineStr"/>
      <c r="AR1521" s="1" t="inlineStr"/>
      <c r="AS1521" s="1" t="inlineStr"/>
      <c r="AT1521" t="inlineStr"/>
      <c r="AU1521" t="inlineStr"/>
      <c r="AV1521" t="inlineStr"/>
      <c r="AW1521" t="inlineStr"/>
      <c r="AX1521" t="inlineStr"/>
      <c r="AY1521" t="inlineStr"/>
    </row>
    <row r="1522">
      <c r="A1522" t="inlineStr">
        <is>
          <t>NYNY</t>
        </is>
      </c>
      <c r="B1522" t="inlineStr">
        <is>
          <t>RITM US Equity</t>
        </is>
      </c>
      <c r="C1522" s="1" t="inlineStr">
        <is>
          <t>RITM</t>
        </is>
      </c>
      <c r="D1522" t="inlineStr">
        <is>
          <t>Rithm Capital Corp</t>
        </is>
      </c>
      <c r="E1522">
        <f>BDP($B1522,"LEGAL_ENTITY_IDENTIFIER")</f>
        <v/>
      </c>
      <c r="F1522" t="inlineStr">
        <is>
          <t>Rithm Capital Corp</t>
        </is>
      </c>
      <c r="G1522">
        <f>custodian!D1522</f>
        <v/>
      </c>
      <c r="H1522">
        <f>BDP($B1522,"ID_ISIN")</f>
        <v/>
      </c>
      <c r="I1522" s="1" t="inlineStr">
        <is>
          <t>RITM</t>
        </is>
      </c>
      <c r="J1522">
        <f>BDP($B1522,"CNTRY_OF_DOMICILE")</f>
        <v/>
      </c>
      <c r="K1522" t="inlineStr">
        <is>
          <t>EC</t>
        </is>
      </c>
      <c r="L1522" t="inlineStr">
        <is>
          <t>CORP</t>
        </is>
      </c>
      <c r="M1522" t="inlineStr"/>
      <c r="N1522" t="inlineStr"/>
      <c r="O1522" s="1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s="1" t="inlineStr"/>
      <c r="AR1522" s="1" t="inlineStr"/>
      <c r="AS1522" s="1" t="inlineStr"/>
      <c r="AT1522" t="inlineStr"/>
      <c r="AU1522" t="inlineStr"/>
      <c r="AV1522" t="inlineStr"/>
      <c r="AW1522" t="inlineStr"/>
      <c r="AX1522" t="inlineStr"/>
      <c r="AY1522" t="inlineStr"/>
    </row>
    <row r="1523">
      <c r="A1523" t="inlineStr">
        <is>
          <t>NYNY</t>
        </is>
      </c>
      <c r="B1523" t="inlineStr">
        <is>
          <t>RL US Equity</t>
        </is>
      </c>
      <c r="C1523" s="1" t="inlineStr">
        <is>
          <t>RL</t>
        </is>
      </c>
      <c r="D1523" t="inlineStr">
        <is>
          <t>Ralph Lauren Corp</t>
        </is>
      </c>
      <c r="E1523">
        <f>BDP($B1523,"LEGAL_ENTITY_IDENTIFIER")</f>
        <v/>
      </c>
      <c r="F1523" t="inlineStr">
        <is>
          <t>Ralph Lauren Corp</t>
        </is>
      </c>
      <c r="G1523">
        <f>custodian!D1523</f>
        <v/>
      </c>
      <c r="H1523">
        <f>BDP($B1523,"ID_ISIN")</f>
        <v/>
      </c>
      <c r="I1523" s="1" t="inlineStr">
        <is>
          <t>RL</t>
        </is>
      </c>
      <c r="J1523">
        <f>BDP($B1523,"CNTRY_OF_DOMICILE")</f>
        <v/>
      </c>
      <c r="K1523" t="inlineStr">
        <is>
          <t>EC</t>
        </is>
      </c>
      <c r="L1523" t="inlineStr">
        <is>
          <t>CORP</t>
        </is>
      </c>
      <c r="M1523" t="inlineStr"/>
      <c r="N1523" t="inlineStr"/>
      <c r="O1523" s="1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s="1" t="inlineStr"/>
      <c r="AR1523" s="1" t="inlineStr"/>
      <c r="AS1523" s="1" t="inlineStr"/>
      <c r="AT1523" t="inlineStr"/>
      <c r="AU1523" t="inlineStr"/>
      <c r="AV1523" t="inlineStr"/>
      <c r="AW1523" t="inlineStr"/>
      <c r="AX1523" t="inlineStr"/>
      <c r="AY1523" t="inlineStr"/>
    </row>
    <row r="1524">
      <c r="A1524" t="inlineStr">
        <is>
          <t>NYNY</t>
        </is>
      </c>
      <c r="B1524" t="inlineStr">
        <is>
          <t>SNEX US Equity</t>
        </is>
      </c>
      <c r="C1524" s="1" t="inlineStr">
        <is>
          <t>SNEX</t>
        </is>
      </c>
      <c r="D1524" t="inlineStr">
        <is>
          <t>StoneX Group Inc</t>
        </is>
      </c>
      <c r="E1524">
        <f>BDP($B1524,"LEGAL_ENTITY_IDENTIFIER")</f>
        <v/>
      </c>
      <c r="F1524" t="inlineStr">
        <is>
          <t>StoneX Group Inc</t>
        </is>
      </c>
      <c r="G1524">
        <f>custodian!D1524</f>
        <v/>
      </c>
      <c r="H1524">
        <f>BDP($B1524,"ID_ISIN")</f>
        <v/>
      </c>
      <c r="I1524" s="1" t="inlineStr">
        <is>
          <t>SNEX</t>
        </is>
      </c>
      <c r="J1524">
        <f>BDP($B1524,"CNTRY_OF_DOMICILE")</f>
        <v/>
      </c>
      <c r="K1524" t="inlineStr">
        <is>
          <t>EC</t>
        </is>
      </c>
      <c r="L1524" t="inlineStr">
        <is>
          <t>CORP</t>
        </is>
      </c>
      <c r="M1524" t="inlineStr"/>
      <c r="N1524" t="inlineStr"/>
      <c r="O1524" s="1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s="1" t="inlineStr"/>
      <c r="AR1524" s="1" t="inlineStr"/>
      <c r="AS1524" s="1" t="inlineStr"/>
      <c r="AT1524" t="inlineStr"/>
      <c r="AU1524" t="inlineStr"/>
      <c r="AV1524" t="inlineStr"/>
      <c r="AW1524" t="inlineStr"/>
      <c r="AX1524" t="inlineStr"/>
      <c r="AY1524" t="inlineStr"/>
    </row>
    <row r="1525">
      <c r="A1525" t="inlineStr">
        <is>
          <t>NYNY</t>
        </is>
      </c>
      <c r="B1525" t="inlineStr">
        <is>
          <t>SPGI US Equity</t>
        </is>
      </c>
      <c r="C1525" s="1" t="inlineStr">
        <is>
          <t>SPGI</t>
        </is>
      </c>
      <c r="D1525" t="inlineStr">
        <is>
          <t>S&amp;P Global Inc</t>
        </is>
      </c>
      <c r="E1525">
        <f>BDP($B1525,"LEGAL_ENTITY_IDENTIFIER")</f>
        <v/>
      </c>
      <c r="F1525" t="inlineStr">
        <is>
          <t>S&amp;P Global Inc</t>
        </is>
      </c>
      <c r="G1525">
        <f>custodian!D1525</f>
        <v/>
      </c>
      <c r="H1525">
        <f>BDP($B1525,"ID_ISIN")</f>
        <v/>
      </c>
      <c r="I1525" s="1" t="inlineStr">
        <is>
          <t>SPGI</t>
        </is>
      </c>
      <c r="J1525">
        <f>BDP($B1525,"CNTRY_OF_DOMICILE")</f>
        <v/>
      </c>
      <c r="K1525" t="inlineStr">
        <is>
          <t>EC</t>
        </is>
      </c>
      <c r="L1525" t="inlineStr">
        <is>
          <t>CORP</t>
        </is>
      </c>
      <c r="M1525" t="inlineStr"/>
      <c r="N1525" t="inlineStr"/>
      <c r="O1525" s="1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s="1" t="inlineStr"/>
      <c r="AR1525" s="1" t="inlineStr"/>
      <c r="AS1525" s="1" t="inlineStr"/>
      <c r="AT1525" t="inlineStr"/>
      <c r="AU1525" t="inlineStr"/>
      <c r="AV1525" t="inlineStr"/>
      <c r="AW1525" t="inlineStr"/>
      <c r="AX1525" t="inlineStr"/>
      <c r="AY1525" t="inlineStr"/>
    </row>
    <row r="1526">
      <c r="A1526" t="inlineStr">
        <is>
          <t>NYNY</t>
        </is>
      </c>
      <c r="B1526" t="inlineStr">
        <is>
          <t>TPR US Equity</t>
        </is>
      </c>
      <c r="C1526" s="1" t="inlineStr">
        <is>
          <t>TPR</t>
        </is>
      </c>
      <c r="D1526" t="inlineStr">
        <is>
          <t>Tapestry Inc</t>
        </is>
      </c>
      <c r="E1526">
        <f>BDP($B1526,"LEGAL_ENTITY_IDENTIFIER")</f>
        <v/>
      </c>
      <c r="F1526" t="inlineStr">
        <is>
          <t>Tapestry Inc</t>
        </is>
      </c>
      <c r="G1526">
        <f>custodian!D1526</f>
        <v/>
      </c>
      <c r="H1526">
        <f>BDP($B1526,"ID_ISIN")</f>
        <v/>
      </c>
      <c r="I1526" s="1" t="inlineStr">
        <is>
          <t>TPR</t>
        </is>
      </c>
      <c r="J1526">
        <f>BDP($B1526,"CNTRY_OF_DOMICILE")</f>
        <v/>
      </c>
      <c r="K1526" t="inlineStr">
        <is>
          <t>EC</t>
        </is>
      </c>
      <c r="L1526" t="inlineStr">
        <is>
          <t>CORP</t>
        </is>
      </c>
      <c r="M1526" t="inlineStr"/>
      <c r="N1526" t="inlineStr"/>
      <c r="O1526" s="1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s="1" t="inlineStr"/>
      <c r="AR1526" s="1" t="inlineStr"/>
      <c r="AS1526" s="1" t="inlineStr"/>
      <c r="AT1526" t="inlineStr"/>
      <c r="AU1526" t="inlineStr"/>
      <c r="AV1526" t="inlineStr"/>
      <c r="AW1526" t="inlineStr"/>
      <c r="AX1526" t="inlineStr"/>
      <c r="AY1526" t="inlineStr"/>
    </row>
    <row r="1527">
      <c r="A1527" t="inlineStr">
        <is>
          <t>NYNY</t>
        </is>
      </c>
      <c r="B1527" t="inlineStr">
        <is>
          <t>TRV US Equity</t>
        </is>
      </c>
      <c r="C1527" s="1" t="inlineStr">
        <is>
          <t>TRV</t>
        </is>
      </c>
      <c r="D1527" t="inlineStr">
        <is>
          <t>Travelers Cos Inc/The</t>
        </is>
      </c>
      <c r="E1527">
        <f>BDP($B1527,"LEGAL_ENTITY_IDENTIFIER")</f>
        <v/>
      </c>
      <c r="F1527" t="inlineStr">
        <is>
          <t>Travelers Cos Inc/The</t>
        </is>
      </c>
      <c r="G1527">
        <f>custodian!D1527</f>
        <v/>
      </c>
      <c r="H1527">
        <f>BDP($B1527,"ID_ISIN")</f>
        <v/>
      </c>
      <c r="I1527" s="1" t="inlineStr">
        <is>
          <t>TRV</t>
        </is>
      </c>
      <c r="J1527">
        <f>BDP($B1527,"CNTRY_OF_DOMICILE")</f>
        <v/>
      </c>
      <c r="K1527" t="inlineStr">
        <is>
          <t>EC</t>
        </is>
      </c>
      <c r="L1527" t="inlineStr">
        <is>
          <t>CORP</t>
        </is>
      </c>
      <c r="M1527" t="inlineStr"/>
      <c r="N1527" t="inlineStr"/>
      <c r="O1527" s="1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s="1" t="inlineStr"/>
      <c r="AR1527" s="1" t="inlineStr"/>
      <c r="AS1527" s="1" t="inlineStr"/>
      <c r="AT1527" t="inlineStr"/>
      <c r="AU1527" t="inlineStr"/>
      <c r="AV1527" t="inlineStr"/>
      <c r="AW1527" t="inlineStr"/>
      <c r="AX1527" t="inlineStr"/>
      <c r="AY1527" t="inlineStr"/>
    </row>
    <row r="1528">
      <c r="A1528" t="inlineStr">
        <is>
          <t>NYNY</t>
        </is>
      </c>
      <c r="B1528" t="inlineStr">
        <is>
          <t>TW US Equity</t>
        </is>
      </c>
      <c r="C1528" s="1" t="inlineStr">
        <is>
          <t>TW</t>
        </is>
      </c>
      <c r="D1528" t="inlineStr">
        <is>
          <t>Tradeweb Markets Inc</t>
        </is>
      </c>
      <c r="E1528">
        <f>BDP($B1528,"LEGAL_ENTITY_IDENTIFIER")</f>
        <v/>
      </c>
      <c r="F1528" t="inlineStr">
        <is>
          <t>Tradeweb Markets Inc</t>
        </is>
      </c>
      <c r="G1528">
        <f>custodian!D1528</f>
        <v/>
      </c>
      <c r="H1528">
        <f>BDP($B1528,"ID_ISIN")</f>
        <v/>
      </c>
      <c r="I1528" s="1" t="inlineStr">
        <is>
          <t>TW</t>
        </is>
      </c>
      <c r="J1528">
        <f>BDP($B1528,"CNTRY_OF_DOMICILE")</f>
        <v/>
      </c>
      <c r="K1528" t="inlineStr">
        <is>
          <t>EC</t>
        </is>
      </c>
      <c r="L1528" t="inlineStr">
        <is>
          <t>CORP</t>
        </is>
      </c>
      <c r="M1528" t="inlineStr"/>
      <c r="N1528" t="inlineStr"/>
      <c r="O1528" s="1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s="1" t="inlineStr"/>
      <c r="AR1528" s="1" t="inlineStr"/>
      <c r="AS1528" s="1" t="inlineStr"/>
      <c r="AT1528" t="inlineStr"/>
      <c r="AU1528" t="inlineStr"/>
      <c r="AV1528" t="inlineStr"/>
      <c r="AW1528" t="inlineStr"/>
      <c r="AX1528" t="inlineStr"/>
      <c r="AY1528" t="inlineStr"/>
    </row>
    <row r="1529">
      <c r="A1529" t="inlineStr">
        <is>
          <t>NYNY</t>
        </is>
      </c>
      <c r="B1529" t="inlineStr">
        <is>
          <t>VICI US Equity</t>
        </is>
      </c>
      <c r="C1529" s="1" t="inlineStr">
        <is>
          <t>VICI</t>
        </is>
      </c>
      <c r="D1529" t="inlineStr">
        <is>
          <t>VICI Properties Inc</t>
        </is>
      </c>
      <c r="E1529">
        <f>BDP($B1529,"LEGAL_ENTITY_IDENTIFIER")</f>
        <v/>
      </c>
      <c r="F1529" t="inlineStr">
        <is>
          <t>VICI Properties Inc</t>
        </is>
      </c>
      <c r="G1529">
        <f>custodian!D1529</f>
        <v/>
      </c>
      <c r="H1529">
        <f>BDP($B1529,"ID_ISIN")</f>
        <v/>
      </c>
      <c r="I1529" s="1" t="inlineStr">
        <is>
          <t>VICI</t>
        </is>
      </c>
      <c r="J1529">
        <f>BDP($B1529,"CNTRY_OF_DOMICILE")</f>
        <v/>
      </c>
      <c r="K1529" t="inlineStr">
        <is>
          <t>EC</t>
        </is>
      </c>
      <c r="L1529" t="inlineStr">
        <is>
          <t>CORP</t>
        </is>
      </c>
      <c r="M1529" t="inlineStr"/>
      <c r="N1529" t="inlineStr"/>
      <c r="O1529" s="1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s="1" t="inlineStr"/>
      <c r="AR1529" s="1" t="inlineStr"/>
      <c r="AS1529" s="1" t="inlineStr"/>
      <c r="AT1529" t="inlineStr"/>
      <c r="AU1529" t="inlineStr"/>
      <c r="AV1529" t="inlineStr"/>
      <c r="AW1529" t="inlineStr"/>
      <c r="AX1529" t="inlineStr"/>
      <c r="AY1529" t="inlineStr"/>
    </row>
    <row r="1530">
      <c r="A1530" t="inlineStr">
        <is>
          <t>NYNY</t>
        </is>
      </c>
      <c r="B1530" t="inlineStr">
        <is>
          <t>VIRT US Equity</t>
        </is>
      </c>
      <c r="C1530" s="1" t="inlineStr">
        <is>
          <t>VIRT</t>
        </is>
      </c>
      <c r="D1530" t="inlineStr">
        <is>
          <t>Virtu Financial Inc</t>
        </is>
      </c>
      <c r="E1530">
        <f>BDP($B1530,"LEGAL_ENTITY_IDENTIFIER")</f>
        <v/>
      </c>
      <c r="F1530" t="inlineStr">
        <is>
          <t>Virtu Financial Inc</t>
        </is>
      </c>
      <c r="G1530">
        <f>custodian!D1530</f>
        <v/>
      </c>
      <c r="H1530">
        <f>BDP($B1530,"ID_ISIN")</f>
        <v/>
      </c>
      <c r="I1530" s="1" t="inlineStr">
        <is>
          <t>VIRT</t>
        </is>
      </c>
      <c r="J1530">
        <f>BDP($B1530,"CNTRY_OF_DOMICILE")</f>
        <v/>
      </c>
      <c r="K1530" t="inlineStr">
        <is>
          <t>EC</t>
        </is>
      </c>
      <c r="L1530" t="inlineStr">
        <is>
          <t>CORP</t>
        </is>
      </c>
      <c r="M1530" t="inlineStr"/>
      <c r="N1530" t="inlineStr"/>
      <c r="O1530" s="1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s="1" t="inlineStr"/>
      <c r="AR1530" s="1" t="inlineStr"/>
      <c r="AS1530" s="1" t="inlineStr"/>
      <c r="AT1530" t="inlineStr"/>
      <c r="AU1530" t="inlineStr"/>
      <c r="AV1530" t="inlineStr"/>
      <c r="AW1530" t="inlineStr"/>
      <c r="AX1530" t="inlineStr"/>
      <c r="AY1530" t="inlineStr"/>
    </row>
    <row r="1531">
      <c r="A1531" t="inlineStr">
        <is>
          <t>NYNY</t>
        </is>
      </c>
      <c r="B1531" t="inlineStr">
        <is>
          <t>VZ US Equity</t>
        </is>
      </c>
      <c r="C1531" s="1" t="inlineStr">
        <is>
          <t>VZ</t>
        </is>
      </c>
      <c r="D1531" t="inlineStr">
        <is>
          <t>Verizon Communications Inc</t>
        </is>
      </c>
      <c r="E1531">
        <f>BDP($B1531,"LEGAL_ENTITY_IDENTIFIER")</f>
        <v/>
      </c>
      <c r="F1531" t="inlineStr">
        <is>
          <t>Verizon Communications Inc</t>
        </is>
      </c>
      <c r="G1531">
        <f>custodian!D1531</f>
        <v/>
      </c>
      <c r="H1531">
        <f>BDP($B1531,"ID_ISIN")</f>
        <v/>
      </c>
      <c r="I1531" s="1" t="inlineStr">
        <is>
          <t>VZ</t>
        </is>
      </c>
      <c r="J1531">
        <f>BDP($B1531,"CNTRY_OF_DOMICILE")</f>
        <v/>
      </c>
      <c r="K1531" t="inlineStr">
        <is>
          <t>EC</t>
        </is>
      </c>
      <c r="L1531" t="inlineStr">
        <is>
          <t>CORP</t>
        </is>
      </c>
      <c r="M1531" t="inlineStr"/>
      <c r="N1531" t="inlineStr"/>
      <c r="O1531" s="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s="1" t="inlineStr"/>
      <c r="AR1531" s="1" t="inlineStr"/>
      <c r="AS1531" s="1" t="inlineStr"/>
      <c r="AT1531" t="inlineStr"/>
      <c r="AU1531" t="inlineStr"/>
      <c r="AV1531" t="inlineStr"/>
      <c r="AW1531" t="inlineStr"/>
      <c r="AX1531" t="inlineStr"/>
      <c r="AY1531" t="inlineStr"/>
    </row>
    <row r="1532">
      <c r="A1532" t="inlineStr">
        <is>
          <t>NYNY</t>
        </is>
      </c>
      <c r="B1532" t="inlineStr">
        <is>
          <t>WBD US Equity</t>
        </is>
      </c>
      <c r="C1532" s="1" t="inlineStr">
        <is>
          <t>WBD</t>
        </is>
      </c>
      <c r="D1532" t="inlineStr">
        <is>
          <t>Warner Bros Discovery Inc</t>
        </is>
      </c>
      <c r="E1532">
        <f>BDP($B1532,"LEGAL_ENTITY_IDENTIFIER")</f>
        <v/>
      </c>
      <c r="F1532" t="inlineStr">
        <is>
          <t>Warner Bros Discovery Inc</t>
        </is>
      </c>
      <c r="G1532">
        <f>custodian!D1532</f>
        <v/>
      </c>
      <c r="H1532">
        <f>BDP($B1532,"ID_ISIN")</f>
        <v/>
      </c>
      <c r="I1532" s="1" t="inlineStr">
        <is>
          <t>WBD</t>
        </is>
      </c>
      <c r="J1532">
        <f>BDP($B1532,"CNTRY_OF_DOMICILE")</f>
        <v/>
      </c>
      <c r="K1532" t="inlineStr">
        <is>
          <t>EC</t>
        </is>
      </c>
      <c r="L1532" t="inlineStr">
        <is>
          <t>CORP</t>
        </is>
      </c>
      <c r="M1532" t="inlineStr"/>
      <c r="N1532" t="inlineStr"/>
      <c r="O1532" s="1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s="1" t="inlineStr"/>
      <c r="AR1532" s="1" t="inlineStr"/>
      <c r="AS1532" s="1" t="inlineStr"/>
      <c r="AT1532" t="inlineStr"/>
      <c r="AU1532" t="inlineStr"/>
      <c r="AV1532" t="inlineStr"/>
      <c r="AW1532" t="inlineStr"/>
      <c r="AX1532" t="inlineStr"/>
      <c r="AY1532" t="inlineStr"/>
    </row>
    <row r="1533">
      <c r="A1533" t="inlineStr">
        <is>
          <t>NYNY</t>
        </is>
      </c>
      <c r="B1533" t="inlineStr">
        <is>
          <t>WPC US Equity</t>
        </is>
      </c>
      <c r="C1533" s="1" t="inlineStr">
        <is>
          <t>WPC</t>
        </is>
      </c>
      <c r="D1533" t="inlineStr">
        <is>
          <t>WP Carey Inc</t>
        </is>
      </c>
      <c r="E1533">
        <f>BDP($B1533,"LEGAL_ENTITY_IDENTIFIER")</f>
        <v/>
      </c>
      <c r="F1533" t="inlineStr">
        <is>
          <t>WP Carey Inc</t>
        </is>
      </c>
      <c r="G1533">
        <f>custodian!D1533</f>
        <v/>
      </c>
      <c r="H1533">
        <f>BDP($B1533,"ID_ISIN")</f>
        <v/>
      </c>
      <c r="I1533" s="1" t="inlineStr">
        <is>
          <t>WPC</t>
        </is>
      </c>
      <c r="J1533">
        <f>BDP($B1533,"CNTRY_OF_DOMICILE")</f>
        <v/>
      </c>
      <c r="K1533" t="inlineStr">
        <is>
          <t>EC</t>
        </is>
      </c>
      <c r="L1533" t="inlineStr">
        <is>
          <t>CORP</t>
        </is>
      </c>
      <c r="M1533" t="inlineStr"/>
      <c r="N1533" t="inlineStr"/>
      <c r="O1533" s="1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s="1" t="inlineStr"/>
      <c r="AR1533" s="1" t="inlineStr"/>
      <c r="AS1533" s="1" t="inlineStr"/>
      <c r="AT1533" t="inlineStr"/>
      <c r="AU1533" t="inlineStr"/>
      <c r="AV1533" t="inlineStr"/>
      <c r="AW1533" t="inlineStr"/>
      <c r="AX1533" t="inlineStr"/>
      <c r="AY1533" t="inlineStr"/>
    </row>
    <row r="1534">
      <c r="A1534" t="inlineStr">
        <is>
          <t>NYNY</t>
        </is>
      </c>
      <c r="B1534" t="inlineStr"/>
      <c r="C1534" s="1" t="inlineStr">
        <is>
          <t>Cash&amp;Other</t>
        </is>
      </c>
      <c r="D1534" t="inlineStr"/>
      <c r="E1534" s="1" t="inlineStr"/>
      <c r="F1534" t="inlineStr"/>
      <c r="G1534">
        <f>custodian!D1534</f>
        <v/>
      </c>
      <c r="H1534" s="1" t="inlineStr"/>
      <c r="I1534" s="1" t="inlineStr"/>
      <c r="J1534" t="inlineStr"/>
      <c r="K1534" t="inlineStr"/>
      <c r="L1534" t="inlineStr"/>
      <c r="M1534" t="inlineStr"/>
      <c r="N1534" t="inlineStr"/>
      <c r="O1534" s="1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s="1" t="inlineStr"/>
      <c r="AR1534" s="1" t="inlineStr"/>
      <c r="AS1534" s="1" t="inlineStr"/>
      <c r="AT1534" t="inlineStr"/>
      <c r="AU1534" t="inlineStr"/>
      <c r="AV1534" t="inlineStr"/>
      <c r="AW1534" t="inlineStr"/>
      <c r="AX1534" t="inlineStr"/>
      <c r="AY1534" t="inlineStr"/>
    </row>
    <row r="1535">
      <c r="A1535" t="inlineStr">
        <is>
          <t>ODDZ</t>
        </is>
      </c>
      <c r="B1535" t="inlineStr">
        <is>
          <t>ACEL US Equity</t>
        </is>
      </c>
      <c r="C1535" s="1" t="inlineStr">
        <is>
          <t>ACEL</t>
        </is>
      </c>
      <c r="D1535" t="inlineStr">
        <is>
          <t>Accel Entertainment Inc</t>
        </is>
      </c>
      <c r="E1535">
        <f>BDP($B1535,"LEGAL_ENTITY_IDENTIFIER")</f>
        <v/>
      </c>
      <c r="F1535" t="inlineStr">
        <is>
          <t>Accel Entertainment Inc</t>
        </is>
      </c>
      <c r="G1535">
        <f>custodian!D1535</f>
        <v/>
      </c>
      <c r="H1535">
        <f>BDP($B1535,"ID_ISIN")</f>
        <v/>
      </c>
      <c r="I1535" s="1" t="inlineStr">
        <is>
          <t>ACEL</t>
        </is>
      </c>
      <c r="J1535">
        <f>BDP($B1535,"CNTRY_OF_DOMICILE")</f>
        <v/>
      </c>
      <c r="K1535" t="inlineStr">
        <is>
          <t>EC</t>
        </is>
      </c>
      <c r="L1535" t="inlineStr">
        <is>
          <t>CORP</t>
        </is>
      </c>
      <c r="M1535" t="inlineStr"/>
      <c r="N1535" t="inlineStr"/>
      <c r="O1535" s="1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s="1" t="inlineStr"/>
      <c r="AR1535" s="1" t="inlineStr"/>
      <c r="AS1535" s="1" t="inlineStr"/>
      <c r="AT1535" t="inlineStr"/>
      <c r="AU1535" t="inlineStr"/>
      <c r="AV1535" t="inlineStr"/>
      <c r="AW1535" t="inlineStr"/>
      <c r="AX1535" t="inlineStr"/>
      <c r="AY1535" t="inlineStr"/>
    </row>
    <row r="1536">
      <c r="A1536" t="inlineStr">
        <is>
          <t>ODDZ</t>
        </is>
      </c>
      <c r="B1536" t="inlineStr">
        <is>
          <t>BALY US Equity</t>
        </is>
      </c>
      <c r="C1536" s="1" t="inlineStr">
        <is>
          <t>BALY</t>
        </is>
      </c>
      <c r="D1536" t="inlineStr">
        <is>
          <t>Bally's Corp</t>
        </is>
      </c>
      <c r="E1536">
        <f>BDP($B1536,"LEGAL_ENTITY_IDENTIFIER")</f>
        <v/>
      </c>
      <c r="F1536" t="inlineStr">
        <is>
          <t>Bally's Corp</t>
        </is>
      </c>
      <c r="G1536">
        <f>custodian!D1536</f>
        <v/>
      </c>
      <c r="H1536">
        <f>BDP($B1536,"ID_ISIN")</f>
        <v/>
      </c>
      <c r="I1536" s="1" t="inlineStr">
        <is>
          <t>BALY</t>
        </is>
      </c>
      <c r="J1536">
        <f>BDP($B1536,"CNTRY_OF_DOMICILE")</f>
        <v/>
      </c>
      <c r="K1536" t="inlineStr">
        <is>
          <t>EC</t>
        </is>
      </c>
      <c r="L1536" t="inlineStr">
        <is>
          <t>CORP</t>
        </is>
      </c>
      <c r="M1536" t="inlineStr"/>
      <c r="N1536" t="inlineStr"/>
      <c r="O1536" s="1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s="1" t="inlineStr"/>
      <c r="AR1536" s="1" t="inlineStr"/>
      <c r="AS1536" s="1" t="inlineStr"/>
      <c r="AT1536" t="inlineStr"/>
      <c r="AU1536" t="inlineStr"/>
      <c r="AV1536" t="inlineStr"/>
      <c r="AW1536" t="inlineStr"/>
      <c r="AX1536" t="inlineStr"/>
      <c r="AY1536" t="inlineStr"/>
    </row>
    <row r="1537">
      <c r="A1537" t="inlineStr">
        <is>
          <t>ODDZ</t>
        </is>
      </c>
      <c r="B1537" t="inlineStr">
        <is>
          <t>BRSL US Equity</t>
        </is>
      </c>
      <c r="C1537" s="1" t="inlineStr">
        <is>
          <t>BRSL</t>
        </is>
      </c>
      <c r="D1537" t="inlineStr">
        <is>
          <t>Brightstar Lottery PLC</t>
        </is>
      </c>
      <c r="E1537">
        <f>BDP($B1537,"LEGAL_ENTITY_IDENTIFIER")</f>
        <v/>
      </c>
      <c r="F1537" t="inlineStr">
        <is>
          <t>Brightstar Lottery PLC</t>
        </is>
      </c>
      <c r="G1537">
        <f>custodian!D1537</f>
        <v/>
      </c>
      <c r="H1537">
        <f>BDP($B1537,"ID_ISIN")</f>
        <v/>
      </c>
      <c r="I1537" s="1" t="inlineStr">
        <is>
          <t>BRSL</t>
        </is>
      </c>
      <c r="J1537">
        <f>BDP($B1537,"CNTRY_OF_DOMICILE")</f>
        <v/>
      </c>
      <c r="K1537" t="inlineStr">
        <is>
          <t>EC</t>
        </is>
      </c>
      <c r="L1537" t="inlineStr">
        <is>
          <t>CORP</t>
        </is>
      </c>
      <c r="M1537" t="inlineStr"/>
      <c r="N1537" t="inlineStr"/>
      <c r="O1537" s="1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s="1" t="inlineStr"/>
      <c r="AR1537" s="1" t="inlineStr"/>
      <c r="AS1537" s="1" t="inlineStr"/>
      <c r="AT1537" t="inlineStr"/>
      <c r="AU1537" t="inlineStr"/>
      <c r="AV1537" t="inlineStr"/>
      <c r="AW1537" t="inlineStr"/>
      <c r="AX1537" t="inlineStr"/>
      <c r="AY1537" t="inlineStr"/>
    </row>
    <row r="1538">
      <c r="A1538" t="inlineStr">
        <is>
          <t>ODDZ</t>
        </is>
      </c>
      <c r="B1538" t="inlineStr">
        <is>
          <t>BYD US Equity</t>
        </is>
      </c>
      <c r="C1538" s="1" t="inlineStr">
        <is>
          <t>BYD</t>
        </is>
      </c>
      <c r="D1538" t="inlineStr">
        <is>
          <t>Boyd Gaming Corp</t>
        </is>
      </c>
      <c r="E1538">
        <f>BDP($B1538,"LEGAL_ENTITY_IDENTIFIER")</f>
        <v/>
      </c>
      <c r="F1538" t="inlineStr">
        <is>
          <t>Boyd Gaming Corp</t>
        </is>
      </c>
      <c r="G1538">
        <f>custodian!D1538</f>
        <v/>
      </c>
      <c r="H1538">
        <f>BDP($B1538,"ID_ISIN")</f>
        <v/>
      </c>
      <c r="I1538" s="1" t="inlineStr">
        <is>
          <t>BYD</t>
        </is>
      </c>
      <c r="J1538">
        <f>BDP($B1538,"CNTRY_OF_DOMICILE")</f>
        <v/>
      </c>
      <c r="K1538" t="inlineStr">
        <is>
          <t>EC</t>
        </is>
      </c>
      <c r="L1538" t="inlineStr">
        <is>
          <t>CORP</t>
        </is>
      </c>
      <c r="M1538" t="inlineStr"/>
      <c r="N1538" t="inlineStr"/>
      <c r="O1538" s="1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s="1" t="inlineStr"/>
      <c r="AR1538" s="1" t="inlineStr"/>
      <c r="AS1538" s="1" t="inlineStr"/>
      <c r="AT1538" t="inlineStr"/>
      <c r="AU1538" t="inlineStr"/>
      <c r="AV1538" t="inlineStr"/>
      <c r="AW1538" t="inlineStr"/>
      <c r="AX1538" t="inlineStr"/>
      <c r="AY1538" t="inlineStr"/>
    </row>
    <row r="1539">
      <c r="A1539" t="inlineStr">
        <is>
          <t>ODDZ</t>
        </is>
      </c>
      <c r="B1539" t="inlineStr">
        <is>
          <t>CDRO US Equity</t>
        </is>
      </c>
      <c r="C1539" s="1" t="inlineStr">
        <is>
          <t>CDRO</t>
        </is>
      </c>
      <c r="D1539" t="inlineStr">
        <is>
          <t>Codere Online Luxembourg SA</t>
        </is>
      </c>
      <c r="E1539">
        <f>BDP($B1539,"LEGAL_ENTITY_IDENTIFIER")</f>
        <v/>
      </c>
      <c r="F1539" t="inlineStr">
        <is>
          <t>Codere Online Luxembourg SA</t>
        </is>
      </c>
      <c r="G1539">
        <f>custodian!D1539</f>
        <v/>
      </c>
      <c r="H1539">
        <f>BDP($B1539,"ID_ISIN")</f>
        <v/>
      </c>
      <c r="I1539" s="1" t="inlineStr">
        <is>
          <t>CDRO</t>
        </is>
      </c>
      <c r="J1539">
        <f>BDP($B1539,"CNTRY_OF_DOMICILE")</f>
        <v/>
      </c>
      <c r="K1539" t="inlineStr">
        <is>
          <t>EC</t>
        </is>
      </c>
      <c r="L1539" t="inlineStr">
        <is>
          <t>CORP</t>
        </is>
      </c>
      <c r="M1539" t="inlineStr"/>
      <c r="N1539" t="inlineStr"/>
      <c r="O1539" s="1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s="1" t="inlineStr"/>
      <c r="AR1539" s="1" t="inlineStr"/>
      <c r="AS1539" s="1" t="inlineStr"/>
      <c r="AT1539" t="inlineStr"/>
      <c r="AU1539" t="inlineStr"/>
      <c r="AV1539" t="inlineStr"/>
      <c r="AW1539" t="inlineStr"/>
      <c r="AX1539" t="inlineStr"/>
      <c r="AY1539" t="inlineStr"/>
    </row>
    <row r="1540">
      <c r="A1540" t="inlineStr">
        <is>
          <t>ODDZ</t>
        </is>
      </c>
      <c r="B1540" t="inlineStr">
        <is>
          <t>CHDN US Equity</t>
        </is>
      </c>
      <c r="C1540" s="1" t="inlineStr">
        <is>
          <t>CHDN</t>
        </is>
      </c>
      <c r="D1540" t="inlineStr">
        <is>
          <t>Churchill Downs Inc</t>
        </is>
      </c>
      <c r="E1540">
        <f>BDP($B1540,"LEGAL_ENTITY_IDENTIFIER")</f>
        <v/>
      </c>
      <c r="F1540" t="inlineStr">
        <is>
          <t>Churchill Downs Inc</t>
        </is>
      </c>
      <c r="G1540">
        <f>custodian!D1540</f>
        <v/>
      </c>
      <c r="H1540">
        <f>BDP($B1540,"ID_ISIN")</f>
        <v/>
      </c>
      <c r="I1540" s="1" t="inlineStr">
        <is>
          <t>CHDN</t>
        </is>
      </c>
      <c r="J1540">
        <f>BDP($B1540,"CNTRY_OF_DOMICILE")</f>
        <v/>
      </c>
      <c r="K1540" t="inlineStr">
        <is>
          <t>EC</t>
        </is>
      </c>
      <c r="L1540" t="inlineStr">
        <is>
          <t>CORP</t>
        </is>
      </c>
      <c r="M1540" t="inlineStr"/>
      <c r="N1540" t="inlineStr"/>
      <c r="O1540" s="1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s="1" t="inlineStr"/>
      <c r="AR1540" s="1" t="inlineStr"/>
      <c r="AS1540" s="1" t="inlineStr"/>
      <c r="AT1540" t="inlineStr"/>
      <c r="AU1540" t="inlineStr"/>
      <c r="AV1540" t="inlineStr"/>
      <c r="AW1540" t="inlineStr"/>
      <c r="AX1540" t="inlineStr"/>
      <c r="AY1540" t="inlineStr"/>
    </row>
    <row r="1541">
      <c r="A1541" t="inlineStr">
        <is>
          <t>ODDZ</t>
        </is>
      </c>
      <c r="B1541" t="inlineStr">
        <is>
          <t>CZR US Equity</t>
        </is>
      </c>
      <c r="C1541" s="1" t="inlineStr">
        <is>
          <t>CZR</t>
        </is>
      </c>
      <c r="D1541" t="inlineStr">
        <is>
          <t>Caesars Entertainment Inc</t>
        </is>
      </c>
      <c r="E1541">
        <f>BDP($B1541,"LEGAL_ENTITY_IDENTIFIER")</f>
        <v/>
      </c>
      <c r="F1541" t="inlineStr">
        <is>
          <t>Caesars Entertainment Inc</t>
        </is>
      </c>
      <c r="G1541">
        <f>custodian!D1541</f>
        <v/>
      </c>
      <c r="H1541">
        <f>BDP($B1541,"ID_ISIN")</f>
        <v/>
      </c>
      <c r="I1541" s="1" t="inlineStr">
        <is>
          <t>CZR</t>
        </is>
      </c>
      <c r="J1541">
        <f>BDP($B1541,"CNTRY_OF_DOMICILE")</f>
        <v/>
      </c>
      <c r="K1541" t="inlineStr">
        <is>
          <t>EC</t>
        </is>
      </c>
      <c r="L1541" t="inlineStr">
        <is>
          <t>CORP</t>
        </is>
      </c>
      <c r="M1541" t="inlineStr"/>
      <c r="N1541" t="inlineStr"/>
      <c r="O1541" s="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s="1" t="inlineStr"/>
      <c r="AR1541" s="1" t="inlineStr"/>
      <c r="AS1541" s="1" t="inlineStr"/>
      <c r="AT1541" t="inlineStr"/>
      <c r="AU1541" t="inlineStr"/>
      <c r="AV1541" t="inlineStr"/>
      <c r="AW1541" t="inlineStr"/>
      <c r="AX1541" t="inlineStr"/>
      <c r="AY1541" t="inlineStr"/>
    </row>
    <row r="1542">
      <c r="A1542" t="inlineStr">
        <is>
          <t>ODDZ</t>
        </is>
      </c>
      <c r="B1542" t="inlineStr">
        <is>
          <t>DKNG US Equity</t>
        </is>
      </c>
      <c r="C1542" s="1" t="inlineStr">
        <is>
          <t>DKNG</t>
        </is>
      </c>
      <c r="D1542" t="inlineStr">
        <is>
          <t>DraftKings Inc</t>
        </is>
      </c>
      <c r="E1542">
        <f>BDP($B1542,"LEGAL_ENTITY_IDENTIFIER")</f>
        <v/>
      </c>
      <c r="F1542" t="inlineStr">
        <is>
          <t>DraftKings Inc</t>
        </is>
      </c>
      <c r="G1542">
        <f>custodian!D1542</f>
        <v/>
      </c>
      <c r="H1542">
        <f>BDP($B1542,"ID_ISIN")</f>
        <v/>
      </c>
      <c r="I1542" s="1" t="inlineStr">
        <is>
          <t>DKNG</t>
        </is>
      </c>
      <c r="J1542">
        <f>BDP($B1542,"CNTRY_OF_DOMICILE")</f>
        <v/>
      </c>
      <c r="K1542" t="inlineStr">
        <is>
          <t>EC</t>
        </is>
      </c>
      <c r="L1542" t="inlineStr">
        <is>
          <t>CORP</t>
        </is>
      </c>
      <c r="M1542" t="inlineStr"/>
      <c r="N1542" t="inlineStr"/>
      <c r="O1542" s="1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s="1" t="inlineStr"/>
      <c r="AR1542" s="1" t="inlineStr"/>
      <c r="AS1542" s="1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ODDZ</t>
        </is>
      </c>
      <c r="B1543" t="inlineStr">
        <is>
          <t>FGXXX US Equity</t>
        </is>
      </c>
      <c r="C1543" s="1" t="inlineStr">
        <is>
          <t>FGXXX</t>
        </is>
      </c>
      <c r="D1543" t="inlineStr">
        <is>
          <t>First American Government Obli</t>
        </is>
      </c>
      <c r="E1543">
        <f>BDP($B1543,"LEGAL_ENTITY_IDENTIFIER")</f>
        <v/>
      </c>
      <c r="F1543" t="inlineStr">
        <is>
          <t>First American Government Obligations Fund</t>
        </is>
      </c>
      <c r="G1543">
        <f>custodian!D1543</f>
        <v/>
      </c>
      <c r="H1543">
        <f>BDP($B1543,"ID_ISIN")</f>
        <v/>
      </c>
      <c r="I1543" s="1" t="inlineStr">
        <is>
          <t>FGXXX</t>
        </is>
      </c>
      <c r="J1543">
        <f>BDP($B1543,"CNTRY_OF_DOMICILE")</f>
        <v/>
      </c>
      <c r="K1543" t="inlineStr">
        <is>
          <t>STIV</t>
        </is>
      </c>
      <c r="L1543" t="inlineStr">
        <is>
          <t>RF</t>
        </is>
      </c>
      <c r="M1543" t="inlineStr"/>
      <c r="N1543" t="inlineStr"/>
      <c r="O1543" s="1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s="1" t="inlineStr"/>
      <c r="AR1543" s="1" t="inlineStr"/>
      <c r="AS1543" s="1" t="inlineStr"/>
      <c r="AT1543" t="inlineStr"/>
      <c r="AU1543" t="inlineStr"/>
      <c r="AV1543" t="inlineStr"/>
      <c r="AW1543" t="inlineStr"/>
      <c r="AX1543" t="inlineStr"/>
      <c r="AY1543" t="inlineStr"/>
    </row>
    <row r="1544">
      <c r="A1544" t="inlineStr">
        <is>
          <t>ODDZ</t>
        </is>
      </c>
      <c r="B1544" t="inlineStr">
        <is>
          <t>FLL US Equity</t>
        </is>
      </c>
      <c r="C1544" s="1" t="inlineStr">
        <is>
          <t>FLL</t>
        </is>
      </c>
      <c r="D1544" t="inlineStr">
        <is>
          <t>Full House Resorts Inc</t>
        </is>
      </c>
      <c r="E1544">
        <f>BDP($B1544,"LEGAL_ENTITY_IDENTIFIER")</f>
        <v/>
      </c>
      <c r="F1544" t="inlineStr">
        <is>
          <t>Full House Resorts Inc</t>
        </is>
      </c>
      <c r="G1544">
        <f>custodian!D1544</f>
        <v/>
      </c>
      <c r="H1544">
        <f>BDP($B1544,"ID_ISIN")</f>
        <v/>
      </c>
      <c r="I1544" s="1" t="inlineStr">
        <is>
          <t>FLL</t>
        </is>
      </c>
      <c r="J1544">
        <f>BDP($B1544,"CNTRY_OF_DOMICILE")</f>
        <v/>
      </c>
      <c r="K1544" t="inlineStr">
        <is>
          <t>EC</t>
        </is>
      </c>
      <c r="L1544" t="inlineStr">
        <is>
          <t>CORP</t>
        </is>
      </c>
      <c r="M1544" t="inlineStr"/>
      <c r="N1544" t="inlineStr"/>
      <c r="O1544" s="1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s="1" t="inlineStr"/>
      <c r="AR1544" s="1" t="inlineStr"/>
      <c r="AS1544" s="1" t="inlineStr"/>
      <c r="AT1544" t="inlineStr"/>
      <c r="AU1544" t="inlineStr"/>
      <c r="AV1544" t="inlineStr"/>
      <c r="AW1544" t="inlineStr"/>
      <c r="AX1544" t="inlineStr"/>
      <c r="AY1544" t="inlineStr"/>
    </row>
    <row r="1545">
      <c r="A1545" t="inlineStr">
        <is>
          <t>ODDZ</t>
        </is>
      </c>
      <c r="B1545" t="inlineStr">
        <is>
          <t>FLUT US Equity</t>
        </is>
      </c>
      <c r="C1545" s="1" t="inlineStr">
        <is>
          <t>FLUT</t>
        </is>
      </c>
      <c r="D1545" t="inlineStr">
        <is>
          <t>Flutter Entertainment PLC</t>
        </is>
      </c>
      <c r="E1545">
        <f>BDP($B1545,"LEGAL_ENTITY_IDENTIFIER")</f>
        <v/>
      </c>
      <c r="F1545" t="inlineStr">
        <is>
          <t>Flutter Entertainment PLC</t>
        </is>
      </c>
      <c r="G1545">
        <f>custodian!D1545</f>
        <v/>
      </c>
      <c r="H1545">
        <f>BDP($B1545,"ID_ISIN")</f>
        <v/>
      </c>
      <c r="I1545" s="1" t="inlineStr">
        <is>
          <t>FLUT</t>
        </is>
      </c>
      <c r="J1545">
        <f>BDP($B1545,"CNTRY_OF_DOMICILE")</f>
        <v/>
      </c>
      <c r="K1545" t="inlineStr">
        <is>
          <t>EC</t>
        </is>
      </c>
      <c r="L1545" t="inlineStr">
        <is>
          <t>CORP</t>
        </is>
      </c>
      <c r="M1545" t="inlineStr"/>
      <c r="N1545" t="inlineStr"/>
      <c r="O1545" s="1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s="1" t="inlineStr"/>
      <c r="AR1545" s="1" t="inlineStr"/>
      <c r="AS1545" s="1" t="inlineStr"/>
      <c r="AT1545" t="inlineStr"/>
      <c r="AU1545" t="inlineStr"/>
      <c r="AV1545" t="inlineStr"/>
      <c r="AW1545" t="inlineStr"/>
      <c r="AX1545" t="inlineStr"/>
      <c r="AY1545" t="inlineStr"/>
    </row>
    <row r="1546">
      <c r="A1546" t="inlineStr">
        <is>
          <t>ODDZ</t>
        </is>
      </c>
      <c r="B1546" t="inlineStr">
        <is>
          <t>GAMB US Equity</t>
        </is>
      </c>
      <c r="C1546" s="1" t="inlineStr">
        <is>
          <t>GAMB</t>
        </is>
      </c>
      <c r="D1546" t="inlineStr">
        <is>
          <t>Gambling.com Group Ltd</t>
        </is>
      </c>
      <c r="E1546">
        <f>BDP($B1546,"LEGAL_ENTITY_IDENTIFIER")</f>
        <v/>
      </c>
      <c r="F1546" t="inlineStr">
        <is>
          <t>Gambling.com Group Ltd</t>
        </is>
      </c>
      <c r="G1546">
        <f>custodian!D1546</f>
        <v/>
      </c>
      <c r="H1546">
        <f>BDP($B1546,"ID_ISIN")</f>
        <v/>
      </c>
      <c r="I1546" s="1" t="inlineStr">
        <is>
          <t>GAMB</t>
        </is>
      </c>
      <c r="J1546">
        <f>BDP($B1546,"CNTRY_OF_DOMICILE")</f>
        <v/>
      </c>
      <c r="K1546" t="inlineStr">
        <is>
          <t>EC</t>
        </is>
      </c>
      <c r="L1546" t="inlineStr">
        <is>
          <t>CORP</t>
        </is>
      </c>
      <c r="M1546" t="inlineStr"/>
      <c r="N1546" t="inlineStr"/>
      <c r="O1546" s="1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s="1" t="inlineStr"/>
      <c r="AR1546" s="1" t="inlineStr"/>
      <c r="AS1546" s="1" t="inlineStr"/>
      <c r="AT1546" t="inlineStr"/>
      <c r="AU1546" t="inlineStr"/>
      <c r="AV1546" t="inlineStr"/>
      <c r="AW1546" t="inlineStr"/>
      <c r="AX1546" t="inlineStr"/>
      <c r="AY1546" t="inlineStr"/>
    </row>
    <row r="1547">
      <c r="A1547" t="inlineStr">
        <is>
          <t>ODDZ</t>
        </is>
      </c>
      <c r="B1547" t="inlineStr">
        <is>
          <t>GENI US Equity</t>
        </is>
      </c>
      <c r="C1547" s="1" t="inlineStr">
        <is>
          <t>GENI</t>
        </is>
      </c>
      <c r="D1547" t="inlineStr">
        <is>
          <t>Genius Sports Ltd</t>
        </is>
      </c>
      <c r="E1547">
        <f>BDP($B1547,"LEGAL_ENTITY_IDENTIFIER")</f>
        <v/>
      </c>
      <c r="F1547" t="inlineStr">
        <is>
          <t>Genius Sports Ltd</t>
        </is>
      </c>
      <c r="G1547">
        <f>custodian!D1547</f>
        <v/>
      </c>
      <c r="H1547">
        <f>BDP($B1547,"ID_ISIN")</f>
        <v/>
      </c>
      <c r="I1547" s="1" t="inlineStr">
        <is>
          <t>GENI</t>
        </is>
      </c>
      <c r="J1547">
        <f>BDP($B1547,"CNTRY_OF_DOMICILE")</f>
        <v/>
      </c>
      <c r="K1547" t="inlineStr">
        <is>
          <t>EC</t>
        </is>
      </c>
      <c r="L1547" t="inlineStr">
        <is>
          <t>CORP</t>
        </is>
      </c>
      <c r="M1547" t="inlineStr"/>
      <c r="N1547" t="inlineStr"/>
      <c r="O1547" s="1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s="1" t="inlineStr"/>
      <c r="AR1547" s="1" t="inlineStr"/>
      <c r="AS1547" s="1" t="inlineStr"/>
      <c r="AT1547" t="inlineStr"/>
      <c r="AU1547" t="inlineStr"/>
      <c r="AV1547" t="inlineStr"/>
      <c r="AW1547" t="inlineStr"/>
      <c r="AX1547" t="inlineStr"/>
      <c r="AY1547" t="inlineStr"/>
    </row>
    <row r="1548">
      <c r="A1548" t="inlineStr">
        <is>
          <t>ODDZ</t>
        </is>
      </c>
      <c r="B1548" t="inlineStr">
        <is>
          <t>INSE US Equity</t>
        </is>
      </c>
      <c r="C1548" s="1" t="inlineStr">
        <is>
          <t>INSE</t>
        </is>
      </c>
      <c r="D1548" t="inlineStr">
        <is>
          <t>Inspired Entertainment Inc</t>
        </is>
      </c>
      <c r="E1548">
        <f>BDP($B1548,"LEGAL_ENTITY_IDENTIFIER")</f>
        <v/>
      </c>
      <c r="F1548" t="inlineStr">
        <is>
          <t>Inspired Entertainment Inc</t>
        </is>
      </c>
      <c r="G1548">
        <f>custodian!D1548</f>
        <v/>
      </c>
      <c r="H1548">
        <f>BDP($B1548,"ID_ISIN")</f>
        <v/>
      </c>
      <c r="I1548" s="1" t="inlineStr">
        <is>
          <t>INSE</t>
        </is>
      </c>
      <c r="J1548">
        <f>BDP($B1548,"CNTRY_OF_DOMICILE")</f>
        <v/>
      </c>
      <c r="K1548" t="inlineStr">
        <is>
          <t>EC</t>
        </is>
      </c>
      <c r="L1548" t="inlineStr">
        <is>
          <t>CORP</t>
        </is>
      </c>
      <c r="M1548" t="inlineStr"/>
      <c r="N1548" t="inlineStr"/>
      <c r="O1548" s="1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s="1" t="inlineStr"/>
      <c r="AR1548" s="1" t="inlineStr"/>
      <c r="AS1548" s="1" t="inlineStr"/>
      <c r="AT1548" t="inlineStr"/>
      <c r="AU1548" t="inlineStr"/>
      <c r="AV1548" t="inlineStr"/>
      <c r="AW1548" t="inlineStr"/>
      <c r="AX1548" t="inlineStr"/>
      <c r="AY1548" t="inlineStr"/>
    </row>
    <row r="1549">
      <c r="A1549" t="inlineStr">
        <is>
          <t>ODDZ</t>
        </is>
      </c>
      <c r="B1549" t="inlineStr">
        <is>
          <t>LVS US Equity</t>
        </is>
      </c>
      <c r="C1549" s="1" t="inlineStr">
        <is>
          <t>LVS</t>
        </is>
      </c>
      <c r="D1549" t="inlineStr">
        <is>
          <t>Las Vegas Sands Corp</t>
        </is>
      </c>
      <c r="E1549">
        <f>BDP($B1549,"LEGAL_ENTITY_IDENTIFIER")</f>
        <v/>
      </c>
      <c r="F1549" t="inlineStr">
        <is>
          <t>Las Vegas Sands Corp</t>
        </is>
      </c>
      <c r="G1549">
        <f>custodian!D1549</f>
        <v/>
      </c>
      <c r="H1549">
        <f>BDP($B1549,"ID_ISIN")</f>
        <v/>
      </c>
      <c r="I1549" s="1" t="inlineStr">
        <is>
          <t>LVS</t>
        </is>
      </c>
      <c r="J1549">
        <f>BDP($B1549,"CNTRY_OF_DOMICILE")</f>
        <v/>
      </c>
      <c r="K1549" t="inlineStr">
        <is>
          <t>EC</t>
        </is>
      </c>
      <c r="L1549" t="inlineStr">
        <is>
          <t>CORP</t>
        </is>
      </c>
      <c r="M1549" t="inlineStr"/>
      <c r="N1549" t="inlineStr"/>
      <c r="O1549" s="1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s="1" t="inlineStr"/>
      <c r="AR1549" s="1" t="inlineStr"/>
      <c r="AS1549" s="1" t="inlineStr"/>
      <c r="AT1549" t="inlineStr"/>
      <c r="AU1549" t="inlineStr"/>
      <c r="AV1549" t="inlineStr"/>
      <c r="AW1549" t="inlineStr"/>
      <c r="AX1549" t="inlineStr"/>
      <c r="AY1549" t="inlineStr"/>
    </row>
    <row r="1550">
      <c r="A1550" t="inlineStr">
        <is>
          <t>ODDZ</t>
        </is>
      </c>
      <c r="B1550" t="inlineStr">
        <is>
          <t>MCRI US Equity</t>
        </is>
      </c>
      <c r="C1550" s="1" t="inlineStr">
        <is>
          <t>MCRI</t>
        </is>
      </c>
      <c r="D1550" t="inlineStr">
        <is>
          <t>Monarch Casino &amp; Resort Inc</t>
        </is>
      </c>
      <c r="E1550">
        <f>BDP($B1550,"LEGAL_ENTITY_IDENTIFIER")</f>
        <v/>
      </c>
      <c r="F1550" t="inlineStr">
        <is>
          <t>Monarch Casino &amp; Resort Inc</t>
        </is>
      </c>
      <c r="G1550">
        <f>custodian!D1550</f>
        <v/>
      </c>
      <c r="H1550">
        <f>BDP($B1550,"ID_ISIN")</f>
        <v/>
      </c>
      <c r="I1550" s="1" t="inlineStr">
        <is>
          <t>MCRI</t>
        </is>
      </c>
      <c r="J1550">
        <f>BDP($B1550,"CNTRY_OF_DOMICILE")</f>
        <v/>
      </c>
      <c r="K1550" t="inlineStr">
        <is>
          <t>EC</t>
        </is>
      </c>
      <c r="L1550" t="inlineStr">
        <is>
          <t>CORP</t>
        </is>
      </c>
      <c r="M1550" t="inlineStr"/>
      <c r="N1550" t="inlineStr"/>
      <c r="O1550" s="1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s="1" t="inlineStr"/>
      <c r="AR1550" s="1" t="inlineStr"/>
      <c r="AS1550" s="1" t="inlineStr"/>
      <c r="AT1550" t="inlineStr"/>
      <c r="AU1550" t="inlineStr"/>
      <c r="AV1550" t="inlineStr"/>
      <c r="AW1550" t="inlineStr"/>
      <c r="AX1550" t="inlineStr"/>
      <c r="AY1550" t="inlineStr"/>
    </row>
    <row r="1551">
      <c r="A1551" t="inlineStr">
        <is>
          <t>ODDZ</t>
        </is>
      </c>
      <c r="B1551" t="inlineStr">
        <is>
          <t>MGM US Equity</t>
        </is>
      </c>
      <c r="C1551" s="1" t="inlineStr">
        <is>
          <t>MGM</t>
        </is>
      </c>
      <c r="D1551" t="inlineStr">
        <is>
          <t>MGM Resorts International</t>
        </is>
      </c>
      <c r="E1551">
        <f>BDP($B1551,"LEGAL_ENTITY_IDENTIFIER")</f>
        <v/>
      </c>
      <c r="F1551" t="inlineStr">
        <is>
          <t>MGM Resorts International</t>
        </is>
      </c>
      <c r="G1551">
        <f>custodian!D1551</f>
        <v/>
      </c>
      <c r="H1551">
        <f>BDP($B1551,"ID_ISIN")</f>
        <v/>
      </c>
      <c r="I1551" s="1" t="inlineStr">
        <is>
          <t>MGM</t>
        </is>
      </c>
      <c r="J1551">
        <f>BDP($B1551,"CNTRY_OF_DOMICILE")</f>
        <v/>
      </c>
      <c r="K1551" t="inlineStr">
        <is>
          <t>EC</t>
        </is>
      </c>
      <c r="L1551" t="inlineStr">
        <is>
          <t>CORP</t>
        </is>
      </c>
      <c r="M1551" t="inlineStr"/>
      <c r="N1551" t="inlineStr"/>
      <c r="O1551" s="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s="1" t="inlineStr"/>
      <c r="AR1551" s="1" t="inlineStr"/>
      <c r="AS1551" s="1" t="inlineStr"/>
      <c r="AT1551" t="inlineStr"/>
      <c r="AU1551" t="inlineStr"/>
      <c r="AV1551" t="inlineStr"/>
      <c r="AW1551" t="inlineStr"/>
      <c r="AX1551" t="inlineStr"/>
      <c r="AY1551" t="inlineStr"/>
    </row>
    <row r="1552">
      <c r="A1552" t="inlineStr">
        <is>
          <t>ODDZ</t>
        </is>
      </c>
      <c r="B1552" t="inlineStr">
        <is>
          <t>MLCO US Equity</t>
        </is>
      </c>
      <c r="C1552" s="1" t="inlineStr">
        <is>
          <t>MLCO</t>
        </is>
      </c>
      <c r="D1552" t="inlineStr">
        <is>
          <t xml:space="preserve">Melco Resorts &amp; Entertainment </t>
        </is>
      </c>
      <c r="E1552">
        <f>BDP($B1552,"LEGAL_ENTITY_IDENTIFIER")</f>
        <v/>
      </c>
      <c r="F1552" t="inlineStr">
        <is>
          <t>Melco Resorts &amp; Entertainment Ltd</t>
        </is>
      </c>
      <c r="G1552">
        <f>custodian!D1552</f>
        <v/>
      </c>
      <c r="H1552">
        <f>BDP($B1552,"ID_ISIN")</f>
        <v/>
      </c>
      <c r="I1552" s="1" t="inlineStr">
        <is>
          <t>MLCO</t>
        </is>
      </c>
      <c r="J1552">
        <f>BDP($B1552,"CNTRY_OF_DOMICILE")</f>
        <v/>
      </c>
      <c r="K1552" t="inlineStr">
        <is>
          <t>EC</t>
        </is>
      </c>
      <c r="L1552" t="inlineStr">
        <is>
          <t>CORP</t>
        </is>
      </c>
      <c r="M1552" t="inlineStr"/>
      <c r="N1552" t="inlineStr"/>
      <c r="O1552" s="1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s="1" t="inlineStr"/>
      <c r="AR1552" s="1" t="inlineStr"/>
      <c r="AS1552" s="1" t="inlineStr"/>
      <c r="AT1552" t="inlineStr"/>
      <c r="AU1552" t="inlineStr"/>
      <c r="AV1552" t="inlineStr"/>
      <c r="AW1552" t="inlineStr"/>
      <c r="AX1552" t="inlineStr"/>
      <c r="AY1552" t="inlineStr"/>
    </row>
    <row r="1553">
      <c r="A1553" t="inlineStr">
        <is>
          <t>ODDZ</t>
        </is>
      </c>
      <c r="B1553" t="inlineStr">
        <is>
          <t>PENN US Equity</t>
        </is>
      </c>
      <c r="C1553" s="1" t="inlineStr">
        <is>
          <t>PENN</t>
        </is>
      </c>
      <c r="D1553" t="inlineStr">
        <is>
          <t>Penn Entertainment Inc</t>
        </is>
      </c>
      <c r="E1553">
        <f>BDP($B1553,"LEGAL_ENTITY_IDENTIFIER")</f>
        <v/>
      </c>
      <c r="F1553" t="inlineStr">
        <is>
          <t>Penn Entertainment Inc</t>
        </is>
      </c>
      <c r="G1553">
        <f>custodian!D1553</f>
        <v/>
      </c>
      <c r="H1553">
        <f>BDP($B1553,"ID_ISIN")</f>
        <v/>
      </c>
      <c r="I1553" s="1" t="inlineStr">
        <is>
          <t>PENN</t>
        </is>
      </c>
      <c r="J1553">
        <f>BDP($B1553,"CNTRY_OF_DOMICILE")</f>
        <v/>
      </c>
      <c r="K1553" t="inlineStr">
        <is>
          <t>EC</t>
        </is>
      </c>
      <c r="L1553" t="inlineStr">
        <is>
          <t>CORP</t>
        </is>
      </c>
      <c r="M1553" t="inlineStr"/>
      <c r="N1553" t="inlineStr"/>
      <c r="O1553" s="1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s="1" t="inlineStr"/>
      <c r="AR1553" s="1" t="inlineStr"/>
      <c r="AS1553" s="1" t="inlineStr"/>
      <c r="AT1553" t="inlineStr"/>
      <c r="AU1553" t="inlineStr"/>
      <c r="AV1553" t="inlineStr"/>
      <c r="AW1553" t="inlineStr"/>
      <c r="AX1553" t="inlineStr"/>
      <c r="AY1553" t="inlineStr"/>
    </row>
    <row r="1554">
      <c r="A1554" t="inlineStr">
        <is>
          <t>ODDZ</t>
        </is>
      </c>
      <c r="B1554" t="inlineStr">
        <is>
          <t>PSFE US Equity</t>
        </is>
      </c>
      <c r="C1554" s="1" t="inlineStr">
        <is>
          <t>PSFE</t>
        </is>
      </c>
      <c r="D1554" t="inlineStr">
        <is>
          <t>Paysafe Ltd</t>
        </is>
      </c>
      <c r="E1554">
        <f>BDP($B1554,"LEGAL_ENTITY_IDENTIFIER")</f>
        <v/>
      </c>
      <c r="F1554" t="inlineStr">
        <is>
          <t>Paysafe Ltd</t>
        </is>
      </c>
      <c r="G1554">
        <f>custodian!D1554</f>
        <v/>
      </c>
      <c r="H1554">
        <f>BDP($B1554,"ID_ISIN")</f>
        <v/>
      </c>
      <c r="I1554" s="1" t="inlineStr">
        <is>
          <t>PSFE</t>
        </is>
      </c>
      <c r="J1554">
        <f>BDP($B1554,"CNTRY_OF_DOMICILE")</f>
        <v/>
      </c>
      <c r="K1554" t="inlineStr">
        <is>
          <t>EC</t>
        </is>
      </c>
      <c r="L1554" t="inlineStr">
        <is>
          <t>CORP</t>
        </is>
      </c>
      <c r="M1554" t="inlineStr"/>
      <c r="N1554" t="inlineStr"/>
      <c r="O1554" s="1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s="1" t="inlineStr"/>
      <c r="AR1554" s="1" t="inlineStr"/>
      <c r="AS1554" s="1" t="inlineStr"/>
      <c r="AT1554" t="inlineStr"/>
      <c r="AU1554" t="inlineStr"/>
      <c r="AV1554" t="inlineStr"/>
      <c r="AW1554" t="inlineStr"/>
      <c r="AX1554" t="inlineStr"/>
      <c r="AY1554" t="inlineStr"/>
    </row>
    <row r="1555">
      <c r="A1555" t="inlineStr">
        <is>
          <t>ODDZ</t>
        </is>
      </c>
      <c r="B1555" t="inlineStr">
        <is>
          <t>RRR US Equity</t>
        </is>
      </c>
      <c r="C1555" s="1" t="inlineStr">
        <is>
          <t>RRR</t>
        </is>
      </c>
      <c r="D1555" t="inlineStr">
        <is>
          <t>Red Rock Resorts Inc</t>
        </is>
      </c>
      <c r="E1555">
        <f>BDP($B1555,"LEGAL_ENTITY_IDENTIFIER")</f>
        <v/>
      </c>
      <c r="F1555" t="inlineStr">
        <is>
          <t>Red Rock Resorts Inc</t>
        </is>
      </c>
      <c r="G1555">
        <f>custodian!D1555</f>
        <v/>
      </c>
      <c r="H1555">
        <f>BDP($B1555,"ID_ISIN")</f>
        <v/>
      </c>
      <c r="I1555" s="1" t="inlineStr">
        <is>
          <t>RRR</t>
        </is>
      </c>
      <c r="J1555">
        <f>BDP($B1555,"CNTRY_OF_DOMICILE")</f>
        <v/>
      </c>
      <c r="K1555" t="inlineStr">
        <is>
          <t>EC</t>
        </is>
      </c>
      <c r="L1555" t="inlineStr">
        <is>
          <t>CORP</t>
        </is>
      </c>
      <c r="M1555" t="inlineStr"/>
      <c r="N1555" t="inlineStr"/>
      <c r="O1555" s="1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s="1" t="inlineStr"/>
      <c r="AR1555" s="1" t="inlineStr"/>
      <c r="AS1555" s="1" t="inlineStr"/>
      <c r="AT1555" t="inlineStr"/>
      <c r="AU1555" t="inlineStr"/>
      <c r="AV1555" t="inlineStr"/>
      <c r="AW1555" t="inlineStr"/>
      <c r="AX1555" t="inlineStr"/>
      <c r="AY1555" t="inlineStr"/>
    </row>
    <row r="1556">
      <c r="A1556" t="inlineStr">
        <is>
          <t>ODDZ</t>
        </is>
      </c>
      <c r="B1556" t="inlineStr">
        <is>
          <t>RSI US Equity</t>
        </is>
      </c>
      <c r="C1556" s="1" t="inlineStr">
        <is>
          <t>RSI</t>
        </is>
      </c>
      <c r="D1556" t="inlineStr">
        <is>
          <t>Rush Street Interactive Inc</t>
        </is>
      </c>
      <c r="E1556">
        <f>BDP($B1556,"LEGAL_ENTITY_IDENTIFIER")</f>
        <v/>
      </c>
      <c r="F1556" t="inlineStr">
        <is>
          <t>Rush Street Interactive Inc</t>
        </is>
      </c>
      <c r="G1556">
        <f>custodian!D1556</f>
        <v/>
      </c>
      <c r="H1556">
        <f>BDP($B1556,"ID_ISIN")</f>
        <v/>
      </c>
      <c r="I1556" s="1" t="inlineStr">
        <is>
          <t>RSI</t>
        </is>
      </c>
      <c r="J1556">
        <f>BDP($B1556,"CNTRY_OF_DOMICILE")</f>
        <v/>
      </c>
      <c r="K1556" t="inlineStr">
        <is>
          <t>EC</t>
        </is>
      </c>
      <c r="L1556" t="inlineStr">
        <is>
          <t>CORP</t>
        </is>
      </c>
      <c r="M1556" t="inlineStr"/>
      <c r="N1556" t="inlineStr"/>
      <c r="O1556" s="1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s="1" t="inlineStr"/>
      <c r="AR1556" s="1" t="inlineStr"/>
      <c r="AS1556" s="1" t="inlineStr"/>
      <c r="AT1556" t="inlineStr"/>
      <c r="AU1556" t="inlineStr"/>
      <c r="AV1556" t="inlineStr"/>
      <c r="AW1556" t="inlineStr"/>
      <c r="AX1556" t="inlineStr"/>
      <c r="AY1556" t="inlineStr"/>
    </row>
    <row r="1557">
      <c r="A1557" t="inlineStr">
        <is>
          <t>ODDZ</t>
        </is>
      </c>
      <c r="B1557" t="inlineStr">
        <is>
          <t>SGHC US Equity</t>
        </is>
      </c>
      <c r="C1557" s="1" t="inlineStr">
        <is>
          <t>SGHC</t>
        </is>
      </c>
      <c r="D1557" t="inlineStr">
        <is>
          <t>Super Group SGHC Ltd</t>
        </is>
      </c>
      <c r="E1557">
        <f>BDP($B1557,"LEGAL_ENTITY_IDENTIFIER")</f>
        <v/>
      </c>
      <c r="F1557" t="inlineStr">
        <is>
          <t>Super Group SGHC Ltd</t>
        </is>
      </c>
      <c r="G1557">
        <f>custodian!D1557</f>
        <v/>
      </c>
      <c r="H1557">
        <f>BDP($B1557,"ID_ISIN")</f>
        <v/>
      </c>
      <c r="I1557" s="1" t="inlineStr">
        <is>
          <t>SGHC</t>
        </is>
      </c>
      <c r="J1557">
        <f>BDP($B1557,"CNTRY_OF_DOMICILE")</f>
        <v/>
      </c>
      <c r="K1557" t="inlineStr">
        <is>
          <t>EC</t>
        </is>
      </c>
      <c r="L1557" t="inlineStr">
        <is>
          <t>CORP</t>
        </is>
      </c>
      <c r="M1557" t="inlineStr"/>
      <c r="N1557" t="inlineStr"/>
      <c r="O1557" s="1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s="1" t="inlineStr"/>
      <c r="AR1557" s="1" t="inlineStr"/>
      <c r="AS1557" s="1" t="inlineStr"/>
      <c r="AT1557" t="inlineStr"/>
      <c r="AU1557" t="inlineStr"/>
      <c r="AV1557" t="inlineStr"/>
      <c r="AW1557" t="inlineStr"/>
      <c r="AX1557" t="inlineStr"/>
      <c r="AY1557" t="inlineStr"/>
    </row>
    <row r="1558">
      <c r="A1558" t="inlineStr">
        <is>
          <t>ODDZ</t>
        </is>
      </c>
      <c r="B1558" t="inlineStr">
        <is>
          <t>SRAD US Equity</t>
        </is>
      </c>
      <c r="C1558" s="1" t="inlineStr">
        <is>
          <t>SRAD</t>
        </is>
      </c>
      <c r="D1558" t="inlineStr">
        <is>
          <t>Sportradar Group AG</t>
        </is>
      </c>
      <c r="E1558">
        <f>BDP($B1558,"LEGAL_ENTITY_IDENTIFIER")</f>
        <v/>
      </c>
      <c r="F1558" t="inlineStr">
        <is>
          <t>Sportradar Group AG</t>
        </is>
      </c>
      <c r="G1558">
        <f>custodian!D1558</f>
        <v/>
      </c>
      <c r="H1558">
        <f>BDP($B1558,"ID_ISIN")</f>
        <v/>
      </c>
      <c r="I1558" s="1" t="inlineStr">
        <is>
          <t>SRAD</t>
        </is>
      </c>
      <c r="J1558">
        <f>BDP($B1558,"CNTRY_OF_DOMICILE")</f>
        <v/>
      </c>
      <c r="K1558" t="inlineStr">
        <is>
          <t>EC</t>
        </is>
      </c>
      <c r="L1558" t="inlineStr">
        <is>
          <t>CORP</t>
        </is>
      </c>
      <c r="M1558" t="inlineStr"/>
      <c r="N1558" t="inlineStr"/>
      <c r="O1558" s="1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s="1" t="inlineStr"/>
      <c r="AR1558" s="1" t="inlineStr"/>
      <c r="AS1558" s="1" t="inlineStr"/>
      <c r="AT1558" t="inlineStr"/>
      <c r="AU1558" t="inlineStr"/>
      <c r="AV1558" t="inlineStr"/>
      <c r="AW1558" t="inlineStr"/>
      <c r="AX1558" t="inlineStr"/>
      <c r="AY1558" t="inlineStr"/>
    </row>
    <row r="1559">
      <c r="A1559" t="inlineStr">
        <is>
          <t>ODDZ</t>
        </is>
      </c>
      <c r="B1559" t="inlineStr">
        <is>
          <t>WYNN US Equity</t>
        </is>
      </c>
      <c r="C1559" s="1" t="inlineStr">
        <is>
          <t>WYNN</t>
        </is>
      </c>
      <c r="D1559" t="inlineStr">
        <is>
          <t>Wynn Resorts Ltd</t>
        </is>
      </c>
      <c r="E1559">
        <f>BDP($B1559,"LEGAL_ENTITY_IDENTIFIER")</f>
        <v/>
      </c>
      <c r="F1559" t="inlineStr">
        <is>
          <t>Wynn Resorts Ltd</t>
        </is>
      </c>
      <c r="G1559">
        <f>custodian!D1559</f>
        <v/>
      </c>
      <c r="H1559">
        <f>BDP($B1559,"ID_ISIN")</f>
        <v/>
      </c>
      <c r="I1559" s="1" t="inlineStr">
        <is>
          <t>WYNN</t>
        </is>
      </c>
      <c r="J1559">
        <f>BDP($B1559,"CNTRY_OF_DOMICILE")</f>
        <v/>
      </c>
      <c r="K1559" t="inlineStr">
        <is>
          <t>EC</t>
        </is>
      </c>
      <c r="L1559" t="inlineStr">
        <is>
          <t>CORP</t>
        </is>
      </c>
      <c r="M1559" t="inlineStr"/>
      <c r="N1559" t="inlineStr"/>
      <c r="O1559" s="1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s="1" t="inlineStr"/>
      <c r="AR1559" s="1" t="inlineStr"/>
      <c r="AS1559" s="1" t="inlineStr"/>
      <c r="AT1559" t="inlineStr"/>
      <c r="AU1559" t="inlineStr"/>
      <c r="AV1559" t="inlineStr"/>
      <c r="AW1559" t="inlineStr"/>
      <c r="AX1559" t="inlineStr"/>
      <c r="AY1559" t="inlineStr"/>
    </row>
    <row r="1560">
      <c r="A1560" t="inlineStr">
        <is>
          <t>ODDZ</t>
        </is>
      </c>
      <c r="B1560" t="inlineStr"/>
      <c r="C1560" s="1" t="inlineStr">
        <is>
          <t>Cash&amp;Other</t>
        </is>
      </c>
      <c r="D1560" t="inlineStr"/>
      <c r="E1560" s="1" t="inlineStr"/>
      <c r="F1560" t="inlineStr"/>
      <c r="G1560">
        <f>custodian!D1560</f>
        <v/>
      </c>
      <c r="H1560" s="1" t="inlineStr"/>
      <c r="I1560" s="1" t="inlineStr"/>
      <c r="J1560" t="inlineStr"/>
      <c r="K1560" t="inlineStr"/>
      <c r="L1560" t="inlineStr"/>
      <c r="M1560" t="inlineStr"/>
      <c r="N1560" t="inlineStr"/>
      <c r="O1560" s="1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s="1" t="inlineStr"/>
      <c r="AR1560" s="1" t="inlineStr"/>
      <c r="AS1560" s="1" t="inlineStr"/>
      <c r="AT1560" t="inlineStr"/>
      <c r="AU1560" t="inlineStr"/>
      <c r="AV1560" t="inlineStr"/>
      <c r="AW1560" t="inlineStr"/>
      <c r="AX1560" t="inlineStr"/>
      <c r="AY1560" t="inlineStr"/>
    </row>
    <row r="1561">
      <c r="A1561" t="inlineStr">
        <is>
          <t>ONTX</t>
        </is>
      </c>
      <c r="B1561" t="inlineStr">
        <is>
          <t>683344105 Equity</t>
        </is>
      </c>
      <c r="C1561" s="1" t="inlineStr">
        <is>
          <t>683344105-TRS-12/01/27-L-CANT</t>
        </is>
      </c>
      <c r="D1561" t="inlineStr">
        <is>
          <t>N/A</t>
        </is>
      </c>
      <c r="E1561" s="1" t="inlineStr">
        <is>
          <t>N/A</t>
        </is>
      </c>
      <c r="F1561" t="inlineStr">
        <is>
          <t>ONTO INNOVATION INC.-SWAP-CANT-L</t>
        </is>
      </c>
      <c r="G1561">
        <f>custodian!D1561</f>
        <v/>
      </c>
      <c r="H1561" s="1" t="inlineStr"/>
      <c r="I1561" s="1" t="inlineStr">
        <is>
          <t>683344105-TRS-12/01/27-L-CANT</t>
        </is>
      </c>
      <c r="J1561" t="inlineStr">
        <is>
          <t>US</t>
        </is>
      </c>
      <c r="K1561" t="inlineStr">
        <is>
          <t>DE</t>
        </is>
      </c>
      <c r="L1561" t="inlineStr">
        <is>
          <t>OTHER</t>
        </is>
      </c>
      <c r="M1561" t="inlineStr">
        <is>
          <t>SWP</t>
        </is>
      </c>
      <c r="N1561" t="inlineStr"/>
      <c r="O1561" s="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otherRefInst</t>
        </is>
      </c>
      <c r="W1561" t="inlineStr"/>
      <c r="X1561" t="inlineStr"/>
      <c r="Y1561" t="inlineStr">
        <is>
          <t>Y</t>
        </is>
      </c>
      <c r="Z1561" t="inlineStr">
        <is>
          <t>2027-12-01</t>
        </is>
      </c>
      <c r="AA1561" t="inlineStr">
        <is>
          <t>508816.96</t>
        </is>
      </c>
      <c r="AB1561" t="inlineStr">
        <is>
          <t>USD</t>
        </is>
      </c>
      <c r="AC1561" t="inlineStr">
        <is>
          <t>9961.58</t>
        </is>
      </c>
      <c r="AD1561" t="inlineStr">
        <is>
          <t>9961.58</t>
        </is>
      </c>
      <c r="AE1561" t="inlineStr">
        <is>
          <t>3.83</t>
        </is>
      </c>
      <c r="AF1561" t="inlineStr"/>
      <c r="AG1561" t="inlineStr"/>
      <c r="AH1561" t="inlineStr">
        <is>
          <t>Floating</t>
        </is>
      </c>
      <c r="AI1561" t="inlineStr"/>
      <c r="AJ1561" t="inlineStr"/>
      <c r="AK1561" t="inlineStr">
        <is>
          <t>508816.96</t>
        </is>
      </c>
      <c r="AL1561" t="inlineStr">
        <is>
          <t>USD</t>
        </is>
      </c>
      <c r="AM1561" t="inlineStr"/>
      <c r="AN1561" t="inlineStr"/>
      <c r="AO1561">
        <f>BDP($B1561,"ISSUER")</f>
        <v/>
      </c>
      <c r="AP1561">
        <f>BDP($B1561,"NAME")</f>
        <v/>
      </c>
      <c r="AQ1561" s="1" t="inlineStr">
        <is>
          <t>683344105</t>
        </is>
      </c>
      <c r="AR1561">
        <f>BDP($B1561,"ID_ISIN")</f>
        <v/>
      </c>
      <c r="AS1561">
        <f>BDP($B1561,"TICKER")</f>
        <v/>
      </c>
      <c r="AT1561" t="inlineStr"/>
      <c r="AU1561" t="inlineStr"/>
      <c r="AV1561" t="inlineStr"/>
      <c r="AW1561" t="inlineStr"/>
      <c r="AX1561" t="inlineStr"/>
      <c r="AY1561" t="inlineStr"/>
    </row>
    <row r="1562">
      <c r="A1562" t="inlineStr">
        <is>
          <t>ONTX</t>
        </is>
      </c>
      <c r="B1562" t="inlineStr">
        <is>
          <t>FGXXX US Equity</t>
        </is>
      </c>
      <c r="C1562" s="1" t="inlineStr">
        <is>
          <t>FGXXX</t>
        </is>
      </c>
      <c r="D1562" t="inlineStr">
        <is>
          <t>First American Government Obli</t>
        </is>
      </c>
      <c r="E1562">
        <f>BDP($B1562,"LEGAL_ENTITY_IDENTIFIER")</f>
        <v/>
      </c>
      <c r="F1562" t="inlineStr">
        <is>
          <t>First American Government Obligations Fund</t>
        </is>
      </c>
      <c r="G1562">
        <f>custodian!D1562</f>
        <v/>
      </c>
      <c r="H1562">
        <f>BDP($B1562,"ID_ISIN")</f>
        <v/>
      </c>
      <c r="I1562" s="1" t="inlineStr">
        <is>
          <t>FGXXX</t>
        </is>
      </c>
      <c r="J1562">
        <f>BDP($B1562,"CNTRY_OF_DOMICILE")</f>
        <v/>
      </c>
      <c r="K1562" t="inlineStr">
        <is>
          <t>STIV</t>
        </is>
      </c>
      <c r="L1562" t="inlineStr">
        <is>
          <t>RF</t>
        </is>
      </c>
      <c r="M1562" t="inlineStr"/>
      <c r="N1562" t="inlineStr"/>
      <c r="O1562" s="1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s="1" t="inlineStr"/>
      <c r="AR1562" s="1" t="inlineStr"/>
      <c r="AS1562" s="1" t="inlineStr"/>
      <c r="AT1562" t="inlineStr"/>
      <c r="AU1562" t="inlineStr"/>
      <c r="AV1562" t="inlineStr"/>
      <c r="AW1562" t="inlineStr"/>
      <c r="AX1562" t="inlineStr"/>
      <c r="AY1562" t="inlineStr"/>
    </row>
    <row r="1563">
      <c r="A1563" t="inlineStr">
        <is>
          <t>ONTX</t>
        </is>
      </c>
      <c r="B1563" t="inlineStr"/>
      <c r="C1563" s="1" t="inlineStr">
        <is>
          <t>Cash&amp;Other</t>
        </is>
      </c>
      <c r="D1563" t="inlineStr"/>
      <c r="E1563" s="1" t="inlineStr"/>
      <c r="F1563" t="inlineStr"/>
      <c r="G1563">
        <f>custodian!D1563</f>
        <v/>
      </c>
      <c r="H1563" s="1" t="inlineStr"/>
      <c r="I1563" s="1" t="inlineStr"/>
      <c r="J1563" t="inlineStr"/>
      <c r="K1563" t="inlineStr"/>
      <c r="L1563" t="inlineStr"/>
      <c r="M1563" t="inlineStr"/>
      <c r="N1563" t="inlineStr"/>
      <c r="O1563" s="1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s="1" t="inlineStr"/>
      <c r="AR1563" s="1" t="inlineStr"/>
      <c r="AS1563" s="1" t="inlineStr"/>
      <c r="AT1563" t="inlineStr"/>
      <c r="AU1563" t="inlineStr"/>
      <c r="AV1563" t="inlineStr"/>
      <c r="AW1563" t="inlineStr"/>
      <c r="AX1563" t="inlineStr"/>
      <c r="AY1563" t="inlineStr"/>
    </row>
    <row r="1564">
      <c r="A1564" t="inlineStr">
        <is>
          <t>OWN</t>
        </is>
      </c>
      <c r="B1564" t="inlineStr">
        <is>
          <t>AAPL US Equity</t>
        </is>
      </c>
      <c r="C1564" s="1" t="inlineStr">
        <is>
          <t>AAPL</t>
        </is>
      </c>
      <c r="D1564" t="inlineStr">
        <is>
          <t>Apple Inc</t>
        </is>
      </c>
      <c r="E1564">
        <f>BDP($B1564,"LEGAL_ENTITY_IDENTIFIER")</f>
        <v/>
      </c>
      <c r="F1564" t="inlineStr">
        <is>
          <t>Apple Inc</t>
        </is>
      </c>
      <c r="G1564">
        <f>custodian!D1564</f>
        <v/>
      </c>
      <c r="H1564">
        <f>BDP($B1564,"ID_ISIN")</f>
        <v/>
      </c>
      <c r="I1564" s="1" t="inlineStr">
        <is>
          <t>AAPL</t>
        </is>
      </c>
      <c r="J1564">
        <f>BDP($B1564,"CNTRY_OF_DOMICILE")</f>
        <v/>
      </c>
      <c r="K1564" t="inlineStr">
        <is>
          <t>EC</t>
        </is>
      </c>
      <c r="L1564" t="inlineStr">
        <is>
          <t>CORP</t>
        </is>
      </c>
      <c r="M1564" t="inlineStr"/>
      <c r="N1564" t="inlineStr"/>
      <c r="O1564" s="1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s="1" t="inlineStr"/>
      <c r="AR1564" s="1" t="inlineStr"/>
      <c r="AS1564" s="1" t="inlineStr"/>
      <c r="AT1564" t="inlineStr"/>
      <c r="AU1564" t="inlineStr"/>
      <c r="AV1564" t="inlineStr"/>
      <c r="AW1564" t="inlineStr"/>
      <c r="AX1564" t="inlineStr"/>
      <c r="AY1564" t="inlineStr"/>
    </row>
    <row r="1565">
      <c r="A1565" t="inlineStr">
        <is>
          <t>OWN</t>
        </is>
      </c>
      <c r="B1565" t="inlineStr">
        <is>
          <t>ABNB US Equity</t>
        </is>
      </c>
      <c r="C1565" s="1" t="inlineStr">
        <is>
          <t>ABNB</t>
        </is>
      </c>
      <c r="D1565" t="inlineStr">
        <is>
          <t>Airbnb Inc</t>
        </is>
      </c>
      <c r="E1565">
        <f>BDP($B1565,"LEGAL_ENTITY_IDENTIFIER")</f>
        <v/>
      </c>
      <c r="F1565" t="inlineStr">
        <is>
          <t>Airbnb Inc</t>
        </is>
      </c>
      <c r="G1565">
        <f>custodian!D1565</f>
        <v/>
      </c>
      <c r="H1565">
        <f>BDP($B1565,"ID_ISIN")</f>
        <v/>
      </c>
      <c r="I1565" s="1" t="inlineStr">
        <is>
          <t>ABNB</t>
        </is>
      </c>
      <c r="J1565">
        <f>BDP($B1565,"CNTRY_OF_DOMICILE")</f>
        <v/>
      </c>
      <c r="K1565" t="inlineStr">
        <is>
          <t>EC</t>
        </is>
      </c>
      <c r="L1565" t="inlineStr">
        <is>
          <t>CORP</t>
        </is>
      </c>
      <c r="M1565" t="inlineStr"/>
      <c r="N1565" t="inlineStr"/>
      <c r="O1565" s="1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s="1" t="inlineStr"/>
      <c r="AR1565" s="1" t="inlineStr"/>
      <c r="AS1565" s="1" t="inlineStr"/>
      <c r="AT1565" t="inlineStr"/>
      <c r="AU1565" t="inlineStr"/>
      <c r="AV1565" t="inlineStr"/>
      <c r="AW1565" t="inlineStr"/>
      <c r="AX1565" t="inlineStr"/>
      <c r="AY1565" t="inlineStr"/>
    </row>
    <row r="1566">
      <c r="A1566" t="inlineStr">
        <is>
          <t>OWN</t>
        </is>
      </c>
      <c r="B1566" t="inlineStr">
        <is>
          <t>ACGL US Equity</t>
        </is>
      </c>
      <c r="C1566" s="1" t="inlineStr">
        <is>
          <t>ACGL</t>
        </is>
      </c>
      <c r="D1566" t="inlineStr">
        <is>
          <t>Arch Capital Group Ltd</t>
        </is>
      </c>
      <c r="E1566">
        <f>BDP($B1566,"LEGAL_ENTITY_IDENTIFIER")</f>
        <v/>
      </c>
      <c r="F1566" t="inlineStr">
        <is>
          <t>Arch Capital Group Ltd</t>
        </is>
      </c>
      <c r="G1566">
        <f>custodian!D1566</f>
        <v/>
      </c>
      <c r="H1566">
        <f>BDP($B1566,"ID_ISIN")</f>
        <v/>
      </c>
      <c r="I1566" s="1" t="inlineStr">
        <is>
          <t>ACGL</t>
        </is>
      </c>
      <c r="J1566">
        <f>BDP($B1566,"CNTRY_OF_DOMICILE")</f>
        <v/>
      </c>
      <c r="K1566" t="inlineStr">
        <is>
          <t>EC</t>
        </is>
      </c>
      <c r="L1566" t="inlineStr">
        <is>
          <t>CORP</t>
        </is>
      </c>
      <c r="M1566" t="inlineStr"/>
      <c r="N1566" t="inlineStr"/>
      <c r="O1566" s="1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s="1" t="inlineStr"/>
      <c r="AR1566" s="1" t="inlineStr"/>
      <c r="AS1566" s="1" t="inlineStr"/>
      <c r="AT1566" t="inlineStr"/>
      <c r="AU1566" t="inlineStr"/>
      <c r="AV1566" t="inlineStr"/>
      <c r="AW1566" t="inlineStr"/>
      <c r="AX1566" t="inlineStr"/>
      <c r="AY1566" t="inlineStr"/>
    </row>
    <row r="1567">
      <c r="A1567" t="inlineStr">
        <is>
          <t>OWN</t>
        </is>
      </c>
      <c r="B1567" t="inlineStr">
        <is>
          <t>AMAT US Equity</t>
        </is>
      </c>
      <c r="C1567" s="1" t="inlineStr">
        <is>
          <t>AMAT</t>
        </is>
      </c>
      <c r="D1567" t="inlineStr">
        <is>
          <t>Applied Materials Inc</t>
        </is>
      </c>
      <c r="E1567">
        <f>BDP($B1567,"LEGAL_ENTITY_IDENTIFIER")</f>
        <v/>
      </c>
      <c r="F1567" t="inlineStr">
        <is>
          <t>Applied Materials Inc</t>
        </is>
      </c>
      <c r="G1567">
        <f>custodian!D1567</f>
        <v/>
      </c>
      <c r="H1567">
        <f>BDP($B1567,"ID_ISIN")</f>
        <v/>
      </c>
      <c r="I1567" s="1" t="inlineStr">
        <is>
          <t>AMAT</t>
        </is>
      </c>
      <c r="J1567">
        <f>BDP($B1567,"CNTRY_OF_DOMICILE")</f>
        <v/>
      </c>
      <c r="K1567" t="inlineStr">
        <is>
          <t>EC</t>
        </is>
      </c>
      <c r="L1567" t="inlineStr">
        <is>
          <t>CORP</t>
        </is>
      </c>
      <c r="M1567" t="inlineStr"/>
      <c r="N1567" t="inlineStr"/>
      <c r="O1567" s="1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s="1" t="inlineStr"/>
      <c r="AR1567" s="1" t="inlineStr"/>
      <c r="AS1567" s="1" t="inlineStr"/>
      <c r="AT1567" t="inlineStr"/>
      <c r="AU1567" t="inlineStr"/>
      <c r="AV1567" t="inlineStr"/>
      <c r="AW1567" t="inlineStr"/>
      <c r="AX1567" t="inlineStr"/>
      <c r="AY1567" t="inlineStr"/>
    </row>
    <row r="1568">
      <c r="A1568" t="inlineStr">
        <is>
          <t>OWN</t>
        </is>
      </c>
      <c r="B1568" t="inlineStr">
        <is>
          <t>AMD US Equity</t>
        </is>
      </c>
      <c r="C1568" s="1" t="inlineStr">
        <is>
          <t>AMD</t>
        </is>
      </c>
      <c r="D1568" t="inlineStr">
        <is>
          <t>Advanced Micro Devices Inc</t>
        </is>
      </c>
      <c r="E1568">
        <f>BDP($B1568,"LEGAL_ENTITY_IDENTIFIER")</f>
        <v/>
      </c>
      <c r="F1568" t="inlineStr">
        <is>
          <t>Advanced Micro Devices Inc</t>
        </is>
      </c>
      <c r="G1568">
        <f>custodian!D1568</f>
        <v/>
      </c>
      <c r="H1568">
        <f>BDP($B1568,"ID_ISIN")</f>
        <v/>
      </c>
      <c r="I1568" s="1" t="inlineStr">
        <is>
          <t>AMD</t>
        </is>
      </c>
      <c r="J1568">
        <f>BDP($B1568,"CNTRY_OF_DOMICILE")</f>
        <v/>
      </c>
      <c r="K1568" t="inlineStr">
        <is>
          <t>EC</t>
        </is>
      </c>
      <c r="L1568" t="inlineStr">
        <is>
          <t>CORP</t>
        </is>
      </c>
      <c r="M1568" t="inlineStr"/>
      <c r="N1568" t="inlineStr"/>
      <c r="O1568" s="1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s="1" t="inlineStr"/>
      <c r="AR1568" s="1" t="inlineStr"/>
      <c r="AS1568" s="1" t="inlineStr"/>
      <c r="AT1568" t="inlineStr"/>
      <c r="AU1568" t="inlineStr"/>
      <c r="AV1568" t="inlineStr"/>
      <c r="AW1568" t="inlineStr"/>
      <c r="AX1568" t="inlineStr"/>
      <c r="AY1568" t="inlineStr"/>
    </row>
    <row r="1569">
      <c r="A1569" t="inlineStr">
        <is>
          <t>OWN</t>
        </is>
      </c>
      <c r="B1569" t="inlineStr">
        <is>
          <t>AMZN US Equity</t>
        </is>
      </c>
      <c r="C1569" s="1" t="inlineStr">
        <is>
          <t>AMZN</t>
        </is>
      </c>
      <c r="D1569" t="inlineStr">
        <is>
          <t>Amazon.com Inc</t>
        </is>
      </c>
      <c r="E1569">
        <f>BDP($B1569,"LEGAL_ENTITY_IDENTIFIER")</f>
        <v/>
      </c>
      <c r="F1569" t="inlineStr">
        <is>
          <t>Amazon.com Inc</t>
        </is>
      </c>
      <c r="G1569">
        <f>custodian!D1569</f>
        <v/>
      </c>
      <c r="H1569">
        <f>BDP($B1569,"ID_ISIN")</f>
        <v/>
      </c>
      <c r="I1569" s="1" t="inlineStr">
        <is>
          <t>AMZN</t>
        </is>
      </c>
      <c r="J1569">
        <f>BDP($B1569,"CNTRY_OF_DOMICILE")</f>
        <v/>
      </c>
      <c r="K1569" t="inlineStr">
        <is>
          <t>EC</t>
        </is>
      </c>
      <c r="L1569" t="inlineStr">
        <is>
          <t>CORP</t>
        </is>
      </c>
      <c r="M1569" t="inlineStr"/>
      <c r="N1569" t="inlineStr"/>
      <c r="O1569" s="1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s="1" t="inlineStr"/>
      <c r="AR1569" s="1" t="inlineStr"/>
      <c r="AS1569" s="1" t="inlineStr"/>
      <c r="AT1569" t="inlineStr"/>
      <c r="AU1569" t="inlineStr"/>
      <c r="AV1569" t="inlineStr"/>
      <c r="AW1569" t="inlineStr"/>
      <c r="AX1569" t="inlineStr"/>
      <c r="AY1569" t="inlineStr"/>
    </row>
    <row r="1570">
      <c r="A1570" t="inlineStr">
        <is>
          <t>OWN</t>
        </is>
      </c>
      <c r="B1570" t="inlineStr">
        <is>
          <t>ANET US Equity</t>
        </is>
      </c>
      <c r="C1570" s="1" t="inlineStr">
        <is>
          <t>ANET</t>
        </is>
      </c>
      <c r="D1570" t="inlineStr">
        <is>
          <t>Arista Networks Inc</t>
        </is>
      </c>
      <c r="E1570">
        <f>BDP($B1570,"LEGAL_ENTITY_IDENTIFIER")</f>
        <v/>
      </c>
      <c r="F1570" t="inlineStr">
        <is>
          <t>Arista Networks Inc</t>
        </is>
      </c>
      <c r="G1570">
        <f>custodian!D1570</f>
        <v/>
      </c>
      <c r="H1570">
        <f>BDP($B1570,"ID_ISIN")</f>
        <v/>
      </c>
      <c r="I1570" s="1" t="inlineStr">
        <is>
          <t>ANET</t>
        </is>
      </c>
      <c r="J1570">
        <f>BDP($B1570,"CNTRY_OF_DOMICILE")</f>
        <v/>
      </c>
      <c r="K1570" t="inlineStr">
        <is>
          <t>EC</t>
        </is>
      </c>
      <c r="L1570" t="inlineStr">
        <is>
          <t>CORP</t>
        </is>
      </c>
      <c r="M1570" t="inlineStr"/>
      <c r="N1570" t="inlineStr"/>
      <c r="O1570" s="1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s="1" t="inlineStr"/>
      <c r="AR1570" s="1" t="inlineStr"/>
      <c r="AS1570" s="1" t="inlineStr"/>
      <c r="AT1570" t="inlineStr"/>
      <c r="AU1570" t="inlineStr"/>
      <c r="AV1570" t="inlineStr"/>
      <c r="AW1570" t="inlineStr"/>
      <c r="AX1570" t="inlineStr"/>
      <c r="AY1570" t="inlineStr"/>
    </row>
    <row r="1571">
      <c r="A1571" t="inlineStr">
        <is>
          <t>OWN</t>
        </is>
      </c>
      <c r="B1571" t="inlineStr">
        <is>
          <t>APD US Equity</t>
        </is>
      </c>
      <c r="C1571" s="1" t="inlineStr">
        <is>
          <t>APD</t>
        </is>
      </c>
      <c r="D1571" t="inlineStr">
        <is>
          <t>Air Products and Chemicals Inc</t>
        </is>
      </c>
      <c r="E1571">
        <f>BDP($B1571,"LEGAL_ENTITY_IDENTIFIER")</f>
        <v/>
      </c>
      <c r="F1571" t="inlineStr">
        <is>
          <t>Air Products and Chemicals Inc</t>
        </is>
      </c>
      <c r="G1571">
        <f>custodian!D1571</f>
        <v/>
      </c>
      <c r="H1571">
        <f>BDP($B1571,"ID_ISIN")</f>
        <v/>
      </c>
      <c r="I1571" s="1" t="inlineStr">
        <is>
          <t>APD</t>
        </is>
      </c>
      <c r="J1571">
        <f>BDP($B1571,"CNTRY_OF_DOMICILE")</f>
        <v/>
      </c>
      <c r="K1571" t="inlineStr">
        <is>
          <t>EC</t>
        </is>
      </c>
      <c r="L1571" t="inlineStr">
        <is>
          <t>CORP</t>
        </is>
      </c>
      <c r="M1571" t="inlineStr"/>
      <c r="N1571" t="inlineStr"/>
      <c r="O1571" s="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s="1" t="inlineStr"/>
      <c r="AR1571" s="1" t="inlineStr"/>
      <c r="AS1571" s="1" t="inlineStr"/>
      <c r="AT1571" t="inlineStr"/>
      <c r="AU1571" t="inlineStr"/>
      <c r="AV1571" t="inlineStr"/>
      <c r="AW1571" t="inlineStr"/>
      <c r="AX1571" t="inlineStr"/>
      <c r="AY1571" t="inlineStr"/>
    </row>
    <row r="1572">
      <c r="A1572" t="inlineStr">
        <is>
          <t>OWN</t>
        </is>
      </c>
      <c r="B1572" t="inlineStr">
        <is>
          <t>APH US Equity</t>
        </is>
      </c>
      <c r="C1572" s="1" t="inlineStr">
        <is>
          <t>APH</t>
        </is>
      </c>
      <c r="D1572" t="inlineStr">
        <is>
          <t>Amphenol Corp</t>
        </is>
      </c>
      <c r="E1572">
        <f>BDP($B1572,"LEGAL_ENTITY_IDENTIFIER")</f>
        <v/>
      </c>
      <c r="F1572" t="inlineStr">
        <is>
          <t>Amphenol Corp</t>
        </is>
      </c>
      <c r="G1572">
        <f>custodian!D1572</f>
        <v/>
      </c>
      <c r="H1572">
        <f>BDP($B1572,"ID_ISIN")</f>
        <v/>
      </c>
      <c r="I1572" s="1" t="inlineStr">
        <is>
          <t>APH</t>
        </is>
      </c>
      <c r="J1572">
        <f>BDP($B1572,"CNTRY_OF_DOMICILE")</f>
        <v/>
      </c>
      <c r="K1572" t="inlineStr">
        <is>
          <t>EC</t>
        </is>
      </c>
      <c r="L1572" t="inlineStr">
        <is>
          <t>CORP</t>
        </is>
      </c>
      <c r="M1572" t="inlineStr"/>
      <c r="N1572" t="inlineStr"/>
      <c r="O1572" s="1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s="1" t="inlineStr"/>
      <c r="AR1572" s="1" t="inlineStr"/>
      <c r="AS1572" s="1" t="inlineStr"/>
      <c r="AT1572" t="inlineStr"/>
      <c r="AU1572" t="inlineStr"/>
      <c r="AV1572" t="inlineStr"/>
      <c r="AW1572" t="inlineStr"/>
      <c r="AX1572" t="inlineStr"/>
      <c r="AY1572" t="inlineStr"/>
    </row>
    <row r="1573">
      <c r="A1573" t="inlineStr">
        <is>
          <t>OWN</t>
        </is>
      </c>
      <c r="B1573" t="inlineStr">
        <is>
          <t>APO US Equity</t>
        </is>
      </c>
      <c r="C1573" s="1" t="inlineStr">
        <is>
          <t>APO</t>
        </is>
      </c>
      <c r="D1573" t="inlineStr">
        <is>
          <t>Apollo Global Management Inc</t>
        </is>
      </c>
      <c r="E1573">
        <f>BDP($B1573,"LEGAL_ENTITY_IDENTIFIER")</f>
        <v/>
      </c>
      <c r="F1573" t="inlineStr">
        <is>
          <t>Apollo Global Management Inc</t>
        </is>
      </c>
      <c r="G1573">
        <f>custodian!D1573</f>
        <v/>
      </c>
      <c r="H1573">
        <f>BDP($B1573,"ID_ISIN")</f>
        <v/>
      </c>
      <c r="I1573" s="1" t="inlineStr">
        <is>
          <t>APO</t>
        </is>
      </c>
      <c r="J1573">
        <f>BDP($B1573,"CNTRY_OF_DOMICILE")</f>
        <v/>
      </c>
      <c r="K1573" t="inlineStr">
        <is>
          <t>EC</t>
        </is>
      </c>
      <c r="L1573" t="inlineStr">
        <is>
          <t>CORP</t>
        </is>
      </c>
      <c r="M1573" t="inlineStr"/>
      <c r="N1573" t="inlineStr"/>
      <c r="O1573" s="1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s="1" t="inlineStr"/>
      <c r="AR1573" s="1" t="inlineStr"/>
      <c r="AS1573" s="1" t="inlineStr"/>
      <c r="AT1573" t="inlineStr"/>
      <c r="AU1573" t="inlineStr"/>
      <c r="AV1573" t="inlineStr"/>
      <c r="AW1573" t="inlineStr"/>
      <c r="AX1573" t="inlineStr"/>
      <c r="AY1573" t="inlineStr"/>
    </row>
    <row r="1574">
      <c r="A1574" t="inlineStr">
        <is>
          <t>OWN</t>
        </is>
      </c>
      <c r="B1574" t="inlineStr">
        <is>
          <t>APP US Equity</t>
        </is>
      </c>
      <c r="C1574" s="1" t="inlineStr">
        <is>
          <t>APP</t>
        </is>
      </c>
      <c r="D1574" t="inlineStr">
        <is>
          <t>AppLovin Corp</t>
        </is>
      </c>
      <c r="E1574">
        <f>BDP($B1574,"LEGAL_ENTITY_IDENTIFIER")</f>
        <v/>
      </c>
      <c r="F1574" t="inlineStr">
        <is>
          <t>AppLovin Corp</t>
        </is>
      </c>
      <c r="G1574">
        <f>custodian!D1574</f>
        <v/>
      </c>
      <c r="H1574">
        <f>BDP($B1574,"ID_ISIN")</f>
        <v/>
      </c>
      <c r="I1574" s="1" t="inlineStr">
        <is>
          <t>APP</t>
        </is>
      </c>
      <c r="J1574">
        <f>BDP($B1574,"CNTRY_OF_DOMICILE")</f>
        <v/>
      </c>
      <c r="K1574" t="inlineStr">
        <is>
          <t>EC</t>
        </is>
      </c>
      <c r="L1574" t="inlineStr">
        <is>
          <t>CORP</t>
        </is>
      </c>
      <c r="M1574" t="inlineStr"/>
      <c r="N1574" t="inlineStr"/>
      <c r="O1574" s="1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s="1" t="inlineStr"/>
      <c r="AR1574" s="1" t="inlineStr"/>
      <c r="AS1574" s="1" t="inlineStr"/>
      <c r="AT1574" t="inlineStr"/>
      <c r="AU1574" t="inlineStr"/>
      <c r="AV1574" t="inlineStr"/>
      <c r="AW1574" t="inlineStr"/>
      <c r="AX1574" t="inlineStr"/>
      <c r="AY1574" t="inlineStr"/>
    </row>
    <row r="1575">
      <c r="A1575" t="inlineStr">
        <is>
          <t>OWN</t>
        </is>
      </c>
      <c r="B1575" t="inlineStr">
        <is>
          <t>ARES US Equity</t>
        </is>
      </c>
      <c r="C1575" s="1" t="inlineStr">
        <is>
          <t>ARES</t>
        </is>
      </c>
      <c r="D1575" t="inlineStr">
        <is>
          <t>Ares Management Corp</t>
        </is>
      </c>
      <c r="E1575">
        <f>BDP($B1575,"LEGAL_ENTITY_IDENTIFIER")</f>
        <v/>
      </c>
      <c r="F1575" t="inlineStr">
        <is>
          <t>Ares Management Corp</t>
        </is>
      </c>
      <c r="G1575">
        <f>custodian!D1575</f>
        <v/>
      </c>
      <c r="H1575">
        <f>BDP($B1575,"ID_ISIN")</f>
        <v/>
      </c>
      <c r="I1575" s="1" t="inlineStr">
        <is>
          <t>ARES</t>
        </is>
      </c>
      <c r="J1575">
        <f>BDP($B1575,"CNTRY_OF_DOMICILE")</f>
        <v/>
      </c>
      <c r="K1575" t="inlineStr">
        <is>
          <t>EC</t>
        </is>
      </c>
      <c r="L1575" t="inlineStr">
        <is>
          <t>CORP</t>
        </is>
      </c>
      <c r="M1575" t="inlineStr"/>
      <c r="N1575" t="inlineStr"/>
      <c r="O1575" s="1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s="1" t="inlineStr"/>
      <c r="AR1575" s="1" t="inlineStr"/>
      <c r="AS1575" s="1" t="inlineStr"/>
      <c r="AT1575" t="inlineStr"/>
      <c r="AU1575" t="inlineStr"/>
      <c r="AV1575" t="inlineStr"/>
      <c r="AW1575" t="inlineStr"/>
      <c r="AX1575" t="inlineStr"/>
      <c r="AY1575" t="inlineStr"/>
    </row>
    <row r="1576">
      <c r="A1576" t="inlineStr">
        <is>
          <t>OWN</t>
        </is>
      </c>
      <c r="B1576" t="inlineStr">
        <is>
          <t>AVGO US Equity</t>
        </is>
      </c>
      <c r="C1576" s="1" t="inlineStr">
        <is>
          <t>AVGO</t>
        </is>
      </c>
      <c r="D1576" t="inlineStr">
        <is>
          <t>Broadcom Inc</t>
        </is>
      </c>
      <c r="E1576">
        <f>BDP($B1576,"LEGAL_ENTITY_IDENTIFIER")</f>
        <v/>
      </c>
      <c r="F1576" t="inlineStr">
        <is>
          <t>Broadcom Inc</t>
        </is>
      </c>
      <c r="G1576">
        <f>custodian!D1576</f>
        <v/>
      </c>
      <c r="H1576">
        <f>BDP($B1576,"ID_ISIN")</f>
        <v/>
      </c>
      <c r="I1576" s="1" t="inlineStr">
        <is>
          <t>AVGO</t>
        </is>
      </c>
      <c r="J1576">
        <f>BDP($B1576,"CNTRY_OF_DOMICILE")</f>
        <v/>
      </c>
      <c r="K1576" t="inlineStr">
        <is>
          <t>EC</t>
        </is>
      </c>
      <c r="L1576" t="inlineStr">
        <is>
          <t>CORP</t>
        </is>
      </c>
      <c r="M1576" t="inlineStr"/>
      <c r="N1576" t="inlineStr"/>
      <c r="O1576" s="1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s="1" t="inlineStr"/>
      <c r="AR1576" s="1" t="inlineStr"/>
      <c r="AS1576" s="1" t="inlineStr"/>
      <c r="AT1576" t="inlineStr"/>
      <c r="AU1576" t="inlineStr"/>
      <c r="AV1576" t="inlineStr"/>
      <c r="AW1576" t="inlineStr"/>
      <c r="AX1576" t="inlineStr"/>
      <c r="AY1576" t="inlineStr"/>
    </row>
    <row r="1577">
      <c r="A1577" t="inlineStr">
        <is>
          <t>OWN</t>
        </is>
      </c>
      <c r="B1577" t="inlineStr">
        <is>
          <t>AXON US Equity</t>
        </is>
      </c>
      <c r="C1577" s="1" t="inlineStr">
        <is>
          <t>AXON</t>
        </is>
      </c>
      <c r="D1577" t="inlineStr">
        <is>
          <t>Axon Enterprise Inc</t>
        </is>
      </c>
      <c r="E1577">
        <f>BDP($B1577,"LEGAL_ENTITY_IDENTIFIER")</f>
        <v/>
      </c>
      <c r="F1577" t="inlineStr">
        <is>
          <t>Axon Enterprise Inc</t>
        </is>
      </c>
      <c r="G1577">
        <f>custodian!D1577</f>
        <v/>
      </c>
      <c r="H1577">
        <f>BDP($B1577,"ID_ISIN")</f>
        <v/>
      </c>
      <c r="I1577" s="1" t="inlineStr">
        <is>
          <t>AXON</t>
        </is>
      </c>
      <c r="J1577">
        <f>BDP($B1577,"CNTRY_OF_DOMICILE")</f>
        <v/>
      </c>
      <c r="K1577" t="inlineStr">
        <is>
          <t>EC</t>
        </is>
      </c>
      <c r="L1577" t="inlineStr">
        <is>
          <t>CORP</t>
        </is>
      </c>
      <c r="M1577" t="inlineStr"/>
      <c r="N1577" t="inlineStr"/>
      <c r="O1577" s="1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s="1" t="inlineStr"/>
      <c r="AR1577" s="1" t="inlineStr"/>
      <c r="AS1577" s="1" t="inlineStr"/>
      <c r="AT1577" t="inlineStr"/>
      <c r="AU1577" t="inlineStr"/>
      <c r="AV1577" t="inlineStr"/>
      <c r="AW1577" t="inlineStr"/>
      <c r="AX1577" t="inlineStr"/>
      <c r="AY1577" t="inlineStr"/>
    </row>
    <row r="1578">
      <c r="A1578" t="inlineStr">
        <is>
          <t>OWN</t>
        </is>
      </c>
      <c r="B1578" t="inlineStr">
        <is>
          <t>AZO US Equity</t>
        </is>
      </c>
      <c r="C1578" s="1" t="inlineStr">
        <is>
          <t>AZO</t>
        </is>
      </c>
      <c r="D1578" t="inlineStr">
        <is>
          <t>AutoZone Inc</t>
        </is>
      </c>
      <c r="E1578">
        <f>BDP($B1578,"LEGAL_ENTITY_IDENTIFIER")</f>
        <v/>
      </c>
      <c r="F1578" t="inlineStr">
        <is>
          <t>AutoZone Inc</t>
        </is>
      </c>
      <c r="G1578">
        <f>custodian!D1578</f>
        <v/>
      </c>
      <c r="H1578">
        <f>BDP($B1578,"ID_ISIN")</f>
        <v/>
      </c>
      <c r="I1578" s="1" t="inlineStr">
        <is>
          <t>AZO</t>
        </is>
      </c>
      <c r="J1578">
        <f>BDP($B1578,"CNTRY_OF_DOMICILE")</f>
        <v/>
      </c>
      <c r="K1578" t="inlineStr">
        <is>
          <t>EC</t>
        </is>
      </c>
      <c r="L1578" t="inlineStr">
        <is>
          <t>CORP</t>
        </is>
      </c>
      <c r="M1578" t="inlineStr"/>
      <c r="N1578" t="inlineStr"/>
      <c r="O1578" s="1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s="1" t="inlineStr"/>
      <c r="AR1578" s="1" t="inlineStr"/>
      <c r="AS1578" s="1" t="inlineStr"/>
      <c r="AT1578" t="inlineStr"/>
      <c r="AU1578" t="inlineStr"/>
      <c r="AV1578" t="inlineStr"/>
      <c r="AW1578" t="inlineStr"/>
      <c r="AX1578" t="inlineStr"/>
      <c r="AY1578" t="inlineStr"/>
    </row>
    <row r="1579">
      <c r="A1579" t="inlineStr">
        <is>
          <t>OWN</t>
        </is>
      </c>
      <c r="B1579" t="inlineStr">
        <is>
          <t>BAC US Equity</t>
        </is>
      </c>
      <c r="C1579" s="1" t="inlineStr">
        <is>
          <t>BAC</t>
        </is>
      </c>
      <c r="D1579" t="inlineStr">
        <is>
          <t>Bank of America Corp</t>
        </is>
      </c>
      <c r="E1579">
        <f>BDP($B1579,"LEGAL_ENTITY_IDENTIFIER")</f>
        <v/>
      </c>
      <c r="F1579" t="inlineStr">
        <is>
          <t>Bank of America Corp</t>
        </is>
      </c>
      <c r="G1579">
        <f>custodian!D1579</f>
        <v/>
      </c>
      <c r="H1579">
        <f>BDP($B1579,"ID_ISIN")</f>
        <v/>
      </c>
      <c r="I1579" s="1" t="inlineStr">
        <is>
          <t>BAC</t>
        </is>
      </c>
      <c r="J1579">
        <f>BDP($B1579,"CNTRY_OF_DOMICILE")</f>
        <v/>
      </c>
      <c r="K1579" t="inlineStr">
        <is>
          <t>EC</t>
        </is>
      </c>
      <c r="L1579" t="inlineStr">
        <is>
          <t>CORP</t>
        </is>
      </c>
      <c r="M1579" t="inlineStr"/>
      <c r="N1579" t="inlineStr"/>
      <c r="O1579" s="1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s="1" t="inlineStr"/>
      <c r="AR1579" s="1" t="inlineStr"/>
      <c r="AS1579" s="1" t="inlineStr"/>
      <c r="AT1579" t="inlineStr"/>
      <c r="AU1579" t="inlineStr"/>
      <c r="AV1579" t="inlineStr"/>
      <c r="AW1579" t="inlineStr"/>
      <c r="AX1579" t="inlineStr"/>
      <c r="AY1579" t="inlineStr"/>
    </row>
    <row r="1580">
      <c r="A1580" t="inlineStr">
        <is>
          <t>OWN</t>
        </is>
      </c>
      <c r="B1580" t="inlineStr">
        <is>
          <t>BLK US Equity</t>
        </is>
      </c>
      <c r="C1580" s="1" t="inlineStr">
        <is>
          <t>BLK</t>
        </is>
      </c>
      <c r="D1580" t="inlineStr">
        <is>
          <t>Blackrock Inc</t>
        </is>
      </c>
      <c r="E1580">
        <f>BDP($B1580,"LEGAL_ENTITY_IDENTIFIER")</f>
        <v/>
      </c>
      <c r="F1580" t="inlineStr">
        <is>
          <t>Blackrock Inc</t>
        </is>
      </c>
      <c r="G1580">
        <f>custodian!D1580</f>
        <v/>
      </c>
      <c r="H1580">
        <f>BDP($B1580,"ID_ISIN")</f>
        <v/>
      </c>
      <c r="I1580" s="1" t="inlineStr">
        <is>
          <t>BLK</t>
        </is>
      </c>
      <c r="J1580">
        <f>BDP($B1580,"CNTRY_OF_DOMICILE")</f>
        <v/>
      </c>
      <c r="K1580" t="inlineStr">
        <is>
          <t>EC</t>
        </is>
      </c>
      <c r="L1580" t="inlineStr">
        <is>
          <t>CORP</t>
        </is>
      </c>
      <c r="M1580" t="inlineStr"/>
      <c r="N1580" t="inlineStr"/>
      <c r="O1580" s="1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s="1" t="inlineStr"/>
      <c r="AR1580" s="1" t="inlineStr"/>
      <c r="AS1580" s="1" t="inlineStr"/>
      <c r="AT1580" t="inlineStr"/>
      <c r="AU1580" t="inlineStr"/>
      <c r="AV1580" t="inlineStr"/>
      <c r="AW1580" t="inlineStr"/>
      <c r="AX1580" t="inlineStr"/>
      <c r="AY1580" t="inlineStr"/>
    </row>
    <row r="1581">
      <c r="A1581" t="inlineStr">
        <is>
          <t>OWN</t>
        </is>
      </c>
      <c r="B1581" t="inlineStr">
        <is>
          <t>BRK/B US Equity</t>
        </is>
      </c>
      <c r="C1581" s="1" t="inlineStr">
        <is>
          <t>BRK/B</t>
        </is>
      </c>
      <c r="D1581" t="inlineStr">
        <is>
          <t>Berkshire Hathaway Inc</t>
        </is>
      </c>
      <c r="E1581">
        <f>BDP($B1581,"LEGAL_ENTITY_IDENTIFIER")</f>
        <v/>
      </c>
      <c r="F1581" t="inlineStr">
        <is>
          <t>Berkshire Hathaway Inc</t>
        </is>
      </c>
      <c r="G1581">
        <f>custodian!D1581</f>
        <v/>
      </c>
      <c r="H1581">
        <f>BDP($B1581,"ID_ISIN")</f>
        <v/>
      </c>
      <c r="I1581" s="1" t="inlineStr">
        <is>
          <t>BRK/B</t>
        </is>
      </c>
      <c r="J1581">
        <f>BDP($B1581,"CNTRY_OF_DOMICILE")</f>
        <v/>
      </c>
      <c r="K1581" t="inlineStr">
        <is>
          <t>EC</t>
        </is>
      </c>
      <c r="L1581" t="inlineStr">
        <is>
          <t>CORP</t>
        </is>
      </c>
      <c r="M1581" t="inlineStr"/>
      <c r="N1581" t="inlineStr"/>
      <c r="O1581" s="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s="1" t="inlineStr"/>
      <c r="AR1581" s="1" t="inlineStr"/>
      <c r="AS1581" s="1" t="inlineStr"/>
      <c r="AT1581" t="inlineStr"/>
      <c r="AU1581" t="inlineStr"/>
      <c r="AV1581" t="inlineStr"/>
      <c r="AW1581" t="inlineStr"/>
      <c r="AX1581" t="inlineStr"/>
      <c r="AY1581" t="inlineStr"/>
    </row>
    <row r="1582">
      <c r="A1582" t="inlineStr">
        <is>
          <t>OWN</t>
        </is>
      </c>
      <c r="B1582" t="inlineStr">
        <is>
          <t>BX US Equity</t>
        </is>
      </c>
      <c r="C1582" s="1" t="inlineStr">
        <is>
          <t>BX</t>
        </is>
      </c>
      <c r="D1582" t="inlineStr">
        <is>
          <t>Blackstone Inc</t>
        </is>
      </c>
      <c r="E1582">
        <f>BDP($B1582,"LEGAL_ENTITY_IDENTIFIER")</f>
        <v/>
      </c>
      <c r="F1582" t="inlineStr">
        <is>
          <t>Blackstone Inc</t>
        </is>
      </c>
      <c r="G1582">
        <f>custodian!D1582</f>
        <v/>
      </c>
      <c r="H1582">
        <f>BDP($B1582,"ID_ISIN")</f>
        <v/>
      </c>
      <c r="I1582" s="1" t="inlineStr">
        <is>
          <t>BX</t>
        </is>
      </c>
      <c r="J1582">
        <f>BDP($B1582,"CNTRY_OF_DOMICILE")</f>
        <v/>
      </c>
      <c r="K1582" t="inlineStr">
        <is>
          <t>EC</t>
        </is>
      </c>
      <c r="L1582" t="inlineStr">
        <is>
          <t>CORP</t>
        </is>
      </c>
      <c r="M1582" t="inlineStr"/>
      <c r="N1582" t="inlineStr"/>
      <c r="O1582" s="1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s="1" t="inlineStr"/>
      <c r="AR1582" s="1" t="inlineStr"/>
      <c r="AS1582" s="1" t="inlineStr"/>
      <c r="AT1582" t="inlineStr"/>
      <c r="AU1582" t="inlineStr"/>
      <c r="AV1582" t="inlineStr"/>
      <c r="AW1582" t="inlineStr"/>
      <c r="AX1582" t="inlineStr"/>
      <c r="AY1582" t="inlineStr"/>
    </row>
    <row r="1583">
      <c r="A1583" t="inlineStr">
        <is>
          <t>OWN</t>
        </is>
      </c>
      <c r="B1583" t="inlineStr">
        <is>
          <t>CARR US Equity</t>
        </is>
      </c>
      <c r="C1583" s="1" t="inlineStr">
        <is>
          <t>CARR</t>
        </is>
      </c>
      <c r="D1583" t="inlineStr">
        <is>
          <t>Carrier Global Corp</t>
        </is>
      </c>
      <c r="E1583">
        <f>BDP($B1583,"LEGAL_ENTITY_IDENTIFIER")</f>
        <v/>
      </c>
      <c r="F1583" t="inlineStr">
        <is>
          <t>Carrier Global Corp</t>
        </is>
      </c>
      <c r="G1583">
        <f>custodian!D1583</f>
        <v/>
      </c>
      <c r="H1583">
        <f>BDP($B1583,"ID_ISIN")</f>
        <v/>
      </c>
      <c r="I1583" s="1" t="inlineStr">
        <is>
          <t>CARR</t>
        </is>
      </c>
      <c r="J1583">
        <f>BDP($B1583,"CNTRY_OF_DOMICILE")</f>
        <v/>
      </c>
      <c r="K1583" t="inlineStr">
        <is>
          <t>EC</t>
        </is>
      </c>
      <c r="L1583" t="inlineStr">
        <is>
          <t>CORP</t>
        </is>
      </c>
      <c r="M1583" t="inlineStr"/>
      <c r="N1583" t="inlineStr"/>
      <c r="O1583" s="1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s="1" t="inlineStr"/>
      <c r="AR1583" s="1" t="inlineStr"/>
      <c r="AS1583" s="1" t="inlineStr"/>
      <c r="AT1583" t="inlineStr"/>
      <c r="AU1583" t="inlineStr"/>
      <c r="AV1583" t="inlineStr"/>
      <c r="AW1583" t="inlineStr"/>
      <c r="AX1583" t="inlineStr"/>
      <c r="AY1583" t="inlineStr"/>
    </row>
    <row r="1584">
      <c r="A1584" t="inlineStr">
        <is>
          <t>OWN</t>
        </is>
      </c>
      <c r="B1584" t="inlineStr">
        <is>
          <t>CAT US Equity</t>
        </is>
      </c>
      <c r="C1584" s="1" t="inlineStr">
        <is>
          <t>CAT</t>
        </is>
      </c>
      <c r="D1584" t="inlineStr">
        <is>
          <t>Caterpillar Inc</t>
        </is>
      </c>
      <c r="E1584">
        <f>BDP($B1584,"LEGAL_ENTITY_IDENTIFIER")</f>
        <v/>
      </c>
      <c r="F1584" t="inlineStr">
        <is>
          <t>Caterpillar Inc</t>
        </is>
      </c>
      <c r="G1584">
        <f>custodian!D1584</f>
        <v/>
      </c>
      <c r="H1584">
        <f>BDP($B1584,"ID_ISIN")</f>
        <v/>
      </c>
      <c r="I1584" s="1" t="inlineStr">
        <is>
          <t>CAT</t>
        </is>
      </c>
      <c r="J1584">
        <f>BDP($B1584,"CNTRY_OF_DOMICILE")</f>
        <v/>
      </c>
      <c r="K1584" t="inlineStr">
        <is>
          <t>EC</t>
        </is>
      </c>
      <c r="L1584" t="inlineStr">
        <is>
          <t>CORP</t>
        </is>
      </c>
      <c r="M1584" t="inlineStr"/>
      <c r="N1584" t="inlineStr"/>
      <c r="O1584" s="1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s="1" t="inlineStr"/>
      <c r="AR1584" s="1" t="inlineStr"/>
      <c r="AS1584" s="1" t="inlineStr"/>
      <c r="AT1584" t="inlineStr"/>
      <c r="AU1584" t="inlineStr"/>
      <c r="AV1584" t="inlineStr"/>
      <c r="AW1584" t="inlineStr"/>
      <c r="AX1584" t="inlineStr"/>
      <c r="AY1584" t="inlineStr"/>
    </row>
    <row r="1585">
      <c r="A1585" t="inlineStr">
        <is>
          <t>OWN</t>
        </is>
      </c>
      <c r="B1585" t="inlineStr">
        <is>
          <t>CCL US Equity</t>
        </is>
      </c>
      <c r="C1585" s="1" t="inlineStr">
        <is>
          <t>CCL</t>
        </is>
      </c>
      <c r="D1585" t="inlineStr">
        <is>
          <t>Carnival Corp Ltd</t>
        </is>
      </c>
      <c r="E1585">
        <f>BDP($B1585,"LEGAL_ENTITY_IDENTIFIER")</f>
        <v/>
      </c>
      <c r="F1585" t="inlineStr">
        <is>
          <t>Carnival Corp Ltd</t>
        </is>
      </c>
      <c r="G1585">
        <f>custodian!D1585</f>
        <v/>
      </c>
      <c r="H1585">
        <f>BDP($B1585,"ID_ISIN")</f>
        <v/>
      </c>
      <c r="I1585" s="1" t="inlineStr">
        <is>
          <t>CCL</t>
        </is>
      </c>
      <c r="J1585">
        <f>BDP($B1585,"CNTRY_OF_DOMICILE")</f>
        <v/>
      </c>
      <c r="K1585" t="inlineStr">
        <is>
          <t>EC</t>
        </is>
      </c>
      <c r="L1585" t="inlineStr">
        <is>
          <t>CORP</t>
        </is>
      </c>
      <c r="M1585" t="inlineStr"/>
      <c r="N1585" t="inlineStr"/>
      <c r="O1585" s="1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s="1" t="inlineStr"/>
      <c r="AR1585" s="1" t="inlineStr"/>
      <c r="AS1585" s="1" t="inlineStr"/>
      <c r="AT1585" t="inlineStr"/>
      <c r="AU1585" t="inlineStr"/>
      <c r="AV1585" t="inlineStr"/>
      <c r="AW1585" t="inlineStr"/>
      <c r="AX1585" t="inlineStr"/>
      <c r="AY1585" t="inlineStr"/>
    </row>
    <row r="1586">
      <c r="A1586" t="inlineStr">
        <is>
          <t>OWN</t>
        </is>
      </c>
      <c r="B1586" t="inlineStr">
        <is>
          <t>CMCSA US Equity</t>
        </is>
      </c>
      <c r="C1586" s="1" t="inlineStr">
        <is>
          <t>CMCSA</t>
        </is>
      </c>
      <c r="D1586" t="inlineStr">
        <is>
          <t>Comcast Corp</t>
        </is>
      </c>
      <c r="E1586">
        <f>BDP($B1586,"LEGAL_ENTITY_IDENTIFIER")</f>
        <v/>
      </c>
      <c r="F1586" t="inlineStr">
        <is>
          <t>Comcast Corp</t>
        </is>
      </c>
      <c r="G1586">
        <f>custodian!D1586</f>
        <v/>
      </c>
      <c r="H1586">
        <f>BDP($B1586,"ID_ISIN")</f>
        <v/>
      </c>
      <c r="I1586" s="1" t="inlineStr">
        <is>
          <t>CMCSA</t>
        </is>
      </c>
      <c r="J1586">
        <f>BDP($B1586,"CNTRY_OF_DOMICILE")</f>
        <v/>
      </c>
      <c r="K1586" t="inlineStr">
        <is>
          <t>EC</t>
        </is>
      </c>
      <c r="L1586" t="inlineStr">
        <is>
          <t>CORP</t>
        </is>
      </c>
      <c r="M1586" t="inlineStr"/>
      <c r="N1586" t="inlineStr"/>
      <c r="O1586" s="1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s="1" t="inlineStr"/>
      <c r="AR1586" s="1" t="inlineStr"/>
      <c r="AS1586" s="1" t="inlineStr"/>
      <c r="AT1586" t="inlineStr"/>
      <c r="AU1586" t="inlineStr"/>
      <c r="AV1586" t="inlineStr"/>
      <c r="AW1586" t="inlineStr"/>
      <c r="AX1586" t="inlineStr"/>
      <c r="AY1586" t="inlineStr"/>
    </row>
    <row r="1587">
      <c r="A1587" t="inlineStr">
        <is>
          <t>OWN</t>
        </is>
      </c>
      <c r="B1587" t="inlineStr">
        <is>
          <t>COIN US Equity</t>
        </is>
      </c>
      <c r="C1587" s="1" t="inlineStr">
        <is>
          <t>COIN</t>
        </is>
      </c>
      <c r="D1587" t="inlineStr">
        <is>
          <t>Coinbase Global Inc</t>
        </is>
      </c>
      <c r="E1587">
        <f>BDP($B1587,"LEGAL_ENTITY_IDENTIFIER")</f>
        <v/>
      </c>
      <c r="F1587" t="inlineStr">
        <is>
          <t>Coinbase Global Inc</t>
        </is>
      </c>
      <c r="G1587">
        <f>custodian!D1587</f>
        <v/>
      </c>
      <c r="H1587">
        <f>BDP($B1587,"ID_ISIN")</f>
        <v/>
      </c>
      <c r="I1587" s="1" t="inlineStr">
        <is>
          <t>COIN</t>
        </is>
      </c>
      <c r="J1587">
        <f>BDP($B1587,"CNTRY_OF_DOMICILE")</f>
        <v/>
      </c>
      <c r="K1587" t="inlineStr">
        <is>
          <t>EC</t>
        </is>
      </c>
      <c r="L1587" t="inlineStr">
        <is>
          <t>CORP</t>
        </is>
      </c>
      <c r="M1587" t="inlineStr"/>
      <c r="N1587" t="inlineStr"/>
      <c r="O1587" s="1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s="1" t="inlineStr"/>
      <c r="AR1587" s="1" t="inlineStr"/>
      <c r="AS1587" s="1" t="inlineStr"/>
      <c r="AT1587" t="inlineStr"/>
      <c r="AU1587" t="inlineStr"/>
      <c r="AV1587" t="inlineStr"/>
      <c r="AW1587" t="inlineStr"/>
      <c r="AX1587" t="inlineStr"/>
      <c r="AY1587" t="inlineStr"/>
    </row>
    <row r="1588">
      <c r="A1588" t="inlineStr">
        <is>
          <t>OWN</t>
        </is>
      </c>
      <c r="B1588" t="inlineStr">
        <is>
          <t>CPAY US Equity</t>
        </is>
      </c>
      <c r="C1588" s="1" t="inlineStr">
        <is>
          <t>CPAY</t>
        </is>
      </c>
      <c r="D1588" t="inlineStr">
        <is>
          <t>Corpay Inc</t>
        </is>
      </c>
      <c r="E1588">
        <f>BDP($B1588,"LEGAL_ENTITY_IDENTIFIER")</f>
        <v/>
      </c>
      <c r="F1588" t="inlineStr">
        <is>
          <t>Corpay Inc</t>
        </is>
      </c>
      <c r="G1588">
        <f>custodian!D1588</f>
        <v/>
      </c>
      <c r="H1588">
        <f>BDP($B1588,"ID_ISIN")</f>
        <v/>
      </c>
      <c r="I1588" s="1" t="inlineStr">
        <is>
          <t>CPAY</t>
        </is>
      </c>
      <c r="J1588">
        <f>BDP($B1588,"CNTRY_OF_DOMICILE")</f>
        <v/>
      </c>
      <c r="K1588" t="inlineStr">
        <is>
          <t>EC</t>
        </is>
      </c>
      <c r="L1588" t="inlineStr">
        <is>
          <t>CORP</t>
        </is>
      </c>
      <c r="M1588" t="inlineStr"/>
      <c r="N1588" t="inlineStr"/>
      <c r="O1588" s="1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s="1" t="inlineStr"/>
      <c r="AR1588" s="1" t="inlineStr"/>
      <c r="AS1588" s="1" t="inlineStr"/>
      <c r="AT1588" t="inlineStr"/>
      <c r="AU1588" t="inlineStr"/>
      <c r="AV1588" t="inlineStr"/>
      <c r="AW1588" t="inlineStr"/>
      <c r="AX1588" t="inlineStr"/>
      <c r="AY1588" t="inlineStr"/>
    </row>
    <row r="1589">
      <c r="A1589" t="inlineStr">
        <is>
          <t>OWN</t>
        </is>
      </c>
      <c r="B1589" t="inlineStr">
        <is>
          <t>CPRT US Equity</t>
        </is>
      </c>
      <c r="C1589" s="1" t="inlineStr">
        <is>
          <t>CPRT</t>
        </is>
      </c>
      <c r="D1589" t="inlineStr">
        <is>
          <t>Copart Inc</t>
        </is>
      </c>
      <c r="E1589">
        <f>BDP($B1589,"LEGAL_ENTITY_IDENTIFIER")</f>
        <v/>
      </c>
      <c r="F1589" t="inlineStr">
        <is>
          <t>Copart Inc</t>
        </is>
      </c>
      <c r="G1589">
        <f>custodian!D1589</f>
        <v/>
      </c>
      <c r="H1589">
        <f>BDP($B1589,"ID_ISIN")</f>
        <v/>
      </c>
      <c r="I1589" s="1" t="inlineStr">
        <is>
          <t>CPRT</t>
        </is>
      </c>
      <c r="J1589">
        <f>BDP($B1589,"CNTRY_OF_DOMICILE")</f>
        <v/>
      </c>
      <c r="K1589" t="inlineStr">
        <is>
          <t>EC</t>
        </is>
      </c>
      <c r="L1589" t="inlineStr">
        <is>
          <t>CORP</t>
        </is>
      </c>
      <c r="M1589" t="inlineStr"/>
      <c r="N1589" t="inlineStr"/>
      <c r="O1589" s="1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s="1" t="inlineStr"/>
      <c r="AR1589" s="1" t="inlineStr"/>
      <c r="AS1589" s="1" t="inlineStr"/>
      <c r="AT1589" t="inlineStr"/>
      <c r="AU1589" t="inlineStr"/>
      <c r="AV1589" t="inlineStr"/>
      <c r="AW1589" t="inlineStr"/>
      <c r="AX1589" t="inlineStr"/>
      <c r="AY1589" t="inlineStr"/>
    </row>
    <row r="1590">
      <c r="A1590" t="inlineStr">
        <is>
          <t>OWN</t>
        </is>
      </c>
      <c r="B1590" t="inlineStr">
        <is>
          <t>CRM US Equity</t>
        </is>
      </c>
      <c r="C1590" s="1" t="inlineStr">
        <is>
          <t>CRM</t>
        </is>
      </c>
      <c r="D1590" t="inlineStr">
        <is>
          <t>Salesforce Inc</t>
        </is>
      </c>
      <c r="E1590">
        <f>BDP($B1590,"LEGAL_ENTITY_IDENTIFIER")</f>
        <v/>
      </c>
      <c r="F1590" t="inlineStr">
        <is>
          <t>Salesforce Inc</t>
        </is>
      </c>
      <c r="G1590">
        <f>custodian!D1590</f>
        <v/>
      </c>
      <c r="H1590">
        <f>BDP($B1590,"ID_ISIN")</f>
        <v/>
      </c>
      <c r="I1590" s="1" t="inlineStr">
        <is>
          <t>CRM</t>
        </is>
      </c>
      <c r="J1590">
        <f>BDP($B1590,"CNTRY_OF_DOMICILE")</f>
        <v/>
      </c>
      <c r="K1590" t="inlineStr">
        <is>
          <t>EC</t>
        </is>
      </c>
      <c r="L1590" t="inlineStr">
        <is>
          <t>CORP</t>
        </is>
      </c>
      <c r="M1590" t="inlineStr"/>
      <c r="N1590" t="inlineStr"/>
      <c r="O1590" s="1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s="1" t="inlineStr"/>
      <c r="AR1590" s="1" t="inlineStr"/>
      <c r="AS1590" s="1" t="inlineStr"/>
      <c r="AT1590" t="inlineStr"/>
      <c r="AU1590" t="inlineStr"/>
      <c r="AV1590" t="inlineStr"/>
      <c r="AW1590" t="inlineStr"/>
      <c r="AX1590" t="inlineStr"/>
      <c r="AY1590" t="inlineStr"/>
    </row>
    <row r="1591">
      <c r="A1591" t="inlineStr">
        <is>
          <t>OWN</t>
        </is>
      </c>
      <c r="B1591" t="inlineStr">
        <is>
          <t>CRWD US Equity</t>
        </is>
      </c>
      <c r="C1591" s="1" t="inlineStr">
        <is>
          <t>CRWD</t>
        </is>
      </c>
      <c r="D1591" t="inlineStr">
        <is>
          <t>Crowdstrike Holdings Inc</t>
        </is>
      </c>
      <c r="E1591">
        <f>BDP($B1591,"LEGAL_ENTITY_IDENTIFIER")</f>
        <v/>
      </c>
      <c r="F1591" t="inlineStr">
        <is>
          <t>Crowdstrike Holdings Inc</t>
        </is>
      </c>
      <c r="G1591">
        <f>custodian!D1591</f>
        <v/>
      </c>
      <c r="H1591">
        <f>BDP($B1591,"ID_ISIN")</f>
        <v/>
      </c>
      <c r="I1591" s="1" t="inlineStr">
        <is>
          <t>CRWD</t>
        </is>
      </c>
      <c r="J1591">
        <f>BDP($B1591,"CNTRY_OF_DOMICILE")</f>
        <v/>
      </c>
      <c r="K1591" t="inlineStr">
        <is>
          <t>EC</t>
        </is>
      </c>
      <c r="L1591" t="inlineStr">
        <is>
          <t>CORP</t>
        </is>
      </c>
      <c r="M1591" t="inlineStr"/>
      <c r="N1591" t="inlineStr"/>
      <c r="O1591" s="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s="1" t="inlineStr"/>
      <c r="AR1591" s="1" t="inlineStr"/>
      <c r="AS1591" s="1" t="inlineStr"/>
      <c r="AT1591" t="inlineStr"/>
      <c r="AU1591" t="inlineStr"/>
      <c r="AV1591" t="inlineStr"/>
      <c r="AW1591" t="inlineStr"/>
      <c r="AX1591" t="inlineStr"/>
      <c r="AY1591" t="inlineStr"/>
    </row>
    <row r="1592">
      <c r="A1592" t="inlineStr">
        <is>
          <t>OWN</t>
        </is>
      </c>
      <c r="B1592" t="inlineStr">
        <is>
          <t>CTAS US Equity</t>
        </is>
      </c>
      <c r="C1592" s="1" t="inlineStr">
        <is>
          <t>CTAS</t>
        </is>
      </c>
      <c r="D1592" t="inlineStr">
        <is>
          <t>Cintas Corp</t>
        </is>
      </c>
      <c r="E1592">
        <f>BDP($B1592,"LEGAL_ENTITY_IDENTIFIER")</f>
        <v/>
      </c>
      <c r="F1592" t="inlineStr">
        <is>
          <t>Cintas Corp</t>
        </is>
      </c>
      <c r="G1592">
        <f>custodian!D1592</f>
        <v/>
      </c>
      <c r="H1592">
        <f>BDP($B1592,"ID_ISIN")</f>
        <v/>
      </c>
      <c r="I1592" s="1" t="inlineStr">
        <is>
          <t>CTAS</t>
        </is>
      </c>
      <c r="J1592">
        <f>BDP($B1592,"CNTRY_OF_DOMICILE")</f>
        <v/>
      </c>
      <c r="K1592" t="inlineStr">
        <is>
          <t>EC</t>
        </is>
      </c>
      <c r="L1592" t="inlineStr">
        <is>
          <t>CORP</t>
        </is>
      </c>
      <c r="M1592" t="inlineStr"/>
      <c r="N1592" t="inlineStr"/>
      <c r="O1592" s="1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s="1" t="inlineStr"/>
      <c r="AR1592" s="1" t="inlineStr"/>
      <c r="AS1592" s="1" t="inlineStr"/>
      <c r="AT1592" t="inlineStr"/>
      <c r="AU1592" t="inlineStr"/>
      <c r="AV1592" t="inlineStr"/>
      <c r="AW1592" t="inlineStr"/>
      <c r="AX1592" t="inlineStr"/>
      <c r="AY1592" t="inlineStr"/>
    </row>
    <row r="1593">
      <c r="A1593" t="inlineStr">
        <is>
          <t>OWN</t>
        </is>
      </c>
      <c r="B1593" t="inlineStr">
        <is>
          <t>CVNA US Equity</t>
        </is>
      </c>
      <c r="C1593" s="1" t="inlineStr">
        <is>
          <t>CVNA</t>
        </is>
      </c>
      <c r="D1593" t="inlineStr">
        <is>
          <t>Carvana Co</t>
        </is>
      </c>
      <c r="E1593">
        <f>BDP($B1593,"LEGAL_ENTITY_IDENTIFIER")</f>
        <v/>
      </c>
      <c r="F1593" t="inlineStr">
        <is>
          <t>Carvana Co</t>
        </is>
      </c>
      <c r="G1593">
        <f>custodian!D1593</f>
        <v/>
      </c>
      <c r="H1593">
        <f>BDP($B1593,"ID_ISIN")</f>
        <v/>
      </c>
      <c r="I1593" s="1" t="inlineStr">
        <is>
          <t>CVNA</t>
        </is>
      </c>
      <c r="J1593">
        <f>BDP($B1593,"CNTRY_OF_DOMICILE")</f>
        <v/>
      </c>
      <c r="K1593" t="inlineStr">
        <is>
          <t>EC</t>
        </is>
      </c>
      <c r="L1593" t="inlineStr">
        <is>
          <t>CORP</t>
        </is>
      </c>
      <c r="M1593" t="inlineStr"/>
      <c r="N1593" t="inlineStr"/>
      <c r="O1593" s="1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s="1" t="inlineStr"/>
      <c r="AR1593" s="1" t="inlineStr"/>
      <c r="AS1593" s="1" t="inlineStr"/>
      <c r="AT1593" t="inlineStr"/>
      <c r="AU1593" t="inlineStr"/>
      <c r="AV1593" t="inlineStr"/>
      <c r="AW1593" t="inlineStr"/>
      <c r="AX1593" t="inlineStr"/>
      <c r="AY1593" t="inlineStr"/>
    </row>
    <row r="1594">
      <c r="A1594" t="inlineStr">
        <is>
          <t>OWN</t>
        </is>
      </c>
      <c r="B1594" t="inlineStr">
        <is>
          <t>CVS US Equity</t>
        </is>
      </c>
      <c r="C1594" s="1" t="inlineStr">
        <is>
          <t>CVS</t>
        </is>
      </c>
      <c r="D1594" t="inlineStr">
        <is>
          <t>CVS Health Corp</t>
        </is>
      </c>
      <c r="E1594">
        <f>BDP($B1594,"LEGAL_ENTITY_IDENTIFIER")</f>
        <v/>
      </c>
      <c r="F1594" t="inlineStr">
        <is>
          <t>CVS Health Corp</t>
        </is>
      </c>
      <c r="G1594">
        <f>custodian!D1594</f>
        <v/>
      </c>
      <c r="H1594">
        <f>BDP($B1594,"ID_ISIN")</f>
        <v/>
      </c>
      <c r="I1594" s="1" t="inlineStr">
        <is>
          <t>CVS</t>
        </is>
      </c>
      <c r="J1594">
        <f>BDP($B1594,"CNTRY_OF_DOMICILE")</f>
        <v/>
      </c>
      <c r="K1594" t="inlineStr">
        <is>
          <t>EC</t>
        </is>
      </c>
      <c r="L1594" t="inlineStr">
        <is>
          <t>CORP</t>
        </is>
      </c>
      <c r="M1594" t="inlineStr"/>
      <c r="N1594" t="inlineStr"/>
      <c r="O1594" s="1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s="1" t="inlineStr"/>
      <c r="AR1594" s="1" t="inlineStr"/>
      <c r="AS1594" s="1" t="inlineStr"/>
      <c r="AT1594" t="inlineStr"/>
      <c r="AU1594" t="inlineStr"/>
      <c r="AV1594" t="inlineStr"/>
      <c r="AW1594" t="inlineStr"/>
      <c r="AX1594" t="inlineStr"/>
      <c r="AY1594" t="inlineStr"/>
    </row>
    <row r="1595">
      <c r="A1595" t="inlineStr">
        <is>
          <t>OWN</t>
        </is>
      </c>
      <c r="B1595" t="inlineStr">
        <is>
          <t>CVX US Equity</t>
        </is>
      </c>
      <c r="C1595" s="1" t="inlineStr">
        <is>
          <t>CVX</t>
        </is>
      </c>
      <c r="D1595" t="inlineStr">
        <is>
          <t>Chevron Corp</t>
        </is>
      </c>
      <c r="E1595">
        <f>BDP($B1595,"LEGAL_ENTITY_IDENTIFIER")</f>
        <v/>
      </c>
      <c r="F1595" t="inlineStr">
        <is>
          <t>Chevron Corp</t>
        </is>
      </c>
      <c r="G1595">
        <f>custodian!D1595</f>
        <v/>
      </c>
      <c r="H1595">
        <f>BDP($B1595,"ID_ISIN")</f>
        <v/>
      </c>
      <c r="I1595" s="1" t="inlineStr">
        <is>
          <t>CVX</t>
        </is>
      </c>
      <c r="J1595">
        <f>BDP($B1595,"CNTRY_OF_DOMICILE")</f>
        <v/>
      </c>
      <c r="K1595" t="inlineStr">
        <is>
          <t>EC</t>
        </is>
      </c>
      <c r="L1595" t="inlineStr">
        <is>
          <t>CORP</t>
        </is>
      </c>
      <c r="M1595" t="inlineStr"/>
      <c r="N1595" t="inlineStr"/>
      <c r="O1595" s="1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s="1" t="inlineStr"/>
      <c r="AR1595" s="1" t="inlineStr"/>
      <c r="AS1595" s="1" t="inlineStr"/>
      <c r="AT1595" t="inlineStr"/>
      <c r="AU1595" t="inlineStr"/>
      <c r="AV1595" t="inlineStr"/>
      <c r="AW1595" t="inlineStr"/>
      <c r="AX1595" t="inlineStr"/>
      <c r="AY1595" t="inlineStr"/>
    </row>
    <row r="1596">
      <c r="A1596" t="inlineStr">
        <is>
          <t>OWN</t>
        </is>
      </c>
      <c r="B1596" t="inlineStr">
        <is>
          <t>DASH US Equity</t>
        </is>
      </c>
      <c r="C1596" s="1" t="inlineStr">
        <is>
          <t>DASH</t>
        </is>
      </c>
      <c r="D1596" t="inlineStr">
        <is>
          <t>DoorDash Inc</t>
        </is>
      </c>
      <c r="E1596">
        <f>BDP($B1596,"LEGAL_ENTITY_IDENTIFIER")</f>
        <v/>
      </c>
      <c r="F1596" t="inlineStr">
        <is>
          <t>DoorDash Inc</t>
        </is>
      </c>
      <c r="G1596">
        <f>custodian!D1596</f>
        <v/>
      </c>
      <c r="H1596">
        <f>BDP($B1596,"ID_ISIN")</f>
        <v/>
      </c>
      <c r="I1596" s="1" t="inlineStr">
        <is>
          <t>DASH</t>
        </is>
      </c>
      <c r="J1596">
        <f>BDP($B1596,"CNTRY_OF_DOMICILE")</f>
        <v/>
      </c>
      <c r="K1596" t="inlineStr">
        <is>
          <t>EC</t>
        </is>
      </c>
      <c r="L1596" t="inlineStr">
        <is>
          <t>CORP</t>
        </is>
      </c>
      <c r="M1596" t="inlineStr"/>
      <c r="N1596" t="inlineStr"/>
      <c r="O1596" s="1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s="1" t="inlineStr"/>
      <c r="AR1596" s="1" t="inlineStr"/>
      <c r="AS1596" s="1" t="inlineStr"/>
      <c r="AT1596" t="inlineStr"/>
      <c r="AU1596" t="inlineStr"/>
      <c r="AV1596" t="inlineStr"/>
      <c r="AW1596" t="inlineStr"/>
      <c r="AX1596" t="inlineStr"/>
      <c r="AY1596" t="inlineStr"/>
    </row>
    <row r="1597">
      <c r="A1597" t="inlineStr">
        <is>
          <t>OWN</t>
        </is>
      </c>
      <c r="B1597" t="inlineStr">
        <is>
          <t>DDOG US Equity</t>
        </is>
      </c>
      <c r="C1597" s="1" t="inlineStr">
        <is>
          <t>DDOG</t>
        </is>
      </c>
      <c r="D1597" t="inlineStr">
        <is>
          <t>Datadog Inc</t>
        </is>
      </c>
      <c r="E1597">
        <f>BDP($B1597,"LEGAL_ENTITY_IDENTIFIER")</f>
        <v/>
      </c>
      <c r="F1597" t="inlineStr">
        <is>
          <t>Datadog Inc</t>
        </is>
      </c>
      <c r="G1597">
        <f>custodian!D1597</f>
        <v/>
      </c>
      <c r="H1597">
        <f>BDP($B1597,"ID_ISIN")</f>
        <v/>
      </c>
      <c r="I1597" s="1" t="inlineStr">
        <is>
          <t>DDOG</t>
        </is>
      </c>
      <c r="J1597">
        <f>BDP($B1597,"CNTRY_OF_DOMICILE")</f>
        <v/>
      </c>
      <c r="K1597" t="inlineStr">
        <is>
          <t>EC</t>
        </is>
      </c>
      <c r="L1597" t="inlineStr">
        <is>
          <t>CORP</t>
        </is>
      </c>
      <c r="M1597" t="inlineStr"/>
      <c r="N1597" t="inlineStr"/>
      <c r="O1597" s="1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s="1" t="inlineStr"/>
      <c r="AR1597" s="1" t="inlineStr"/>
      <c r="AS1597" s="1" t="inlineStr"/>
      <c r="AT1597" t="inlineStr"/>
      <c r="AU1597" t="inlineStr"/>
      <c r="AV1597" t="inlineStr"/>
      <c r="AW1597" t="inlineStr"/>
      <c r="AX1597" t="inlineStr"/>
      <c r="AY1597" t="inlineStr"/>
    </row>
    <row r="1598">
      <c r="A1598" t="inlineStr">
        <is>
          <t>OWN</t>
        </is>
      </c>
      <c r="B1598" t="inlineStr">
        <is>
          <t>DELL US Equity</t>
        </is>
      </c>
      <c r="C1598" s="1" t="inlineStr">
        <is>
          <t>DELL</t>
        </is>
      </c>
      <c r="D1598" t="inlineStr">
        <is>
          <t>Dell Technologies Inc</t>
        </is>
      </c>
      <c r="E1598">
        <f>BDP($B1598,"LEGAL_ENTITY_IDENTIFIER")</f>
        <v/>
      </c>
      <c r="F1598" t="inlineStr">
        <is>
          <t>Dell Technologies Inc</t>
        </is>
      </c>
      <c r="G1598">
        <f>custodian!D1598</f>
        <v/>
      </c>
      <c r="H1598">
        <f>BDP($B1598,"ID_ISIN")</f>
        <v/>
      </c>
      <c r="I1598" s="1" t="inlineStr">
        <is>
          <t>DELL</t>
        </is>
      </c>
      <c r="J1598">
        <f>BDP($B1598,"CNTRY_OF_DOMICILE")</f>
        <v/>
      </c>
      <c r="K1598" t="inlineStr">
        <is>
          <t>EC</t>
        </is>
      </c>
      <c r="L1598" t="inlineStr">
        <is>
          <t>CORP</t>
        </is>
      </c>
      <c r="M1598" t="inlineStr"/>
      <c r="N1598" t="inlineStr"/>
      <c r="O1598" s="1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s="1" t="inlineStr"/>
      <c r="AR1598" s="1" t="inlineStr"/>
      <c r="AS1598" s="1" t="inlineStr"/>
      <c r="AT1598" t="inlineStr"/>
      <c r="AU1598" t="inlineStr"/>
      <c r="AV1598" t="inlineStr"/>
      <c r="AW1598" t="inlineStr"/>
      <c r="AX1598" t="inlineStr"/>
      <c r="AY1598" t="inlineStr"/>
    </row>
    <row r="1599">
      <c r="A1599" t="inlineStr">
        <is>
          <t>OWN</t>
        </is>
      </c>
      <c r="B1599" t="inlineStr">
        <is>
          <t>DHR US Equity</t>
        </is>
      </c>
      <c r="C1599" s="1" t="inlineStr">
        <is>
          <t>DHR</t>
        </is>
      </c>
      <c r="D1599" t="inlineStr">
        <is>
          <t>Danaher Corp</t>
        </is>
      </c>
      <c r="E1599">
        <f>BDP($B1599,"LEGAL_ENTITY_IDENTIFIER")</f>
        <v/>
      </c>
      <c r="F1599" t="inlineStr">
        <is>
          <t>Danaher Corp</t>
        </is>
      </c>
      <c r="G1599">
        <f>custodian!D1599</f>
        <v/>
      </c>
      <c r="H1599">
        <f>BDP($B1599,"ID_ISIN")</f>
        <v/>
      </c>
      <c r="I1599" s="1" t="inlineStr">
        <is>
          <t>DHR</t>
        </is>
      </c>
      <c r="J1599">
        <f>BDP($B1599,"CNTRY_OF_DOMICILE")</f>
        <v/>
      </c>
      <c r="K1599" t="inlineStr">
        <is>
          <t>EC</t>
        </is>
      </c>
      <c r="L1599" t="inlineStr">
        <is>
          <t>CORP</t>
        </is>
      </c>
      <c r="M1599" t="inlineStr"/>
      <c r="N1599" t="inlineStr"/>
      <c r="O1599" s="1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s="1" t="inlineStr"/>
      <c r="AR1599" s="1" t="inlineStr"/>
      <c r="AS1599" s="1" t="inlineStr"/>
      <c r="AT1599" t="inlineStr"/>
      <c r="AU1599" t="inlineStr"/>
      <c r="AV1599" t="inlineStr"/>
      <c r="AW1599" t="inlineStr"/>
      <c r="AX1599" t="inlineStr"/>
      <c r="AY1599" t="inlineStr"/>
    </row>
    <row r="1600">
      <c r="A1600" t="inlineStr">
        <is>
          <t>OWN</t>
        </is>
      </c>
      <c r="B1600" t="inlineStr">
        <is>
          <t>DLTR US Equity</t>
        </is>
      </c>
      <c r="C1600" s="1" t="inlineStr">
        <is>
          <t>DLTR</t>
        </is>
      </c>
      <c r="D1600" t="inlineStr">
        <is>
          <t>Dollar Tree Inc</t>
        </is>
      </c>
      <c r="E1600">
        <f>BDP($B1600,"LEGAL_ENTITY_IDENTIFIER")</f>
        <v/>
      </c>
      <c r="F1600" t="inlineStr">
        <is>
          <t>Dollar Tree Inc</t>
        </is>
      </c>
      <c r="G1600">
        <f>custodian!D1600</f>
        <v/>
      </c>
      <c r="H1600">
        <f>BDP($B1600,"ID_ISIN")</f>
        <v/>
      </c>
      <c r="I1600" s="1" t="inlineStr">
        <is>
          <t>DLTR</t>
        </is>
      </c>
      <c r="J1600">
        <f>BDP($B1600,"CNTRY_OF_DOMICILE")</f>
        <v/>
      </c>
      <c r="K1600" t="inlineStr">
        <is>
          <t>EC</t>
        </is>
      </c>
      <c r="L1600" t="inlineStr">
        <is>
          <t>CORP</t>
        </is>
      </c>
      <c r="M1600" t="inlineStr"/>
      <c r="N1600" t="inlineStr"/>
      <c r="O1600" s="1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s="1" t="inlineStr"/>
      <c r="AR1600" s="1" t="inlineStr"/>
      <c r="AS1600" s="1" t="inlineStr"/>
      <c r="AT1600" t="inlineStr"/>
      <c r="AU1600" t="inlineStr"/>
      <c r="AV1600" t="inlineStr"/>
      <c r="AW1600" t="inlineStr"/>
      <c r="AX1600" t="inlineStr"/>
      <c r="AY1600" t="inlineStr"/>
    </row>
    <row r="1601">
      <c r="A1601" t="inlineStr">
        <is>
          <t>OWN</t>
        </is>
      </c>
      <c r="B1601" t="inlineStr">
        <is>
          <t>ECHO US Equity</t>
        </is>
      </c>
      <c r="C1601" s="1" t="inlineStr">
        <is>
          <t>ECHO</t>
        </is>
      </c>
      <c r="D1601" t="inlineStr">
        <is>
          <t>EchoStar Corp</t>
        </is>
      </c>
      <c r="E1601">
        <f>BDP($B1601,"LEGAL_ENTITY_IDENTIFIER")</f>
        <v/>
      </c>
      <c r="F1601" t="inlineStr">
        <is>
          <t>EchoStar Corp</t>
        </is>
      </c>
      <c r="G1601">
        <f>custodian!D1601</f>
        <v/>
      </c>
      <c r="H1601">
        <f>BDP($B1601,"ID_ISIN")</f>
        <v/>
      </c>
      <c r="I1601" s="1" t="inlineStr">
        <is>
          <t>ECHO</t>
        </is>
      </c>
      <c r="J1601">
        <f>BDP($B1601,"CNTRY_OF_DOMICILE")</f>
        <v/>
      </c>
      <c r="K1601" t="inlineStr">
        <is>
          <t>EC</t>
        </is>
      </c>
      <c r="L1601" t="inlineStr">
        <is>
          <t>CORP</t>
        </is>
      </c>
      <c r="M1601" t="inlineStr"/>
      <c r="N1601" t="inlineStr"/>
      <c r="O1601" s="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s="1" t="inlineStr"/>
      <c r="AR1601" s="1" t="inlineStr"/>
      <c r="AS1601" s="1" t="inlineStr"/>
      <c r="AT1601" t="inlineStr"/>
      <c r="AU1601" t="inlineStr"/>
      <c r="AV1601" t="inlineStr"/>
      <c r="AW1601" t="inlineStr"/>
      <c r="AX1601" t="inlineStr"/>
      <c r="AY1601" t="inlineStr"/>
    </row>
    <row r="1602">
      <c r="A1602" t="inlineStr">
        <is>
          <t>OWN</t>
        </is>
      </c>
      <c r="B1602" t="inlineStr">
        <is>
          <t>EL US Equity</t>
        </is>
      </c>
      <c r="C1602" s="1" t="inlineStr">
        <is>
          <t>EL</t>
        </is>
      </c>
      <c r="D1602" t="inlineStr">
        <is>
          <t>Estee Lauder Cos Inc/The</t>
        </is>
      </c>
      <c r="E1602">
        <f>BDP($B1602,"LEGAL_ENTITY_IDENTIFIER")</f>
        <v/>
      </c>
      <c r="F1602" t="inlineStr">
        <is>
          <t>Estee Lauder Cos Inc/The</t>
        </is>
      </c>
      <c r="G1602">
        <f>custodian!D1602</f>
        <v/>
      </c>
      <c r="H1602">
        <f>BDP($B1602,"ID_ISIN")</f>
        <v/>
      </c>
      <c r="I1602" s="1" t="inlineStr">
        <is>
          <t>EL</t>
        </is>
      </c>
      <c r="J1602">
        <f>BDP($B1602,"CNTRY_OF_DOMICILE")</f>
        <v/>
      </c>
      <c r="K1602" t="inlineStr">
        <is>
          <t>EC</t>
        </is>
      </c>
      <c r="L1602" t="inlineStr">
        <is>
          <t>CORP</t>
        </is>
      </c>
      <c r="M1602" t="inlineStr"/>
      <c r="N1602" t="inlineStr"/>
      <c r="O1602" s="1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s="1" t="inlineStr"/>
      <c r="AR1602" s="1" t="inlineStr"/>
      <c r="AS1602" s="1" t="inlineStr"/>
      <c r="AT1602" t="inlineStr"/>
      <c r="AU1602" t="inlineStr"/>
      <c r="AV1602" t="inlineStr"/>
      <c r="AW1602" t="inlineStr"/>
      <c r="AX1602" t="inlineStr"/>
      <c r="AY1602" t="inlineStr"/>
    </row>
    <row r="1603">
      <c r="A1603" t="inlineStr">
        <is>
          <t>OWN</t>
        </is>
      </c>
      <c r="B1603" t="inlineStr">
        <is>
          <t>EXPE US Equity</t>
        </is>
      </c>
      <c r="C1603" s="1" t="inlineStr">
        <is>
          <t>EXPE</t>
        </is>
      </c>
      <c r="D1603" t="inlineStr">
        <is>
          <t>Expedia Group Inc</t>
        </is>
      </c>
      <c r="E1603">
        <f>BDP($B1603,"LEGAL_ENTITY_IDENTIFIER")</f>
        <v/>
      </c>
      <c r="F1603" t="inlineStr">
        <is>
          <t>Expedia Group Inc</t>
        </is>
      </c>
      <c r="G1603">
        <f>custodian!D1603</f>
        <v/>
      </c>
      <c r="H1603">
        <f>BDP($B1603,"ID_ISIN")</f>
        <v/>
      </c>
      <c r="I1603" s="1" t="inlineStr">
        <is>
          <t>EXPE</t>
        </is>
      </c>
      <c r="J1603">
        <f>BDP($B1603,"CNTRY_OF_DOMICILE")</f>
        <v/>
      </c>
      <c r="K1603" t="inlineStr">
        <is>
          <t>EC</t>
        </is>
      </c>
      <c r="L1603" t="inlineStr">
        <is>
          <t>CORP</t>
        </is>
      </c>
      <c r="M1603" t="inlineStr"/>
      <c r="N1603" t="inlineStr"/>
      <c r="O1603" s="1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s="1" t="inlineStr"/>
      <c r="AR1603" s="1" t="inlineStr"/>
      <c r="AS1603" s="1" t="inlineStr"/>
      <c r="AT1603" t="inlineStr"/>
      <c r="AU1603" t="inlineStr"/>
      <c r="AV1603" t="inlineStr"/>
      <c r="AW1603" t="inlineStr"/>
      <c r="AX1603" t="inlineStr"/>
      <c r="AY1603" t="inlineStr"/>
    </row>
    <row r="1604">
      <c r="A1604" t="inlineStr">
        <is>
          <t>OWN</t>
        </is>
      </c>
      <c r="B1604" t="inlineStr">
        <is>
          <t>FGXXX US Equity</t>
        </is>
      </c>
      <c r="C1604" s="1" t="inlineStr">
        <is>
          <t>FGXXX</t>
        </is>
      </c>
      <c r="D1604" t="inlineStr">
        <is>
          <t>First American Government Obli</t>
        </is>
      </c>
      <c r="E1604">
        <f>BDP($B1604,"LEGAL_ENTITY_IDENTIFIER")</f>
        <v/>
      </c>
      <c r="F1604" t="inlineStr">
        <is>
          <t>First American Government Obligations Fund</t>
        </is>
      </c>
      <c r="G1604">
        <f>custodian!D1604</f>
        <v/>
      </c>
      <c r="H1604">
        <f>BDP($B1604,"ID_ISIN")</f>
        <v/>
      </c>
      <c r="I1604" s="1" t="inlineStr">
        <is>
          <t>FGXXX</t>
        </is>
      </c>
      <c r="J1604">
        <f>BDP($B1604,"CNTRY_OF_DOMICILE")</f>
        <v/>
      </c>
      <c r="K1604" t="inlineStr">
        <is>
          <t>STIV</t>
        </is>
      </c>
      <c r="L1604" t="inlineStr">
        <is>
          <t>RF</t>
        </is>
      </c>
      <c r="M1604" t="inlineStr"/>
      <c r="N1604" t="inlineStr"/>
      <c r="O1604" s="1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s="1" t="inlineStr"/>
      <c r="AR1604" s="1" t="inlineStr"/>
      <c r="AS1604" s="1" t="inlineStr"/>
      <c r="AT1604" t="inlineStr"/>
      <c r="AU1604" t="inlineStr"/>
      <c r="AV1604" t="inlineStr"/>
      <c r="AW1604" t="inlineStr"/>
      <c r="AX1604" t="inlineStr"/>
      <c r="AY1604" t="inlineStr"/>
    </row>
    <row r="1605">
      <c r="A1605" t="inlineStr">
        <is>
          <t>OWN</t>
        </is>
      </c>
      <c r="B1605" t="inlineStr">
        <is>
          <t>FOXA US Equity</t>
        </is>
      </c>
      <c r="C1605" s="1" t="inlineStr">
        <is>
          <t>FOXA</t>
        </is>
      </c>
      <c r="D1605" t="inlineStr">
        <is>
          <t>Fox Corp</t>
        </is>
      </c>
      <c r="E1605">
        <f>BDP($B1605,"LEGAL_ENTITY_IDENTIFIER")</f>
        <v/>
      </c>
      <c r="F1605" t="inlineStr">
        <is>
          <t>Fox Corp</t>
        </is>
      </c>
      <c r="G1605">
        <f>custodian!D1605</f>
        <v/>
      </c>
      <c r="H1605">
        <f>BDP($B1605,"ID_ISIN")</f>
        <v/>
      </c>
      <c r="I1605" s="1" t="inlineStr">
        <is>
          <t>FOXA</t>
        </is>
      </c>
      <c r="J1605">
        <f>BDP($B1605,"CNTRY_OF_DOMICILE")</f>
        <v/>
      </c>
      <c r="K1605" t="inlineStr">
        <is>
          <t>EC</t>
        </is>
      </c>
      <c r="L1605" t="inlineStr">
        <is>
          <t>CORP</t>
        </is>
      </c>
      <c r="M1605" t="inlineStr"/>
      <c r="N1605" t="inlineStr"/>
      <c r="O1605" s="1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s="1" t="inlineStr"/>
      <c r="AR1605" s="1" t="inlineStr"/>
      <c r="AS1605" s="1" t="inlineStr"/>
      <c r="AT1605" t="inlineStr"/>
      <c r="AU1605" t="inlineStr"/>
      <c r="AV1605" t="inlineStr"/>
      <c r="AW1605" t="inlineStr"/>
      <c r="AX1605" t="inlineStr"/>
      <c r="AY1605" t="inlineStr"/>
    </row>
    <row r="1606">
      <c r="A1606" t="inlineStr">
        <is>
          <t>OWN</t>
        </is>
      </c>
      <c r="B1606" t="inlineStr">
        <is>
          <t>FTNT US Equity</t>
        </is>
      </c>
      <c r="C1606" s="1" t="inlineStr">
        <is>
          <t>FTNT</t>
        </is>
      </c>
      <c r="D1606" t="inlineStr">
        <is>
          <t>Fortinet Inc</t>
        </is>
      </c>
      <c r="E1606">
        <f>BDP($B1606,"LEGAL_ENTITY_IDENTIFIER")</f>
        <v/>
      </c>
      <c r="F1606" t="inlineStr">
        <is>
          <t>Fortinet Inc</t>
        </is>
      </c>
      <c r="G1606">
        <f>custodian!D1606</f>
        <v/>
      </c>
      <c r="H1606">
        <f>BDP($B1606,"ID_ISIN")</f>
        <v/>
      </c>
      <c r="I1606" s="1" t="inlineStr">
        <is>
          <t>FTNT</t>
        </is>
      </c>
      <c r="J1606">
        <f>BDP($B1606,"CNTRY_OF_DOMICILE")</f>
        <v/>
      </c>
      <c r="K1606" t="inlineStr">
        <is>
          <t>EC</t>
        </is>
      </c>
      <c r="L1606" t="inlineStr">
        <is>
          <t>CORP</t>
        </is>
      </c>
      <c r="M1606" t="inlineStr"/>
      <c r="N1606" t="inlineStr"/>
      <c r="O1606" s="1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s="1" t="inlineStr"/>
      <c r="AR1606" s="1" t="inlineStr"/>
      <c r="AS1606" s="1" t="inlineStr"/>
      <c r="AT1606" t="inlineStr"/>
      <c r="AU1606" t="inlineStr"/>
      <c r="AV1606" t="inlineStr"/>
      <c r="AW1606" t="inlineStr"/>
      <c r="AX1606" t="inlineStr"/>
      <c r="AY1606" t="inlineStr"/>
    </row>
    <row r="1607">
      <c r="A1607" t="inlineStr">
        <is>
          <t>OWN</t>
        </is>
      </c>
      <c r="B1607" t="inlineStr">
        <is>
          <t>GD US Equity</t>
        </is>
      </c>
      <c r="C1607" s="1" t="inlineStr">
        <is>
          <t>GD</t>
        </is>
      </c>
      <c r="D1607" t="inlineStr">
        <is>
          <t>General Dynamics Corp</t>
        </is>
      </c>
      <c r="E1607">
        <f>BDP($B1607,"LEGAL_ENTITY_IDENTIFIER")</f>
        <v/>
      </c>
      <c r="F1607" t="inlineStr">
        <is>
          <t>General Dynamics Corp</t>
        </is>
      </c>
      <c r="G1607">
        <f>custodian!D1607</f>
        <v/>
      </c>
      <c r="H1607">
        <f>BDP($B1607,"ID_ISIN")</f>
        <v/>
      </c>
      <c r="I1607" s="1" t="inlineStr">
        <is>
          <t>GD</t>
        </is>
      </c>
      <c r="J1607">
        <f>BDP($B1607,"CNTRY_OF_DOMICILE")</f>
        <v/>
      </c>
      <c r="K1607" t="inlineStr">
        <is>
          <t>EC</t>
        </is>
      </c>
      <c r="L1607" t="inlineStr">
        <is>
          <t>CORP</t>
        </is>
      </c>
      <c r="M1607" t="inlineStr"/>
      <c r="N1607" t="inlineStr"/>
      <c r="O1607" s="1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s="1" t="inlineStr"/>
      <c r="AR1607" s="1" t="inlineStr"/>
      <c r="AS1607" s="1" t="inlineStr"/>
      <c r="AT1607" t="inlineStr"/>
      <c r="AU1607" t="inlineStr"/>
      <c r="AV1607" t="inlineStr"/>
      <c r="AW1607" t="inlineStr"/>
      <c r="AX1607" t="inlineStr"/>
      <c r="AY1607" t="inlineStr"/>
    </row>
    <row r="1608">
      <c r="A1608" t="inlineStr">
        <is>
          <t>OWN</t>
        </is>
      </c>
      <c r="B1608" t="inlineStr">
        <is>
          <t>GOOGL US Equity</t>
        </is>
      </c>
      <c r="C1608" s="1" t="inlineStr">
        <is>
          <t>GOOGL</t>
        </is>
      </c>
      <c r="D1608" t="inlineStr">
        <is>
          <t>Alphabet Inc</t>
        </is>
      </c>
      <c r="E1608">
        <f>BDP($B1608,"LEGAL_ENTITY_IDENTIFIER")</f>
        <v/>
      </c>
      <c r="F1608" t="inlineStr">
        <is>
          <t>Alphabet Inc</t>
        </is>
      </c>
      <c r="G1608">
        <f>custodian!D1608</f>
        <v/>
      </c>
      <c r="H1608">
        <f>BDP($B1608,"ID_ISIN")</f>
        <v/>
      </c>
      <c r="I1608" s="1" t="inlineStr">
        <is>
          <t>GOOGL</t>
        </is>
      </c>
      <c r="J1608">
        <f>BDP($B1608,"CNTRY_OF_DOMICILE")</f>
        <v/>
      </c>
      <c r="K1608" t="inlineStr">
        <is>
          <t>EC</t>
        </is>
      </c>
      <c r="L1608" t="inlineStr">
        <is>
          <t>CORP</t>
        </is>
      </c>
      <c r="M1608" t="inlineStr"/>
      <c r="N1608" t="inlineStr"/>
      <c r="O1608" s="1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s="1" t="inlineStr"/>
      <c r="AR1608" s="1" t="inlineStr"/>
      <c r="AS1608" s="1" t="inlineStr"/>
      <c r="AT1608" t="inlineStr"/>
      <c r="AU1608" t="inlineStr"/>
      <c r="AV1608" t="inlineStr"/>
      <c r="AW1608" t="inlineStr"/>
      <c r="AX1608" t="inlineStr"/>
      <c r="AY1608" t="inlineStr"/>
    </row>
    <row r="1609">
      <c r="A1609" t="inlineStr">
        <is>
          <t>OWN</t>
        </is>
      </c>
      <c r="B1609" t="inlineStr">
        <is>
          <t>GRMN US Equity</t>
        </is>
      </c>
      <c r="C1609" s="1" t="inlineStr">
        <is>
          <t>GRMN</t>
        </is>
      </c>
      <c r="D1609" t="inlineStr">
        <is>
          <t>Garmin Ltd</t>
        </is>
      </c>
      <c r="E1609">
        <f>BDP($B1609,"LEGAL_ENTITY_IDENTIFIER")</f>
        <v/>
      </c>
      <c r="F1609" t="inlineStr">
        <is>
          <t>Garmin Ltd</t>
        </is>
      </c>
      <c r="G1609">
        <f>custodian!D1609</f>
        <v/>
      </c>
      <c r="H1609">
        <f>BDP($B1609,"ID_ISIN")</f>
        <v/>
      </c>
      <c r="I1609" s="1" t="inlineStr">
        <is>
          <t>GRMN</t>
        </is>
      </c>
      <c r="J1609">
        <f>BDP($B1609,"CNTRY_OF_DOMICILE")</f>
        <v/>
      </c>
      <c r="K1609" t="inlineStr">
        <is>
          <t>EC</t>
        </is>
      </c>
      <c r="L1609" t="inlineStr">
        <is>
          <t>CORP</t>
        </is>
      </c>
      <c r="M1609" t="inlineStr"/>
      <c r="N1609" t="inlineStr"/>
      <c r="O1609" s="1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s="1" t="inlineStr"/>
      <c r="AR1609" s="1" t="inlineStr"/>
      <c r="AS1609" s="1" t="inlineStr"/>
      <c r="AT1609" t="inlineStr"/>
      <c r="AU1609" t="inlineStr"/>
      <c r="AV1609" t="inlineStr"/>
      <c r="AW1609" t="inlineStr"/>
      <c r="AX1609" t="inlineStr"/>
      <c r="AY1609" t="inlineStr"/>
    </row>
    <row r="1610">
      <c r="A1610" t="inlineStr">
        <is>
          <t>OWN</t>
        </is>
      </c>
      <c r="B1610" t="inlineStr">
        <is>
          <t>GS US Equity</t>
        </is>
      </c>
      <c r="C1610" s="1" t="inlineStr">
        <is>
          <t>GS</t>
        </is>
      </c>
      <c r="D1610" t="inlineStr">
        <is>
          <t>Goldman Sachs Group Inc/The</t>
        </is>
      </c>
      <c r="E1610">
        <f>BDP($B1610,"LEGAL_ENTITY_IDENTIFIER")</f>
        <v/>
      </c>
      <c r="F1610" t="inlineStr">
        <is>
          <t>Goldman Sachs Group Inc/The</t>
        </is>
      </c>
      <c r="G1610">
        <f>custodian!D1610</f>
        <v/>
      </c>
      <c r="H1610">
        <f>BDP($B1610,"ID_ISIN")</f>
        <v/>
      </c>
      <c r="I1610" s="1" t="inlineStr">
        <is>
          <t>GS</t>
        </is>
      </c>
      <c r="J1610">
        <f>BDP($B1610,"CNTRY_OF_DOMICILE")</f>
        <v/>
      </c>
      <c r="K1610" t="inlineStr">
        <is>
          <t>EC</t>
        </is>
      </c>
      <c r="L1610" t="inlineStr">
        <is>
          <t>CORP</t>
        </is>
      </c>
      <c r="M1610" t="inlineStr"/>
      <c r="N1610" t="inlineStr"/>
      <c r="O1610" s="1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s="1" t="inlineStr"/>
      <c r="AR1610" s="1" t="inlineStr"/>
      <c r="AS1610" s="1" t="inlineStr"/>
      <c r="AT1610" t="inlineStr"/>
      <c r="AU1610" t="inlineStr"/>
      <c r="AV1610" t="inlineStr"/>
      <c r="AW1610" t="inlineStr"/>
      <c r="AX1610" t="inlineStr"/>
      <c r="AY1610" t="inlineStr"/>
    </row>
    <row r="1611">
      <c r="A1611" t="inlineStr">
        <is>
          <t>OWN</t>
        </is>
      </c>
      <c r="B1611" t="inlineStr">
        <is>
          <t>GWW US Equity</t>
        </is>
      </c>
      <c r="C1611" s="1" t="inlineStr">
        <is>
          <t>GWW</t>
        </is>
      </c>
      <c r="D1611" t="inlineStr">
        <is>
          <t>WW Grainger Inc</t>
        </is>
      </c>
      <c r="E1611">
        <f>BDP($B1611,"LEGAL_ENTITY_IDENTIFIER")</f>
        <v/>
      </c>
      <c r="F1611" t="inlineStr">
        <is>
          <t>WW Grainger Inc</t>
        </is>
      </c>
      <c r="G1611">
        <f>custodian!D1611</f>
        <v/>
      </c>
      <c r="H1611">
        <f>BDP($B1611,"ID_ISIN")</f>
        <v/>
      </c>
      <c r="I1611" s="1" t="inlineStr">
        <is>
          <t>GWW</t>
        </is>
      </c>
      <c r="J1611">
        <f>BDP($B1611,"CNTRY_OF_DOMICILE")</f>
        <v/>
      </c>
      <c r="K1611" t="inlineStr">
        <is>
          <t>EC</t>
        </is>
      </c>
      <c r="L1611" t="inlineStr">
        <is>
          <t>CORP</t>
        </is>
      </c>
      <c r="M1611" t="inlineStr"/>
      <c r="N1611" t="inlineStr"/>
      <c r="O1611" s="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s="1" t="inlineStr"/>
      <c r="AR1611" s="1" t="inlineStr"/>
      <c r="AS1611" s="1" t="inlineStr"/>
      <c r="AT1611" t="inlineStr"/>
      <c r="AU1611" t="inlineStr"/>
      <c r="AV1611" t="inlineStr"/>
      <c r="AW1611" t="inlineStr"/>
      <c r="AX1611" t="inlineStr"/>
      <c r="AY1611" t="inlineStr"/>
    </row>
    <row r="1612">
      <c r="A1612" t="inlineStr">
        <is>
          <t>OWN</t>
        </is>
      </c>
      <c r="B1612" t="inlineStr">
        <is>
          <t>HCA US Equity</t>
        </is>
      </c>
      <c r="C1612" s="1" t="inlineStr">
        <is>
          <t>HCA</t>
        </is>
      </c>
      <c r="D1612" t="inlineStr">
        <is>
          <t>HCA Healthcare Inc</t>
        </is>
      </c>
      <c r="E1612">
        <f>BDP($B1612,"LEGAL_ENTITY_IDENTIFIER")</f>
        <v/>
      </c>
      <c r="F1612" t="inlineStr">
        <is>
          <t>HCA Healthcare Inc</t>
        </is>
      </c>
      <c r="G1612">
        <f>custodian!D1612</f>
        <v/>
      </c>
      <c r="H1612">
        <f>BDP($B1612,"ID_ISIN")</f>
        <v/>
      </c>
      <c r="I1612" s="1" t="inlineStr">
        <is>
          <t>HCA</t>
        </is>
      </c>
      <c r="J1612">
        <f>BDP($B1612,"CNTRY_OF_DOMICILE")</f>
        <v/>
      </c>
      <c r="K1612" t="inlineStr">
        <is>
          <t>EC</t>
        </is>
      </c>
      <c r="L1612" t="inlineStr">
        <is>
          <t>CORP</t>
        </is>
      </c>
      <c r="M1612" t="inlineStr"/>
      <c r="N1612" t="inlineStr"/>
      <c r="O1612" s="1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s="1" t="inlineStr"/>
      <c r="AR1612" s="1" t="inlineStr"/>
      <c r="AS1612" s="1" t="inlineStr"/>
      <c r="AT1612" t="inlineStr"/>
      <c r="AU1612" t="inlineStr"/>
      <c r="AV1612" t="inlineStr"/>
      <c r="AW1612" t="inlineStr"/>
      <c r="AX1612" t="inlineStr"/>
      <c r="AY1612" t="inlineStr"/>
    </row>
    <row r="1613">
      <c r="A1613" t="inlineStr">
        <is>
          <t>OWN</t>
        </is>
      </c>
      <c r="B1613" t="inlineStr">
        <is>
          <t>HLT US Equity</t>
        </is>
      </c>
      <c r="C1613" s="1" t="inlineStr">
        <is>
          <t>HLT</t>
        </is>
      </c>
      <c r="D1613" t="inlineStr">
        <is>
          <t>Hilton Worldwide Holdings Inc</t>
        </is>
      </c>
      <c r="E1613">
        <f>BDP($B1613,"LEGAL_ENTITY_IDENTIFIER")</f>
        <v/>
      </c>
      <c r="F1613" t="inlineStr">
        <is>
          <t>Hilton Worldwide Holdings Inc</t>
        </is>
      </c>
      <c r="G1613">
        <f>custodian!D1613</f>
        <v/>
      </c>
      <c r="H1613">
        <f>BDP($B1613,"ID_ISIN")</f>
        <v/>
      </c>
      <c r="I1613" s="1" t="inlineStr">
        <is>
          <t>HLT</t>
        </is>
      </c>
      <c r="J1613">
        <f>BDP($B1613,"CNTRY_OF_DOMICILE")</f>
        <v/>
      </c>
      <c r="K1613" t="inlineStr">
        <is>
          <t>EC</t>
        </is>
      </c>
      <c r="L1613" t="inlineStr">
        <is>
          <t>CORP</t>
        </is>
      </c>
      <c r="M1613" t="inlineStr"/>
      <c r="N1613" t="inlineStr"/>
      <c r="O1613" s="1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s="1" t="inlineStr"/>
      <c r="AR1613" s="1" t="inlineStr"/>
      <c r="AS1613" s="1" t="inlineStr"/>
      <c r="AT1613" t="inlineStr"/>
      <c r="AU1613" t="inlineStr"/>
      <c r="AV1613" t="inlineStr"/>
      <c r="AW1613" t="inlineStr"/>
      <c r="AX1613" t="inlineStr"/>
      <c r="AY1613" t="inlineStr"/>
    </row>
    <row r="1614">
      <c r="A1614" t="inlineStr">
        <is>
          <t>OWN</t>
        </is>
      </c>
      <c r="B1614" t="inlineStr">
        <is>
          <t>HOOD US Equity</t>
        </is>
      </c>
      <c r="C1614" s="1" t="inlineStr">
        <is>
          <t>HOOD</t>
        </is>
      </c>
      <c r="D1614" t="inlineStr">
        <is>
          <t>Robinhood Markets Inc</t>
        </is>
      </c>
      <c r="E1614">
        <f>BDP($B1614,"LEGAL_ENTITY_IDENTIFIER")</f>
        <v/>
      </c>
      <c r="F1614" t="inlineStr">
        <is>
          <t>Robinhood Markets Inc</t>
        </is>
      </c>
      <c r="G1614">
        <f>custodian!D1614</f>
        <v/>
      </c>
      <c r="H1614">
        <f>BDP($B1614,"ID_ISIN")</f>
        <v/>
      </c>
      <c r="I1614" s="1" t="inlineStr">
        <is>
          <t>HOOD</t>
        </is>
      </c>
      <c r="J1614">
        <f>BDP($B1614,"CNTRY_OF_DOMICILE")</f>
        <v/>
      </c>
      <c r="K1614" t="inlineStr">
        <is>
          <t>EC</t>
        </is>
      </c>
      <c r="L1614" t="inlineStr">
        <is>
          <t>CORP</t>
        </is>
      </c>
      <c r="M1614" t="inlineStr"/>
      <c r="N1614" t="inlineStr"/>
      <c r="O1614" s="1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s="1" t="inlineStr"/>
      <c r="AR1614" s="1" t="inlineStr"/>
      <c r="AS1614" s="1" t="inlineStr"/>
      <c r="AT1614" t="inlineStr"/>
      <c r="AU1614" t="inlineStr"/>
      <c r="AV1614" t="inlineStr"/>
      <c r="AW1614" t="inlineStr"/>
      <c r="AX1614" t="inlineStr"/>
      <c r="AY1614" t="inlineStr"/>
    </row>
    <row r="1615">
      <c r="A1615" t="inlineStr">
        <is>
          <t>OWN</t>
        </is>
      </c>
      <c r="B1615" t="inlineStr">
        <is>
          <t>IBKR US Equity</t>
        </is>
      </c>
      <c r="C1615" s="1" t="inlineStr">
        <is>
          <t>IBKR</t>
        </is>
      </c>
      <c r="D1615" t="inlineStr">
        <is>
          <t>Interactive Brokers Group Inc</t>
        </is>
      </c>
      <c r="E1615">
        <f>BDP($B1615,"LEGAL_ENTITY_IDENTIFIER")</f>
        <v/>
      </c>
      <c r="F1615" t="inlineStr">
        <is>
          <t>Interactive Brokers Group Inc</t>
        </is>
      </c>
      <c r="G1615">
        <f>custodian!D1615</f>
        <v/>
      </c>
      <c r="H1615">
        <f>BDP($B1615,"ID_ISIN")</f>
        <v/>
      </c>
      <c r="I1615" s="1" t="inlineStr">
        <is>
          <t>IBKR</t>
        </is>
      </c>
      <c r="J1615">
        <f>BDP($B1615,"CNTRY_OF_DOMICILE")</f>
        <v/>
      </c>
      <c r="K1615" t="inlineStr">
        <is>
          <t>EC</t>
        </is>
      </c>
      <c r="L1615" t="inlineStr">
        <is>
          <t>CORP</t>
        </is>
      </c>
      <c r="M1615" t="inlineStr"/>
      <c r="N1615" t="inlineStr"/>
      <c r="O1615" s="1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s="1" t="inlineStr"/>
      <c r="AR1615" s="1" t="inlineStr"/>
      <c r="AS1615" s="1" t="inlineStr"/>
      <c r="AT1615" t="inlineStr"/>
      <c r="AU1615" t="inlineStr"/>
      <c r="AV1615" t="inlineStr"/>
      <c r="AW1615" t="inlineStr"/>
      <c r="AX1615" t="inlineStr"/>
      <c r="AY1615" t="inlineStr"/>
    </row>
    <row r="1616">
      <c r="A1616" t="inlineStr">
        <is>
          <t>OWN</t>
        </is>
      </c>
      <c r="B1616" t="inlineStr">
        <is>
          <t>INCY US Equity</t>
        </is>
      </c>
      <c r="C1616" s="1" t="inlineStr">
        <is>
          <t>INCY</t>
        </is>
      </c>
      <c r="D1616" t="inlineStr">
        <is>
          <t>Incyte Corp</t>
        </is>
      </c>
      <c r="E1616">
        <f>BDP($B1616,"LEGAL_ENTITY_IDENTIFIER")</f>
        <v/>
      </c>
      <c r="F1616" t="inlineStr">
        <is>
          <t>Incyte Corp</t>
        </is>
      </c>
      <c r="G1616">
        <f>custodian!D1616</f>
        <v/>
      </c>
      <c r="H1616">
        <f>BDP($B1616,"ID_ISIN")</f>
        <v/>
      </c>
      <c r="I1616" s="1" t="inlineStr">
        <is>
          <t>INCY</t>
        </is>
      </c>
      <c r="J1616">
        <f>BDP($B1616,"CNTRY_OF_DOMICILE")</f>
        <v/>
      </c>
      <c r="K1616" t="inlineStr">
        <is>
          <t>EC</t>
        </is>
      </c>
      <c r="L1616" t="inlineStr">
        <is>
          <t>CORP</t>
        </is>
      </c>
      <c r="M1616" t="inlineStr"/>
      <c r="N1616" t="inlineStr"/>
      <c r="O1616" s="1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s="1" t="inlineStr"/>
      <c r="AR1616" s="1" t="inlineStr"/>
      <c r="AS1616" s="1" t="inlineStr"/>
      <c r="AT1616" t="inlineStr"/>
      <c r="AU1616" t="inlineStr"/>
      <c r="AV1616" t="inlineStr"/>
      <c r="AW1616" t="inlineStr"/>
      <c r="AX1616" t="inlineStr"/>
      <c r="AY1616" t="inlineStr"/>
    </row>
    <row r="1617">
      <c r="A1617" t="inlineStr">
        <is>
          <t>OWN</t>
        </is>
      </c>
      <c r="B1617" t="inlineStr">
        <is>
          <t>INTU US Equity</t>
        </is>
      </c>
      <c r="C1617" s="1" t="inlineStr">
        <is>
          <t>INTU</t>
        </is>
      </c>
      <c r="D1617" t="inlineStr">
        <is>
          <t>Intuit Inc</t>
        </is>
      </c>
      <c r="E1617">
        <f>BDP($B1617,"LEGAL_ENTITY_IDENTIFIER")</f>
        <v/>
      </c>
      <c r="F1617" t="inlineStr">
        <is>
          <t>Intuit Inc</t>
        </is>
      </c>
      <c r="G1617">
        <f>custodian!D1617</f>
        <v/>
      </c>
      <c r="H1617">
        <f>BDP($B1617,"ID_ISIN")</f>
        <v/>
      </c>
      <c r="I1617" s="1" t="inlineStr">
        <is>
          <t>INTU</t>
        </is>
      </c>
      <c r="J1617">
        <f>BDP($B1617,"CNTRY_OF_DOMICILE")</f>
        <v/>
      </c>
      <c r="K1617" t="inlineStr">
        <is>
          <t>EC</t>
        </is>
      </c>
      <c r="L1617" t="inlineStr">
        <is>
          <t>CORP</t>
        </is>
      </c>
      <c r="M1617" t="inlineStr"/>
      <c r="N1617" t="inlineStr"/>
      <c r="O1617" s="1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s="1" t="inlineStr"/>
      <c r="AR1617" s="1" t="inlineStr"/>
      <c r="AS1617" s="1" t="inlineStr"/>
      <c r="AT1617" t="inlineStr"/>
      <c r="AU1617" t="inlineStr"/>
      <c r="AV1617" t="inlineStr"/>
      <c r="AW1617" t="inlineStr"/>
      <c r="AX1617" t="inlineStr"/>
      <c r="AY1617" t="inlineStr"/>
    </row>
    <row r="1618">
      <c r="A1618" t="inlineStr">
        <is>
          <t>OWN</t>
        </is>
      </c>
      <c r="B1618" t="inlineStr">
        <is>
          <t>JPM US Equity</t>
        </is>
      </c>
      <c r="C1618" s="1" t="inlineStr">
        <is>
          <t>JPM</t>
        </is>
      </c>
      <c r="D1618" t="inlineStr">
        <is>
          <t>JPMORGAN CHASE &amp; CO.</t>
        </is>
      </c>
      <c r="E1618">
        <f>BDP($B1618,"LEGAL_ENTITY_IDENTIFIER")</f>
        <v/>
      </c>
      <c r="F1618" t="inlineStr">
        <is>
          <t>JPMORGAN CHASE &amp; CO.</t>
        </is>
      </c>
      <c r="G1618">
        <f>custodian!D1618</f>
        <v/>
      </c>
      <c r="H1618">
        <f>BDP($B1618,"ID_ISIN")</f>
        <v/>
      </c>
      <c r="I1618" s="1" t="inlineStr">
        <is>
          <t>JPM</t>
        </is>
      </c>
      <c r="J1618">
        <f>BDP($B1618,"CNTRY_OF_DOMICILE")</f>
        <v/>
      </c>
      <c r="K1618" t="inlineStr">
        <is>
          <t>EC</t>
        </is>
      </c>
      <c r="L1618" t="inlineStr">
        <is>
          <t>CORP</t>
        </is>
      </c>
      <c r="M1618" t="inlineStr"/>
      <c r="N1618" t="inlineStr"/>
      <c r="O1618" s="1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s="1" t="inlineStr"/>
      <c r="AR1618" s="1" t="inlineStr"/>
      <c r="AS1618" s="1" t="inlineStr"/>
      <c r="AT1618" t="inlineStr"/>
      <c r="AU1618" t="inlineStr"/>
      <c r="AV1618" t="inlineStr"/>
      <c r="AW1618" t="inlineStr"/>
      <c r="AX1618" t="inlineStr"/>
      <c r="AY1618" t="inlineStr"/>
    </row>
    <row r="1619">
      <c r="A1619" t="inlineStr">
        <is>
          <t>OWN</t>
        </is>
      </c>
      <c r="B1619" t="inlineStr">
        <is>
          <t>KKR US Equity</t>
        </is>
      </c>
      <c r="C1619" s="1" t="inlineStr">
        <is>
          <t>KKR</t>
        </is>
      </c>
      <c r="D1619" t="inlineStr">
        <is>
          <t>KKR &amp; Co Inc</t>
        </is>
      </c>
      <c r="E1619">
        <f>BDP($B1619,"LEGAL_ENTITY_IDENTIFIER")</f>
        <v/>
      </c>
      <c r="F1619" t="inlineStr">
        <is>
          <t>KKR &amp; Co Inc</t>
        </is>
      </c>
      <c r="G1619">
        <f>custodian!D1619</f>
        <v/>
      </c>
      <c r="H1619">
        <f>BDP($B1619,"ID_ISIN")</f>
        <v/>
      </c>
      <c r="I1619" s="1" t="inlineStr">
        <is>
          <t>KKR</t>
        </is>
      </c>
      <c r="J1619">
        <f>BDP($B1619,"CNTRY_OF_DOMICILE")</f>
        <v/>
      </c>
      <c r="K1619" t="inlineStr">
        <is>
          <t>EC</t>
        </is>
      </c>
      <c r="L1619" t="inlineStr">
        <is>
          <t>CORP</t>
        </is>
      </c>
      <c r="M1619" t="inlineStr"/>
      <c r="N1619" t="inlineStr"/>
      <c r="O1619" s="1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s="1" t="inlineStr"/>
      <c r="AR1619" s="1" t="inlineStr"/>
      <c r="AS1619" s="1" t="inlineStr"/>
      <c r="AT1619" t="inlineStr"/>
      <c r="AU1619" t="inlineStr"/>
      <c r="AV1619" t="inlineStr"/>
      <c r="AW1619" t="inlineStr"/>
      <c r="AX1619" t="inlineStr"/>
      <c r="AY1619" t="inlineStr"/>
    </row>
    <row r="1620">
      <c r="A1620" t="inlineStr">
        <is>
          <t>OWN</t>
        </is>
      </c>
      <c r="B1620" t="inlineStr">
        <is>
          <t>KMI US Equity</t>
        </is>
      </c>
      <c r="C1620" s="1" t="inlineStr">
        <is>
          <t>KMI</t>
        </is>
      </c>
      <c r="D1620" t="inlineStr">
        <is>
          <t>Kinder Morgan Inc</t>
        </is>
      </c>
      <c r="E1620">
        <f>BDP($B1620,"LEGAL_ENTITY_IDENTIFIER")</f>
        <v/>
      </c>
      <c r="F1620" t="inlineStr">
        <is>
          <t>Kinder Morgan Inc</t>
        </is>
      </c>
      <c r="G1620">
        <f>custodian!D1620</f>
        <v/>
      </c>
      <c r="H1620">
        <f>BDP($B1620,"ID_ISIN")</f>
        <v/>
      </c>
      <c r="I1620" s="1" t="inlineStr">
        <is>
          <t>KMI</t>
        </is>
      </c>
      <c r="J1620">
        <f>BDP($B1620,"CNTRY_OF_DOMICILE")</f>
        <v/>
      </c>
      <c r="K1620" t="inlineStr">
        <is>
          <t>EC</t>
        </is>
      </c>
      <c r="L1620" t="inlineStr">
        <is>
          <t>CORP</t>
        </is>
      </c>
      <c r="M1620" t="inlineStr"/>
      <c r="N1620" t="inlineStr"/>
      <c r="O1620" s="1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s="1" t="inlineStr"/>
      <c r="AR1620" s="1" t="inlineStr"/>
      <c r="AS1620" s="1" t="inlineStr"/>
      <c r="AT1620" t="inlineStr"/>
      <c r="AU1620" t="inlineStr"/>
      <c r="AV1620" t="inlineStr"/>
      <c r="AW1620" t="inlineStr"/>
      <c r="AX1620" t="inlineStr"/>
      <c r="AY1620" t="inlineStr"/>
    </row>
    <row r="1621">
      <c r="A1621" t="inlineStr">
        <is>
          <t>OWN</t>
        </is>
      </c>
      <c r="B1621" t="inlineStr">
        <is>
          <t>KO US Equity</t>
        </is>
      </c>
      <c r="C1621" s="1" t="inlineStr">
        <is>
          <t>KO</t>
        </is>
      </c>
      <c r="D1621" t="inlineStr">
        <is>
          <t>Coca-Cola Co/The</t>
        </is>
      </c>
      <c r="E1621">
        <f>BDP($B1621,"LEGAL_ENTITY_IDENTIFIER")</f>
        <v/>
      </c>
      <c r="F1621" t="inlineStr">
        <is>
          <t>Coca-Cola Co/The</t>
        </is>
      </c>
      <c r="G1621">
        <f>custodian!D1621</f>
        <v/>
      </c>
      <c r="H1621">
        <f>BDP($B1621,"ID_ISIN")</f>
        <v/>
      </c>
      <c r="I1621" s="1" t="inlineStr">
        <is>
          <t>KO</t>
        </is>
      </c>
      <c r="J1621">
        <f>BDP($B1621,"CNTRY_OF_DOMICILE")</f>
        <v/>
      </c>
      <c r="K1621" t="inlineStr">
        <is>
          <t>EC</t>
        </is>
      </c>
      <c r="L1621" t="inlineStr">
        <is>
          <t>CORP</t>
        </is>
      </c>
      <c r="M1621" t="inlineStr"/>
      <c r="N1621" t="inlineStr"/>
      <c r="O1621" s="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s="1" t="inlineStr"/>
      <c r="AR1621" s="1" t="inlineStr"/>
      <c r="AS1621" s="1" t="inlineStr"/>
      <c r="AT1621" t="inlineStr"/>
      <c r="AU1621" t="inlineStr"/>
      <c r="AV1621" t="inlineStr"/>
      <c r="AW1621" t="inlineStr"/>
      <c r="AX1621" t="inlineStr"/>
      <c r="AY1621" t="inlineStr"/>
    </row>
    <row r="1622">
      <c r="A1622" t="inlineStr">
        <is>
          <t>OWN</t>
        </is>
      </c>
      <c r="B1622" t="inlineStr">
        <is>
          <t>L US Equity</t>
        </is>
      </c>
      <c r="C1622" s="1" t="inlineStr">
        <is>
          <t>L</t>
        </is>
      </c>
      <c r="D1622" t="inlineStr">
        <is>
          <t>Loews Corp</t>
        </is>
      </c>
      <c r="E1622">
        <f>BDP($B1622,"LEGAL_ENTITY_IDENTIFIER")</f>
        <v/>
      </c>
      <c r="F1622" t="inlineStr">
        <is>
          <t>Loews Corp</t>
        </is>
      </c>
      <c r="G1622">
        <f>custodian!D1622</f>
        <v/>
      </c>
      <c r="H1622">
        <f>BDP($B1622,"ID_ISIN")</f>
        <v/>
      </c>
      <c r="I1622" s="1" t="inlineStr">
        <is>
          <t>L</t>
        </is>
      </c>
      <c r="J1622">
        <f>BDP($B1622,"CNTRY_OF_DOMICILE")</f>
        <v/>
      </c>
      <c r="K1622" t="inlineStr">
        <is>
          <t>EC</t>
        </is>
      </c>
      <c r="L1622" t="inlineStr">
        <is>
          <t>CORP</t>
        </is>
      </c>
      <c r="M1622" t="inlineStr"/>
      <c r="N1622" t="inlineStr"/>
      <c r="O1622" s="1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s="1" t="inlineStr"/>
      <c r="AR1622" s="1" t="inlineStr"/>
      <c r="AS1622" s="1" t="inlineStr"/>
      <c r="AT1622" t="inlineStr"/>
      <c r="AU1622" t="inlineStr"/>
      <c r="AV1622" t="inlineStr"/>
      <c r="AW1622" t="inlineStr"/>
      <c r="AX1622" t="inlineStr"/>
      <c r="AY1622" t="inlineStr"/>
    </row>
    <row r="1623">
      <c r="A1623" t="inlineStr">
        <is>
          <t>OWN</t>
        </is>
      </c>
      <c r="B1623" t="inlineStr">
        <is>
          <t>LEN US Equity</t>
        </is>
      </c>
      <c r="C1623" s="1" t="inlineStr">
        <is>
          <t>LEN</t>
        </is>
      </c>
      <c r="D1623" t="inlineStr">
        <is>
          <t>Lennar Corp</t>
        </is>
      </c>
      <c r="E1623">
        <f>BDP($B1623,"LEGAL_ENTITY_IDENTIFIER")</f>
        <v/>
      </c>
      <c r="F1623" t="inlineStr">
        <is>
          <t>Lennar Corp</t>
        </is>
      </c>
      <c r="G1623">
        <f>custodian!D1623</f>
        <v/>
      </c>
      <c r="H1623">
        <f>BDP($B1623,"ID_ISIN")</f>
        <v/>
      </c>
      <c r="I1623" s="1" t="inlineStr">
        <is>
          <t>LEN</t>
        </is>
      </c>
      <c r="J1623">
        <f>BDP($B1623,"CNTRY_OF_DOMICILE")</f>
        <v/>
      </c>
      <c r="K1623" t="inlineStr">
        <is>
          <t>EC</t>
        </is>
      </c>
      <c r="L1623" t="inlineStr">
        <is>
          <t>CORP</t>
        </is>
      </c>
      <c r="M1623" t="inlineStr"/>
      <c r="N1623" t="inlineStr"/>
      <c r="O1623" s="1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s="1" t="inlineStr"/>
      <c r="AR1623" s="1" t="inlineStr"/>
      <c r="AS1623" s="1" t="inlineStr"/>
      <c r="AT1623" t="inlineStr"/>
      <c r="AU1623" t="inlineStr"/>
      <c r="AV1623" t="inlineStr"/>
      <c r="AW1623" t="inlineStr"/>
      <c r="AX1623" t="inlineStr"/>
      <c r="AY1623" t="inlineStr"/>
    </row>
    <row r="1624">
      <c r="A1624" t="inlineStr">
        <is>
          <t>OWN</t>
        </is>
      </c>
      <c r="B1624" t="inlineStr">
        <is>
          <t>LLY US Equity</t>
        </is>
      </c>
      <c r="C1624" s="1" t="inlineStr">
        <is>
          <t>LLY</t>
        </is>
      </c>
      <c r="D1624" t="inlineStr">
        <is>
          <t>Eli Lilly &amp; Co</t>
        </is>
      </c>
      <c r="E1624">
        <f>BDP($B1624,"LEGAL_ENTITY_IDENTIFIER")</f>
        <v/>
      </c>
      <c r="F1624" t="inlineStr">
        <is>
          <t>Eli Lilly &amp; Co</t>
        </is>
      </c>
      <c r="G1624">
        <f>custodian!D1624</f>
        <v/>
      </c>
      <c r="H1624">
        <f>BDP($B1624,"ID_ISIN")</f>
        <v/>
      </c>
      <c r="I1624" s="1" t="inlineStr">
        <is>
          <t>LLY</t>
        </is>
      </c>
      <c r="J1624">
        <f>BDP($B1624,"CNTRY_OF_DOMICILE")</f>
        <v/>
      </c>
      <c r="K1624" t="inlineStr">
        <is>
          <t>EC</t>
        </is>
      </c>
      <c r="L1624" t="inlineStr">
        <is>
          <t>CORP</t>
        </is>
      </c>
      <c r="M1624" t="inlineStr"/>
      <c r="N1624" t="inlineStr"/>
      <c r="O1624" s="1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s="1" t="inlineStr"/>
      <c r="AR1624" s="1" t="inlineStr"/>
      <c r="AS1624" s="1" t="inlineStr"/>
      <c r="AT1624" t="inlineStr"/>
      <c r="AU1624" t="inlineStr"/>
      <c r="AV1624" t="inlineStr"/>
      <c r="AW1624" t="inlineStr"/>
      <c r="AX1624" t="inlineStr"/>
      <c r="AY1624" t="inlineStr"/>
    </row>
    <row r="1625">
      <c r="A1625" t="inlineStr">
        <is>
          <t>OWN</t>
        </is>
      </c>
      <c r="B1625" t="inlineStr">
        <is>
          <t>LRCX US Equity</t>
        </is>
      </c>
      <c r="C1625" s="1" t="inlineStr">
        <is>
          <t>LRCX</t>
        </is>
      </c>
      <c r="D1625" t="inlineStr">
        <is>
          <t>Lam Research Corp</t>
        </is>
      </c>
      <c r="E1625">
        <f>BDP($B1625,"LEGAL_ENTITY_IDENTIFIER")</f>
        <v/>
      </c>
      <c r="F1625" t="inlineStr">
        <is>
          <t>Lam Research Corp</t>
        </is>
      </c>
      <c r="G1625">
        <f>custodian!D1625</f>
        <v/>
      </c>
      <c r="H1625">
        <f>BDP($B1625,"ID_ISIN")</f>
        <v/>
      </c>
      <c r="I1625" s="1" t="inlineStr">
        <is>
          <t>LRCX</t>
        </is>
      </c>
      <c r="J1625">
        <f>BDP($B1625,"CNTRY_OF_DOMICILE")</f>
        <v/>
      </c>
      <c r="K1625" t="inlineStr">
        <is>
          <t>EC</t>
        </is>
      </c>
      <c r="L1625" t="inlineStr">
        <is>
          <t>CORP</t>
        </is>
      </c>
      <c r="M1625" t="inlineStr"/>
      <c r="N1625" t="inlineStr"/>
      <c r="O1625" s="1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s="1" t="inlineStr"/>
      <c r="AR1625" s="1" t="inlineStr"/>
      <c r="AS1625" s="1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>
        <is>
          <t>OWN</t>
        </is>
      </c>
      <c r="B1626" t="inlineStr">
        <is>
          <t>LYV US Equity</t>
        </is>
      </c>
      <c r="C1626" s="1" t="inlineStr">
        <is>
          <t>LYV</t>
        </is>
      </c>
      <c r="D1626" t="inlineStr">
        <is>
          <t>Live Nation Entertainment Inc</t>
        </is>
      </c>
      <c r="E1626">
        <f>BDP($B1626,"LEGAL_ENTITY_IDENTIFIER")</f>
        <v/>
      </c>
      <c r="F1626" t="inlineStr">
        <is>
          <t>Live Nation Entertainment Inc</t>
        </is>
      </c>
      <c r="G1626">
        <f>custodian!D1626</f>
        <v/>
      </c>
      <c r="H1626">
        <f>BDP($B1626,"ID_ISIN")</f>
        <v/>
      </c>
      <c r="I1626" s="1" t="inlineStr">
        <is>
          <t>LYV</t>
        </is>
      </c>
      <c r="J1626">
        <f>BDP($B1626,"CNTRY_OF_DOMICILE")</f>
        <v/>
      </c>
      <c r="K1626" t="inlineStr">
        <is>
          <t>EC</t>
        </is>
      </c>
      <c r="L1626" t="inlineStr">
        <is>
          <t>CORP</t>
        </is>
      </c>
      <c r="M1626" t="inlineStr"/>
      <c r="N1626" t="inlineStr"/>
      <c r="O1626" s="1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s="1" t="inlineStr"/>
      <c r="AR1626" s="1" t="inlineStr"/>
      <c r="AS1626" s="1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>
        <is>
          <t>OWN</t>
        </is>
      </c>
      <c r="B1627" t="inlineStr">
        <is>
          <t>MAR US Equity</t>
        </is>
      </c>
      <c r="C1627" s="1" t="inlineStr">
        <is>
          <t>MAR</t>
        </is>
      </c>
      <c r="D1627" t="inlineStr">
        <is>
          <t>Marriott International Inc/MD</t>
        </is>
      </c>
      <c r="E1627">
        <f>BDP($B1627,"LEGAL_ENTITY_IDENTIFIER")</f>
        <v/>
      </c>
      <c r="F1627" t="inlineStr">
        <is>
          <t>Marriott International Inc/MD</t>
        </is>
      </c>
      <c r="G1627">
        <f>custodian!D1627</f>
        <v/>
      </c>
      <c r="H1627">
        <f>BDP($B1627,"ID_ISIN")</f>
        <v/>
      </c>
      <c r="I1627" s="1" t="inlineStr">
        <is>
          <t>MAR</t>
        </is>
      </c>
      <c r="J1627">
        <f>BDP($B1627,"CNTRY_OF_DOMICILE")</f>
        <v/>
      </c>
      <c r="K1627" t="inlineStr">
        <is>
          <t>EC</t>
        </is>
      </c>
      <c r="L1627" t="inlineStr">
        <is>
          <t>CORP</t>
        </is>
      </c>
      <c r="M1627" t="inlineStr"/>
      <c r="N1627" t="inlineStr"/>
      <c r="O1627" s="1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s="1" t="inlineStr"/>
      <c r="AR1627" s="1" t="inlineStr"/>
      <c r="AS1627" s="1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>
        <is>
          <t>OWN</t>
        </is>
      </c>
      <c r="B1628" t="inlineStr">
        <is>
          <t>META US Equity</t>
        </is>
      </c>
      <c r="C1628" s="1" t="inlineStr">
        <is>
          <t>META</t>
        </is>
      </c>
      <c r="D1628" t="inlineStr">
        <is>
          <t>Meta Platforms Inc</t>
        </is>
      </c>
      <c r="E1628">
        <f>BDP($B1628,"LEGAL_ENTITY_IDENTIFIER")</f>
        <v/>
      </c>
      <c r="F1628" t="inlineStr">
        <is>
          <t>Meta Platforms Inc</t>
        </is>
      </c>
      <c r="G1628">
        <f>custodian!D1628</f>
        <v/>
      </c>
      <c r="H1628">
        <f>BDP($B1628,"ID_ISIN")</f>
        <v/>
      </c>
      <c r="I1628" s="1" t="inlineStr">
        <is>
          <t>META</t>
        </is>
      </c>
      <c r="J1628">
        <f>BDP($B1628,"CNTRY_OF_DOMICILE")</f>
        <v/>
      </c>
      <c r="K1628" t="inlineStr">
        <is>
          <t>EC</t>
        </is>
      </c>
      <c r="L1628" t="inlineStr">
        <is>
          <t>CORP</t>
        </is>
      </c>
      <c r="M1628" t="inlineStr"/>
      <c r="N1628" t="inlineStr"/>
      <c r="O1628" s="1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s="1" t="inlineStr"/>
      <c r="AR1628" s="1" t="inlineStr"/>
      <c r="AS1628" s="1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>
        <is>
          <t>OWN</t>
        </is>
      </c>
      <c r="B1629" t="inlineStr">
        <is>
          <t>MNST US Equity</t>
        </is>
      </c>
      <c r="C1629" s="1" t="inlineStr">
        <is>
          <t>MNST</t>
        </is>
      </c>
      <c r="D1629" t="inlineStr">
        <is>
          <t>Monster Beverage Corp</t>
        </is>
      </c>
      <c r="E1629">
        <f>BDP($B1629,"LEGAL_ENTITY_IDENTIFIER")</f>
        <v/>
      </c>
      <c r="F1629" t="inlineStr">
        <is>
          <t>Monster Beverage Corp</t>
        </is>
      </c>
      <c r="G1629">
        <f>custodian!D1629</f>
        <v/>
      </c>
      <c r="H1629">
        <f>BDP($B1629,"ID_ISIN")</f>
        <v/>
      </c>
      <c r="I1629" s="1" t="inlineStr">
        <is>
          <t>MNST</t>
        </is>
      </c>
      <c r="J1629">
        <f>BDP($B1629,"CNTRY_OF_DOMICILE")</f>
        <v/>
      </c>
      <c r="K1629" t="inlineStr">
        <is>
          <t>EC</t>
        </is>
      </c>
      <c r="L1629" t="inlineStr">
        <is>
          <t>CORP</t>
        </is>
      </c>
      <c r="M1629" t="inlineStr"/>
      <c r="N1629" t="inlineStr"/>
      <c r="O1629" s="1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s="1" t="inlineStr"/>
      <c r="AR1629" s="1" t="inlineStr"/>
      <c r="AS1629" s="1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>
        <is>
          <t>OWN</t>
        </is>
      </c>
      <c r="B1630" t="inlineStr">
        <is>
          <t>MPWR US Equity</t>
        </is>
      </c>
      <c r="C1630" s="1" t="inlineStr">
        <is>
          <t>MPWR</t>
        </is>
      </c>
      <c r="D1630" t="inlineStr">
        <is>
          <t>Monolithic Power Systems Inc</t>
        </is>
      </c>
      <c r="E1630">
        <f>BDP($B1630,"LEGAL_ENTITY_IDENTIFIER")</f>
        <v/>
      </c>
      <c r="F1630" t="inlineStr">
        <is>
          <t>Monolithic Power Systems Inc</t>
        </is>
      </c>
      <c r="G1630">
        <f>custodian!D1630</f>
        <v/>
      </c>
      <c r="H1630">
        <f>BDP($B1630,"ID_ISIN")</f>
        <v/>
      </c>
      <c r="I1630" s="1" t="inlineStr">
        <is>
          <t>MPWR</t>
        </is>
      </c>
      <c r="J1630">
        <f>BDP($B1630,"CNTRY_OF_DOMICILE")</f>
        <v/>
      </c>
      <c r="K1630" t="inlineStr">
        <is>
          <t>EC</t>
        </is>
      </c>
      <c r="L1630" t="inlineStr">
        <is>
          <t>CORP</t>
        </is>
      </c>
      <c r="M1630" t="inlineStr"/>
      <c r="N1630" t="inlineStr"/>
      <c r="O1630" s="1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s="1" t="inlineStr"/>
      <c r="AR1630" s="1" t="inlineStr"/>
      <c r="AS1630" s="1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>
        <is>
          <t>OWN</t>
        </is>
      </c>
      <c r="B1631" t="inlineStr">
        <is>
          <t>MSCI US Equity</t>
        </is>
      </c>
      <c r="C1631" s="1" t="inlineStr">
        <is>
          <t>MSCI</t>
        </is>
      </c>
      <c r="D1631" t="inlineStr">
        <is>
          <t>MSCI Inc</t>
        </is>
      </c>
      <c r="E1631">
        <f>BDP($B1631,"LEGAL_ENTITY_IDENTIFIER")</f>
        <v/>
      </c>
      <c r="F1631" t="inlineStr">
        <is>
          <t>MSCI Inc</t>
        </is>
      </c>
      <c r="G1631">
        <f>custodian!D1631</f>
        <v/>
      </c>
      <c r="H1631">
        <f>BDP($B1631,"ID_ISIN")</f>
        <v/>
      </c>
      <c r="I1631" s="1" t="inlineStr">
        <is>
          <t>MSCI</t>
        </is>
      </c>
      <c r="J1631">
        <f>BDP($B1631,"CNTRY_OF_DOMICILE")</f>
        <v/>
      </c>
      <c r="K1631" t="inlineStr">
        <is>
          <t>EC</t>
        </is>
      </c>
      <c r="L1631" t="inlineStr">
        <is>
          <t>CORP</t>
        </is>
      </c>
      <c r="M1631" t="inlineStr"/>
      <c r="N1631" t="inlineStr"/>
      <c r="O1631" s="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s="1" t="inlineStr"/>
      <c r="AR1631" s="1" t="inlineStr"/>
      <c r="AS1631" s="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>
        <is>
          <t>OWN</t>
        </is>
      </c>
      <c r="B1632" t="inlineStr">
        <is>
          <t>MU US Equity</t>
        </is>
      </c>
      <c r="C1632" s="1" t="inlineStr">
        <is>
          <t>MU</t>
        </is>
      </c>
      <c r="D1632" t="inlineStr">
        <is>
          <t>Micron Technology Inc</t>
        </is>
      </c>
      <c r="E1632">
        <f>BDP($B1632,"LEGAL_ENTITY_IDENTIFIER")</f>
        <v/>
      </c>
      <c r="F1632" t="inlineStr">
        <is>
          <t>Micron Technology Inc</t>
        </is>
      </c>
      <c r="G1632">
        <f>custodian!D1632</f>
        <v/>
      </c>
      <c r="H1632">
        <f>BDP($B1632,"ID_ISIN")</f>
        <v/>
      </c>
      <c r="I1632" s="1" t="inlineStr">
        <is>
          <t>MU</t>
        </is>
      </c>
      <c r="J1632">
        <f>BDP($B1632,"CNTRY_OF_DOMICILE")</f>
        <v/>
      </c>
      <c r="K1632" t="inlineStr">
        <is>
          <t>EC</t>
        </is>
      </c>
      <c r="L1632" t="inlineStr">
        <is>
          <t>CORP</t>
        </is>
      </c>
      <c r="M1632" t="inlineStr"/>
      <c r="N1632" t="inlineStr"/>
      <c r="O1632" s="1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s="1" t="inlineStr"/>
      <c r="AR1632" s="1" t="inlineStr"/>
      <c r="AS1632" s="1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>
        <is>
          <t>OWN</t>
        </is>
      </c>
      <c r="B1633" t="inlineStr">
        <is>
          <t>NFLX US Equity</t>
        </is>
      </c>
      <c r="C1633" s="1" t="inlineStr">
        <is>
          <t>NFLX</t>
        </is>
      </c>
      <c r="D1633" t="inlineStr">
        <is>
          <t>Netflix Inc</t>
        </is>
      </c>
      <c r="E1633">
        <f>BDP($B1633,"LEGAL_ENTITY_IDENTIFIER")</f>
        <v/>
      </c>
      <c r="F1633" t="inlineStr">
        <is>
          <t>Netflix Inc</t>
        </is>
      </c>
      <c r="G1633">
        <f>custodian!D1633</f>
        <v/>
      </c>
      <c r="H1633">
        <f>BDP($B1633,"ID_ISIN")</f>
        <v/>
      </c>
      <c r="I1633" s="1" t="inlineStr">
        <is>
          <t>NFLX</t>
        </is>
      </c>
      <c r="J1633">
        <f>BDP($B1633,"CNTRY_OF_DOMICILE")</f>
        <v/>
      </c>
      <c r="K1633" t="inlineStr">
        <is>
          <t>EC</t>
        </is>
      </c>
      <c r="L1633" t="inlineStr">
        <is>
          <t>CORP</t>
        </is>
      </c>
      <c r="M1633" t="inlineStr"/>
      <c r="N1633" t="inlineStr"/>
      <c r="O1633" s="1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s="1" t="inlineStr"/>
      <c r="AR1633" s="1" t="inlineStr"/>
      <c r="AS1633" s="1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>
        <is>
          <t>OWN</t>
        </is>
      </c>
      <c r="B1634" t="inlineStr">
        <is>
          <t>NVDA US Equity</t>
        </is>
      </c>
      <c r="C1634" s="1" t="inlineStr">
        <is>
          <t>NVDA</t>
        </is>
      </c>
      <c r="D1634" t="inlineStr">
        <is>
          <t>NVIDIA Corp</t>
        </is>
      </c>
      <c r="E1634">
        <f>BDP($B1634,"LEGAL_ENTITY_IDENTIFIER")</f>
        <v/>
      </c>
      <c r="F1634" t="inlineStr">
        <is>
          <t>NVIDIA Corp</t>
        </is>
      </c>
      <c r="G1634">
        <f>custodian!D1634</f>
        <v/>
      </c>
      <c r="H1634">
        <f>BDP($B1634,"ID_ISIN")</f>
        <v/>
      </c>
      <c r="I1634" s="1" t="inlineStr">
        <is>
          <t>NVDA</t>
        </is>
      </c>
      <c r="J1634">
        <f>BDP($B1634,"CNTRY_OF_DOMICILE")</f>
        <v/>
      </c>
      <c r="K1634" t="inlineStr">
        <is>
          <t>EC</t>
        </is>
      </c>
      <c r="L1634" t="inlineStr">
        <is>
          <t>CORP</t>
        </is>
      </c>
      <c r="M1634" t="inlineStr"/>
      <c r="N1634" t="inlineStr"/>
      <c r="O1634" s="1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s="1" t="inlineStr"/>
      <c r="AR1634" s="1" t="inlineStr"/>
      <c r="AS1634" s="1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>
        <is>
          <t>OWN</t>
        </is>
      </c>
      <c r="B1635" t="inlineStr">
        <is>
          <t>ODFL US Equity</t>
        </is>
      </c>
      <c r="C1635" s="1" t="inlineStr">
        <is>
          <t>ODFL</t>
        </is>
      </c>
      <c r="D1635" t="inlineStr">
        <is>
          <t>Old Dominion Freight Line Inc</t>
        </is>
      </c>
      <c r="E1635">
        <f>BDP($B1635,"LEGAL_ENTITY_IDENTIFIER")</f>
        <v/>
      </c>
      <c r="F1635" t="inlineStr">
        <is>
          <t>Old Dominion Freight Line Inc</t>
        </is>
      </c>
      <c r="G1635">
        <f>custodian!D1635</f>
        <v/>
      </c>
      <c r="H1635">
        <f>BDP($B1635,"ID_ISIN")</f>
        <v/>
      </c>
      <c r="I1635" s="1" t="inlineStr">
        <is>
          <t>ODFL</t>
        </is>
      </c>
      <c r="J1635">
        <f>BDP($B1635,"CNTRY_OF_DOMICILE")</f>
        <v/>
      </c>
      <c r="K1635" t="inlineStr">
        <is>
          <t>EC</t>
        </is>
      </c>
      <c r="L1635" t="inlineStr">
        <is>
          <t>CORP</t>
        </is>
      </c>
      <c r="M1635" t="inlineStr"/>
      <c r="N1635" t="inlineStr"/>
      <c r="O1635" s="1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s="1" t="inlineStr"/>
      <c r="AR1635" s="1" t="inlineStr"/>
      <c r="AS1635" s="1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>
        <is>
          <t>OWN</t>
        </is>
      </c>
      <c r="B1636" t="inlineStr">
        <is>
          <t>ORCL US Equity</t>
        </is>
      </c>
      <c r="C1636" s="1" t="inlineStr">
        <is>
          <t>ORCL</t>
        </is>
      </c>
      <c r="D1636" t="inlineStr">
        <is>
          <t>Oracle Corp</t>
        </is>
      </c>
      <c r="E1636">
        <f>BDP($B1636,"LEGAL_ENTITY_IDENTIFIER")</f>
        <v/>
      </c>
      <c r="F1636" t="inlineStr">
        <is>
          <t>Oracle Corp</t>
        </is>
      </c>
      <c r="G1636">
        <f>custodian!D1636</f>
        <v/>
      </c>
      <c r="H1636">
        <f>BDP($B1636,"ID_ISIN")</f>
        <v/>
      </c>
      <c r="I1636" s="1" t="inlineStr">
        <is>
          <t>ORCL</t>
        </is>
      </c>
      <c r="J1636">
        <f>BDP($B1636,"CNTRY_OF_DOMICILE")</f>
        <v/>
      </c>
      <c r="K1636" t="inlineStr">
        <is>
          <t>EC</t>
        </is>
      </c>
      <c r="L1636" t="inlineStr">
        <is>
          <t>CORP</t>
        </is>
      </c>
      <c r="M1636" t="inlineStr"/>
      <c r="N1636" t="inlineStr"/>
      <c r="O1636" s="1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s="1" t="inlineStr"/>
      <c r="AR1636" s="1" t="inlineStr"/>
      <c r="AS1636" s="1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>
        <is>
          <t>OWN</t>
        </is>
      </c>
      <c r="B1637" t="inlineStr">
        <is>
          <t>PANW US Equity</t>
        </is>
      </c>
      <c r="C1637" s="1" t="inlineStr">
        <is>
          <t>PANW</t>
        </is>
      </c>
      <c r="D1637" t="inlineStr">
        <is>
          <t>Palo Alto Networks Inc</t>
        </is>
      </c>
      <c r="E1637">
        <f>BDP($B1637,"LEGAL_ENTITY_IDENTIFIER")</f>
        <v/>
      </c>
      <c r="F1637" t="inlineStr">
        <is>
          <t>Palo Alto Networks Inc</t>
        </is>
      </c>
      <c r="G1637">
        <f>custodian!D1637</f>
        <v/>
      </c>
      <c r="H1637">
        <f>BDP($B1637,"ID_ISIN")</f>
        <v/>
      </c>
      <c r="I1637" s="1" t="inlineStr">
        <is>
          <t>PANW</t>
        </is>
      </c>
      <c r="J1637">
        <f>BDP($B1637,"CNTRY_OF_DOMICILE")</f>
        <v/>
      </c>
      <c r="K1637" t="inlineStr">
        <is>
          <t>EC</t>
        </is>
      </c>
      <c r="L1637" t="inlineStr">
        <is>
          <t>CORP</t>
        </is>
      </c>
      <c r="M1637" t="inlineStr"/>
      <c r="N1637" t="inlineStr"/>
      <c r="O1637" s="1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s="1" t="inlineStr"/>
      <c r="AR1637" s="1" t="inlineStr"/>
      <c r="AS1637" s="1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>
        <is>
          <t>OWN</t>
        </is>
      </c>
      <c r="B1638" t="inlineStr">
        <is>
          <t>PCAR US Equity</t>
        </is>
      </c>
      <c r="C1638" s="1" t="inlineStr">
        <is>
          <t>PCAR</t>
        </is>
      </c>
      <c r="D1638" t="inlineStr">
        <is>
          <t>PACCAR Inc</t>
        </is>
      </c>
      <c r="E1638">
        <f>BDP($B1638,"LEGAL_ENTITY_IDENTIFIER")</f>
        <v/>
      </c>
      <c r="F1638" t="inlineStr">
        <is>
          <t>PACCAR Inc</t>
        </is>
      </c>
      <c r="G1638">
        <f>custodian!D1638</f>
        <v/>
      </c>
      <c r="H1638">
        <f>BDP($B1638,"ID_ISIN")</f>
        <v/>
      </c>
      <c r="I1638" s="1" t="inlineStr">
        <is>
          <t>PCAR</t>
        </is>
      </c>
      <c r="J1638">
        <f>BDP($B1638,"CNTRY_OF_DOMICILE")</f>
        <v/>
      </c>
      <c r="K1638" t="inlineStr">
        <is>
          <t>EC</t>
        </is>
      </c>
      <c r="L1638" t="inlineStr">
        <is>
          <t>CORP</t>
        </is>
      </c>
      <c r="M1638" t="inlineStr"/>
      <c r="N1638" t="inlineStr"/>
      <c r="O1638" s="1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s="1" t="inlineStr"/>
      <c r="AR1638" s="1" t="inlineStr"/>
      <c r="AS1638" s="1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>
        <is>
          <t>OWN</t>
        </is>
      </c>
      <c r="B1639" t="inlineStr">
        <is>
          <t>PLTR US Equity</t>
        </is>
      </c>
      <c r="C1639" s="1" t="inlineStr">
        <is>
          <t>PLTR</t>
        </is>
      </c>
      <c r="D1639" t="inlineStr">
        <is>
          <t>Palantir Technologies Inc</t>
        </is>
      </c>
      <c r="E1639">
        <f>BDP($B1639,"LEGAL_ENTITY_IDENTIFIER")</f>
        <v/>
      </c>
      <c r="F1639" t="inlineStr">
        <is>
          <t>Palantir Technologies Inc</t>
        </is>
      </c>
      <c r="G1639">
        <f>custodian!D1639</f>
        <v/>
      </c>
      <c r="H1639">
        <f>BDP($B1639,"ID_ISIN")</f>
        <v/>
      </c>
      <c r="I1639" s="1" t="inlineStr">
        <is>
          <t>PLTR</t>
        </is>
      </c>
      <c r="J1639">
        <f>BDP($B1639,"CNTRY_OF_DOMICILE")</f>
        <v/>
      </c>
      <c r="K1639" t="inlineStr">
        <is>
          <t>EC</t>
        </is>
      </c>
      <c r="L1639" t="inlineStr">
        <is>
          <t>CORP</t>
        </is>
      </c>
      <c r="M1639" t="inlineStr"/>
      <c r="N1639" t="inlineStr"/>
      <c r="O1639" s="1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s="1" t="inlineStr"/>
      <c r="AR1639" s="1" t="inlineStr"/>
      <c r="AS1639" s="1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OWN</t>
        </is>
      </c>
      <c r="B1640" t="inlineStr">
        <is>
          <t>PSA US Equity</t>
        </is>
      </c>
      <c r="C1640" s="1" t="inlineStr">
        <is>
          <t>PSA</t>
        </is>
      </c>
      <c r="D1640" t="inlineStr">
        <is>
          <t>Public Storage</t>
        </is>
      </c>
      <c r="E1640">
        <f>BDP($B1640,"LEGAL_ENTITY_IDENTIFIER")</f>
        <v/>
      </c>
      <c r="F1640" t="inlineStr">
        <is>
          <t>Public Storage</t>
        </is>
      </c>
      <c r="G1640">
        <f>custodian!D1640</f>
        <v/>
      </c>
      <c r="H1640">
        <f>BDP($B1640,"ID_ISIN")</f>
        <v/>
      </c>
      <c r="I1640" s="1" t="inlineStr">
        <is>
          <t>PSA</t>
        </is>
      </c>
      <c r="J1640">
        <f>BDP($B1640,"CNTRY_OF_DOMICILE")</f>
        <v/>
      </c>
      <c r="K1640" t="inlineStr">
        <is>
          <t>EC</t>
        </is>
      </c>
      <c r="L1640" t="inlineStr">
        <is>
          <t>CORP</t>
        </is>
      </c>
      <c r="M1640" t="inlineStr"/>
      <c r="N1640" t="inlineStr"/>
      <c r="O1640" s="1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s="1" t="inlineStr"/>
      <c r="AR1640" s="1" t="inlineStr"/>
      <c r="AS1640" s="1" t="inlineStr"/>
      <c r="AT1640" t="inlineStr"/>
      <c r="AU1640" t="inlineStr"/>
      <c r="AV1640" t="inlineStr"/>
      <c r="AW1640" t="inlineStr"/>
      <c r="AX1640" t="inlineStr"/>
      <c r="AY1640" t="inlineStr"/>
    </row>
    <row r="1641">
      <c r="A1641" t="inlineStr">
        <is>
          <t>OWN</t>
        </is>
      </c>
      <c r="B1641" t="inlineStr">
        <is>
          <t>Q US Equity</t>
        </is>
      </c>
      <c r="C1641" s="1" t="inlineStr">
        <is>
          <t>Q</t>
        </is>
      </c>
      <c r="D1641" t="inlineStr">
        <is>
          <t>Qnity Electronics Inc</t>
        </is>
      </c>
      <c r="E1641">
        <f>BDP($B1641,"LEGAL_ENTITY_IDENTIFIER")</f>
        <v/>
      </c>
      <c r="F1641" t="inlineStr">
        <is>
          <t>Qnity Electronics Inc</t>
        </is>
      </c>
      <c r="G1641">
        <f>custodian!D1641</f>
        <v/>
      </c>
      <c r="H1641">
        <f>BDP($B1641,"ID_ISIN")</f>
        <v/>
      </c>
      <c r="I1641" s="1" t="inlineStr">
        <is>
          <t>Q</t>
        </is>
      </c>
      <c r="J1641">
        <f>BDP($B1641,"CNTRY_OF_DOMICILE")</f>
        <v/>
      </c>
      <c r="K1641" t="inlineStr">
        <is>
          <t>EC</t>
        </is>
      </c>
      <c r="L1641" t="inlineStr">
        <is>
          <t>CORP</t>
        </is>
      </c>
      <c r="M1641" t="inlineStr"/>
      <c r="N1641" t="inlineStr"/>
      <c r="O1641" s="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s="1" t="inlineStr"/>
      <c r="AR1641" s="1" t="inlineStr"/>
      <c r="AS1641" s="1" t="inlineStr"/>
      <c r="AT1641" t="inlineStr"/>
      <c r="AU1641" t="inlineStr"/>
      <c r="AV1641" t="inlineStr"/>
      <c r="AW1641" t="inlineStr"/>
      <c r="AX1641" t="inlineStr"/>
      <c r="AY1641" t="inlineStr"/>
    </row>
    <row r="1642">
      <c r="A1642" t="inlineStr">
        <is>
          <t>OWN</t>
        </is>
      </c>
      <c r="B1642" t="inlineStr">
        <is>
          <t>RCL US Equity</t>
        </is>
      </c>
      <c r="C1642" s="1" t="inlineStr">
        <is>
          <t>RCL</t>
        </is>
      </c>
      <c r="D1642" t="inlineStr">
        <is>
          <t>Royal Caribbean Cruises Ltd</t>
        </is>
      </c>
      <c r="E1642">
        <f>BDP($B1642,"LEGAL_ENTITY_IDENTIFIER")</f>
        <v/>
      </c>
      <c r="F1642" t="inlineStr">
        <is>
          <t>Royal Caribbean Cruises Ltd</t>
        </is>
      </c>
      <c r="G1642">
        <f>custodian!D1642</f>
        <v/>
      </c>
      <c r="H1642">
        <f>BDP($B1642,"ID_ISIN")</f>
        <v/>
      </c>
      <c r="I1642" s="1" t="inlineStr">
        <is>
          <t>RCL</t>
        </is>
      </c>
      <c r="J1642">
        <f>BDP($B1642,"CNTRY_OF_DOMICILE")</f>
        <v/>
      </c>
      <c r="K1642" t="inlineStr">
        <is>
          <t>EC</t>
        </is>
      </c>
      <c r="L1642" t="inlineStr">
        <is>
          <t>CORP</t>
        </is>
      </c>
      <c r="M1642" t="inlineStr"/>
      <c r="N1642" t="inlineStr"/>
      <c r="O1642" s="1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s="1" t="inlineStr"/>
      <c r="AR1642" s="1" t="inlineStr"/>
      <c r="AS1642" s="1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OWN</t>
        </is>
      </c>
      <c r="B1643" t="inlineStr">
        <is>
          <t>REGN US Equity</t>
        </is>
      </c>
      <c r="C1643" s="1" t="inlineStr">
        <is>
          <t>REGN</t>
        </is>
      </c>
      <c r="D1643" t="inlineStr">
        <is>
          <t>Regeneron Pharmaceuticals Inc</t>
        </is>
      </c>
      <c r="E1643">
        <f>BDP($B1643,"LEGAL_ENTITY_IDENTIFIER")</f>
        <v/>
      </c>
      <c r="F1643" t="inlineStr">
        <is>
          <t>Regeneron Pharmaceuticals Inc</t>
        </is>
      </c>
      <c r="G1643">
        <f>custodian!D1643</f>
        <v/>
      </c>
      <c r="H1643">
        <f>BDP($B1643,"ID_ISIN")</f>
        <v/>
      </c>
      <c r="I1643" s="1" t="inlineStr">
        <is>
          <t>REGN</t>
        </is>
      </c>
      <c r="J1643">
        <f>BDP($B1643,"CNTRY_OF_DOMICILE")</f>
        <v/>
      </c>
      <c r="K1643" t="inlineStr">
        <is>
          <t>EC</t>
        </is>
      </c>
      <c r="L1643" t="inlineStr">
        <is>
          <t>CORP</t>
        </is>
      </c>
      <c r="M1643" t="inlineStr"/>
      <c r="N1643" t="inlineStr"/>
      <c r="O1643" s="1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s="1" t="inlineStr"/>
      <c r="AR1643" s="1" t="inlineStr"/>
      <c r="AS1643" s="1" t="inlineStr"/>
      <c r="AT1643" t="inlineStr"/>
      <c r="AU1643" t="inlineStr"/>
      <c r="AV1643" t="inlineStr"/>
      <c r="AW1643" t="inlineStr"/>
      <c r="AX1643" t="inlineStr"/>
      <c r="AY1643" t="inlineStr"/>
    </row>
    <row r="1644">
      <c r="A1644" t="inlineStr">
        <is>
          <t>OWN</t>
        </is>
      </c>
      <c r="B1644" t="inlineStr">
        <is>
          <t>RL US Equity</t>
        </is>
      </c>
      <c r="C1644" s="1" t="inlineStr">
        <is>
          <t>RL</t>
        </is>
      </c>
      <c r="D1644" t="inlineStr">
        <is>
          <t>Ralph Lauren Corp</t>
        </is>
      </c>
      <c r="E1644">
        <f>BDP($B1644,"LEGAL_ENTITY_IDENTIFIER")</f>
        <v/>
      </c>
      <c r="F1644" t="inlineStr">
        <is>
          <t>Ralph Lauren Corp</t>
        </is>
      </c>
      <c r="G1644">
        <f>custodian!D1644</f>
        <v/>
      </c>
      <c r="H1644">
        <f>BDP($B1644,"ID_ISIN")</f>
        <v/>
      </c>
      <c r="I1644" s="1" t="inlineStr">
        <is>
          <t>RL</t>
        </is>
      </c>
      <c r="J1644">
        <f>BDP($B1644,"CNTRY_OF_DOMICILE")</f>
        <v/>
      </c>
      <c r="K1644" t="inlineStr">
        <is>
          <t>EC</t>
        </is>
      </c>
      <c r="L1644" t="inlineStr">
        <is>
          <t>CORP</t>
        </is>
      </c>
      <c r="M1644" t="inlineStr"/>
      <c r="N1644" t="inlineStr"/>
      <c r="O1644" s="1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s="1" t="inlineStr"/>
      <c r="AR1644" s="1" t="inlineStr"/>
      <c r="AS1644" s="1" t="inlineStr"/>
      <c r="AT1644" t="inlineStr"/>
      <c r="AU1644" t="inlineStr"/>
      <c r="AV1644" t="inlineStr"/>
      <c r="AW1644" t="inlineStr"/>
      <c r="AX1644" t="inlineStr"/>
      <c r="AY1644" t="inlineStr"/>
    </row>
    <row r="1645">
      <c r="A1645" t="inlineStr">
        <is>
          <t>OWN</t>
        </is>
      </c>
      <c r="B1645" t="inlineStr">
        <is>
          <t>ROL US Equity</t>
        </is>
      </c>
      <c r="C1645" s="1" t="inlineStr">
        <is>
          <t>ROL</t>
        </is>
      </c>
      <c r="D1645" t="inlineStr">
        <is>
          <t>Rollins Inc</t>
        </is>
      </c>
      <c r="E1645">
        <f>BDP($B1645,"LEGAL_ENTITY_IDENTIFIER")</f>
        <v/>
      </c>
      <c r="F1645" t="inlineStr">
        <is>
          <t>Rollins Inc</t>
        </is>
      </c>
      <c r="G1645">
        <f>custodian!D1645</f>
        <v/>
      </c>
      <c r="H1645">
        <f>BDP($B1645,"ID_ISIN")</f>
        <v/>
      </c>
      <c r="I1645" s="1" t="inlineStr">
        <is>
          <t>ROL</t>
        </is>
      </c>
      <c r="J1645">
        <f>BDP($B1645,"CNTRY_OF_DOMICILE")</f>
        <v/>
      </c>
      <c r="K1645" t="inlineStr">
        <is>
          <t>EC</t>
        </is>
      </c>
      <c r="L1645" t="inlineStr">
        <is>
          <t>CORP</t>
        </is>
      </c>
      <c r="M1645" t="inlineStr"/>
      <c r="N1645" t="inlineStr"/>
      <c r="O1645" s="1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s="1" t="inlineStr"/>
      <c r="AR1645" s="1" t="inlineStr"/>
      <c r="AS1645" s="1" t="inlineStr"/>
      <c r="AT1645" t="inlineStr"/>
      <c r="AU1645" t="inlineStr"/>
      <c r="AV1645" t="inlineStr"/>
      <c r="AW1645" t="inlineStr"/>
      <c r="AX1645" t="inlineStr"/>
      <c r="AY1645" t="inlineStr"/>
    </row>
    <row r="1646">
      <c r="A1646" t="inlineStr">
        <is>
          <t>OWN</t>
        </is>
      </c>
      <c r="B1646" t="inlineStr">
        <is>
          <t>ROST US Equity</t>
        </is>
      </c>
      <c r="C1646" s="1" t="inlineStr">
        <is>
          <t>ROST</t>
        </is>
      </c>
      <c r="D1646" t="inlineStr">
        <is>
          <t>Ross Stores Inc</t>
        </is>
      </c>
      <c r="E1646">
        <f>BDP($B1646,"LEGAL_ENTITY_IDENTIFIER")</f>
        <v/>
      </c>
      <c r="F1646" t="inlineStr">
        <is>
          <t>Ross Stores Inc</t>
        </is>
      </c>
      <c r="G1646">
        <f>custodian!D1646</f>
        <v/>
      </c>
      <c r="H1646">
        <f>BDP($B1646,"ID_ISIN")</f>
        <v/>
      </c>
      <c r="I1646" s="1" t="inlineStr">
        <is>
          <t>ROST</t>
        </is>
      </c>
      <c r="J1646">
        <f>BDP($B1646,"CNTRY_OF_DOMICILE")</f>
        <v/>
      </c>
      <c r="K1646" t="inlineStr">
        <is>
          <t>EC</t>
        </is>
      </c>
      <c r="L1646" t="inlineStr">
        <is>
          <t>CORP</t>
        </is>
      </c>
      <c r="M1646" t="inlineStr"/>
      <c r="N1646" t="inlineStr"/>
      <c r="O1646" s="1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s="1" t="inlineStr"/>
      <c r="AR1646" s="1" t="inlineStr"/>
      <c r="AS1646" s="1" t="inlineStr"/>
      <c r="AT1646" t="inlineStr"/>
      <c r="AU1646" t="inlineStr"/>
      <c r="AV1646" t="inlineStr"/>
      <c r="AW1646" t="inlineStr"/>
      <c r="AX1646" t="inlineStr"/>
      <c r="AY1646" t="inlineStr"/>
    </row>
    <row r="1647">
      <c r="A1647" t="inlineStr">
        <is>
          <t>OWN</t>
        </is>
      </c>
      <c r="B1647" t="inlineStr">
        <is>
          <t>SCHW US Equity</t>
        </is>
      </c>
      <c r="C1647" s="1" t="inlineStr">
        <is>
          <t>SCHW</t>
        </is>
      </c>
      <c r="D1647" t="inlineStr">
        <is>
          <t>Charles Schwab Corp/The</t>
        </is>
      </c>
      <c r="E1647">
        <f>BDP($B1647,"LEGAL_ENTITY_IDENTIFIER")</f>
        <v/>
      </c>
      <c r="F1647" t="inlineStr">
        <is>
          <t>Charles Schwab Corp/The</t>
        </is>
      </c>
      <c r="G1647">
        <f>custodian!D1647</f>
        <v/>
      </c>
      <c r="H1647">
        <f>BDP($B1647,"ID_ISIN")</f>
        <v/>
      </c>
      <c r="I1647" s="1" t="inlineStr">
        <is>
          <t>SCHW</t>
        </is>
      </c>
      <c r="J1647">
        <f>BDP($B1647,"CNTRY_OF_DOMICILE")</f>
        <v/>
      </c>
      <c r="K1647" t="inlineStr">
        <is>
          <t>EC</t>
        </is>
      </c>
      <c r="L1647" t="inlineStr">
        <is>
          <t>CORP</t>
        </is>
      </c>
      <c r="M1647" t="inlineStr"/>
      <c r="N1647" t="inlineStr"/>
      <c r="O1647" s="1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s="1" t="inlineStr"/>
      <c r="AR1647" s="1" t="inlineStr"/>
      <c r="AS1647" s="1" t="inlineStr"/>
      <c r="AT1647" t="inlineStr"/>
      <c r="AU1647" t="inlineStr"/>
      <c r="AV1647" t="inlineStr"/>
      <c r="AW1647" t="inlineStr"/>
      <c r="AX1647" t="inlineStr"/>
      <c r="AY1647" t="inlineStr"/>
    </row>
    <row r="1648">
      <c r="A1648" t="inlineStr">
        <is>
          <t>OWN</t>
        </is>
      </c>
      <c r="B1648" t="inlineStr">
        <is>
          <t>SMCI US Equity</t>
        </is>
      </c>
      <c r="C1648" s="1" t="inlineStr">
        <is>
          <t>SMCI</t>
        </is>
      </c>
      <c r="D1648" t="inlineStr">
        <is>
          <t>Super Micro Computer Inc</t>
        </is>
      </c>
      <c r="E1648">
        <f>BDP($B1648,"LEGAL_ENTITY_IDENTIFIER")</f>
        <v/>
      </c>
      <c r="F1648" t="inlineStr">
        <is>
          <t>Super Micro Computer Inc</t>
        </is>
      </c>
      <c r="G1648">
        <f>custodian!D1648</f>
        <v/>
      </c>
      <c r="H1648">
        <f>BDP($B1648,"ID_ISIN")</f>
        <v/>
      </c>
      <c r="I1648" s="1" t="inlineStr">
        <is>
          <t>SMCI</t>
        </is>
      </c>
      <c r="J1648">
        <f>BDP($B1648,"CNTRY_OF_DOMICILE")</f>
        <v/>
      </c>
      <c r="K1648" t="inlineStr">
        <is>
          <t>EC</t>
        </is>
      </c>
      <c r="L1648" t="inlineStr">
        <is>
          <t>CORP</t>
        </is>
      </c>
      <c r="M1648" t="inlineStr"/>
      <c r="N1648" t="inlineStr"/>
      <c r="O1648" s="1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s="1" t="inlineStr"/>
      <c r="AR1648" s="1" t="inlineStr"/>
      <c r="AS1648" s="1" t="inlineStr"/>
      <c r="AT1648" t="inlineStr"/>
      <c r="AU1648" t="inlineStr"/>
      <c r="AV1648" t="inlineStr"/>
      <c r="AW1648" t="inlineStr"/>
      <c r="AX1648" t="inlineStr"/>
      <c r="AY1648" t="inlineStr"/>
    </row>
    <row r="1649">
      <c r="A1649" t="inlineStr">
        <is>
          <t>OWN</t>
        </is>
      </c>
      <c r="B1649" t="inlineStr">
        <is>
          <t>SPG US Equity</t>
        </is>
      </c>
      <c r="C1649" s="1" t="inlineStr">
        <is>
          <t>SPG</t>
        </is>
      </c>
      <c r="D1649" t="inlineStr">
        <is>
          <t>Simon Property Group Inc</t>
        </is>
      </c>
      <c r="E1649">
        <f>BDP($B1649,"LEGAL_ENTITY_IDENTIFIER")</f>
        <v/>
      </c>
      <c r="F1649" t="inlineStr">
        <is>
          <t>Simon Property Group Inc</t>
        </is>
      </c>
      <c r="G1649">
        <f>custodian!D1649</f>
        <v/>
      </c>
      <c r="H1649">
        <f>BDP($B1649,"ID_ISIN")</f>
        <v/>
      </c>
      <c r="I1649" s="1" t="inlineStr">
        <is>
          <t>SPG</t>
        </is>
      </c>
      <c r="J1649">
        <f>BDP($B1649,"CNTRY_OF_DOMICILE")</f>
        <v/>
      </c>
      <c r="K1649" t="inlineStr">
        <is>
          <t>EC</t>
        </is>
      </c>
      <c r="L1649" t="inlineStr">
        <is>
          <t>CORP</t>
        </is>
      </c>
      <c r="M1649" t="inlineStr"/>
      <c r="N1649" t="inlineStr"/>
      <c r="O1649" s="1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s="1" t="inlineStr"/>
      <c r="AR1649" s="1" t="inlineStr"/>
      <c r="AS1649" s="1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OWN</t>
        </is>
      </c>
      <c r="B1650" t="inlineStr">
        <is>
          <t>STLD US Equity</t>
        </is>
      </c>
      <c r="C1650" s="1" t="inlineStr">
        <is>
          <t>STLD</t>
        </is>
      </c>
      <c r="D1650" t="inlineStr">
        <is>
          <t>Steel Dynamics Inc</t>
        </is>
      </c>
      <c r="E1650">
        <f>BDP($B1650,"LEGAL_ENTITY_IDENTIFIER")</f>
        <v/>
      </c>
      <c r="F1650" t="inlineStr">
        <is>
          <t>Steel Dynamics Inc</t>
        </is>
      </c>
      <c r="G1650">
        <f>custodian!D1650</f>
        <v/>
      </c>
      <c r="H1650">
        <f>BDP($B1650,"ID_ISIN")</f>
        <v/>
      </c>
      <c r="I1650" s="1" t="inlineStr">
        <is>
          <t>STLD</t>
        </is>
      </c>
      <c r="J1650">
        <f>BDP($B1650,"CNTRY_OF_DOMICILE")</f>
        <v/>
      </c>
      <c r="K1650" t="inlineStr">
        <is>
          <t>EC</t>
        </is>
      </c>
      <c r="L1650" t="inlineStr">
        <is>
          <t>CORP</t>
        </is>
      </c>
      <c r="M1650" t="inlineStr"/>
      <c r="N1650" t="inlineStr"/>
      <c r="O1650" s="1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s="1" t="inlineStr"/>
      <c r="AR1650" s="1" t="inlineStr"/>
      <c r="AS1650" s="1" t="inlineStr"/>
      <c r="AT1650" t="inlineStr"/>
      <c r="AU1650" t="inlineStr"/>
      <c r="AV1650" t="inlineStr"/>
      <c r="AW1650" t="inlineStr"/>
      <c r="AX1650" t="inlineStr"/>
      <c r="AY1650" t="inlineStr"/>
    </row>
    <row r="1651">
      <c r="A1651" t="inlineStr">
        <is>
          <t>OWN</t>
        </is>
      </c>
      <c r="B1651" t="inlineStr">
        <is>
          <t>STX US Equity</t>
        </is>
      </c>
      <c r="C1651" s="1" t="inlineStr">
        <is>
          <t>STX</t>
        </is>
      </c>
      <c r="D1651" t="inlineStr">
        <is>
          <t>Seagate Technology Holdings PL</t>
        </is>
      </c>
      <c r="E1651">
        <f>BDP($B1651,"LEGAL_ENTITY_IDENTIFIER")</f>
        <v/>
      </c>
      <c r="F1651" t="inlineStr">
        <is>
          <t>Seagate Technology Holdings PLC</t>
        </is>
      </c>
      <c r="G1651">
        <f>custodian!D1651</f>
        <v/>
      </c>
      <c r="H1651">
        <f>BDP($B1651,"ID_ISIN")</f>
        <v/>
      </c>
      <c r="I1651" s="1" t="inlineStr">
        <is>
          <t>STX</t>
        </is>
      </c>
      <c r="J1651">
        <f>BDP($B1651,"CNTRY_OF_DOMICILE")</f>
        <v/>
      </c>
      <c r="K1651" t="inlineStr">
        <is>
          <t>EC</t>
        </is>
      </c>
      <c r="L1651" t="inlineStr">
        <is>
          <t>CORP</t>
        </is>
      </c>
      <c r="M1651" t="inlineStr"/>
      <c r="N1651" t="inlineStr"/>
      <c r="O1651" s="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s="1" t="inlineStr"/>
      <c r="AR1651" s="1" t="inlineStr"/>
      <c r="AS1651" s="1" t="inlineStr"/>
      <c r="AT1651" t="inlineStr"/>
      <c r="AU1651" t="inlineStr"/>
      <c r="AV1651" t="inlineStr"/>
      <c r="AW1651" t="inlineStr"/>
      <c r="AX1651" t="inlineStr"/>
      <c r="AY1651" t="inlineStr"/>
    </row>
    <row r="1652">
      <c r="A1652" t="inlineStr">
        <is>
          <t>OWN</t>
        </is>
      </c>
      <c r="B1652" t="inlineStr">
        <is>
          <t>STZ US Equity</t>
        </is>
      </c>
      <c r="C1652" s="1" t="inlineStr">
        <is>
          <t>STZ</t>
        </is>
      </c>
      <c r="D1652" t="inlineStr">
        <is>
          <t>Constellation Brands Inc</t>
        </is>
      </c>
      <c r="E1652">
        <f>BDP($B1652,"LEGAL_ENTITY_IDENTIFIER")</f>
        <v/>
      </c>
      <c r="F1652" t="inlineStr">
        <is>
          <t>Constellation Brands Inc</t>
        </is>
      </c>
      <c r="G1652">
        <f>custodian!D1652</f>
        <v/>
      </c>
      <c r="H1652">
        <f>BDP($B1652,"ID_ISIN")</f>
        <v/>
      </c>
      <c r="I1652" s="1" t="inlineStr">
        <is>
          <t>STZ</t>
        </is>
      </c>
      <c r="J1652">
        <f>BDP($B1652,"CNTRY_OF_DOMICILE")</f>
        <v/>
      </c>
      <c r="K1652" t="inlineStr">
        <is>
          <t>EC</t>
        </is>
      </c>
      <c r="L1652" t="inlineStr">
        <is>
          <t>CORP</t>
        </is>
      </c>
      <c r="M1652" t="inlineStr"/>
      <c r="N1652" t="inlineStr"/>
      <c r="O1652" s="1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s="1" t="inlineStr"/>
      <c r="AR1652" s="1" t="inlineStr"/>
      <c r="AS1652" s="1" t="inlineStr"/>
      <c r="AT1652" t="inlineStr"/>
      <c r="AU1652" t="inlineStr"/>
      <c r="AV1652" t="inlineStr"/>
      <c r="AW1652" t="inlineStr"/>
      <c r="AX1652" t="inlineStr"/>
      <c r="AY1652" t="inlineStr"/>
    </row>
    <row r="1653">
      <c r="A1653" t="inlineStr">
        <is>
          <t>OWN</t>
        </is>
      </c>
      <c r="B1653" t="inlineStr">
        <is>
          <t>SYK US Equity</t>
        </is>
      </c>
      <c r="C1653" s="1" t="inlineStr">
        <is>
          <t>SYK</t>
        </is>
      </c>
      <c r="D1653" t="inlineStr">
        <is>
          <t>Stryker Corp</t>
        </is>
      </c>
      <c r="E1653">
        <f>BDP($B1653,"LEGAL_ENTITY_IDENTIFIER")</f>
        <v/>
      </c>
      <c r="F1653" t="inlineStr">
        <is>
          <t>Stryker Corp</t>
        </is>
      </c>
      <c r="G1653">
        <f>custodian!D1653</f>
        <v/>
      </c>
      <c r="H1653">
        <f>BDP($B1653,"ID_ISIN")</f>
        <v/>
      </c>
      <c r="I1653" s="1" t="inlineStr">
        <is>
          <t>SYK</t>
        </is>
      </c>
      <c r="J1653">
        <f>BDP($B1653,"CNTRY_OF_DOMICILE")</f>
        <v/>
      </c>
      <c r="K1653" t="inlineStr">
        <is>
          <t>EC</t>
        </is>
      </c>
      <c r="L1653" t="inlineStr">
        <is>
          <t>CORP</t>
        </is>
      </c>
      <c r="M1653" t="inlineStr"/>
      <c r="N1653" t="inlineStr"/>
      <c r="O1653" s="1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s="1" t="inlineStr"/>
      <c r="AR1653" s="1" t="inlineStr"/>
      <c r="AS1653" s="1" t="inlineStr"/>
      <c r="AT1653" t="inlineStr"/>
      <c r="AU1653" t="inlineStr"/>
      <c r="AV1653" t="inlineStr"/>
      <c r="AW1653" t="inlineStr"/>
      <c r="AX1653" t="inlineStr"/>
      <c r="AY1653" t="inlineStr"/>
    </row>
    <row r="1654">
      <c r="A1654" t="inlineStr">
        <is>
          <t>OWN</t>
        </is>
      </c>
      <c r="B1654" t="inlineStr">
        <is>
          <t>TDG US Equity</t>
        </is>
      </c>
      <c r="C1654" s="1" t="inlineStr">
        <is>
          <t>TDG</t>
        </is>
      </c>
      <c r="D1654" t="inlineStr">
        <is>
          <t>TransDigm Group Inc</t>
        </is>
      </c>
      <c r="E1654">
        <f>BDP($B1654,"LEGAL_ENTITY_IDENTIFIER")</f>
        <v/>
      </c>
      <c r="F1654" t="inlineStr">
        <is>
          <t>TransDigm Group Inc</t>
        </is>
      </c>
      <c r="G1654">
        <f>custodian!D1654</f>
        <v/>
      </c>
      <c r="H1654">
        <f>BDP($B1654,"ID_ISIN")</f>
        <v/>
      </c>
      <c r="I1654" s="1" t="inlineStr">
        <is>
          <t>TDG</t>
        </is>
      </c>
      <c r="J1654">
        <f>BDP($B1654,"CNTRY_OF_DOMICILE")</f>
        <v/>
      </c>
      <c r="K1654" t="inlineStr">
        <is>
          <t>EC</t>
        </is>
      </c>
      <c r="L1654" t="inlineStr">
        <is>
          <t>CORP</t>
        </is>
      </c>
      <c r="M1654" t="inlineStr"/>
      <c r="N1654" t="inlineStr"/>
      <c r="O1654" s="1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s="1" t="inlineStr"/>
      <c r="AR1654" s="1" t="inlineStr"/>
      <c r="AS1654" s="1" t="inlineStr"/>
      <c r="AT1654" t="inlineStr"/>
      <c r="AU1654" t="inlineStr"/>
      <c r="AV1654" t="inlineStr"/>
      <c r="AW1654" t="inlineStr"/>
      <c r="AX1654" t="inlineStr"/>
      <c r="AY1654" t="inlineStr"/>
    </row>
    <row r="1655">
      <c r="A1655" t="inlineStr">
        <is>
          <t>OWN</t>
        </is>
      </c>
      <c r="B1655" t="inlineStr">
        <is>
          <t>TKO US Equity</t>
        </is>
      </c>
      <c r="C1655" s="1" t="inlineStr">
        <is>
          <t>TKO</t>
        </is>
      </c>
      <c r="D1655" t="inlineStr">
        <is>
          <t>TKO Group Holdings Inc</t>
        </is>
      </c>
      <c r="E1655">
        <f>BDP($B1655,"LEGAL_ENTITY_IDENTIFIER")</f>
        <v/>
      </c>
      <c r="F1655" t="inlineStr">
        <is>
          <t>TKO Group Holdings Inc</t>
        </is>
      </c>
      <c r="G1655">
        <f>custodian!D1655</f>
        <v/>
      </c>
      <c r="H1655">
        <f>BDP($B1655,"ID_ISIN")</f>
        <v/>
      </c>
      <c r="I1655" s="1" t="inlineStr">
        <is>
          <t>TKO</t>
        </is>
      </c>
      <c r="J1655">
        <f>BDP($B1655,"CNTRY_OF_DOMICILE")</f>
        <v/>
      </c>
      <c r="K1655" t="inlineStr">
        <is>
          <t>EC</t>
        </is>
      </c>
      <c r="L1655" t="inlineStr">
        <is>
          <t>CORP</t>
        </is>
      </c>
      <c r="M1655" t="inlineStr"/>
      <c r="N1655" t="inlineStr"/>
      <c r="O1655" s="1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s="1" t="inlineStr"/>
      <c r="AR1655" s="1" t="inlineStr"/>
      <c r="AS1655" s="1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OWN</t>
        </is>
      </c>
      <c r="B1656" t="inlineStr">
        <is>
          <t>TPL US Equity</t>
        </is>
      </c>
      <c r="C1656" s="1" t="inlineStr">
        <is>
          <t>TPL</t>
        </is>
      </c>
      <c r="D1656" t="inlineStr">
        <is>
          <t>Texas Pacific Land Corp</t>
        </is>
      </c>
      <c r="E1656">
        <f>BDP($B1656,"LEGAL_ENTITY_IDENTIFIER")</f>
        <v/>
      </c>
      <c r="F1656" t="inlineStr">
        <is>
          <t>Texas Pacific Land Corp</t>
        </is>
      </c>
      <c r="G1656">
        <f>custodian!D1656</f>
        <v/>
      </c>
      <c r="H1656">
        <f>BDP($B1656,"ID_ISIN")</f>
        <v/>
      </c>
      <c r="I1656" s="1" t="inlineStr">
        <is>
          <t>TPL</t>
        </is>
      </c>
      <c r="J1656">
        <f>BDP($B1656,"CNTRY_OF_DOMICILE")</f>
        <v/>
      </c>
      <c r="K1656" t="inlineStr">
        <is>
          <t>EC</t>
        </is>
      </c>
      <c r="L1656" t="inlineStr">
        <is>
          <t>CORP</t>
        </is>
      </c>
      <c r="M1656" t="inlineStr"/>
      <c r="N1656" t="inlineStr"/>
      <c r="O1656" s="1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s="1" t="inlineStr"/>
      <c r="AR1656" s="1" t="inlineStr"/>
      <c r="AS1656" s="1" t="inlineStr"/>
      <c r="AT1656" t="inlineStr"/>
      <c r="AU1656" t="inlineStr"/>
      <c r="AV1656" t="inlineStr"/>
      <c r="AW1656" t="inlineStr"/>
      <c r="AX1656" t="inlineStr"/>
      <c r="AY1656" t="inlineStr"/>
    </row>
    <row r="1657">
      <c r="A1657" t="inlineStr">
        <is>
          <t>OWN</t>
        </is>
      </c>
      <c r="B1657" t="inlineStr">
        <is>
          <t>TSLA US Equity</t>
        </is>
      </c>
      <c r="C1657" s="1" t="inlineStr">
        <is>
          <t>TSLA</t>
        </is>
      </c>
      <c r="D1657" t="inlineStr">
        <is>
          <t>Tesla Inc</t>
        </is>
      </c>
      <c r="E1657">
        <f>BDP($B1657,"LEGAL_ENTITY_IDENTIFIER")</f>
        <v/>
      </c>
      <c r="F1657" t="inlineStr">
        <is>
          <t>Tesla Inc</t>
        </is>
      </c>
      <c r="G1657">
        <f>custodian!D1657</f>
        <v/>
      </c>
      <c r="H1657">
        <f>BDP($B1657,"ID_ISIN")</f>
        <v/>
      </c>
      <c r="I1657" s="1" t="inlineStr">
        <is>
          <t>TSLA</t>
        </is>
      </c>
      <c r="J1657">
        <f>BDP($B1657,"CNTRY_OF_DOMICILE")</f>
        <v/>
      </c>
      <c r="K1657" t="inlineStr">
        <is>
          <t>EC</t>
        </is>
      </c>
      <c r="L1657" t="inlineStr">
        <is>
          <t>CORP</t>
        </is>
      </c>
      <c r="M1657" t="inlineStr"/>
      <c r="N1657" t="inlineStr"/>
      <c r="O1657" s="1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s="1" t="inlineStr"/>
      <c r="AR1657" s="1" t="inlineStr"/>
      <c r="AS1657" s="1" t="inlineStr"/>
      <c r="AT1657" t="inlineStr"/>
      <c r="AU1657" t="inlineStr"/>
      <c r="AV1657" t="inlineStr"/>
      <c r="AW1657" t="inlineStr"/>
      <c r="AX1657" t="inlineStr"/>
      <c r="AY1657" t="inlineStr"/>
    </row>
    <row r="1658">
      <c r="A1658" t="inlineStr">
        <is>
          <t>OWN</t>
        </is>
      </c>
      <c r="B1658" t="inlineStr">
        <is>
          <t>TXN US Equity</t>
        </is>
      </c>
      <c r="C1658" s="1" t="inlineStr">
        <is>
          <t>TXN</t>
        </is>
      </c>
      <c r="D1658" t="inlineStr">
        <is>
          <t>Texas Instruments Inc</t>
        </is>
      </c>
      <c r="E1658">
        <f>BDP($B1658,"LEGAL_ENTITY_IDENTIFIER")</f>
        <v/>
      </c>
      <c r="F1658" t="inlineStr">
        <is>
          <t>Texas Instruments Inc</t>
        </is>
      </c>
      <c r="G1658">
        <f>custodian!D1658</f>
        <v/>
      </c>
      <c r="H1658">
        <f>BDP($B1658,"ID_ISIN")</f>
        <v/>
      </c>
      <c r="I1658" s="1" t="inlineStr">
        <is>
          <t>TXN</t>
        </is>
      </c>
      <c r="J1658">
        <f>BDP($B1658,"CNTRY_OF_DOMICILE")</f>
        <v/>
      </c>
      <c r="K1658" t="inlineStr">
        <is>
          <t>EC</t>
        </is>
      </c>
      <c r="L1658" t="inlineStr">
        <is>
          <t>CORP</t>
        </is>
      </c>
      <c r="M1658" t="inlineStr"/>
      <c r="N1658" t="inlineStr"/>
      <c r="O1658" s="1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s="1" t="inlineStr"/>
      <c r="AR1658" s="1" t="inlineStr"/>
      <c r="AS1658" s="1" t="inlineStr"/>
      <c r="AT1658" t="inlineStr"/>
      <c r="AU1658" t="inlineStr"/>
      <c r="AV1658" t="inlineStr"/>
      <c r="AW1658" t="inlineStr"/>
      <c r="AX1658" t="inlineStr"/>
      <c r="AY1658" t="inlineStr"/>
    </row>
    <row r="1659">
      <c r="A1659" t="inlineStr">
        <is>
          <t>OWN</t>
        </is>
      </c>
      <c r="B1659" t="inlineStr">
        <is>
          <t>UBER US Equity</t>
        </is>
      </c>
      <c r="C1659" s="1" t="inlineStr">
        <is>
          <t>UBER</t>
        </is>
      </c>
      <c r="D1659" t="inlineStr">
        <is>
          <t>Uber Technologies Inc</t>
        </is>
      </c>
      <c r="E1659">
        <f>BDP($B1659,"LEGAL_ENTITY_IDENTIFIER")</f>
        <v/>
      </c>
      <c r="F1659" t="inlineStr">
        <is>
          <t>Uber Technologies Inc</t>
        </is>
      </c>
      <c r="G1659">
        <f>custodian!D1659</f>
        <v/>
      </c>
      <c r="H1659">
        <f>BDP($B1659,"ID_ISIN")</f>
        <v/>
      </c>
      <c r="I1659" s="1" t="inlineStr">
        <is>
          <t>UBER</t>
        </is>
      </c>
      <c r="J1659">
        <f>BDP($B1659,"CNTRY_OF_DOMICILE")</f>
        <v/>
      </c>
      <c r="K1659" t="inlineStr">
        <is>
          <t>EC</t>
        </is>
      </c>
      <c r="L1659" t="inlineStr">
        <is>
          <t>CORP</t>
        </is>
      </c>
      <c r="M1659" t="inlineStr"/>
      <c r="N1659" t="inlineStr"/>
      <c r="O1659" s="1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s="1" t="inlineStr"/>
      <c r="AR1659" s="1" t="inlineStr"/>
      <c r="AS1659" s="1" t="inlineStr"/>
      <c r="AT1659" t="inlineStr"/>
      <c r="AU1659" t="inlineStr"/>
      <c r="AV1659" t="inlineStr"/>
      <c r="AW1659" t="inlineStr"/>
      <c r="AX1659" t="inlineStr"/>
      <c r="AY1659" t="inlineStr"/>
    </row>
    <row r="1660">
      <c r="A1660" t="inlineStr">
        <is>
          <t>OWN</t>
        </is>
      </c>
      <c r="B1660" t="inlineStr">
        <is>
          <t>VEEV US Equity</t>
        </is>
      </c>
      <c r="C1660" s="1" t="inlineStr">
        <is>
          <t>VEEV</t>
        </is>
      </c>
      <c r="D1660" t="inlineStr">
        <is>
          <t>Veeva Systems Inc</t>
        </is>
      </c>
      <c r="E1660">
        <f>BDP($B1660,"LEGAL_ENTITY_IDENTIFIER")</f>
        <v/>
      </c>
      <c r="F1660" t="inlineStr">
        <is>
          <t>Veeva Systems Inc</t>
        </is>
      </c>
      <c r="G1660">
        <f>custodian!D1660</f>
        <v/>
      </c>
      <c r="H1660">
        <f>BDP($B1660,"ID_ISIN")</f>
        <v/>
      </c>
      <c r="I1660" s="1" t="inlineStr">
        <is>
          <t>VEEV</t>
        </is>
      </c>
      <c r="J1660">
        <f>BDP($B1660,"CNTRY_OF_DOMICILE")</f>
        <v/>
      </c>
      <c r="K1660" t="inlineStr">
        <is>
          <t>EC</t>
        </is>
      </c>
      <c r="L1660" t="inlineStr">
        <is>
          <t>CORP</t>
        </is>
      </c>
      <c r="M1660" t="inlineStr"/>
      <c r="N1660" t="inlineStr"/>
      <c r="O1660" s="1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s="1" t="inlineStr"/>
      <c r="AR1660" s="1" t="inlineStr"/>
      <c r="AS1660" s="1" t="inlineStr"/>
      <c r="AT1660" t="inlineStr"/>
      <c r="AU1660" t="inlineStr"/>
      <c r="AV1660" t="inlineStr"/>
      <c r="AW1660" t="inlineStr"/>
      <c r="AX1660" t="inlineStr"/>
      <c r="AY1660" t="inlineStr"/>
    </row>
    <row r="1661">
      <c r="A1661" t="inlineStr">
        <is>
          <t>OWN</t>
        </is>
      </c>
      <c r="B1661" t="inlineStr">
        <is>
          <t>VRT US Equity</t>
        </is>
      </c>
      <c r="C1661" s="1" t="inlineStr">
        <is>
          <t>VRT</t>
        </is>
      </c>
      <c r="D1661" t="inlineStr">
        <is>
          <t>Vertiv Holdings Co</t>
        </is>
      </c>
      <c r="E1661">
        <f>BDP($B1661,"LEGAL_ENTITY_IDENTIFIER")</f>
        <v/>
      </c>
      <c r="F1661" t="inlineStr">
        <is>
          <t>Vertiv Holdings Co</t>
        </is>
      </c>
      <c r="G1661">
        <f>custodian!D1661</f>
        <v/>
      </c>
      <c r="H1661">
        <f>BDP($B1661,"ID_ISIN")</f>
        <v/>
      </c>
      <c r="I1661" s="1" t="inlineStr">
        <is>
          <t>VRT</t>
        </is>
      </c>
      <c r="J1661">
        <f>BDP($B1661,"CNTRY_OF_DOMICILE")</f>
        <v/>
      </c>
      <c r="K1661" t="inlineStr">
        <is>
          <t>EC</t>
        </is>
      </c>
      <c r="L1661" t="inlineStr">
        <is>
          <t>CORP</t>
        </is>
      </c>
      <c r="M1661" t="inlineStr"/>
      <c r="N1661" t="inlineStr"/>
      <c r="O1661" s="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s="1" t="inlineStr"/>
      <c r="AR1661" s="1" t="inlineStr"/>
      <c r="AS1661" s="1" t="inlineStr"/>
      <c r="AT1661" t="inlineStr"/>
      <c r="AU1661" t="inlineStr"/>
      <c r="AV1661" t="inlineStr"/>
      <c r="AW1661" t="inlineStr"/>
      <c r="AX1661" t="inlineStr"/>
      <c r="AY1661" t="inlineStr"/>
    </row>
    <row r="1662">
      <c r="A1662" t="inlineStr">
        <is>
          <t>OWN</t>
        </is>
      </c>
      <c r="B1662" t="inlineStr">
        <is>
          <t>WDAY US Equity</t>
        </is>
      </c>
      <c r="C1662" s="1" t="inlineStr">
        <is>
          <t>WDAY</t>
        </is>
      </c>
      <c r="D1662" t="inlineStr">
        <is>
          <t>Workday Inc</t>
        </is>
      </c>
      <c r="E1662">
        <f>BDP($B1662,"LEGAL_ENTITY_IDENTIFIER")</f>
        <v/>
      </c>
      <c r="F1662" t="inlineStr">
        <is>
          <t>Workday Inc</t>
        </is>
      </c>
      <c r="G1662">
        <f>custodian!D1662</f>
        <v/>
      </c>
      <c r="H1662">
        <f>BDP($B1662,"ID_ISIN")</f>
        <v/>
      </c>
      <c r="I1662" s="1" t="inlineStr">
        <is>
          <t>WDAY</t>
        </is>
      </c>
      <c r="J1662">
        <f>BDP($B1662,"CNTRY_OF_DOMICILE")</f>
        <v/>
      </c>
      <c r="K1662" t="inlineStr">
        <is>
          <t>EC</t>
        </is>
      </c>
      <c r="L1662" t="inlineStr">
        <is>
          <t>CORP</t>
        </is>
      </c>
      <c r="M1662" t="inlineStr"/>
      <c r="N1662" t="inlineStr"/>
      <c r="O1662" s="1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s="1" t="inlineStr"/>
      <c r="AR1662" s="1" t="inlineStr"/>
      <c r="AS1662" s="1" t="inlineStr"/>
      <c r="AT1662" t="inlineStr"/>
      <c r="AU1662" t="inlineStr"/>
      <c r="AV1662" t="inlineStr"/>
      <c r="AW1662" t="inlineStr"/>
      <c r="AX1662" t="inlineStr"/>
      <c r="AY1662" t="inlineStr"/>
    </row>
    <row r="1663">
      <c r="A1663" t="inlineStr">
        <is>
          <t>OWN</t>
        </is>
      </c>
      <c r="B1663" t="inlineStr">
        <is>
          <t>WRB US Equity</t>
        </is>
      </c>
      <c r="C1663" s="1" t="inlineStr">
        <is>
          <t>WRB</t>
        </is>
      </c>
      <c r="D1663" t="inlineStr">
        <is>
          <t>W R Berkley Corp</t>
        </is>
      </c>
      <c r="E1663">
        <f>BDP($B1663,"LEGAL_ENTITY_IDENTIFIER")</f>
        <v/>
      </c>
      <c r="F1663" t="inlineStr">
        <is>
          <t>W R Berkley Corp</t>
        </is>
      </c>
      <c r="G1663">
        <f>custodian!D1663</f>
        <v/>
      </c>
      <c r="H1663">
        <f>BDP($B1663,"ID_ISIN")</f>
        <v/>
      </c>
      <c r="I1663" s="1" t="inlineStr">
        <is>
          <t>WRB</t>
        </is>
      </c>
      <c r="J1663">
        <f>BDP($B1663,"CNTRY_OF_DOMICILE")</f>
        <v/>
      </c>
      <c r="K1663" t="inlineStr">
        <is>
          <t>EC</t>
        </is>
      </c>
      <c r="L1663" t="inlineStr">
        <is>
          <t>CORP</t>
        </is>
      </c>
      <c r="M1663" t="inlineStr"/>
      <c r="N1663" t="inlineStr"/>
      <c r="O1663" s="1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s="1" t="inlineStr"/>
      <c r="AR1663" s="1" t="inlineStr"/>
      <c r="AS1663" s="1" t="inlineStr"/>
      <c r="AT1663" t="inlineStr"/>
      <c r="AU1663" t="inlineStr"/>
      <c r="AV1663" t="inlineStr"/>
      <c r="AW1663" t="inlineStr"/>
      <c r="AX1663" t="inlineStr"/>
      <c r="AY1663" t="inlineStr"/>
    </row>
    <row r="1664">
      <c r="A1664" t="inlineStr">
        <is>
          <t>OWN</t>
        </is>
      </c>
      <c r="B1664" t="inlineStr">
        <is>
          <t>XYZ US Equity</t>
        </is>
      </c>
      <c r="C1664" s="1" t="inlineStr">
        <is>
          <t>XYZ</t>
        </is>
      </c>
      <c r="D1664" t="inlineStr">
        <is>
          <t>Block Inc</t>
        </is>
      </c>
      <c r="E1664">
        <f>BDP($B1664,"LEGAL_ENTITY_IDENTIFIER")</f>
        <v/>
      </c>
      <c r="F1664" t="inlineStr">
        <is>
          <t>Block Inc</t>
        </is>
      </c>
      <c r="G1664">
        <f>custodian!D1664</f>
        <v/>
      </c>
      <c r="H1664">
        <f>BDP($B1664,"ID_ISIN")</f>
        <v/>
      </c>
      <c r="I1664" s="1" t="inlineStr">
        <is>
          <t>XYZ</t>
        </is>
      </c>
      <c r="J1664">
        <f>BDP($B1664,"CNTRY_OF_DOMICILE")</f>
        <v/>
      </c>
      <c r="K1664" t="inlineStr">
        <is>
          <t>EC</t>
        </is>
      </c>
      <c r="L1664" t="inlineStr">
        <is>
          <t>CORP</t>
        </is>
      </c>
      <c r="M1664" t="inlineStr"/>
      <c r="N1664" t="inlineStr"/>
      <c r="O1664" s="1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s="1" t="inlineStr"/>
      <c r="AR1664" s="1" t="inlineStr"/>
      <c r="AS1664" s="1" t="inlineStr"/>
      <c r="AT1664" t="inlineStr"/>
      <c r="AU1664" t="inlineStr"/>
      <c r="AV1664" t="inlineStr"/>
      <c r="AW1664" t="inlineStr"/>
      <c r="AX1664" t="inlineStr"/>
      <c r="AY1664" t="inlineStr"/>
    </row>
    <row r="1665">
      <c r="A1665" t="inlineStr">
        <is>
          <t>OWN</t>
        </is>
      </c>
      <c r="B1665" t="inlineStr"/>
      <c r="C1665" s="1" t="inlineStr">
        <is>
          <t>Cash&amp;Other</t>
        </is>
      </c>
      <c r="D1665" t="inlineStr"/>
      <c r="E1665" s="1" t="inlineStr"/>
      <c r="F1665" t="inlineStr"/>
      <c r="G1665">
        <f>custodian!D1665</f>
        <v/>
      </c>
      <c r="H1665" s="1" t="inlineStr"/>
      <c r="I1665" s="1" t="inlineStr"/>
      <c r="J1665" t="inlineStr"/>
      <c r="K1665" t="inlineStr"/>
      <c r="L1665" t="inlineStr"/>
      <c r="M1665" t="inlineStr"/>
      <c r="N1665" t="inlineStr"/>
      <c r="O1665" s="1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s="1" t="inlineStr"/>
      <c r="AR1665" s="1" t="inlineStr"/>
      <c r="AS1665" s="1" t="inlineStr"/>
      <c r="AT1665" t="inlineStr"/>
      <c r="AU1665" t="inlineStr"/>
      <c r="AV1665" t="inlineStr"/>
      <c r="AW1665" t="inlineStr"/>
      <c r="AX1665" t="inlineStr"/>
      <c r="AY1665" t="inlineStr"/>
    </row>
    <row r="1666">
      <c r="A1666" t="inlineStr">
        <is>
          <t>PTNT</t>
        </is>
      </c>
      <c r="B1666" t="inlineStr">
        <is>
          <t>ACTG US Equity</t>
        </is>
      </c>
      <c r="C1666" s="1" t="inlineStr">
        <is>
          <t>ACTG</t>
        </is>
      </c>
      <c r="D1666" t="inlineStr">
        <is>
          <t>Acacia Research Corp</t>
        </is>
      </c>
      <c r="E1666">
        <f>BDP($B1666,"LEGAL_ENTITY_IDENTIFIER")</f>
        <v/>
      </c>
      <c r="F1666" t="inlineStr">
        <is>
          <t>Acacia Research Corp</t>
        </is>
      </c>
      <c r="G1666">
        <f>custodian!D1666</f>
        <v/>
      </c>
      <c r="H1666">
        <f>BDP($B1666,"ID_ISIN")</f>
        <v/>
      </c>
      <c r="I1666" s="1" t="inlineStr">
        <is>
          <t>ACTG</t>
        </is>
      </c>
      <c r="J1666">
        <f>BDP($B1666,"CNTRY_OF_DOMICILE")</f>
        <v/>
      </c>
      <c r="K1666" t="inlineStr">
        <is>
          <t>EC</t>
        </is>
      </c>
      <c r="L1666" t="inlineStr">
        <is>
          <t>CORP</t>
        </is>
      </c>
      <c r="M1666" t="inlineStr"/>
      <c r="N1666" t="inlineStr"/>
      <c r="O1666" s="1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s="1" t="inlineStr"/>
      <c r="AR1666" s="1" t="inlineStr"/>
      <c r="AS1666" s="1" t="inlineStr"/>
      <c r="AT1666" t="inlineStr"/>
      <c r="AU1666" t="inlineStr"/>
      <c r="AV1666" t="inlineStr"/>
      <c r="AW1666" t="inlineStr"/>
      <c r="AX1666" t="inlineStr"/>
      <c r="AY1666" t="inlineStr"/>
    </row>
    <row r="1667">
      <c r="A1667" t="inlineStr">
        <is>
          <t>PTNT</t>
        </is>
      </c>
      <c r="B1667" t="inlineStr">
        <is>
          <t>ADEA US Equity</t>
        </is>
      </c>
      <c r="C1667" s="1" t="inlineStr">
        <is>
          <t>ADEA</t>
        </is>
      </c>
      <c r="D1667" t="inlineStr">
        <is>
          <t>Adeia Inc</t>
        </is>
      </c>
      <c r="E1667">
        <f>BDP($B1667,"LEGAL_ENTITY_IDENTIFIER")</f>
        <v/>
      </c>
      <c r="F1667" t="inlineStr">
        <is>
          <t>Adeia Inc</t>
        </is>
      </c>
      <c r="G1667">
        <f>custodian!D1667</f>
        <v/>
      </c>
      <c r="H1667">
        <f>BDP($B1667,"ID_ISIN")</f>
        <v/>
      </c>
      <c r="I1667" s="1" t="inlineStr">
        <is>
          <t>ADEA</t>
        </is>
      </c>
      <c r="J1667">
        <f>BDP($B1667,"CNTRY_OF_DOMICILE")</f>
        <v/>
      </c>
      <c r="K1667" t="inlineStr">
        <is>
          <t>EC</t>
        </is>
      </c>
      <c r="L1667" t="inlineStr">
        <is>
          <t>CORP</t>
        </is>
      </c>
      <c r="M1667" t="inlineStr"/>
      <c r="N1667" t="inlineStr"/>
      <c r="O1667" s="1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s="1" t="inlineStr"/>
      <c r="AR1667" s="1" t="inlineStr"/>
      <c r="AS1667" s="1" t="inlineStr"/>
      <c r="AT1667" t="inlineStr"/>
      <c r="AU1667" t="inlineStr"/>
      <c r="AV1667" t="inlineStr"/>
      <c r="AW1667" t="inlineStr"/>
      <c r="AX1667" t="inlineStr"/>
      <c r="AY1667" t="inlineStr"/>
    </row>
    <row r="1668">
      <c r="A1668" t="inlineStr">
        <is>
          <t>PTNT</t>
        </is>
      </c>
      <c r="B1668" t="inlineStr">
        <is>
          <t>ARM US Equity</t>
        </is>
      </c>
      <c r="C1668" s="1" t="inlineStr">
        <is>
          <t>ARM</t>
        </is>
      </c>
      <c r="D1668" t="inlineStr">
        <is>
          <t>ARM Holdings PLC</t>
        </is>
      </c>
      <c r="E1668">
        <f>BDP($B1668,"LEGAL_ENTITY_IDENTIFIER")</f>
        <v/>
      </c>
      <c r="F1668" t="inlineStr">
        <is>
          <t>ARM Holdings PLC</t>
        </is>
      </c>
      <c r="G1668">
        <f>custodian!D1668</f>
        <v/>
      </c>
      <c r="H1668">
        <f>BDP($B1668,"ID_ISIN")</f>
        <v/>
      </c>
      <c r="I1668" s="1" t="inlineStr">
        <is>
          <t>ARM</t>
        </is>
      </c>
      <c r="J1668">
        <f>BDP($B1668,"CNTRY_OF_DOMICILE")</f>
        <v/>
      </c>
      <c r="K1668" t="inlineStr">
        <is>
          <t>EC</t>
        </is>
      </c>
      <c r="L1668" t="inlineStr">
        <is>
          <t>CORP</t>
        </is>
      </c>
      <c r="M1668" t="inlineStr"/>
      <c r="N1668" t="inlineStr"/>
      <c r="O1668" s="1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s="1" t="inlineStr"/>
      <c r="AR1668" s="1" t="inlineStr"/>
      <c r="AS1668" s="1" t="inlineStr"/>
      <c r="AT1668" t="inlineStr"/>
      <c r="AU1668" t="inlineStr"/>
      <c r="AV1668" t="inlineStr"/>
      <c r="AW1668" t="inlineStr"/>
      <c r="AX1668" t="inlineStr"/>
      <c r="AY1668" t="inlineStr"/>
    </row>
    <row r="1669">
      <c r="A1669" t="inlineStr">
        <is>
          <t>PTNT</t>
        </is>
      </c>
      <c r="B1669" t="inlineStr">
        <is>
          <t>CDNS US Equity</t>
        </is>
      </c>
      <c r="C1669" s="1" t="inlineStr">
        <is>
          <t>CDNS</t>
        </is>
      </c>
      <c r="D1669" t="inlineStr">
        <is>
          <t>Cadence Design Systems Inc</t>
        </is>
      </c>
      <c r="E1669">
        <f>BDP($B1669,"LEGAL_ENTITY_IDENTIFIER")</f>
        <v/>
      </c>
      <c r="F1669" t="inlineStr">
        <is>
          <t>Cadence Design Systems Inc</t>
        </is>
      </c>
      <c r="G1669">
        <f>custodian!D1669</f>
        <v/>
      </c>
      <c r="H1669">
        <f>BDP($B1669,"ID_ISIN")</f>
        <v/>
      </c>
      <c r="I1669" s="1" t="inlineStr">
        <is>
          <t>CDNS</t>
        </is>
      </c>
      <c r="J1669">
        <f>BDP($B1669,"CNTRY_OF_DOMICILE")</f>
        <v/>
      </c>
      <c r="K1669" t="inlineStr">
        <is>
          <t>EC</t>
        </is>
      </c>
      <c r="L1669" t="inlineStr">
        <is>
          <t>CORP</t>
        </is>
      </c>
      <c r="M1669" t="inlineStr"/>
      <c r="N1669" t="inlineStr"/>
      <c r="O1669" s="1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s="1" t="inlineStr"/>
      <c r="AR1669" s="1" t="inlineStr"/>
      <c r="AS1669" s="1" t="inlineStr"/>
      <c r="AT1669" t="inlineStr"/>
      <c r="AU1669" t="inlineStr"/>
      <c r="AV1669" t="inlineStr"/>
      <c r="AW1669" t="inlineStr"/>
      <c r="AX1669" t="inlineStr"/>
      <c r="AY1669" t="inlineStr"/>
    </row>
    <row r="1670">
      <c r="A1670" t="inlineStr">
        <is>
          <t>PTNT</t>
        </is>
      </c>
      <c r="B1670" t="inlineStr">
        <is>
          <t>CEVA US Equity</t>
        </is>
      </c>
      <c r="C1670" s="1" t="inlineStr">
        <is>
          <t>CEVA</t>
        </is>
      </c>
      <c r="D1670" t="inlineStr">
        <is>
          <t>CEVA Inc</t>
        </is>
      </c>
      <c r="E1670">
        <f>BDP($B1670,"LEGAL_ENTITY_IDENTIFIER")</f>
        <v/>
      </c>
      <c r="F1670" t="inlineStr">
        <is>
          <t>CEVA Inc</t>
        </is>
      </c>
      <c r="G1670">
        <f>custodian!D1670</f>
        <v/>
      </c>
      <c r="H1670">
        <f>BDP($B1670,"ID_ISIN")</f>
        <v/>
      </c>
      <c r="I1670" s="1" t="inlineStr">
        <is>
          <t>CEVA</t>
        </is>
      </c>
      <c r="J1670">
        <f>BDP($B1670,"CNTRY_OF_DOMICILE")</f>
        <v/>
      </c>
      <c r="K1670" t="inlineStr">
        <is>
          <t>EC</t>
        </is>
      </c>
      <c r="L1670" t="inlineStr">
        <is>
          <t>CORP</t>
        </is>
      </c>
      <c r="M1670" t="inlineStr"/>
      <c r="N1670" t="inlineStr"/>
      <c r="O1670" s="1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s="1" t="inlineStr"/>
      <c r="AR1670" s="1" t="inlineStr"/>
      <c r="AS1670" s="1" t="inlineStr"/>
      <c r="AT1670" t="inlineStr"/>
      <c r="AU1670" t="inlineStr"/>
      <c r="AV1670" t="inlineStr"/>
      <c r="AW1670" t="inlineStr"/>
      <c r="AX1670" t="inlineStr"/>
      <c r="AY1670" t="inlineStr"/>
    </row>
    <row r="1671">
      <c r="A1671" t="inlineStr">
        <is>
          <t>PTNT</t>
        </is>
      </c>
      <c r="B1671" t="inlineStr">
        <is>
          <t>DIS US Equity</t>
        </is>
      </c>
      <c r="C1671" s="1" t="inlineStr">
        <is>
          <t>DIS</t>
        </is>
      </c>
      <c r="D1671" t="inlineStr">
        <is>
          <t>Walt Disney Co/The</t>
        </is>
      </c>
      <c r="E1671">
        <f>BDP($B1671,"LEGAL_ENTITY_IDENTIFIER")</f>
        <v/>
      </c>
      <c r="F1671" t="inlineStr">
        <is>
          <t>Walt Disney Co/The</t>
        </is>
      </c>
      <c r="G1671">
        <f>custodian!D1671</f>
        <v/>
      </c>
      <c r="H1671">
        <f>BDP($B1671,"ID_ISIN")</f>
        <v/>
      </c>
      <c r="I1671" s="1" t="inlineStr">
        <is>
          <t>DIS</t>
        </is>
      </c>
      <c r="J1671">
        <f>BDP($B1671,"CNTRY_OF_DOMICILE")</f>
        <v/>
      </c>
      <c r="K1671" t="inlineStr">
        <is>
          <t>EC</t>
        </is>
      </c>
      <c r="L1671" t="inlineStr">
        <is>
          <t>CORP</t>
        </is>
      </c>
      <c r="M1671" t="inlineStr"/>
      <c r="N1671" t="inlineStr"/>
      <c r="O1671" s="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s="1" t="inlineStr"/>
      <c r="AR1671" s="1" t="inlineStr"/>
      <c r="AS1671" s="1" t="inlineStr"/>
      <c r="AT1671" t="inlineStr"/>
      <c r="AU1671" t="inlineStr"/>
      <c r="AV1671" t="inlineStr"/>
      <c r="AW1671" t="inlineStr"/>
      <c r="AX1671" t="inlineStr"/>
      <c r="AY1671" t="inlineStr"/>
    </row>
    <row r="1672">
      <c r="A1672" t="inlineStr">
        <is>
          <t>PTNT</t>
        </is>
      </c>
      <c r="B1672" t="inlineStr">
        <is>
          <t>DLB US Equity</t>
        </is>
      </c>
      <c r="C1672" s="1" t="inlineStr">
        <is>
          <t>DLB</t>
        </is>
      </c>
      <c r="D1672" t="inlineStr">
        <is>
          <t>Dolby Laboratories Inc</t>
        </is>
      </c>
      <c r="E1672">
        <f>BDP($B1672,"LEGAL_ENTITY_IDENTIFIER")</f>
        <v/>
      </c>
      <c r="F1672" t="inlineStr">
        <is>
          <t>Dolby Laboratories Inc</t>
        </is>
      </c>
      <c r="G1672">
        <f>custodian!D1672</f>
        <v/>
      </c>
      <c r="H1672">
        <f>BDP($B1672,"ID_ISIN")</f>
        <v/>
      </c>
      <c r="I1672" s="1" t="inlineStr">
        <is>
          <t>DLB</t>
        </is>
      </c>
      <c r="J1672">
        <f>BDP($B1672,"CNTRY_OF_DOMICILE")</f>
        <v/>
      </c>
      <c r="K1672" t="inlineStr">
        <is>
          <t>EC</t>
        </is>
      </c>
      <c r="L1672" t="inlineStr">
        <is>
          <t>CORP</t>
        </is>
      </c>
      <c r="M1672" t="inlineStr"/>
      <c r="N1672" t="inlineStr"/>
      <c r="O1672" s="1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s="1" t="inlineStr"/>
      <c r="AR1672" s="1" t="inlineStr"/>
      <c r="AS1672" s="1" t="inlineStr"/>
      <c r="AT1672" t="inlineStr"/>
      <c r="AU1672" t="inlineStr"/>
      <c r="AV1672" t="inlineStr"/>
      <c r="AW1672" t="inlineStr"/>
      <c r="AX1672" t="inlineStr"/>
      <c r="AY1672" t="inlineStr"/>
    </row>
    <row r="1673">
      <c r="A1673" t="inlineStr">
        <is>
          <t>PTNT</t>
        </is>
      </c>
      <c r="B1673" t="inlineStr">
        <is>
          <t>DPZ US Equity</t>
        </is>
      </c>
      <c r="C1673" s="1" t="inlineStr">
        <is>
          <t>DPZ</t>
        </is>
      </c>
      <c r="D1673" t="inlineStr">
        <is>
          <t>Domino's Pizza Inc</t>
        </is>
      </c>
      <c r="E1673">
        <f>BDP($B1673,"LEGAL_ENTITY_IDENTIFIER")</f>
        <v/>
      </c>
      <c r="F1673" t="inlineStr">
        <is>
          <t>Domino's Pizza Inc</t>
        </is>
      </c>
      <c r="G1673">
        <f>custodian!D1673</f>
        <v/>
      </c>
      <c r="H1673">
        <f>BDP($B1673,"ID_ISIN")</f>
        <v/>
      </c>
      <c r="I1673" s="1" t="inlineStr">
        <is>
          <t>DPZ</t>
        </is>
      </c>
      <c r="J1673">
        <f>BDP($B1673,"CNTRY_OF_DOMICILE")</f>
        <v/>
      </c>
      <c r="K1673" t="inlineStr">
        <is>
          <t>EC</t>
        </is>
      </c>
      <c r="L1673" t="inlineStr">
        <is>
          <t>CORP</t>
        </is>
      </c>
      <c r="M1673" t="inlineStr"/>
      <c r="N1673" t="inlineStr"/>
      <c r="O1673" s="1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s="1" t="inlineStr"/>
      <c r="AR1673" s="1" t="inlineStr"/>
      <c r="AS1673" s="1" t="inlineStr"/>
      <c r="AT1673" t="inlineStr"/>
      <c r="AU1673" t="inlineStr"/>
      <c r="AV1673" t="inlineStr"/>
      <c r="AW1673" t="inlineStr"/>
      <c r="AX1673" t="inlineStr"/>
      <c r="AY1673" t="inlineStr"/>
    </row>
    <row r="1674">
      <c r="A1674" t="inlineStr">
        <is>
          <t>PTNT</t>
        </is>
      </c>
      <c r="B1674" t="inlineStr">
        <is>
          <t>FGXXX US Equity</t>
        </is>
      </c>
      <c r="C1674" s="1" t="inlineStr">
        <is>
          <t>FGXXX</t>
        </is>
      </c>
      <c r="D1674" t="inlineStr">
        <is>
          <t>First American Government Obli</t>
        </is>
      </c>
      <c r="E1674">
        <f>BDP($B1674,"LEGAL_ENTITY_IDENTIFIER")</f>
        <v/>
      </c>
      <c r="F1674" t="inlineStr">
        <is>
          <t>First American Government Obligations Fund</t>
        </is>
      </c>
      <c r="G1674">
        <f>custodian!D1674</f>
        <v/>
      </c>
      <c r="H1674">
        <f>BDP($B1674,"ID_ISIN")</f>
        <v/>
      </c>
      <c r="I1674" s="1" t="inlineStr">
        <is>
          <t>FGXXX</t>
        </is>
      </c>
      <c r="J1674">
        <f>BDP($B1674,"CNTRY_OF_DOMICILE")</f>
        <v/>
      </c>
      <c r="K1674" t="inlineStr">
        <is>
          <t>STIV</t>
        </is>
      </c>
      <c r="L1674" t="inlineStr">
        <is>
          <t>RF</t>
        </is>
      </c>
      <c r="M1674" t="inlineStr"/>
      <c r="N1674" t="inlineStr"/>
      <c r="O1674" s="1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s="1" t="inlineStr"/>
      <c r="AR1674" s="1" t="inlineStr"/>
      <c r="AS1674" s="1" t="inlineStr"/>
      <c r="AT1674" t="inlineStr"/>
      <c r="AU1674" t="inlineStr"/>
      <c r="AV1674" t="inlineStr"/>
      <c r="AW1674" t="inlineStr"/>
      <c r="AX1674" t="inlineStr"/>
      <c r="AY1674" t="inlineStr"/>
    </row>
    <row r="1675">
      <c r="A1675" t="inlineStr">
        <is>
          <t>PTNT</t>
        </is>
      </c>
      <c r="B1675" t="inlineStr">
        <is>
          <t>FWONK US Equity</t>
        </is>
      </c>
      <c r="C1675" s="1" t="inlineStr">
        <is>
          <t>FWONK</t>
        </is>
      </c>
      <c r="D1675" t="inlineStr">
        <is>
          <t>Liberty Media Corp-Liberty For</t>
        </is>
      </c>
      <c r="E1675">
        <f>BDP($B1675,"LEGAL_ENTITY_IDENTIFIER")</f>
        <v/>
      </c>
      <c r="F1675" t="inlineStr">
        <is>
          <t>Liberty Media Corp-Liberty Formula One</t>
        </is>
      </c>
      <c r="G1675">
        <f>custodian!D1675</f>
        <v/>
      </c>
      <c r="H1675">
        <f>BDP($B1675,"ID_ISIN")</f>
        <v/>
      </c>
      <c r="I1675" s="1" t="inlineStr">
        <is>
          <t>FWONK</t>
        </is>
      </c>
      <c r="J1675">
        <f>BDP($B1675,"CNTRY_OF_DOMICILE")</f>
        <v/>
      </c>
      <c r="K1675" t="inlineStr">
        <is>
          <t>EC</t>
        </is>
      </c>
      <c r="L1675" t="inlineStr">
        <is>
          <t>CORP</t>
        </is>
      </c>
      <c r="M1675" t="inlineStr"/>
      <c r="N1675" t="inlineStr"/>
      <c r="O1675" s="1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s="1" t="inlineStr"/>
      <c r="AR1675" s="1" t="inlineStr"/>
      <c r="AS1675" s="1" t="inlineStr"/>
      <c r="AT1675" t="inlineStr"/>
      <c r="AU1675" t="inlineStr"/>
      <c r="AV1675" t="inlineStr"/>
      <c r="AW1675" t="inlineStr"/>
      <c r="AX1675" t="inlineStr"/>
      <c r="AY1675" t="inlineStr"/>
    </row>
    <row r="1676">
      <c r="A1676" t="inlineStr">
        <is>
          <t>PTNT</t>
        </is>
      </c>
      <c r="B1676" t="inlineStr">
        <is>
          <t>HAS US Equity</t>
        </is>
      </c>
      <c r="C1676" s="1" t="inlineStr">
        <is>
          <t>HAS</t>
        </is>
      </c>
      <c r="D1676" t="inlineStr">
        <is>
          <t>Hasbro Inc</t>
        </is>
      </c>
      <c r="E1676">
        <f>BDP($B1676,"LEGAL_ENTITY_IDENTIFIER")</f>
        <v/>
      </c>
      <c r="F1676" t="inlineStr">
        <is>
          <t>Hasbro Inc</t>
        </is>
      </c>
      <c r="G1676">
        <f>custodian!D1676</f>
        <v/>
      </c>
      <c r="H1676">
        <f>BDP($B1676,"ID_ISIN")</f>
        <v/>
      </c>
      <c r="I1676" s="1" t="inlineStr">
        <is>
          <t>HAS</t>
        </is>
      </c>
      <c r="J1676">
        <f>BDP($B1676,"CNTRY_OF_DOMICILE")</f>
        <v/>
      </c>
      <c r="K1676" t="inlineStr">
        <is>
          <t>EC</t>
        </is>
      </c>
      <c r="L1676" t="inlineStr">
        <is>
          <t>CORP</t>
        </is>
      </c>
      <c r="M1676" t="inlineStr"/>
      <c r="N1676" t="inlineStr"/>
      <c r="O1676" s="1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s="1" t="inlineStr"/>
      <c r="AR1676" s="1" t="inlineStr"/>
      <c r="AS1676" s="1" t="inlineStr"/>
      <c r="AT1676" t="inlineStr"/>
      <c r="AU1676" t="inlineStr"/>
      <c r="AV1676" t="inlineStr"/>
      <c r="AW1676" t="inlineStr"/>
      <c r="AX1676" t="inlineStr"/>
      <c r="AY1676" t="inlineStr"/>
    </row>
    <row r="1677">
      <c r="A1677" t="inlineStr">
        <is>
          <t>PTNT</t>
        </is>
      </c>
      <c r="B1677" t="inlineStr">
        <is>
          <t>IBM US Equity</t>
        </is>
      </c>
      <c r="C1677" s="1" t="inlineStr">
        <is>
          <t>IBM</t>
        </is>
      </c>
      <c r="D1677" t="inlineStr">
        <is>
          <t>International Business Machine</t>
        </is>
      </c>
      <c r="E1677">
        <f>BDP($B1677,"LEGAL_ENTITY_IDENTIFIER")</f>
        <v/>
      </c>
      <c r="F1677" t="inlineStr">
        <is>
          <t>International Business Machines Corp</t>
        </is>
      </c>
      <c r="G1677">
        <f>custodian!D1677</f>
        <v/>
      </c>
      <c r="H1677">
        <f>BDP($B1677,"ID_ISIN")</f>
        <v/>
      </c>
      <c r="I1677" s="1" t="inlineStr">
        <is>
          <t>IBM</t>
        </is>
      </c>
      <c r="J1677">
        <f>BDP($B1677,"CNTRY_OF_DOMICILE")</f>
        <v/>
      </c>
      <c r="K1677" t="inlineStr">
        <is>
          <t>EC</t>
        </is>
      </c>
      <c r="L1677" t="inlineStr">
        <is>
          <t>CORP</t>
        </is>
      </c>
      <c r="M1677" t="inlineStr"/>
      <c r="N1677" t="inlineStr"/>
      <c r="O1677" s="1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s="1" t="inlineStr"/>
      <c r="AR1677" s="1" t="inlineStr"/>
      <c r="AS1677" s="1" t="inlineStr"/>
      <c r="AT1677" t="inlineStr"/>
      <c r="AU1677" t="inlineStr"/>
      <c r="AV1677" t="inlineStr"/>
      <c r="AW1677" t="inlineStr"/>
      <c r="AX1677" t="inlineStr"/>
      <c r="AY1677" t="inlineStr"/>
    </row>
    <row r="1678">
      <c r="A1678" t="inlineStr">
        <is>
          <t>PTNT</t>
        </is>
      </c>
      <c r="B1678" t="inlineStr">
        <is>
          <t>IDCC US Equity</t>
        </is>
      </c>
      <c r="C1678" s="1" t="inlineStr">
        <is>
          <t>IDCC</t>
        </is>
      </c>
      <c r="D1678" t="inlineStr">
        <is>
          <t>InterDigital Inc</t>
        </is>
      </c>
      <c r="E1678">
        <f>BDP($B1678,"LEGAL_ENTITY_IDENTIFIER")</f>
        <v/>
      </c>
      <c r="F1678" t="inlineStr">
        <is>
          <t>InterDigital Inc</t>
        </is>
      </c>
      <c r="G1678">
        <f>custodian!D1678</f>
        <v/>
      </c>
      <c r="H1678">
        <f>BDP($B1678,"ID_ISIN")</f>
        <v/>
      </c>
      <c r="I1678" s="1" t="inlineStr">
        <is>
          <t>IDCC</t>
        </is>
      </c>
      <c r="J1678">
        <f>BDP($B1678,"CNTRY_OF_DOMICILE")</f>
        <v/>
      </c>
      <c r="K1678" t="inlineStr">
        <is>
          <t>EC</t>
        </is>
      </c>
      <c r="L1678" t="inlineStr">
        <is>
          <t>CORP</t>
        </is>
      </c>
      <c r="M1678" t="inlineStr"/>
      <c r="N1678" t="inlineStr"/>
      <c r="O1678" s="1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s="1" t="inlineStr"/>
      <c r="AR1678" s="1" t="inlineStr"/>
      <c r="AS1678" s="1" t="inlineStr"/>
      <c r="AT1678" t="inlineStr"/>
      <c r="AU1678" t="inlineStr"/>
      <c r="AV1678" t="inlineStr"/>
      <c r="AW1678" t="inlineStr"/>
      <c r="AX1678" t="inlineStr"/>
      <c r="AY1678" t="inlineStr"/>
    </row>
    <row r="1679">
      <c r="A1679" t="inlineStr">
        <is>
          <t>PTNT</t>
        </is>
      </c>
      <c r="B1679" t="inlineStr">
        <is>
          <t>LGND US Equity</t>
        </is>
      </c>
      <c r="C1679" s="1" t="inlineStr">
        <is>
          <t>LGND</t>
        </is>
      </c>
      <c r="D1679" t="inlineStr">
        <is>
          <t>Ligand Pharmaceuticals Inc</t>
        </is>
      </c>
      <c r="E1679">
        <f>BDP($B1679,"LEGAL_ENTITY_IDENTIFIER")</f>
        <v/>
      </c>
      <c r="F1679" t="inlineStr">
        <is>
          <t>Ligand Pharmaceuticals Inc</t>
        </is>
      </c>
      <c r="G1679">
        <f>custodian!D1679</f>
        <v/>
      </c>
      <c r="H1679">
        <f>BDP($B1679,"ID_ISIN")</f>
        <v/>
      </c>
      <c r="I1679" s="1" t="inlineStr">
        <is>
          <t>LGND</t>
        </is>
      </c>
      <c r="J1679">
        <f>BDP($B1679,"CNTRY_OF_DOMICILE")</f>
        <v/>
      </c>
      <c r="K1679" t="inlineStr">
        <is>
          <t>EC</t>
        </is>
      </c>
      <c r="L1679" t="inlineStr">
        <is>
          <t>CORP</t>
        </is>
      </c>
      <c r="M1679" t="inlineStr"/>
      <c r="N1679" t="inlineStr"/>
      <c r="O1679" s="1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s="1" t="inlineStr"/>
      <c r="AR1679" s="1" t="inlineStr"/>
      <c r="AS1679" s="1" t="inlineStr"/>
      <c r="AT1679" t="inlineStr"/>
      <c r="AU1679" t="inlineStr"/>
      <c r="AV1679" t="inlineStr"/>
      <c r="AW1679" t="inlineStr"/>
      <c r="AX1679" t="inlineStr"/>
      <c r="AY1679" t="inlineStr"/>
    </row>
    <row r="1680">
      <c r="A1680" t="inlineStr">
        <is>
          <t>PTNT</t>
        </is>
      </c>
      <c r="B1680" t="inlineStr">
        <is>
          <t>MAT US Equity</t>
        </is>
      </c>
      <c r="C1680" s="1" t="inlineStr">
        <is>
          <t>MAT</t>
        </is>
      </c>
      <c r="D1680" t="inlineStr">
        <is>
          <t>Mattel Inc</t>
        </is>
      </c>
      <c r="E1680">
        <f>BDP($B1680,"LEGAL_ENTITY_IDENTIFIER")</f>
        <v/>
      </c>
      <c r="F1680" t="inlineStr">
        <is>
          <t>Mattel Inc</t>
        </is>
      </c>
      <c r="G1680">
        <f>custodian!D1680</f>
        <v/>
      </c>
      <c r="H1680">
        <f>BDP($B1680,"ID_ISIN")</f>
        <v/>
      </c>
      <c r="I1680" s="1" t="inlineStr">
        <is>
          <t>MAT</t>
        </is>
      </c>
      <c r="J1680">
        <f>BDP($B1680,"CNTRY_OF_DOMICILE")</f>
        <v/>
      </c>
      <c r="K1680" t="inlineStr">
        <is>
          <t>EC</t>
        </is>
      </c>
      <c r="L1680" t="inlineStr">
        <is>
          <t>CORP</t>
        </is>
      </c>
      <c r="M1680" t="inlineStr"/>
      <c r="N1680" t="inlineStr"/>
      <c r="O1680" s="1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s="1" t="inlineStr"/>
      <c r="AR1680" s="1" t="inlineStr"/>
      <c r="AS1680" s="1" t="inlineStr"/>
      <c r="AT1680" t="inlineStr"/>
      <c r="AU1680" t="inlineStr"/>
      <c r="AV1680" t="inlineStr"/>
      <c r="AW1680" t="inlineStr"/>
      <c r="AX1680" t="inlineStr"/>
      <c r="AY1680" t="inlineStr"/>
    </row>
    <row r="1681">
      <c r="A1681" t="inlineStr">
        <is>
          <t>PTNT</t>
        </is>
      </c>
      <c r="B1681" t="inlineStr">
        <is>
          <t>MCD US Equity</t>
        </is>
      </c>
      <c r="C1681" s="1" t="inlineStr">
        <is>
          <t>MCD</t>
        </is>
      </c>
      <c r="D1681" t="inlineStr">
        <is>
          <t>McDonald's Corp</t>
        </is>
      </c>
      <c r="E1681">
        <f>BDP($B1681,"LEGAL_ENTITY_IDENTIFIER")</f>
        <v/>
      </c>
      <c r="F1681" t="inlineStr">
        <is>
          <t>McDonald's Corp</t>
        </is>
      </c>
      <c r="G1681">
        <f>custodian!D1681</f>
        <v/>
      </c>
      <c r="H1681">
        <f>BDP($B1681,"ID_ISIN")</f>
        <v/>
      </c>
      <c r="I1681" s="1" t="inlineStr">
        <is>
          <t>MCD</t>
        </is>
      </c>
      <c r="J1681">
        <f>BDP($B1681,"CNTRY_OF_DOMICILE")</f>
        <v/>
      </c>
      <c r="K1681" t="inlineStr">
        <is>
          <t>EC</t>
        </is>
      </c>
      <c r="L1681" t="inlineStr">
        <is>
          <t>CORP</t>
        </is>
      </c>
      <c r="M1681" t="inlineStr"/>
      <c r="N1681" t="inlineStr"/>
      <c r="O1681" s="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s="1" t="inlineStr"/>
      <c r="AR1681" s="1" t="inlineStr"/>
      <c r="AS1681" s="1" t="inlineStr"/>
      <c r="AT1681" t="inlineStr"/>
      <c r="AU1681" t="inlineStr"/>
      <c r="AV1681" t="inlineStr"/>
      <c r="AW1681" t="inlineStr"/>
      <c r="AX1681" t="inlineStr"/>
      <c r="AY1681" t="inlineStr"/>
    </row>
    <row r="1682">
      <c r="A1682" t="inlineStr">
        <is>
          <t>PTNT</t>
        </is>
      </c>
      <c r="B1682" t="inlineStr">
        <is>
          <t>NFLX US Equity</t>
        </is>
      </c>
      <c r="C1682" s="1" t="inlineStr">
        <is>
          <t>NFLX</t>
        </is>
      </c>
      <c r="D1682" t="inlineStr">
        <is>
          <t>Netflix Inc</t>
        </is>
      </c>
      <c r="E1682">
        <f>BDP($B1682,"LEGAL_ENTITY_IDENTIFIER")</f>
        <v/>
      </c>
      <c r="F1682" t="inlineStr">
        <is>
          <t>Netflix Inc</t>
        </is>
      </c>
      <c r="G1682">
        <f>custodian!D1682</f>
        <v/>
      </c>
      <c r="H1682">
        <f>BDP($B1682,"ID_ISIN")</f>
        <v/>
      </c>
      <c r="I1682" s="1" t="inlineStr">
        <is>
          <t>NFLX</t>
        </is>
      </c>
      <c r="J1682">
        <f>BDP($B1682,"CNTRY_OF_DOMICILE")</f>
        <v/>
      </c>
      <c r="K1682" t="inlineStr">
        <is>
          <t>EC</t>
        </is>
      </c>
      <c r="L1682" t="inlineStr">
        <is>
          <t>CORP</t>
        </is>
      </c>
      <c r="M1682" t="inlineStr"/>
      <c r="N1682" t="inlineStr"/>
      <c r="O1682" s="1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s="1" t="inlineStr"/>
      <c r="AR1682" s="1" t="inlineStr"/>
      <c r="AS1682" s="1" t="inlineStr"/>
      <c r="AT1682" t="inlineStr"/>
      <c r="AU1682" t="inlineStr"/>
      <c r="AV1682" t="inlineStr"/>
      <c r="AW1682" t="inlineStr"/>
      <c r="AX1682" t="inlineStr"/>
      <c r="AY1682" t="inlineStr"/>
    </row>
    <row r="1683">
      <c r="A1683" t="inlineStr">
        <is>
          <t>PTNT</t>
        </is>
      </c>
      <c r="B1683" t="inlineStr">
        <is>
          <t>NOK US Equity</t>
        </is>
      </c>
      <c r="C1683" s="1" t="inlineStr">
        <is>
          <t>NOK</t>
        </is>
      </c>
      <c r="D1683" t="inlineStr">
        <is>
          <t>Nokia Oyj</t>
        </is>
      </c>
      <c r="E1683">
        <f>BDP($B1683,"LEGAL_ENTITY_IDENTIFIER")</f>
        <v/>
      </c>
      <c r="F1683" t="inlineStr">
        <is>
          <t>Nokia Oyj</t>
        </is>
      </c>
      <c r="G1683">
        <f>custodian!D1683</f>
        <v/>
      </c>
      <c r="H1683">
        <f>BDP($B1683,"ID_ISIN")</f>
        <v/>
      </c>
      <c r="I1683" s="1" t="inlineStr">
        <is>
          <t>NOK</t>
        </is>
      </c>
      <c r="J1683">
        <f>BDP($B1683,"CNTRY_OF_DOMICILE")</f>
        <v/>
      </c>
      <c r="K1683" t="inlineStr">
        <is>
          <t>EC</t>
        </is>
      </c>
      <c r="L1683" t="inlineStr">
        <is>
          <t>CORP</t>
        </is>
      </c>
      <c r="M1683" t="inlineStr"/>
      <c r="N1683" t="inlineStr"/>
      <c r="O1683" s="1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s="1" t="inlineStr"/>
      <c r="AR1683" s="1" t="inlineStr"/>
      <c r="AS1683" s="1" t="inlineStr"/>
      <c r="AT1683" t="inlineStr"/>
      <c r="AU1683" t="inlineStr"/>
      <c r="AV1683" t="inlineStr"/>
      <c r="AW1683" t="inlineStr"/>
      <c r="AX1683" t="inlineStr"/>
      <c r="AY1683" t="inlineStr"/>
    </row>
    <row r="1684">
      <c r="A1684" t="inlineStr">
        <is>
          <t>PTNT</t>
        </is>
      </c>
      <c r="B1684" t="inlineStr">
        <is>
          <t>QCOM US Equity</t>
        </is>
      </c>
      <c r="C1684" s="1" t="inlineStr">
        <is>
          <t>QCOM</t>
        </is>
      </c>
      <c r="D1684" t="inlineStr">
        <is>
          <t>QUALCOMM Inc</t>
        </is>
      </c>
      <c r="E1684">
        <f>BDP($B1684,"LEGAL_ENTITY_IDENTIFIER")</f>
        <v/>
      </c>
      <c r="F1684" t="inlineStr">
        <is>
          <t>QUALCOMM Inc</t>
        </is>
      </c>
      <c r="G1684">
        <f>custodian!D1684</f>
        <v/>
      </c>
      <c r="H1684">
        <f>BDP($B1684,"ID_ISIN")</f>
        <v/>
      </c>
      <c r="I1684" s="1" t="inlineStr">
        <is>
          <t>QCOM</t>
        </is>
      </c>
      <c r="J1684">
        <f>BDP($B1684,"CNTRY_OF_DOMICILE")</f>
        <v/>
      </c>
      <c r="K1684" t="inlineStr">
        <is>
          <t>EC</t>
        </is>
      </c>
      <c r="L1684" t="inlineStr">
        <is>
          <t>CORP</t>
        </is>
      </c>
      <c r="M1684" t="inlineStr"/>
      <c r="N1684" t="inlineStr"/>
      <c r="O1684" s="1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s="1" t="inlineStr"/>
      <c r="AR1684" s="1" t="inlineStr"/>
      <c r="AS1684" s="1" t="inlineStr"/>
      <c r="AT1684" t="inlineStr"/>
      <c r="AU1684" t="inlineStr"/>
      <c r="AV1684" t="inlineStr"/>
      <c r="AW1684" t="inlineStr"/>
      <c r="AX1684" t="inlineStr"/>
      <c r="AY1684" t="inlineStr"/>
    </row>
    <row r="1685">
      <c r="A1685" t="inlineStr">
        <is>
          <t>PTNT</t>
        </is>
      </c>
      <c r="B1685" t="inlineStr">
        <is>
          <t>RMBS US Equity</t>
        </is>
      </c>
      <c r="C1685" s="1" t="inlineStr">
        <is>
          <t>RMBS</t>
        </is>
      </c>
      <c r="D1685" t="inlineStr">
        <is>
          <t>Rambus Inc</t>
        </is>
      </c>
      <c r="E1685">
        <f>BDP($B1685,"LEGAL_ENTITY_IDENTIFIER")</f>
        <v/>
      </c>
      <c r="F1685" t="inlineStr">
        <is>
          <t>Rambus Inc</t>
        </is>
      </c>
      <c r="G1685">
        <f>custodian!D1685</f>
        <v/>
      </c>
      <c r="H1685">
        <f>BDP($B1685,"ID_ISIN")</f>
        <v/>
      </c>
      <c r="I1685" s="1" t="inlineStr">
        <is>
          <t>RMBS</t>
        </is>
      </c>
      <c r="J1685">
        <f>BDP($B1685,"CNTRY_OF_DOMICILE")</f>
        <v/>
      </c>
      <c r="K1685" t="inlineStr">
        <is>
          <t>EC</t>
        </is>
      </c>
      <c r="L1685" t="inlineStr">
        <is>
          <t>CORP</t>
        </is>
      </c>
      <c r="M1685" t="inlineStr"/>
      <c r="N1685" t="inlineStr"/>
      <c r="O1685" s="1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s="1" t="inlineStr"/>
      <c r="AR1685" s="1" t="inlineStr"/>
      <c r="AS1685" s="1" t="inlineStr"/>
      <c r="AT1685" t="inlineStr"/>
      <c r="AU1685" t="inlineStr"/>
      <c r="AV1685" t="inlineStr"/>
      <c r="AW1685" t="inlineStr"/>
      <c r="AX1685" t="inlineStr"/>
      <c r="AY1685" t="inlineStr"/>
    </row>
    <row r="1686">
      <c r="A1686" t="inlineStr">
        <is>
          <t>PTNT</t>
        </is>
      </c>
      <c r="B1686" t="inlineStr">
        <is>
          <t>RPRX US Equity</t>
        </is>
      </c>
      <c r="C1686" s="1" t="inlineStr">
        <is>
          <t>RPRX</t>
        </is>
      </c>
      <c r="D1686" t="inlineStr">
        <is>
          <t>Royalty Pharma PLC</t>
        </is>
      </c>
      <c r="E1686">
        <f>BDP($B1686,"LEGAL_ENTITY_IDENTIFIER")</f>
        <v/>
      </c>
      <c r="F1686" t="inlineStr">
        <is>
          <t>Royalty Pharma PLC</t>
        </is>
      </c>
      <c r="G1686">
        <f>custodian!D1686</f>
        <v/>
      </c>
      <c r="H1686">
        <f>BDP($B1686,"ID_ISIN")</f>
        <v/>
      </c>
      <c r="I1686" s="1" t="inlineStr">
        <is>
          <t>RPRX</t>
        </is>
      </c>
      <c r="J1686">
        <f>BDP($B1686,"CNTRY_OF_DOMICILE")</f>
        <v/>
      </c>
      <c r="K1686" t="inlineStr">
        <is>
          <t>EC</t>
        </is>
      </c>
      <c r="L1686" t="inlineStr">
        <is>
          <t>CORP</t>
        </is>
      </c>
      <c r="M1686" t="inlineStr"/>
      <c r="N1686" t="inlineStr"/>
      <c r="O1686" s="1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s="1" t="inlineStr"/>
      <c r="AR1686" s="1" t="inlineStr"/>
      <c r="AS1686" s="1" t="inlineStr"/>
      <c r="AT1686" t="inlineStr"/>
      <c r="AU1686" t="inlineStr"/>
      <c r="AV1686" t="inlineStr"/>
      <c r="AW1686" t="inlineStr"/>
      <c r="AX1686" t="inlineStr"/>
      <c r="AY1686" t="inlineStr"/>
    </row>
    <row r="1687">
      <c r="A1687" t="inlineStr">
        <is>
          <t>PTNT</t>
        </is>
      </c>
      <c r="B1687" t="inlineStr">
        <is>
          <t>SNPS US Equity</t>
        </is>
      </c>
      <c r="C1687" s="1" t="inlineStr">
        <is>
          <t>SNPS</t>
        </is>
      </c>
      <c r="D1687" t="inlineStr">
        <is>
          <t>Synopsys Inc</t>
        </is>
      </c>
      <c r="E1687">
        <f>BDP($B1687,"LEGAL_ENTITY_IDENTIFIER")</f>
        <v/>
      </c>
      <c r="F1687" t="inlineStr">
        <is>
          <t>Synopsys Inc</t>
        </is>
      </c>
      <c r="G1687">
        <f>custodian!D1687</f>
        <v/>
      </c>
      <c r="H1687">
        <f>BDP($B1687,"ID_ISIN")</f>
        <v/>
      </c>
      <c r="I1687" s="1" t="inlineStr">
        <is>
          <t>SNPS</t>
        </is>
      </c>
      <c r="J1687">
        <f>BDP($B1687,"CNTRY_OF_DOMICILE")</f>
        <v/>
      </c>
      <c r="K1687" t="inlineStr">
        <is>
          <t>EC</t>
        </is>
      </c>
      <c r="L1687" t="inlineStr">
        <is>
          <t>CORP</t>
        </is>
      </c>
      <c r="M1687" t="inlineStr"/>
      <c r="N1687" t="inlineStr"/>
      <c r="O1687" s="1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s="1" t="inlineStr"/>
      <c r="AR1687" s="1" t="inlineStr"/>
      <c r="AS1687" s="1" t="inlineStr"/>
      <c r="AT1687" t="inlineStr"/>
      <c r="AU1687" t="inlineStr"/>
      <c r="AV1687" t="inlineStr"/>
      <c r="AW1687" t="inlineStr"/>
      <c r="AX1687" t="inlineStr"/>
      <c r="AY1687" t="inlineStr"/>
    </row>
    <row r="1688">
      <c r="A1688" t="inlineStr">
        <is>
          <t>PTNT</t>
        </is>
      </c>
      <c r="B1688" t="inlineStr">
        <is>
          <t>SVCO US Equity</t>
        </is>
      </c>
      <c r="C1688" s="1" t="inlineStr">
        <is>
          <t>SVCO</t>
        </is>
      </c>
      <c r="D1688" t="inlineStr">
        <is>
          <t>Silvaco Group Inc</t>
        </is>
      </c>
      <c r="E1688">
        <f>BDP($B1688,"LEGAL_ENTITY_IDENTIFIER")</f>
        <v/>
      </c>
      <c r="F1688" t="inlineStr">
        <is>
          <t>Silvaco Group Inc</t>
        </is>
      </c>
      <c r="G1688">
        <f>custodian!D1688</f>
        <v/>
      </c>
      <c r="H1688">
        <f>BDP($B1688,"ID_ISIN")</f>
        <v/>
      </c>
      <c r="I1688" s="1" t="inlineStr">
        <is>
          <t>SVCO</t>
        </is>
      </c>
      <c r="J1688">
        <f>BDP($B1688,"CNTRY_OF_DOMICILE")</f>
        <v/>
      </c>
      <c r="K1688" t="inlineStr">
        <is>
          <t>EC</t>
        </is>
      </c>
      <c r="L1688" t="inlineStr">
        <is>
          <t>CORP</t>
        </is>
      </c>
      <c r="M1688" t="inlineStr"/>
      <c r="N1688" t="inlineStr"/>
      <c r="O1688" s="1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s="1" t="inlineStr"/>
      <c r="AR1688" s="1" t="inlineStr"/>
      <c r="AS1688" s="1" t="inlineStr"/>
      <c r="AT1688" t="inlineStr"/>
      <c r="AU1688" t="inlineStr"/>
      <c r="AV1688" t="inlineStr"/>
      <c r="AW1688" t="inlineStr"/>
      <c r="AX1688" t="inlineStr"/>
      <c r="AY1688" t="inlineStr"/>
    </row>
    <row r="1689">
      <c r="A1689" t="inlineStr">
        <is>
          <t>PTNT</t>
        </is>
      </c>
      <c r="B1689" t="inlineStr">
        <is>
          <t>TKO US Equity</t>
        </is>
      </c>
      <c r="C1689" s="1" t="inlineStr">
        <is>
          <t>TKO</t>
        </is>
      </c>
      <c r="D1689" t="inlineStr">
        <is>
          <t>TKO Group Holdings Inc</t>
        </is>
      </c>
      <c r="E1689">
        <f>BDP($B1689,"LEGAL_ENTITY_IDENTIFIER")</f>
        <v/>
      </c>
      <c r="F1689" t="inlineStr">
        <is>
          <t>TKO Group Holdings Inc</t>
        </is>
      </c>
      <c r="G1689">
        <f>custodian!D1689</f>
        <v/>
      </c>
      <c r="H1689">
        <f>BDP($B1689,"ID_ISIN")</f>
        <v/>
      </c>
      <c r="I1689" s="1" t="inlineStr">
        <is>
          <t>TKO</t>
        </is>
      </c>
      <c r="J1689">
        <f>BDP($B1689,"CNTRY_OF_DOMICILE")</f>
        <v/>
      </c>
      <c r="K1689" t="inlineStr">
        <is>
          <t>EC</t>
        </is>
      </c>
      <c r="L1689" t="inlineStr">
        <is>
          <t>CORP</t>
        </is>
      </c>
      <c r="M1689" t="inlineStr"/>
      <c r="N1689" t="inlineStr"/>
      <c r="O1689" s="1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s="1" t="inlineStr"/>
      <c r="AR1689" s="1" t="inlineStr"/>
      <c r="AS1689" s="1" t="inlineStr"/>
      <c r="AT1689" t="inlineStr"/>
      <c r="AU1689" t="inlineStr"/>
      <c r="AV1689" t="inlineStr"/>
      <c r="AW1689" t="inlineStr"/>
      <c r="AX1689" t="inlineStr"/>
      <c r="AY1689" t="inlineStr"/>
    </row>
    <row r="1690">
      <c r="A1690" t="inlineStr">
        <is>
          <t>PTNT</t>
        </is>
      </c>
      <c r="B1690" t="inlineStr">
        <is>
          <t>TTWO US Equity</t>
        </is>
      </c>
      <c r="C1690" s="1" t="inlineStr">
        <is>
          <t>TTWO</t>
        </is>
      </c>
      <c r="D1690" t="inlineStr">
        <is>
          <t xml:space="preserve">Take-Two Interactive Software </t>
        </is>
      </c>
      <c r="E1690">
        <f>BDP($B1690,"LEGAL_ENTITY_IDENTIFIER")</f>
        <v/>
      </c>
      <c r="F1690" t="inlineStr">
        <is>
          <t>Take-Two Interactive Software Inc</t>
        </is>
      </c>
      <c r="G1690">
        <f>custodian!D1690</f>
        <v/>
      </c>
      <c r="H1690">
        <f>BDP($B1690,"ID_ISIN")</f>
        <v/>
      </c>
      <c r="I1690" s="1" t="inlineStr">
        <is>
          <t>TTWO</t>
        </is>
      </c>
      <c r="J1690">
        <f>BDP($B1690,"CNTRY_OF_DOMICILE")</f>
        <v/>
      </c>
      <c r="K1690" t="inlineStr">
        <is>
          <t>EC</t>
        </is>
      </c>
      <c r="L1690" t="inlineStr">
        <is>
          <t>CORP</t>
        </is>
      </c>
      <c r="M1690" t="inlineStr"/>
      <c r="N1690" t="inlineStr"/>
      <c r="O1690" s="1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s="1" t="inlineStr"/>
      <c r="AR1690" s="1" t="inlineStr"/>
      <c r="AS1690" s="1" t="inlineStr"/>
      <c r="AT1690" t="inlineStr"/>
      <c r="AU1690" t="inlineStr"/>
      <c r="AV1690" t="inlineStr"/>
      <c r="AW1690" t="inlineStr"/>
      <c r="AX1690" t="inlineStr"/>
      <c r="AY1690" t="inlineStr"/>
    </row>
    <row r="1691">
      <c r="A1691" t="inlineStr">
        <is>
          <t>PTNT</t>
        </is>
      </c>
      <c r="B1691" t="inlineStr">
        <is>
          <t>VRSN US Equity</t>
        </is>
      </c>
      <c r="C1691" s="1" t="inlineStr">
        <is>
          <t>VRSN</t>
        </is>
      </c>
      <c r="D1691" t="inlineStr">
        <is>
          <t>VeriSign Inc</t>
        </is>
      </c>
      <c r="E1691">
        <f>BDP($B1691,"LEGAL_ENTITY_IDENTIFIER")</f>
        <v/>
      </c>
      <c r="F1691" t="inlineStr">
        <is>
          <t>VeriSign Inc</t>
        </is>
      </c>
      <c r="G1691">
        <f>custodian!D1691</f>
        <v/>
      </c>
      <c r="H1691">
        <f>BDP($B1691,"ID_ISIN")</f>
        <v/>
      </c>
      <c r="I1691" s="1" t="inlineStr">
        <is>
          <t>VRSN</t>
        </is>
      </c>
      <c r="J1691">
        <f>BDP($B1691,"CNTRY_OF_DOMICILE")</f>
        <v/>
      </c>
      <c r="K1691" t="inlineStr">
        <is>
          <t>EC</t>
        </is>
      </c>
      <c r="L1691" t="inlineStr">
        <is>
          <t>CORP</t>
        </is>
      </c>
      <c r="M1691" t="inlineStr"/>
      <c r="N1691" t="inlineStr"/>
      <c r="O1691" s="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s="1" t="inlineStr"/>
      <c r="AR1691" s="1" t="inlineStr"/>
      <c r="AS1691" s="1" t="inlineStr"/>
      <c r="AT1691" t="inlineStr"/>
      <c r="AU1691" t="inlineStr"/>
      <c r="AV1691" t="inlineStr"/>
      <c r="AW1691" t="inlineStr"/>
      <c r="AX1691" t="inlineStr"/>
      <c r="AY1691" t="inlineStr"/>
    </row>
    <row r="1692">
      <c r="A1692" t="inlineStr">
        <is>
          <t>PTNT</t>
        </is>
      </c>
      <c r="B1692" t="inlineStr">
        <is>
          <t>WING US Equity</t>
        </is>
      </c>
      <c r="C1692" s="1" t="inlineStr">
        <is>
          <t>WING</t>
        </is>
      </c>
      <c r="D1692" t="inlineStr">
        <is>
          <t>Wingstop Inc</t>
        </is>
      </c>
      <c r="E1692">
        <f>BDP($B1692,"LEGAL_ENTITY_IDENTIFIER")</f>
        <v/>
      </c>
      <c r="F1692" t="inlineStr">
        <is>
          <t>Wingstop Inc</t>
        </is>
      </c>
      <c r="G1692">
        <f>custodian!D1692</f>
        <v/>
      </c>
      <c r="H1692">
        <f>BDP($B1692,"ID_ISIN")</f>
        <v/>
      </c>
      <c r="I1692" s="1" t="inlineStr">
        <is>
          <t>WING</t>
        </is>
      </c>
      <c r="J1692">
        <f>BDP($B1692,"CNTRY_OF_DOMICILE")</f>
        <v/>
      </c>
      <c r="K1692" t="inlineStr">
        <is>
          <t>EC</t>
        </is>
      </c>
      <c r="L1692" t="inlineStr">
        <is>
          <t>CORP</t>
        </is>
      </c>
      <c r="M1692" t="inlineStr"/>
      <c r="N1692" t="inlineStr"/>
      <c r="O1692" s="1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s="1" t="inlineStr"/>
      <c r="AR1692" s="1" t="inlineStr"/>
      <c r="AS1692" s="1" t="inlineStr"/>
      <c r="AT1692" t="inlineStr"/>
      <c r="AU1692" t="inlineStr"/>
      <c r="AV1692" t="inlineStr"/>
      <c r="AW1692" t="inlineStr"/>
      <c r="AX1692" t="inlineStr"/>
      <c r="AY1692" t="inlineStr"/>
    </row>
    <row r="1693">
      <c r="A1693" t="inlineStr">
        <is>
          <t>PTNT</t>
        </is>
      </c>
      <c r="B1693" t="inlineStr">
        <is>
          <t>WMG US Equity</t>
        </is>
      </c>
      <c r="C1693" s="1" t="inlineStr">
        <is>
          <t>WMG</t>
        </is>
      </c>
      <c r="D1693" t="inlineStr">
        <is>
          <t>Warner Music Group Corp</t>
        </is>
      </c>
      <c r="E1693">
        <f>BDP($B1693,"LEGAL_ENTITY_IDENTIFIER")</f>
        <v/>
      </c>
      <c r="F1693" t="inlineStr">
        <is>
          <t>Warner Music Group Corp</t>
        </is>
      </c>
      <c r="G1693">
        <f>custodian!D1693</f>
        <v/>
      </c>
      <c r="H1693">
        <f>BDP($B1693,"ID_ISIN")</f>
        <v/>
      </c>
      <c r="I1693" s="1" t="inlineStr">
        <is>
          <t>WMG</t>
        </is>
      </c>
      <c r="J1693">
        <f>BDP($B1693,"CNTRY_OF_DOMICILE")</f>
        <v/>
      </c>
      <c r="K1693" t="inlineStr">
        <is>
          <t>EC</t>
        </is>
      </c>
      <c r="L1693" t="inlineStr">
        <is>
          <t>CORP</t>
        </is>
      </c>
      <c r="M1693" t="inlineStr"/>
      <c r="N1693" t="inlineStr"/>
      <c r="O1693" s="1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s="1" t="inlineStr"/>
      <c r="AR1693" s="1" t="inlineStr"/>
      <c r="AS1693" s="1" t="inlineStr"/>
      <c r="AT1693" t="inlineStr"/>
      <c r="AU1693" t="inlineStr"/>
      <c r="AV1693" t="inlineStr"/>
      <c r="AW1693" t="inlineStr"/>
      <c r="AX1693" t="inlineStr"/>
      <c r="AY1693" t="inlineStr"/>
    </row>
    <row r="1694">
      <c r="A1694" t="inlineStr">
        <is>
          <t>PTNT</t>
        </is>
      </c>
      <c r="B1694" t="inlineStr">
        <is>
          <t>XOMA US Equity</t>
        </is>
      </c>
      <c r="C1694" s="1" t="inlineStr">
        <is>
          <t>XOMA</t>
        </is>
      </c>
      <c r="D1694" t="inlineStr">
        <is>
          <t>XOMA Royalty Corp</t>
        </is>
      </c>
      <c r="E1694">
        <f>BDP($B1694,"LEGAL_ENTITY_IDENTIFIER")</f>
        <v/>
      </c>
      <c r="F1694" t="inlineStr">
        <is>
          <t>XOMA Royalty Corp</t>
        </is>
      </c>
      <c r="G1694">
        <f>custodian!D1694</f>
        <v/>
      </c>
      <c r="H1694">
        <f>BDP($B1694,"ID_ISIN")</f>
        <v/>
      </c>
      <c r="I1694" s="1" t="inlineStr">
        <is>
          <t>XOMA</t>
        </is>
      </c>
      <c r="J1694">
        <f>BDP($B1694,"CNTRY_OF_DOMICILE")</f>
        <v/>
      </c>
      <c r="K1694" t="inlineStr">
        <is>
          <t>EC</t>
        </is>
      </c>
      <c r="L1694" t="inlineStr">
        <is>
          <t>CORP</t>
        </is>
      </c>
      <c r="M1694" t="inlineStr"/>
      <c r="N1694" t="inlineStr"/>
      <c r="O1694" s="1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s="1" t="inlineStr"/>
      <c r="AR1694" s="1" t="inlineStr"/>
      <c r="AS1694" s="1" t="inlineStr"/>
      <c r="AT1694" t="inlineStr"/>
      <c r="AU1694" t="inlineStr"/>
      <c r="AV1694" t="inlineStr"/>
      <c r="AW1694" t="inlineStr"/>
      <c r="AX1694" t="inlineStr"/>
      <c r="AY1694" t="inlineStr"/>
    </row>
    <row r="1695">
      <c r="A1695" t="inlineStr">
        <is>
          <t>PTNT</t>
        </is>
      </c>
      <c r="B1695" t="inlineStr">
        <is>
          <t>XPER US Equity</t>
        </is>
      </c>
      <c r="C1695" s="1" t="inlineStr">
        <is>
          <t>XPER</t>
        </is>
      </c>
      <c r="D1695" t="inlineStr">
        <is>
          <t>Xperi Inc</t>
        </is>
      </c>
      <c r="E1695">
        <f>BDP($B1695,"LEGAL_ENTITY_IDENTIFIER")</f>
        <v/>
      </c>
      <c r="F1695" t="inlineStr">
        <is>
          <t>Xperi Inc</t>
        </is>
      </c>
      <c r="G1695">
        <f>custodian!D1695</f>
        <v/>
      </c>
      <c r="H1695">
        <f>BDP($B1695,"ID_ISIN")</f>
        <v/>
      </c>
      <c r="I1695" s="1" t="inlineStr">
        <is>
          <t>XPER</t>
        </is>
      </c>
      <c r="J1695">
        <f>BDP($B1695,"CNTRY_OF_DOMICILE")</f>
        <v/>
      </c>
      <c r="K1695" t="inlineStr">
        <is>
          <t>EC</t>
        </is>
      </c>
      <c r="L1695" t="inlineStr">
        <is>
          <t>CORP</t>
        </is>
      </c>
      <c r="M1695" t="inlineStr"/>
      <c r="N1695" t="inlineStr"/>
      <c r="O1695" s="1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s="1" t="inlineStr"/>
      <c r="AR1695" s="1" t="inlineStr"/>
      <c r="AS1695" s="1" t="inlineStr"/>
      <c r="AT1695" t="inlineStr"/>
      <c r="AU1695" t="inlineStr"/>
      <c r="AV1695" t="inlineStr"/>
      <c r="AW1695" t="inlineStr"/>
      <c r="AX1695" t="inlineStr"/>
      <c r="AY1695" t="inlineStr"/>
    </row>
    <row r="1696">
      <c r="A1696" t="inlineStr">
        <is>
          <t>PTNT</t>
        </is>
      </c>
      <c r="B1696" t="inlineStr">
        <is>
          <t>YUM US Equity</t>
        </is>
      </c>
      <c r="C1696" s="1" t="inlineStr">
        <is>
          <t>YUM</t>
        </is>
      </c>
      <c r="D1696" t="inlineStr">
        <is>
          <t>Yum! Brands Inc</t>
        </is>
      </c>
      <c r="E1696">
        <f>BDP($B1696,"LEGAL_ENTITY_IDENTIFIER")</f>
        <v/>
      </c>
      <c r="F1696" t="inlineStr">
        <is>
          <t>Yum! Brands Inc</t>
        </is>
      </c>
      <c r="G1696">
        <f>custodian!D1696</f>
        <v/>
      </c>
      <c r="H1696">
        <f>BDP($B1696,"ID_ISIN")</f>
        <v/>
      </c>
      <c r="I1696" s="1" t="inlineStr">
        <is>
          <t>YUM</t>
        </is>
      </c>
      <c r="J1696">
        <f>BDP($B1696,"CNTRY_OF_DOMICILE")</f>
        <v/>
      </c>
      <c r="K1696" t="inlineStr">
        <is>
          <t>EC</t>
        </is>
      </c>
      <c r="L1696" t="inlineStr">
        <is>
          <t>CORP</t>
        </is>
      </c>
      <c r="M1696" t="inlineStr"/>
      <c r="N1696" t="inlineStr"/>
      <c r="O1696" s="1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s="1" t="inlineStr"/>
      <c r="AR1696" s="1" t="inlineStr"/>
      <c r="AS1696" s="1" t="inlineStr"/>
      <c r="AT1696" t="inlineStr"/>
      <c r="AU1696" t="inlineStr"/>
      <c r="AV1696" t="inlineStr"/>
      <c r="AW1696" t="inlineStr"/>
      <c r="AX1696" t="inlineStr"/>
      <c r="AY1696" t="inlineStr"/>
    </row>
    <row r="1697">
      <c r="A1697" t="inlineStr">
        <is>
          <t>PTNT</t>
        </is>
      </c>
      <c r="B1697" t="inlineStr"/>
      <c r="C1697" s="1" t="inlineStr">
        <is>
          <t>Cash&amp;Other</t>
        </is>
      </c>
      <c r="D1697" t="inlineStr"/>
      <c r="E1697" s="1" t="inlineStr"/>
      <c r="F1697" t="inlineStr"/>
      <c r="G1697">
        <f>custodian!D1697</f>
        <v/>
      </c>
      <c r="H1697" s="1" t="inlineStr"/>
      <c r="I1697" s="1" t="inlineStr"/>
      <c r="J1697" t="inlineStr"/>
      <c r="K1697" t="inlineStr"/>
      <c r="L1697" t="inlineStr"/>
      <c r="M1697" t="inlineStr"/>
      <c r="N1697" t="inlineStr"/>
      <c r="O1697" s="1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s="1" t="inlineStr"/>
      <c r="AR1697" s="1" t="inlineStr"/>
      <c r="AS1697" s="1" t="inlineStr"/>
      <c r="AT1697" t="inlineStr"/>
      <c r="AU1697" t="inlineStr"/>
      <c r="AV1697" t="inlineStr"/>
      <c r="AW1697" t="inlineStr"/>
      <c r="AX1697" t="inlineStr"/>
      <c r="AY1697" t="inlineStr"/>
    </row>
    <row r="1698">
      <c r="A1698" t="inlineStr">
        <is>
          <t>QJN</t>
        </is>
      </c>
      <c r="B1698" t="inlineStr"/>
      <c r="C1698" s="1" t="inlineStr">
        <is>
          <t>2QQQ  270528C00148550</t>
        </is>
      </c>
      <c r="D1698" t="inlineStr">
        <is>
          <t>QQQ 05/28/2027 148.55 C</t>
        </is>
      </c>
      <c r="E1698" s="1" t="inlineStr">
        <is>
          <t>N/A</t>
        </is>
      </c>
      <c r="F1698" t="inlineStr">
        <is>
          <t>QQQ 05/28/2027 148.55 C</t>
        </is>
      </c>
      <c r="G1698">
        <f>custodian!D1698</f>
        <v/>
      </c>
      <c r="H1698" s="1" t="inlineStr"/>
      <c r="I1698" s="1" t="inlineStr">
        <is>
          <t>QQQ-C148.55-20270528</t>
        </is>
      </c>
      <c r="J1698" t="inlineStr">
        <is>
          <t>US</t>
        </is>
      </c>
      <c r="K1698" t="inlineStr">
        <is>
          <t>DE</t>
        </is>
      </c>
      <c r="L1698" t="inlineStr">
        <is>
          <t>CORP</t>
        </is>
      </c>
      <c r="M1698" t="inlineStr">
        <is>
          <t>OPT</t>
        </is>
      </c>
      <c r="N1698" t="inlineStr">
        <is>
          <t>The Options Clearing Corporation</t>
        </is>
      </c>
      <c r="O1698" s="1" t="inlineStr">
        <is>
          <t>549300CII6SLYGKNHA04</t>
        </is>
      </c>
      <c r="P1698" t="inlineStr">
        <is>
          <t>Call</t>
        </is>
      </c>
      <c r="Q1698" t="inlineStr">
        <is>
          <t>Purchased</t>
        </is>
      </c>
      <c r="R1698" t="inlineStr">
        <is>
          <t>148.55</t>
        </is>
      </c>
      <c r="S1698" t="inlineStr">
        <is>
          <t>USD</t>
        </is>
      </c>
      <c r="T1698" t="inlineStr">
        <is>
          <t>2027-05-28</t>
        </is>
      </c>
      <c r="U1698" t="inlineStr">
        <is>
          <t>N/A</t>
        </is>
      </c>
      <c r="V1698" t="inlineStr">
        <is>
          <t>indexBasket</t>
        </is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-36020.06</t>
        </is>
      </c>
      <c r="AD1698" t="inlineStr">
        <is>
          <t>741133.24</t>
        </is>
      </c>
      <c r="AE1698" t="inlineStr">
        <is>
          <t>75.91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s="1" t="inlineStr"/>
      <c r="AR1698" s="1" t="inlineStr"/>
      <c r="AS1698" s="1" t="inlineStr"/>
      <c r="AT1698" t="inlineStr"/>
      <c r="AU1698" t="inlineStr"/>
      <c r="AV1698" t="inlineStr"/>
      <c r="AW1698" t="inlineStr"/>
      <c r="AX1698" t="inlineStr"/>
      <c r="AY1698" t="inlineStr"/>
    </row>
    <row r="1699">
      <c r="A1699" t="inlineStr">
        <is>
          <t>QJN</t>
        </is>
      </c>
      <c r="B1699" t="inlineStr"/>
      <c r="C1699" s="1" t="inlineStr">
        <is>
          <t>2QQQ  270528C00905400</t>
        </is>
      </c>
      <c r="D1699" t="inlineStr">
        <is>
          <t>QQQ 05/28/2027 905.4 C</t>
        </is>
      </c>
      <c r="E1699" s="1" t="inlineStr">
        <is>
          <t>N/A</t>
        </is>
      </c>
      <c r="F1699" t="inlineStr">
        <is>
          <t>QQQ 05/28/2027 905.4 C</t>
        </is>
      </c>
      <c r="G1699">
        <f>custodian!D1699</f>
        <v/>
      </c>
      <c r="H1699" s="1" t="inlineStr"/>
      <c r="I1699" s="1" t="inlineStr">
        <is>
          <t>QQQ-C905.4-20270528</t>
        </is>
      </c>
      <c r="J1699" t="inlineStr">
        <is>
          <t>US</t>
        </is>
      </c>
      <c r="K1699" t="inlineStr">
        <is>
          <t>DE</t>
        </is>
      </c>
      <c r="L1699" t="inlineStr">
        <is>
          <t>CORP</t>
        </is>
      </c>
      <c r="M1699" t="inlineStr">
        <is>
          <t>OPT</t>
        </is>
      </c>
      <c r="N1699" t="inlineStr">
        <is>
          <t>The Options Clearing Corporation</t>
        </is>
      </c>
      <c r="O1699" s="1" t="inlineStr">
        <is>
          <t>549300CII6SLYGKNHA04</t>
        </is>
      </c>
      <c r="P1699" t="inlineStr">
        <is>
          <t>Call</t>
        </is>
      </c>
      <c r="Q1699" t="inlineStr">
        <is>
          <t>Written</t>
        </is>
      </c>
      <c r="R1699" t="inlineStr">
        <is>
          <t>905.4</t>
        </is>
      </c>
      <c r="S1699" t="inlineStr">
        <is>
          <t>USD</t>
        </is>
      </c>
      <c r="T1699" t="inlineStr">
        <is>
          <t>2027-05-28</t>
        </is>
      </c>
      <c r="U1699" t="inlineStr">
        <is>
          <t>N/A</t>
        </is>
      </c>
      <c r="V1699" t="inlineStr">
        <is>
          <t>indexBasket</t>
        </is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5995.46</t>
        </is>
      </c>
      <c r="AD1699" t="inlineStr">
        <is>
          <t>-24801.24</t>
        </is>
      </c>
      <c r="AE1699" t="inlineStr">
        <is>
          <t>-2.54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s="1" t="inlineStr"/>
      <c r="AR1699" s="1" t="inlineStr"/>
      <c r="AS1699" s="1" t="inlineStr"/>
      <c r="AT1699" t="inlineStr"/>
      <c r="AU1699" t="inlineStr"/>
      <c r="AV1699" t="inlineStr"/>
      <c r="AW1699" t="inlineStr"/>
      <c r="AX1699" t="inlineStr"/>
      <c r="AY1699" t="inlineStr"/>
    </row>
    <row r="1700">
      <c r="A1700" t="inlineStr">
        <is>
          <t>QJN</t>
        </is>
      </c>
      <c r="B1700" t="inlineStr"/>
      <c r="C1700" s="1" t="inlineStr">
        <is>
          <t>2QQQ  270528P00668470</t>
        </is>
      </c>
      <c r="D1700" t="inlineStr">
        <is>
          <t>QQQ 05/28/2027 668.47 P</t>
        </is>
      </c>
      <c r="E1700" s="1" t="inlineStr">
        <is>
          <t>N/A</t>
        </is>
      </c>
      <c r="F1700" t="inlineStr">
        <is>
          <t>QQQ 05/28/2027 668.47 P</t>
        </is>
      </c>
      <c r="G1700">
        <f>custodian!D1700</f>
        <v/>
      </c>
      <c r="H1700" s="1" t="inlineStr"/>
      <c r="I1700" s="1" t="inlineStr">
        <is>
          <t>QQQ-P668.47-20270528</t>
        </is>
      </c>
      <c r="J1700" t="inlineStr">
        <is>
          <t>US</t>
        </is>
      </c>
      <c r="K1700" t="inlineStr">
        <is>
          <t>DE</t>
        </is>
      </c>
      <c r="L1700" t="inlineStr">
        <is>
          <t>CORP</t>
        </is>
      </c>
      <c r="M1700" t="inlineStr">
        <is>
          <t>OPT</t>
        </is>
      </c>
      <c r="N1700" t="inlineStr">
        <is>
          <t>The Options Clearing Corporation</t>
        </is>
      </c>
      <c r="O1700" s="1" t="inlineStr">
        <is>
          <t>549300CII6SLYGKNHA04</t>
        </is>
      </c>
      <c r="P1700" t="inlineStr">
        <is>
          <t>Put</t>
        </is>
      </c>
      <c r="Q1700" t="inlineStr">
        <is>
          <t>Written</t>
        </is>
      </c>
      <c r="R1700" t="inlineStr">
        <is>
          <t>668.47</t>
        </is>
      </c>
      <c r="S1700" t="inlineStr">
        <is>
          <t>USD</t>
        </is>
      </c>
      <c r="T1700" t="inlineStr">
        <is>
          <t>2027-05-28</t>
        </is>
      </c>
      <c r="U1700" t="inlineStr">
        <is>
          <t>N/A</t>
        </is>
      </c>
      <c r="V1700" t="inlineStr">
        <is>
          <t>indexBasket</t>
        </is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-13495.03</t>
        </is>
      </c>
      <c r="AD1700" t="inlineStr">
        <is>
          <t>-58721.73</t>
        </is>
      </c>
      <c r="AE1700" t="inlineStr">
        <is>
          <t>-6.01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s="1" t="inlineStr"/>
      <c r="AR1700" s="1" t="inlineStr"/>
      <c r="AS1700" s="1" t="inlineStr"/>
      <c r="AT1700" t="inlineStr"/>
      <c r="AU1700" t="inlineStr"/>
      <c r="AV1700" t="inlineStr"/>
      <c r="AW1700" t="inlineStr"/>
      <c r="AX1700" t="inlineStr"/>
      <c r="AY1700" t="inlineStr"/>
    </row>
    <row r="1701">
      <c r="A1701" t="inlineStr">
        <is>
          <t>QJN</t>
        </is>
      </c>
      <c r="B1701" t="inlineStr"/>
      <c r="C1701" s="1" t="inlineStr">
        <is>
          <t>2QQQ  270528P00742740</t>
        </is>
      </c>
      <c r="D1701" t="inlineStr">
        <is>
          <t>QQQ 05/28/2027 742.74 P</t>
        </is>
      </c>
      <c r="E1701" s="1" t="inlineStr">
        <is>
          <t>N/A</t>
        </is>
      </c>
      <c r="F1701" t="inlineStr">
        <is>
          <t>QQQ 05/28/2027 742.74 P</t>
        </is>
      </c>
      <c r="G1701">
        <f>custodian!D1701</f>
        <v/>
      </c>
      <c r="H1701" s="1" t="inlineStr"/>
      <c r="I1701" s="1" t="inlineStr">
        <is>
          <t>QQQ-P742.74-20270528</t>
        </is>
      </c>
      <c r="J1701" t="inlineStr">
        <is>
          <t>US</t>
        </is>
      </c>
      <c r="K1701" t="inlineStr">
        <is>
          <t>DE</t>
        </is>
      </c>
      <c r="L1701" t="inlineStr">
        <is>
          <t>CORP</t>
        </is>
      </c>
      <c r="M1701" t="inlineStr">
        <is>
          <t>OPT</t>
        </is>
      </c>
      <c r="N1701" t="inlineStr">
        <is>
          <t>The Options Clearing Corporation</t>
        </is>
      </c>
      <c r="O1701" s="1" t="inlineStr">
        <is>
          <t>549300CII6SLYGKNHA04</t>
        </is>
      </c>
      <c r="P1701" t="inlineStr">
        <is>
          <t>Put</t>
        </is>
      </c>
      <c r="Q1701" t="inlineStr">
        <is>
          <t>Purchased</t>
        </is>
      </c>
      <c r="R1701" t="inlineStr">
        <is>
          <t>742.74</t>
        </is>
      </c>
      <c r="S1701" t="inlineStr">
        <is>
          <t>USD</t>
        </is>
      </c>
      <c r="T1701" t="inlineStr">
        <is>
          <t>2027-05-28</t>
        </is>
      </c>
      <c r="U1701" t="inlineStr">
        <is>
          <t>N/A</t>
        </is>
      </c>
      <c r="V1701" t="inlineStr">
        <is>
          <t>indexBasket</t>
        </is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19866.57</t>
        </is>
      </c>
      <c r="AD1701" t="inlineStr">
        <is>
          <t>95929.87</t>
        </is>
      </c>
      <c r="AE1701" t="inlineStr">
        <is>
          <t>9.83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s="1" t="inlineStr"/>
      <c r="AR1701" s="1" t="inlineStr"/>
      <c r="AS1701" s="1" t="inlineStr"/>
      <c r="AT1701" t="inlineStr"/>
      <c r="AU1701" t="inlineStr"/>
      <c r="AV1701" t="inlineStr"/>
      <c r="AW1701" t="inlineStr"/>
      <c r="AX1701" t="inlineStr"/>
      <c r="AY1701" t="inlineStr"/>
    </row>
    <row r="1702">
      <c r="A1702" t="inlineStr">
        <is>
          <t>QJN</t>
        </is>
      </c>
      <c r="B1702" t="inlineStr">
        <is>
          <t>912828ZS2 Govt</t>
        </is>
      </c>
      <c r="C1702" s="1" t="inlineStr">
        <is>
          <t>912828ZS2</t>
        </is>
      </c>
      <c r="D1702" t="inlineStr">
        <is>
          <t>United States Treasury Note/Bo</t>
        </is>
      </c>
      <c r="E1702">
        <f>BDP($B1702,"LEGAL_ENTITY_IDENTIFIER")</f>
        <v/>
      </c>
      <c r="F1702" t="inlineStr">
        <is>
          <t>United States Treasury Note/Bond 0.5% 05/31/2027</t>
        </is>
      </c>
      <c r="G1702">
        <f>custodian!D1702</f>
        <v/>
      </c>
      <c r="H1702">
        <f>BDP($B1702,"ID_ISIN")</f>
        <v/>
      </c>
      <c r="I1702" s="1" t="inlineStr"/>
      <c r="J1702">
        <f>BDP($B1702,"CNTRY_OF_DOMICILE")</f>
        <v/>
      </c>
      <c r="K1702" t="inlineStr">
        <is>
          <t>DBT</t>
        </is>
      </c>
      <c r="L1702" t="inlineStr">
        <is>
          <t>UST</t>
        </is>
      </c>
      <c r="M1702" t="inlineStr"/>
      <c r="N1702" t="inlineStr"/>
      <c r="O1702" s="1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s="1" t="inlineStr"/>
      <c r="AR1702" s="1" t="inlineStr"/>
      <c r="AS1702" s="1" t="inlineStr"/>
      <c r="AT1702">
        <f>TEXT(BDP($B1702,"MATURITY"),"yyyy-mm-dd")</f>
        <v/>
      </c>
      <c r="AU1702">
        <f>BDP($B1702,"CPN_TYP")</f>
        <v/>
      </c>
      <c r="AV1702">
        <f>BDP($B1702,"CPN")</f>
        <v/>
      </c>
      <c r="AW1702" t="inlineStr"/>
      <c r="AX1702" t="inlineStr"/>
      <c r="AY1702" t="inlineStr"/>
    </row>
    <row r="1703">
      <c r="A1703" t="inlineStr">
        <is>
          <t>QJN</t>
        </is>
      </c>
      <c r="B1703" t="inlineStr">
        <is>
          <t>FGXXX US Equity</t>
        </is>
      </c>
      <c r="C1703" s="1" t="inlineStr">
        <is>
          <t>FGXXX</t>
        </is>
      </c>
      <c r="D1703" t="inlineStr">
        <is>
          <t>First American Government Obli</t>
        </is>
      </c>
      <c r="E1703">
        <f>BDP($B1703,"LEGAL_ENTITY_IDENTIFIER")</f>
        <v/>
      </c>
      <c r="F1703" t="inlineStr">
        <is>
          <t>First American Government Obligations Fund</t>
        </is>
      </c>
      <c r="G1703">
        <f>custodian!D1703</f>
        <v/>
      </c>
      <c r="H1703">
        <f>BDP($B1703,"ID_ISIN")</f>
        <v/>
      </c>
      <c r="I1703" s="1" t="inlineStr">
        <is>
          <t>FGXXX</t>
        </is>
      </c>
      <c r="J1703">
        <f>BDP($B1703,"CNTRY_OF_DOMICILE")</f>
        <v/>
      </c>
      <c r="K1703" t="inlineStr">
        <is>
          <t>STIV</t>
        </is>
      </c>
      <c r="L1703" t="inlineStr">
        <is>
          <t>RF</t>
        </is>
      </c>
      <c r="M1703" t="inlineStr"/>
      <c r="N1703" t="inlineStr"/>
      <c r="O1703" s="1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s="1" t="inlineStr"/>
      <c r="AR1703" s="1" t="inlineStr"/>
      <c r="AS1703" s="1" t="inlineStr"/>
      <c r="AT1703" t="inlineStr"/>
      <c r="AU1703" t="inlineStr"/>
      <c r="AV1703" t="inlineStr"/>
      <c r="AW1703" t="inlineStr"/>
      <c r="AX1703" t="inlineStr"/>
      <c r="AY1703" t="inlineStr"/>
    </row>
    <row r="1704">
      <c r="A1704" t="inlineStr">
        <is>
          <t>QJN</t>
        </is>
      </c>
      <c r="B1704" t="inlineStr"/>
      <c r="C1704" s="1" t="inlineStr">
        <is>
          <t>Cash&amp;Other</t>
        </is>
      </c>
      <c r="D1704" t="inlineStr"/>
      <c r="E1704" s="1" t="inlineStr"/>
      <c r="F1704" t="inlineStr"/>
      <c r="G1704">
        <f>custodian!D1704</f>
        <v/>
      </c>
      <c r="H1704" s="1" t="inlineStr"/>
      <c r="I1704" s="1" t="inlineStr"/>
      <c r="J1704" t="inlineStr"/>
      <c r="K1704" t="inlineStr"/>
      <c r="L1704" t="inlineStr"/>
      <c r="M1704" t="inlineStr"/>
      <c r="N1704" t="inlineStr"/>
      <c r="O1704" s="1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s="1" t="inlineStr"/>
      <c r="AR1704" s="1" t="inlineStr"/>
      <c r="AS1704" s="1" t="inlineStr"/>
      <c r="AT1704" t="inlineStr"/>
      <c r="AU1704" t="inlineStr"/>
      <c r="AV1704" t="inlineStr"/>
      <c r="AW1704" t="inlineStr"/>
      <c r="AX1704" t="inlineStr"/>
      <c r="AY1704" t="inlineStr"/>
    </row>
    <row r="1705">
      <c r="A1705" t="inlineStr">
        <is>
          <t>QMY</t>
        </is>
      </c>
      <c r="B1705" t="inlineStr"/>
      <c r="C1705" s="1" t="inlineStr">
        <is>
          <t>2QQQ  270430C00136300</t>
        </is>
      </c>
      <c r="D1705" t="inlineStr">
        <is>
          <t>QQQ 04/30/2027 136.3 C</t>
        </is>
      </c>
      <c r="E1705" s="1" t="inlineStr">
        <is>
          <t>N/A</t>
        </is>
      </c>
      <c r="F1705" t="inlineStr">
        <is>
          <t>QQQ 04/30/2027 136.3 C</t>
        </is>
      </c>
      <c r="G1705">
        <f>custodian!D1705</f>
        <v/>
      </c>
      <c r="H1705" s="1" t="inlineStr"/>
      <c r="I1705" s="1" t="inlineStr">
        <is>
          <t>QQQ-C136.3-20270430</t>
        </is>
      </c>
      <c r="J1705" t="inlineStr">
        <is>
          <t>US</t>
        </is>
      </c>
      <c r="K1705" t="inlineStr">
        <is>
          <t>DE</t>
        </is>
      </c>
      <c r="L1705" t="inlineStr">
        <is>
          <t>CORP</t>
        </is>
      </c>
      <c r="M1705" t="inlineStr">
        <is>
          <t>OPT</t>
        </is>
      </c>
      <c r="N1705" t="inlineStr">
        <is>
          <t>The Options Clearing Corporation</t>
        </is>
      </c>
      <c r="O1705" s="1" t="inlineStr">
        <is>
          <t>549300CII6SLYGKNHA04</t>
        </is>
      </c>
      <c r="P1705" t="inlineStr">
        <is>
          <t>Call</t>
        </is>
      </c>
      <c r="Q1705" t="inlineStr">
        <is>
          <t>Purchased</t>
        </is>
      </c>
      <c r="R1705" t="inlineStr">
        <is>
          <t>136.3</t>
        </is>
      </c>
      <c r="S1705" t="inlineStr">
        <is>
          <t>USD</t>
        </is>
      </c>
      <c r="T1705" t="inlineStr">
        <is>
          <t>2027-04-30</t>
        </is>
      </c>
      <c r="U1705" t="inlineStr">
        <is>
          <t>N/A</t>
        </is>
      </c>
      <c r="V1705" t="inlineStr">
        <is>
          <t>indexBasket</t>
        </is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137493.69</t>
        </is>
      </c>
      <c r="AD1705" t="inlineStr">
        <is>
          <t>3890997.91</t>
        </is>
      </c>
      <c r="AE1705" t="inlineStr">
        <is>
          <t>82.19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s="1" t="inlineStr"/>
      <c r="AR1705" s="1" t="inlineStr"/>
      <c r="AS1705" s="1" t="inlineStr"/>
      <c r="AT1705" t="inlineStr"/>
      <c r="AU1705" t="inlineStr"/>
      <c r="AV1705" t="inlineStr"/>
      <c r="AW1705" t="inlineStr"/>
      <c r="AX1705" t="inlineStr"/>
      <c r="AY1705" t="inlineStr"/>
    </row>
    <row r="1706">
      <c r="A1706" t="inlineStr">
        <is>
          <t>QMY</t>
        </is>
      </c>
      <c r="B1706" t="inlineStr"/>
      <c r="C1706" s="1" t="inlineStr">
        <is>
          <t>2QQQ  270430C00834840</t>
        </is>
      </c>
      <c r="D1706" t="inlineStr">
        <is>
          <t>QQQ 04/30/2027 834.84 C</t>
        </is>
      </c>
      <c r="E1706" s="1" t="inlineStr">
        <is>
          <t>N/A</t>
        </is>
      </c>
      <c r="F1706" t="inlineStr">
        <is>
          <t>QQQ 04/30/2027 834.84 C</t>
        </is>
      </c>
      <c r="G1706">
        <f>custodian!D1706</f>
        <v/>
      </c>
      <c r="H1706" s="1" t="inlineStr"/>
      <c r="I1706" s="1" t="inlineStr">
        <is>
          <t>QQQ-C834.84-20270430</t>
        </is>
      </c>
      <c r="J1706" t="inlineStr">
        <is>
          <t>US</t>
        </is>
      </c>
      <c r="K1706" t="inlineStr">
        <is>
          <t>DE</t>
        </is>
      </c>
      <c r="L1706" t="inlineStr">
        <is>
          <t>CORP</t>
        </is>
      </c>
      <c r="M1706" t="inlineStr">
        <is>
          <t>OPT</t>
        </is>
      </c>
      <c r="N1706" t="inlineStr">
        <is>
          <t>The Options Clearing Corporation</t>
        </is>
      </c>
      <c r="O1706" s="1" t="inlineStr">
        <is>
          <t>549300CII6SLYGKNHA04</t>
        </is>
      </c>
      <c r="P1706" t="inlineStr">
        <is>
          <t>Call</t>
        </is>
      </c>
      <c r="Q1706" t="inlineStr">
        <is>
          <t>Written</t>
        </is>
      </c>
      <c r="R1706" t="inlineStr">
        <is>
          <t>834.84</t>
        </is>
      </c>
      <c r="S1706" t="inlineStr">
        <is>
          <t>USD</t>
        </is>
      </c>
      <c r="T1706" t="inlineStr">
        <is>
          <t>2027-04-30</t>
        </is>
      </c>
      <c r="U1706" t="inlineStr">
        <is>
          <t>N/A</t>
        </is>
      </c>
      <c r="V1706" t="inlineStr">
        <is>
          <t>indexBasket</t>
        </is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-68979.40</t>
        </is>
      </c>
      <c r="AD1706" t="inlineStr">
        <is>
          <t>-207666.31</t>
        </is>
      </c>
      <c r="AE1706" t="inlineStr">
        <is>
          <t>-4.39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s="1" t="inlineStr"/>
      <c r="AR1706" s="1" t="inlineStr"/>
      <c r="AS1706" s="1" t="inlineStr"/>
      <c r="AT1706" t="inlineStr"/>
      <c r="AU1706" t="inlineStr"/>
      <c r="AV1706" t="inlineStr"/>
      <c r="AW1706" t="inlineStr"/>
      <c r="AX1706" t="inlineStr"/>
      <c r="AY1706" t="inlineStr"/>
    </row>
    <row r="1707">
      <c r="A1707" t="inlineStr">
        <is>
          <t>QMY</t>
        </is>
      </c>
      <c r="B1707" t="inlineStr"/>
      <c r="C1707" s="1" t="inlineStr">
        <is>
          <t>2QQQ  270430P00613350</t>
        </is>
      </c>
      <c r="D1707" t="inlineStr">
        <is>
          <t>QQQ 04/30/2027 613.35 P</t>
        </is>
      </c>
      <c r="E1707" s="1" t="inlineStr">
        <is>
          <t>N/A</t>
        </is>
      </c>
      <c r="F1707" t="inlineStr">
        <is>
          <t>QQQ 04/30/2027 613.35 P</t>
        </is>
      </c>
      <c r="G1707">
        <f>custodian!D1707</f>
        <v/>
      </c>
      <c r="H1707" s="1" t="inlineStr"/>
      <c r="I1707" s="1" t="inlineStr">
        <is>
          <t>QQQ-P613.35-20270430</t>
        </is>
      </c>
      <c r="J1707" t="inlineStr">
        <is>
          <t>US</t>
        </is>
      </c>
      <c r="K1707" t="inlineStr">
        <is>
          <t>DE</t>
        </is>
      </c>
      <c r="L1707" t="inlineStr">
        <is>
          <t>CORP</t>
        </is>
      </c>
      <c r="M1707" t="inlineStr">
        <is>
          <t>OPT</t>
        </is>
      </c>
      <c r="N1707" t="inlineStr">
        <is>
          <t>The Options Clearing Corporation</t>
        </is>
      </c>
      <c r="O1707" s="1" t="inlineStr">
        <is>
          <t>549300CII6SLYGKNHA04</t>
        </is>
      </c>
      <c r="P1707" t="inlineStr">
        <is>
          <t>Put</t>
        </is>
      </c>
      <c r="Q1707" t="inlineStr">
        <is>
          <t>Written</t>
        </is>
      </c>
      <c r="R1707" t="inlineStr">
        <is>
          <t>613.35</t>
        </is>
      </c>
      <c r="S1707" t="inlineStr">
        <is>
          <t>USD</t>
        </is>
      </c>
      <c r="T1707" t="inlineStr">
        <is>
          <t>2027-04-30</t>
        </is>
      </c>
      <c r="U1707" t="inlineStr">
        <is>
          <t>N/A</t>
        </is>
      </c>
      <c r="V1707" t="inlineStr">
        <is>
          <t>indexBasket</t>
        </is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-196.75</t>
        </is>
      </c>
      <c r="AD1707" t="inlineStr">
        <is>
          <t>-194553.39</t>
        </is>
      </c>
      <c r="AE1707" t="inlineStr">
        <is>
          <t>-4.11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s="1" t="inlineStr"/>
      <c r="AR1707" s="1" t="inlineStr"/>
      <c r="AS1707" s="1" t="inlineStr"/>
      <c r="AT1707" t="inlineStr"/>
      <c r="AU1707" t="inlineStr"/>
      <c r="AV1707" t="inlineStr"/>
      <c r="AW1707" t="inlineStr"/>
      <c r="AX1707" t="inlineStr"/>
      <c r="AY1707" t="inlineStr"/>
    </row>
    <row r="1708">
      <c r="A1708" t="inlineStr">
        <is>
          <t>QMY</t>
        </is>
      </c>
      <c r="B1708" t="inlineStr"/>
      <c r="C1708" s="1" t="inlineStr">
        <is>
          <t>2QQQ  270430P00681500</t>
        </is>
      </c>
      <c r="D1708" t="inlineStr">
        <is>
          <t>QQQ 04/30/2027 681.5 P</t>
        </is>
      </c>
      <c r="E1708" s="1" t="inlineStr">
        <is>
          <t>N/A</t>
        </is>
      </c>
      <c r="F1708" t="inlineStr">
        <is>
          <t>QQQ 04/30/2027 681.5 P</t>
        </is>
      </c>
      <c r="G1708">
        <f>custodian!D1708</f>
        <v/>
      </c>
      <c r="H1708" s="1" t="inlineStr"/>
      <c r="I1708" s="1" t="inlineStr">
        <is>
          <t>QQQ-P681.5-20270430</t>
        </is>
      </c>
      <c r="J1708" t="inlineStr">
        <is>
          <t>US</t>
        </is>
      </c>
      <c r="K1708" t="inlineStr">
        <is>
          <t>DE</t>
        </is>
      </c>
      <c r="L1708" t="inlineStr">
        <is>
          <t>CORP</t>
        </is>
      </c>
      <c r="M1708" t="inlineStr">
        <is>
          <t>OPT</t>
        </is>
      </c>
      <c r="N1708" t="inlineStr">
        <is>
          <t>The Options Clearing Corporation</t>
        </is>
      </c>
      <c r="O1708" s="1" t="inlineStr">
        <is>
          <t>549300CII6SLYGKNHA04</t>
        </is>
      </c>
      <c r="P1708" t="inlineStr">
        <is>
          <t>Put</t>
        </is>
      </c>
      <c r="Q1708" t="inlineStr">
        <is>
          <t>Purchased</t>
        </is>
      </c>
      <c r="R1708" t="inlineStr">
        <is>
          <t>681.5</t>
        </is>
      </c>
      <c r="S1708" t="inlineStr">
        <is>
          <t>USD</t>
        </is>
      </c>
      <c r="T1708" t="inlineStr">
        <is>
          <t>2027-04-30</t>
        </is>
      </c>
      <c r="U1708" t="inlineStr">
        <is>
          <t>N/A</t>
        </is>
      </c>
      <c r="V1708" t="inlineStr">
        <is>
          <t>indexBasket</t>
        </is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-508.14</t>
        </is>
      </c>
      <c r="AD1708" t="inlineStr">
        <is>
          <t>318160.29</t>
        </is>
      </c>
      <c r="AE1708" t="inlineStr">
        <is>
          <t>6.72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s="1" t="inlineStr"/>
      <c r="AR1708" s="1" t="inlineStr"/>
      <c r="AS1708" s="1" t="inlineStr"/>
      <c r="AT1708" t="inlineStr"/>
      <c r="AU1708" t="inlineStr"/>
      <c r="AV1708" t="inlineStr"/>
      <c r="AW1708" t="inlineStr"/>
      <c r="AX1708" t="inlineStr"/>
      <c r="AY1708" t="inlineStr"/>
    </row>
    <row r="1709">
      <c r="A1709" t="inlineStr">
        <is>
          <t>QMY</t>
        </is>
      </c>
      <c r="B1709" t="inlineStr">
        <is>
          <t>91282CMY4 Govt</t>
        </is>
      </c>
      <c r="C1709" s="1" t="inlineStr">
        <is>
          <t>91282CMY4</t>
        </is>
      </c>
      <c r="D1709" t="inlineStr">
        <is>
          <t>United States Treasury Note/Bo</t>
        </is>
      </c>
      <c r="E1709">
        <f>BDP($B1709,"LEGAL_ENTITY_IDENTIFIER")</f>
        <v/>
      </c>
      <c r="F1709" t="inlineStr">
        <is>
          <t>United States Treasury Note/Bond 3.75% 04/30/2027</t>
        </is>
      </c>
      <c r="G1709">
        <f>custodian!D1709</f>
        <v/>
      </c>
      <c r="H1709">
        <f>BDP($B1709,"ID_ISIN")</f>
        <v/>
      </c>
      <c r="I1709" s="1" t="inlineStr"/>
      <c r="J1709">
        <f>BDP($B1709,"CNTRY_OF_DOMICILE")</f>
        <v/>
      </c>
      <c r="K1709" t="inlineStr">
        <is>
          <t>DBT</t>
        </is>
      </c>
      <c r="L1709" t="inlineStr">
        <is>
          <t>UST</t>
        </is>
      </c>
      <c r="M1709" t="inlineStr"/>
      <c r="N1709" t="inlineStr"/>
      <c r="O1709" s="1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s="1" t="inlineStr"/>
      <c r="AR1709" s="1" t="inlineStr"/>
      <c r="AS1709" s="1" t="inlineStr"/>
      <c r="AT1709">
        <f>TEXT(BDP($B1709,"MATURITY"),"yyyy-mm-dd")</f>
        <v/>
      </c>
      <c r="AU1709">
        <f>BDP($B1709,"CPN_TYP")</f>
        <v/>
      </c>
      <c r="AV1709">
        <f>BDP($B1709,"CPN")</f>
        <v/>
      </c>
      <c r="AW1709" t="inlineStr"/>
      <c r="AX1709" t="inlineStr"/>
      <c r="AY1709" t="inlineStr"/>
    </row>
    <row r="1710">
      <c r="A1710" t="inlineStr">
        <is>
          <t>QMY</t>
        </is>
      </c>
      <c r="B1710" t="inlineStr">
        <is>
          <t>FGXXX US Equity</t>
        </is>
      </c>
      <c r="C1710" s="1" t="inlineStr">
        <is>
          <t>FGXXX</t>
        </is>
      </c>
      <c r="D1710" t="inlineStr">
        <is>
          <t>First American Government Obli</t>
        </is>
      </c>
      <c r="E1710">
        <f>BDP($B1710,"LEGAL_ENTITY_IDENTIFIER")</f>
        <v/>
      </c>
      <c r="F1710" t="inlineStr">
        <is>
          <t>First American Government Obligations Fund</t>
        </is>
      </c>
      <c r="G1710">
        <f>custodian!D1710</f>
        <v/>
      </c>
      <c r="H1710">
        <f>BDP($B1710,"ID_ISIN")</f>
        <v/>
      </c>
      <c r="I1710" s="1" t="inlineStr">
        <is>
          <t>FGXXX</t>
        </is>
      </c>
      <c r="J1710">
        <f>BDP($B1710,"CNTRY_OF_DOMICILE")</f>
        <v/>
      </c>
      <c r="K1710" t="inlineStr">
        <is>
          <t>STIV</t>
        </is>
      </c>
      <c r="L1710" t="inlineStr">
        <is>
          <t>RF</t>
        </is>
      </c>
      <c r="M1710" t="inlineStr"/>
      <c r="N1710" t="inlineStr"/>
      <c r="O1710" s="1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s="1" t="inlineStr"/>
      <c r="AR1710" s="1" t="inlineStr"/>
      <c r="AS1710" s="1" t="inlineStr"/>
      <c r="AT1710" t="inlineStr"/>
      <c r="AU1710" t="inlineStr"/>
      <c r="AV1710" t="inlineStr"/>
      <c r="AW1710" t="inlineStr"/>
      <c r="AX1710" t="inlineStr"/>
      <c r="AY1710" t="inlineStr"/>
    </row>
    <row r="1711">
      <c r="A1711" t="inlineStr">
        <is>
          <t>QMY</t>
        </is>
      </c>
      <c r="B1711" t="inlineStr"/>
      <c r="C1711" s="1" t="inlineStr">
        <is>
          <t>Cash&amp;Other</t>
        </is>
      </c>
      <c r="D1711" t="inlineStr"/>
      <c r="E1711" s="1" t="inlineStr"/>
      <c r="F1711" t="inlineStr"/>
      <c r="G1711">
        <f>custodian!D1711</f>
        <v/>
      </c>
      <c r="H1711" s="1" t="inlineStr"/>
      <c r="I1711" s="1" t="inlineStr"/>
      <c r="J1711" t="inlineStr"/>
      <c r="K1711" t="inlineStr"/>
      <c r="L1711" t="inlineStr"/>
      <c r="M1711" t="inlineStr"/>
      <c r="N1711" t="inlineStr"/>
      <c r="O1711" s="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s="1" t="inlineStr"/>
      <c r="AR1711" s="1" t="inlineStr"/>
      <c r="AS1711" s="1" t="inlineStr"/>
      <c r="AT1711" t="inlineStr"/>
      <c r="AU1711" t="inlineStr"/>
      <c r="AV1711" t="inlineStr"/>
      <c r="AW1711" t="inlineStr"/>
      <c r="AX1711" t="inlineStr"/>
      <c r="AY1711" t="inlineStr"/>
    </row>
    <row r="1712">
      <c r="A1712" t="inlineStr">
        <is>
          <t>QQJN</t>
        </is>
      </c>
      <c r="B1712" t="inlineStr"/>
      <c r="C1712" s="1" t="inlineStr">
        <is>
          <t>2QQQ  270528C00148550</t>
        </is>
      </c>
      <c r="D1712" t="inlineStr">
        <is>
          <t>QQQ 05/28/2027 148.55 C</t>
        </is>
      </c>
      <c r="E1712" s="1" t="inlineStr">
        <is>
          <t>N/A</t>
        </is>
      </c>
      <c r="F1712" t="inlineStr">
        <is>
          <t>QQQ 05/28/2027 148.55 C</t>
        </is>
      </c>
      <c r="G1712">
        <f>custodian!D1712</f>
        <v/>
      </c>
      <c r="H1712" s="1" t="inlineStr"/>
      <c r="I1712" s="1" t="inlineStr">
        <is>
          <t>QQQ-C148.55-20270528</t>
        </is>
      </c>
      <c r="J1712" t="inlineStr">
        <is>
          <t>US</t>
        </is>
      </c>
      <c r="K1712" t="inlineStr">
        <is>
          <t>DE</t>
        </is>
      </c>
      <c r="L1712" t="inlineStr">
        <is>
          <t>CORP</t>
        </is>
      </c>
      <c r="M1712" t="inlineStr">
        <is>
          <t>OPT</t>
        </is>
      </c>
      <c r="N1712" t="inlineStr">
        <is>
          <t>The Options Clearing Corporation</t>
        </is>
      </c>
      <c r="O1712" s="1" t="inlineStr">
        <is>
          <t>549300CII6SLYGKNHA04</t>
        </is>
      </c>
      <c r="P1712" t="inlineStr">
        <is>
          <t>Call</t>
        </is>
      </c>
      <c r="Q1712" t="inlineStr">
        <is>
          <t>Purchased</t>
        </is>
      </c>
      <c r="R1712" t="inlineStr">
        <is>
          <t>148.55</t>
        </is>
      </c>
      <c r="S1712" t="inlineStr">
        <is>
          <t>USD</t>
        </is>
      </c>
      <c r="T1712" t="inlineStr">
        <is>
          <t>2027-05-28</t>
        </is>
      </c>
      <c r="U1712" t="inlineStr">
        <is>
          <t>N/A</t>
        </is>
      </c>
      <c r="V1712" t="inlineStr">
        <is>
          <t>indexBasket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-34186.38</t>
        </is>
      </c>
      <c r="AD1712" t="inlineStr">
        <is>
          <t>912163.99</t>
        </is>
      </c>
      <c r="AE1712" t="inlineStr">
        <is>
          <t>74.36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s="1" t="inlineStr"/>
      <c r="AR1712" s="1" t="inlineStr"/>
      <c r="AS1712" s="1" t="inlineStr"/>
      <c r="AT1712" t="inlineStr"/>
      <c r="AU1712" t="inlineStr"/>
      <c r="AV1712" t="inlineStr"/>
      <c r="AW1712" t="inlineStr"/>
      <c r="AX1712" t="inlineStr"/>
      <c r="AY1712" t="inlineStr"/>
    </row>
    <row r="1713">
      <c r="A1713" t="inlineStr">
        <is>
          <t>QQJN</t>
        </is>
      </c>
      <c r="B1713" t="inlineStr"/>
      <c r="C1713" s="1" t="inlineStr">
        <is>
          <t>2QQQ  270528C00880220</t>
        </is>
      </c>
      <c r="D1713" t="inlineStr">
        <is>
          <t>QQQ 05/28/2027 880.22 C</t>
        </is>
      </c>
      <c r="E1713" s="1" t="inlineStr">
        <is>
          <t>N/A</t>
        </is>
      </c>
      <c r="F1713" t="inlineStr">
        <is>
          <t>QQQ 05/28/2027 880.22 C</t>
        </is>
      </c>
      <c r="G1713">
        <f>custodian!D1713</f>
        <v/>
      </c>
      <c r="H1713" s="1" t="inlineStr"/>
      <c r="I1713" s="1" t="inlineStr">
        <is>
          <t>QQQ-C880.22-20270528</t>
        </is>
      </c>
      <c r="J1713" t="inlineStr">
        <is>
          <t>US</t>
        </is>
      </c>
      <c r="K1713" t="inlineStr">
        <is>
          <t>DE</t>
        </is>
      </c>
      <c r="L1713" t="inlineStr">
        <is>
          <t>CORP</t>
        </is>
      </c>
      <c r="M1713" t="inlineStr">
        <is>
          <t>OPT</t>
        </is>
      </c>
      <c r="N1713" t="inlineStr">
        <is>
          <t>The Options Clearing Corporation</t>
        </is>
      </c>
      <c r="O1713" s="1" t="inlineStr">
        <is>
          <t>549300CII6SLYGKNHA04</t>
        </is>
      </c>
      <c r="P1713" t="inlineStr">
        <is>
          <t>Call</t>
        </is>
      </c>
      <c r="Q1713" t="inlineStr">
        <is>
          <t>Written</t>
        </is>
      </c>
      <c r="R1713" t="inlineStr">
        <is>
          <t>880.22</t>
        </is>
      </c>
      <c r="S1713" t="inlineStr">
        <is>
          <t>USD</t>
        </is>
      </c>
      <c r="T1713" t="inlineStr">
        <is>
          <t>2027-05-28</t>
        </is>
      </c>
      <c r="U1713" t="inlineStr">
        <is>
          <t>N/A</t>
        </is>
      </c>
      <c r="V1713" t="inlineStr">
        <is>
          <t>indexBasket</t>
        </is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6919.20</t>
        </is>
      </c>
      <c r="AD1713" t="inlineStr">
        <is>
          <t>-37995.29</t>
        </is>
      </c>
      <c r="AE1713" t="inlineStr">
        <is>
          <t>-3.10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s="1" t="inlineStr"/>
      <c r="AR1713" s="1" t="inlineStr"/>
      <c r="AS1713" s="1" t="inlineStr"/>
      <c r="AT1713" t="inlineStr"/>
      <c r="AU1713" t="inlineStr"/>
      <c r="AV1713" t="inlineStr"/>
      <c r="AW1713" t="inlineStr"/>
      <c r="AX1713" t="inlineStr"/>
      <c r="AY1713" t="inlineStr"/>
    </row>
    <row r="1714">
      <c r="A1714" t="inlineStr">
        <is>
          <t>QQJN</t>
        </is>
      </c>
      <c r="B1714" t="inlineStr"/>
      <c r="C1714" s="1" t="inlineStr">
        <is>
          <t>2QQQ  270528P00631330</t>
        </is>
      </c>
      <c r="D1714" t="inlineStr">
        <is>
          <t>QQQ 05/28/2027 631.33 P</t>
        </is>
      </c>
      <c r="E1714" s="1" t="inlineStr">
        <is>
          <t>N/A</t>
        </is>
      </c>
      <c r="F1714" t="inlineStr">
        <is>
          <t>QQQ 05/28/2027 631.33 P</t>
        </is>
      </c>
      <c r="G1714">
        <f>custodian!D1714</f>
        <v/>
      </c>
      <c r="H1714" s="1" t="inlineStr"/>
      <c r="I1714" s="1" t="inlineStr">
        <is>
          <t>QQQ-P631.33-20270528</t>
        </is>
      </c>
      <c r="J1714" t="inlineStr">
        <is>
          <t>US</t>
        </is>
      </c>
      <c r="K1714" t="inlineStr">
        <is>
          <t>DE</t>
        </is>
      </c>
      <c r="L1714" t="inlineStr">
        <is>
          <t>CORP</t>
        </is>
      </c>
      <c r="M1714" t="inlineStr">
        <is>
          <t>OPT</t>
        </is>
      </c>
      <c r="N1714" t="inlineStr">
        <is>
          <t>The Options Clearing Corporation</t>
        </is>
      </c>
      <c r="O1714" s="1" t="inlineStr">
        <is>
          <t>549300CII6SLYGKNHA04</t>
        </is>
      </c>
      <c r="P1714" t="inlineStr">
        <is>
          <t>Put</t>
        </is>
      </c>
      <c r="Q1714" t="inlineStr">
        <is>
          <t>Written</t>
        </is>
      </c>
      <c r="R1714" t="inlineStr">
        <is>
          <t>631.33</t>
        </is>
      </c>
      <c r="S1714" t="inlineStr">
        <is>
          <t>USD</t>
        </is>
      </c>
      <c r="T1714" t="inlineStr">
        <is>
          <t>2027-05-28</t>
        </is>
      </c>
      <c r="U1714" t="inlineStr">
        <is>
          <t>N/A</t>
        </is>
      </c>
      <c r="V1714" t="inlineStr">
        <is>
          <t>indexBasket</t>
        </is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-11314.97</t>
        </is>
      </c>
      <c r="AD1714" t="inlineStr">
        <is>
          <t>-55816.39</t>
        </is>
      </c>
      <c r="AE1714" t="inlineStr">
        <is>
          <t>-4.55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s="1" t="inlineStr"/>
      <c r="AR1714" s="1" t="inlineStr"/>
      <c r="AS1714" s="1" t="inlineStr"/>
      <c r="AT1714" t="inlineStr"/>
      <c r="AU1714" t="inlineStr"/>
      <c r="AV1714" t="inlineStr"/>
      <c r="AW1714" t="inlineStr"/>
      <c r="AX1714" t="inlineStr"/>
      <c r="AY1714" t="inlineStr"/>
    </row>
    <row r="1715">
      <c r="A1715" t="inlineStr">
        <is>
          <t>QQJN</t>
        </is>
      </c>
      <c r="B1715" t="inlineStr"/>
      <c r="C1715" s="1" t="inlineStr">
        <is>
          <t>2QQQ  270528P00742740</t>
        </is>
      </c>
      <c r="D1715" t="inlineStr">
        <is>
          <t>QQQ 05/28/2027 742.74 P</t>
        </is>
      </c>
      <c r="E1715" s="1" t="inlineStr">
        <is>
          <t>N/A</t>
        </is>
      </c>
      <c r="F1715" t="inlineStr">
        <is>
          <t>QQQ 05/28/2027 742.74 P</t>
        </is>
      </c>
      <c r="G1715">
        <f>custodian!D1715</f>
        <v/>
      </c>
      <c r="H1715" s="1" t="inlineStr"/>
      <c r="I1715" s="1" t="inlineStr">
        <is>
          <t>QQQ-P742.74-20270528</t>
        </is>
      </c>
      <c r="J1715" t="inlineStr">
        <is>
          <t>US</t>
        </is>
      </c>
      <c r="K1715" t="inlineStr">
        <is>
          <t>DE</t>
        </is>
      </c>
      <c r="L1715" t="inlineStr">
        <is>
          <t>CORP</t>
        </is>
      </c>
      <c r="M1715" t="inlineStr">
        <is>
          <t>OPT</t>
        </is>
      </c>
      <c r="N1715" t="inlineStr">
        <is>
          <t>The Options Clearing Corporation</t>
        </is>
      </c>
      <c r="O1715" s="1" t="inlineStr">
        <is>
          <t>549300CII6SLYGKNHA04</t>
        </is>
      </c>
      <c r="P1715" t="inlineStr">
        <is>
          <t>Put</t>
        </is>
      </c>
      <c r="Q1715" t="inlineStr">
        <is>
          <t>Purchased</t>
        </is>
      </c>
      <c r="R1715" t="inlineStr">
        <is>
          <t>742.74</t>
        </is>
      </c>
      <c r="S1715" t="inlineStr">
        <is>
          <t>USD</t>
        </is>
      </c>
      <c r="T1715" t="inlineStr">
        <is>
          <t>2027-05-28</t>
        </is>
      </c>
      <c r="U1715" t="inlineStr">
        <is>
          <t>N/A</t>
        </is>
      </c>
      <c r="V1715" t="inlineStr">
        <is>
          <t>indexBasket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20176.16</t>
        </is>
      </c>
      <c r="AD1715" t="inlineStr">
        <is>
          <t>118067.53</t>
        </is>
      </c>
      <c r="AE1715" t="inlineStr">
        <is>
          <t>9.63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s="1" t="inlineStr"/>
      <c r="AR1715" s="1" t="inlineStr"/>
      <c r="AS1715" s="1" t="inlineStr"/>
      <c r="AT1715" t="inlineStr"/>
      <c r="AU1715" t="inlineStr"/>
      <c r="AV1715" t="inlineStr"/>
      <c r="AW1715" t="inlineStr"/>
      <c r="AX1715" t="inlineStr"/>
      <c r="AY1715" t="inlineStr"/>
    </row>
    <row r="1716">
      <c r="A1716" t="inlineStr">
        <is>
          <t>QQJN</t>
        </is>
      </c>
      <c r="B1716" t="inlineStr">
        <is>
          <t>912828ZS2 Govt</t>
        </is>
      </c>
      <c r="C1716" s="1" t="inlineStr">
        <is>
          <t>912828ZS2</t>
        </is>
      </c>
      <c r="D1716" t="inlineStr">
        <is>
          <t>United States Treasury Note/Bo</t>
        </is>
      </c>
      <c r="E1716">
        <f>BDP($B1716,"LEGAL_ENTITY_IDENTIFIER")</f>
        <v/>
      </c>
      <c r="F1716" t="inlineStr">
        <is>
          <t>United States Treasury Note/Bond 0.5% 05/31/2027</t>
        </is>
      </c>
      <c r="G1716">
        <f>custodian!D1716</f>
        <v/>
      </c>
      <c r="H1716">
        <f>BDP($B1716,"ID_ISIN")</f>
        <v/>
      </c>
      <c r="I1716" s="1" t="inlineStr"/>
      <c r="J1716">
        <f>BDP($B1716,"CNTRY_OF_DOMICILE")</f>
        <v/>
      </c>
      <c r="K1716" t="inlineStr">
        <is>
          <t>DBT</t>
        </is>
      </c>
      <c r="L1716" t="inlineStr">
        <is>
          <t>UST</t>
        </is>
      </c>
      <c r="M1716" t="inlineStr"/>
      <c r="N1716" t="inlineStr"/>
      <c r="O1716" s="1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s="1" t="inlineStr"/>
      <c r="AR1716" s="1" t="inlineStr"/>
      <c r="AS1716" s="1" t="inlineStr"/>
      <c r="AT1716">
        <f>TEXT(BDP($B1716,"MATURITY"),"yyyy-mm-dd")</f>
        <v/>
      </c>
      <c r="AU1716">
        <f>BDP($B1716,"CPN_TYP")</f>
        <v/>
      </c>
      <c r="AV1716">
        <f>BDP($B1716,"CPN")</f>
        <v/>
      </c>
      <c r="AW1716" t="inlineStr"/>
      <c r="AX1716" t="inlineStr"/>
      <c r="AY1716" t="inlineStr"/>
    </row>
    <row r="1717">
      <c r="A1717" t="inlineStr">
        <is>
          <t>QQJN</t>
        </is>
      </c>
      <c r="B1717" t="inlineStr">
        <is>
          <t>FGXXX US Equity</t>
        </is>
      </c>
      <c r="C1717" s="1" t="inlineStr">
        <is>
          <t>FGXXX</t>
        </is>
      </c>
      <c r="D1717" t="inlineStr">
        <is>
          <t>First American Government Obli</t>
        </is>
      </c>
      <c r="E1717">
        <f>BDP($B1717,"LEGAL_ENTITY_IDENTIFIER")</f>
        <v/>
      </c>
      <c r="F1717" t="inlineStr">
        <is>
          <t>First American Government Obligations Fund</t>
        </is>
      </c>
      <c r="G1717">
        <f>custodian!D1717</f>
        <v/>
      </c>
      <c r="H1717">
        <f>BDP($B1717,"ID_ISIN")</f>
        <v/>
      </c>
      <c r="I1717" s="1" t="inlineStr">
        <is>
          <t>FGXXX</t>
        </is>
      </c>
      <c r="J1717">
        <f>BDP($B1717,"CNTRY_OF_DOMICILE")</f>
        <v/>
      </c>
      <c r="K1717" t="inlineStr">
        <is>
          <t>STIV</t>
        </is>
      </c>
      <c r="L1717" t="inlineStr">
        <is>
          <t>RF</t>
        </is>
      </c>
      <c r="M1717" t="inlineStr"/>
      <c r="N1717" t="inlineStr"/>
      <c r="O1717" s="1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s="1" t="inlineStr"/>
      <c r="AR1717" s="1" t="inlineStr"/>
      <c r="AS1717" s="1" t="inlineStr"/>
      <c r="AT1717" t="inlineStr"/>
      <c r="AU1717" t="inlineStr"/>
      <c r="AV1717" t="inlineStr"/>
      <c r="AW1717" t="inlineStr"/>
      <c r="AX1717" t="inlineStr"/>
      <c r="AY1717" t="inlineStr"/>
    </row>
    <row r="1718">
      <c r="A1718" t="inlineStr">
        <is>
          <t>QQJN</t>
        </is>
      </c>
      <c r="B1718" t="inlineStr"/>
      <c r="C1718" s="1" t="inlineStr">
        <is>
          <t>Cash&amp;Other</t>
        </is>
      </c>
      <c r="D1718" t="inlineStr"/>
      <c r="E1718" s="1" t="inlineStr"/>
      <c r="F1718" t="inlineStr"/>
      <c r="G1718">
        <f>custodian!D1718</f>
        <v/>
      </c>
      <c r="H1718" s="1" t="inlineStr"/>
      <c r="I1718" s="1" t="inlineStr"/>
      <c r="J1718" t="inlineStr"/>
      <c r="K1718" t="inlineStr"/>
      <c r="L1718" t="inlineStr"/>
      <c r="M1718" t="inlineStr"/>
      <c r="N1718" t="inlineStr"/>
      <c r="O1718" s="1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s="1" t="inlineStr"/>
      <c r="AR1718" s="1" t="inlineStr"/>
      <c r="AS1718" s="1" t="inlineStr"/>
      <c r="AT1718" t="inlineStr"/>
      <c r="AU1718" t="inlineStr"/>
      <c r="AV1718" t="inlineStr"/>
      <c r="AW1718" t="inlineStr"/>
      <c r="AX1718" t="inlineStr"/>
      <c r="AY1718" t="inlineStr"/>
    </row>
    <row r="1719">
      <c r="A1719" t="inlineStr">
        <is>
          <t>QQMY</t>
        </is>
      </c>
      <c r="B1719" t="inlineStr"/>
      <c r="C1719" s="1" t="inlineStr">
        <is>
          <t>2QQQ  270430C00133550</t>
        </is>
      </c>
      <c r="D1719" t="inlineStr">
        <is>
          <t>QQQ 04/30/2027 133.55 C</t>
        </is>
      </c>
      <c r="E1719" s="1" t="inlineStr">
        <is>
          <t>N/A</t>
        </is>
      </c>
      <c r="F1719" t="inlineStr">
        <is>
          <t>QQQ 04/30/2027 133.55 C</t>
        </is>
      </c>
      <c r="G1719">
        <f>custodian!D1719</f>
        <v/>
      </c>
      <c r="H1719" s="1" t="inlineStr"/>
      <c r="I1719" s="1" t="inlineStr">
        <is>
          <t>QQQ-C133.55-20270430</t>
        </is>
      </c>
      <c r="J1719" t="inlineStr">
        <is>
          <t>US</t>
        </is>
      </c>
      <c r="K1719" t="inlineStr">
        <is>
          <t>DE</t>
        </is>
      </c>
      <c r="L1719" t="inlineStr">
        <is>
          <t>CORP</t>
        </is>
      </c>
      <c r="M1719" t="inlineStr">
        <is>
          <t>OPT</t>
        </is>
      </c>
      <c r="N1719" t="inlineStr">
        <is>
          <t>The Options Clearing Corporation</t>
        </is>
      </c>
      <c r="O1719" s="1" t="inlineStr">
        <is>
          <t>549300CII6SLYGKNHA04</t>
        </is>
      </c>
      <c r="P1719" t="inlineStr">
        <is>
          <t>Call</t>
        </is>
      </c>
      <c r="Q1719" t="inlineStr">
        <is>
          <t>Purchased</t>
        </is>
      </c>
      <c r="R1719" t="inlineStr">
        <is>
          <t>133.55</t>
        </is>
      </c>
      <c r="S1719" t="inlineStr">
        <is>
          <t>USD</t>
        </is>
      </c>
      <c r="T1719" t="inlineStr">
        <is>
          <t>2027-04-30</t>
        </is>
      </c>
      <c r="U1719" t="inlineStr">
        <is>
          <t>N/A</t>
        </is>
      </c>
      <c r="V1719" t="inlineStr">
        <is>
          <t>indexBasket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288543.19</t>
        </is>
      </c>
      <c r="AD1719" t="inlineStr">
        <is>
          <t>4550539.35</t>
        </is>
      </c>
      <c r="AE1719" t="inlineStr">
        <is>
          <t>84.67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s="1" t="inlineStr"/>
      <c r="AR1719" s="1" t="inlineStr"/>
      <c r="AS1719" s="1" t="inlineStr"/>
      <c r="AT1719" t="inlineStr"/>
      <c r="AU1719" t="inlineStr"/>
      <c r="AV1719" t="inlineStr"/>
      <c r="AW1719" t="inlineStr"/>
      <c r="AX1719" t="inlineStr"/>
      <c r="AY1719" t="inlineStr"/>
    </row>
    <row r="1720">
      <c r="A1720" t="inlineStr">
        <is>
          <t>QQMY</t>
        </is>
      </c>
      <c r="B1720" t="inlineStr"/>
      <c r="C1720" s="1" t="inlineStr">
        <is>
          <t>2QQQ  270430C00767900</t>
        </is>
      </c>
      <c r="D1720" t="inlineStr">
        <is>
          <t>QQQ 04/30/2027 767.9 C</t>
        </is>
      </c>
      <c r="E1720" s="1" t="inlineStr">
        <is>
          <t>N/A</t>
        </is>
      </c>
      <c r="F1720" t="inlineStr">
        <is>
          <t>QQQ 04/30/2027 767.9 C</t>
        </is>
      </c>
      <c r="G1720">
        <f>custodian!D1720</f>
        <v/>
      </c>
      <c r="H1720" s="1" t="inlineStr"/>
      <c r="I1720" s="1" t="inlineStr">
        <is>
          <t>QQQ-C767.9-20270430</t>
        </is>
      </c>
      <c r="J1720" t="inlineStr">
        <is>
          <t>US</t>
        </is>
      </c>
      <c r="K1720" t="inlineStr">
        <is>
          <t>DE</t>
        </is>
      </c>
      <c r="L1720" t="inlineStr">
        <is>
          <t>CORP</t>
        </is>
      </c>
      <c r="M1720" t="inlineStr">
        <is>
          <t>OPT</t>
        </is>
      </c>
      <c r="N1720" t="inlineStr">
        <is>
          <t>The Options Clearing Corporation</t>
        </is>
      </c>
      <c r="O1720" s="1" t="inlineStr">
        <is>
          <t>549300CII6SLYGKNHA04</t>
        </is>
      </c>
      <c r="P1720" t="inlineStr">
        <is>
          <t>Call</t>
        </is>
      </c>
      <c r="Q1720" t="inlineStr">
        <is>
          <t>Written</t>
        </is>
      </c>
      <c r="R1720" t="inlineStr">
        <is>
          <t>767.9</t>
        </is>
      </c>
      <c r="S1720" t="inlineStr">
        <is>
          <t>USD</t>
        </is>
      </c>
      <c r="T1720" t="inlineStr">
        <is>
          <t>2027-04-30</t>
        </is>
      </c>
      <c r="U1720" t="inlineStr">
        <is>
          <t>N/A</t>
        </is>
      </c>
      <c r="V1720" t="inlineStr">
        <is>
          <t>indexBasket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-174414.88</t>
        </is>
      </c>
      <c r="AD1720" t="inlineStr">
        <is>
          <t>-427135.87</t>
        </is>
      </c>
      <c r="AE1720" t="inlineStr">
        <is>
          <t>-7.95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s="1" t="inlineStr"/>
      <c r="AR1720" s="1" t="inlineStr"/>
      <c r="AS1720" s="1" t="inlineStr"/>
      <c r="AT1720" t="inlineStr"/>
      <c r="AU1720" t="inlineStr"/>
      <c r="AV1720" t="inlineStr"/>
      <c r="AW1720" t="inlineStr"/>
      <c r="AX1720" t="inlineStr"/>
      <c r="AY1720" t="inlineStr"/>
    </row>
    <row r="1721">
      <c r="A1721" t="inlineStr">
        <is>
          <t>QQMY</t>
        </is>
      </c>
      <c r="B1721" t="inlineStr"/>
      <c r="C1721" s="1" t="inlineStr">
        <is>
          <t>2QQQ  270430P00567580</t>
        </is>
      </c>
      <c r="D1721" t="inlineStr">
        <is>
          <t>QQQ 04/30/2027 567.58 P</t>
        </is>
      </c>
      <c r="E1721" s="1" t="inlineStr">
        <is>
          <t>N/A</t>
        </is>
      </c>
      <c r="F1721" t="inlineStr">
        <is>
          <t>QQQ 04/30/2027 567.58 P</t>
        </is>
      </c>
      <c r="G1721">
        <f>custodian!D1721</f>
        <v/>
      </c>
      <c r="H1721" s="1" t="inlineStr"/>
      <c r="I1721" s="1" t="inlineStr">
        <is>
          <t>QQQ-P567.58-20270430</t>
        </is>
      </c>
      <c r="J1721" t="inlineStr">
        <is>
          <t>US</t>
        </is>
      </c>
      <c r="K1721" t="inlineStr">
        <is>
          <t>DE</t>
        </is>
      </c>
      <c r="L1721" t="inlineStr">
        <is>
          <t>CORP</t>
        </is>
      </c>
      <c r="M1721" t="inlineStr">
        <is>
          <t>OPT</t>
        </is>
      </c>
      <c r="N1721" t="inlineStr">
        <is>
          <t>The Options Clearing Corporation</t>
        </is>
      </c>
      <c r="O1721" s="1" t="inlineStr">
        <is>
          <t>549300CII6SLYGKNHA04</t>
        </is>
      </c>
      <c r="P1721" t="inlineStr">
        <is>
          <t>Put</t>
        </is>
      </c>
      <c r="Q1721" t="inlineStr">
        <is>
          <t>Written</t>
        </is>
      </c>
      <c r="R1721" t="inlineStr">
        <is>
          <t>567.58</t>
        </is>
      </c>
      <c r="S1721" t="inlineStr">
        <is>
          <t>USD</t>
        </is>
      </c>
      <c r="T1721" t="inlineStr">
        <is>
          <t>2027-04-30</t>
        </is>
      </c>
      <c r="U1721" t="inlineStr">
        <is>
          <t>N/A</t>
        </is>
      </c>
      <c r="V1721" t="inlineStr">
        <is>
          <t>indexBasket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10269.51</t>
        </is>
      </c>
      <c r="AD1721" t="inlineStr">
        <is>
          <t>-160699.06</t>
        </is>
      </c>
      <c r="AE1721" t="inlineStr">
        <is>
          <t>-2.99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s="1" t="inlineStr"/>
      <c r="AR1721" s="1" t="inlineStr"/>
      <c r="AS1721" s="1" t="inlineStr"/>
      <c r="AT1721" t="inlineStr"/>
      <c r="AU1721" t="inlineStr"/>
      <c r="AV1721" t="inlineStr"/>
      <c r="AW1721" t="inlineStr"/>
      <c r="AX1721" t="inlineStr"/>
      <c r="AY1721" t="inlineStr"/>
    </row>
    <row r="1722">
      <c r="A1722" t="inlineStr">
        <is>
          <t>QQMY</t>
        </is>
      </c>
      <c r="B1722" t="inlineStr"/>
      <c r="C1722" s="1" t="inlineStr">
        <is>
          <t>2QQQ  270430P00667740</t>
        </is>
      </c>
      <c r="D1722" t="inlineStr">
        <is>
          <t>QQQ 04/30/2027 667.74 P</t>
        </is>
      </c>
      <c r="E1722" s="1" t="inlineStr">
        <is>
          <t>N/A</t>
        </is>
      </c>
      <c r="F1722" t="inlineStr">
        <is>
          <t>QQQ 04/30/2027 667.74 P</t>
        </is>
      </c>
      <c r="G1722">
        <f>custodian!D1722</f>
        <v/>
      </c>
      <c r="H1722" s="1" t="inlineStr"/>
      <c r="I1722" s="1" t="inlineStr">
        <is>
          <t>QQQ-P667.74-20270430</t>
        </is>
      </c>
      <c r="J1722" t="inlineStr">
        <is>
          <t>US</t>
        </is>
      </c>
      <c r="K1722" t="inlineStr">
        <is>
          <t>DE</t>
        </is>
      </c>
      <c r="L1722" t="inlineStr">
        <is>
          <t>CORP</t>
        </is>
      </c>
      <c r="M1722" t="inlineStr">
        <is>
          <t>OPT</t>
        </is>
      </c>
      <c r="N1722" t="inlineStr">
        <is>
          <t>The Options Clearing Corporation</t>
        </is>
      </c>
      <c r="O1722" s="1" t="inlineStr">
        <is>
          <t>549300CII6SLYGKNHA04</t>
        </is>
      </c>
      <c r="P1722" t="inlineStr">
        <is>
          <t>Put</t>
        </is>
      </c>
      <c r="Q1722" t="inlineStr">
        <is>
          <t>Purchased</t>
        </is>
      </c>
      <c r="R1722" t="inlineStr">
        <is>
          <t>667.74</t>
        </is>
      </c>
      <c r="S1722" t="inlineStr">
        <is>
          <t>USD</t>
        </is>
      </c>
      <c r="T1722" t="inlineStr">
        <is>
          <t>2027-04-30</t>
        </is>
      </c>
      <c r="U1722" t="inlineStr">
        <is>
          <t>N/A</t>
        </is>
      </c>
      <c r="V1722" t="inlineStr">
        <is>
          <t>indexBasket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-32971.64</t>
        </is>
      </c>
      <c r="AD1722" t="inlineStr">
        <is>
          <t>336171.52</t>
        </is>
      </c>
      <c r="AE1722" t="inlineStr">
        <is>
          <t>6.26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s="1" t="inlineStr"/>
      <c r="AR1722" s="1" t="inlineStr"/>
      <c r="AS1722" s="1" t="inlineStr"/>
      <c r="AT1722" t="inlineStr"/>
      <c r="AU1722" t="inlineStr"/>
      <c r="AV1722" t="inlineStr"/>
      <c r="AW1722" t="inlineStr"/>
      <c r="AX1722" t="inlineStr"/>
      <c r="AY1722" t="inlineStr"/>
    </row>
    <row r="1723">
      <c r="A1723" t="inlineStr">
        <is>
          <t>QQMY</t>
        </is>
      </c>
      <c r="B1723" t="inlineStr">
        <is>
          <t>912828ZN3 Govt</t>
        </is>
      </c>
      <c r="C1723" s="1" t="inlineStr">
        <is>
          <t>912828ZN3</t>
        </is>
      </c>
      <c r="D1723" t="inlineStr">
        <is>
          <t>United States Treasury Note/Bo</t>
        </is>
      </c>
      <c r="E1723">
        <f>BDP($B1723,"LEGAL_ENTITY_IDENTIFIER")</f>
        <v/>
      </c>
      <c r="F1723" t="inlineStr">
        <is>
          <t>United States Treasury Note/Bond 0.5% 04/30/2027</t>
        </is>
      </c>
      <c r="G1723">
        <f>custodian!D1723</f>
        <v/>
      </c>
      <c r="H1723">
        <f>BDP($B1723,"ID_ISIN")</f>
        <v/>
      </c>
      <c r="I1723" s="1" t="inlineStr"/>
      <c r="J1723">
        <f>BDP($B1723,"CNTRY_OF_DOMICILE")</f>
        <v/>
      </c>
      <c r="K1723" t="inlineStr">
        <is>
          <t>DBT</t>
        </is>
      </c>
      <c r="L1723" t="inlineStr">
        <is>
          <t>UST</t>
        </is>
      </c>
      <c r="M1723" t="inlineStr"/>
      <c r="N1723" t="inlineStr"/>
      <c r="O1723" s="1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s="1" t="inlineStr"/>
      <c r="AR1723" s="1" t="inlineStr"/>
      <c r="AS1723" s="1" t="inlineStr"/>
      <c r="AT1723">
        <f>TEXT(BDP($B1723,"MATURITY"),"yyyy-mm-dd")</f>
        <v/>
      </c>
      <c r="AU1723">
        <f>BDP($B1723,"CPN_TYP")</f>
        <v/>
      </c>
      <c r="AV1723">
        <f>BDP($B1723,"CPN")</f>
        <v/>
      </c>
      <c r="AW1723" t="inlineStr"/>
      <c r="AX1723" t="inlineStr"/>
      <c r="AY1723" t="inlineStr"/>
    </row>
    <row r="1724">
      <c r="A1724" t="inlineStr">
        <is>
          <t>QQMY</t>
        </is>
      </c>
      <c r="B1724" t="inlineStr">
        <is>
          <t>FGXXX US Equity</t>
        </is>
      </c>
      <c r="C1724" s="1" t="inlineStr">
        <is>
          <t>FGXXX</t>
        </is>
      </c>
      <c r="D1724" t="inlineStr">
        <is>
          <t>First American Government Obli</t>
        </is>
      </c>
      <c r="E1724">
        <f>BDP($B1724,"LEGAL_ENTITY_IDENTIFIER")</f>
        <v/>
      </c>
      <c r="F1724" t="inlineStr">
        <is>
          <t>First American Government Obligations Fund</t>
        </is>
      </c>
      <c r="G1724">
        <f>custodian!D1724</f>
        <v/>
      </c>
      <c r="H1724">
        <f>BDP($B1724,"ID_ISIN")</f>
        <v/>
      </c>
      <c r="I1724" s="1" t="inlineStr">
        <is>
          <t>FGXXX</t>
        </is>
      </c>
      <c r="J1724">
        <f>BDP($B1724,"CNTRY_OF_DOMICILE")</f>
        <v/>
      </c>
      <c r="K1724" t="inlineStr">
        <is>
          <t>STIV</t>
        </is>
      </c>
      <c r="L1724" t="inlineStr">
        <is>
          <t>RF</t>
        </is>
      </c>
      <c r="M1724" t="inlineStr"/>
      <c r="N1724" t="inlineStr"/>
      <c r="O1724" s="1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s="1" t="inlineStr"/>
      <c r="AR1724" s="1" t="inlineStr"/>
      <c r="AS1724" s="1" t="inlineStr"/>
      <c r="AT1724" t="inlineStr"/>
      <c r="AU1724" t="inlineStr"/>
      <c r="AV1724" t="inlineStr"/>
      <c r="AW1724" t="inlineStr"/>
      <c r="AX1724" t="inlineStr"/>
      <c r="AY1724" t="inlineStr"/>
    </row>
    <row r="1725">
      <c r="A1725" t="inlineStr">
        <is>
          <t>QQMY</t>
        </is>
      </c>
      <c r="B1725" t="inlineStr"/>
      <c r="C1725" s="1" t="inlineStr">
        <is>
          <t>Cash&amp;Other</t>
        </is>
      </c>
      <c r="D1725" t="inlineStr"/>
      <c r="E1725" s="1" t="inlineStr"/>
      <c r="F1725" t="inlineStr"/>
      <c r="G1725">
        <f>custodian!D1725</f>
        <v/>
      </c>
      <c r="H1725" s="1" t="inlineStr"/>
      <c r="I1725" s="1" t="inlineStr"/>
      <c r="J1725" t="inlineStr"/>
      <c r="K1725" t="inlineStr"/>
      <c r="L1725" t="inlineStr"/>
      <c r="M1725" t="inlineStr"/>
      <c r="N1725" t="inlineStr"/>
      <c r="O1725" s="1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s="1" t="inlineStr"/>
      <c r="AR1725" s="1" t="inlineStr"/>
      <c r="AS1725" s="1" t="inlineStr"/>
      <c r="AT1725" t="inlineStr"/>
      <c r="AU1725" t="inlineStr"/>
      <c r="AV1725" t="inlineStr"/>
      <c r="AW1725" t="inlineStr"/>
      <c r="AX1725" t="inlineStr"/>
      <c r="AY1725" t="inlineStr"/>
    </row>
    <row r="1726">
      <c r="A1726" t="inlineStr">
        <is>
          <t>RMBC</t>
        </is>
      </c>
      <c r="B1726" t="inlineStr">
        <is>
          <t>750917106 Equity</t>
        </is>
      </c>
      <c r="C1726" s="1" t="inlineStr">
        <is>
          <t>750917106-TRS-12/01/27-L-CANT</t>
        </is>
      </c>
      <c r="D1726" t="inlineStr">
        <is>
          <t>N/A</t>
        </is>
      </c>
      <c r="E1726" s="1" t="inlineStr">
        <is>
          <t>N/A</t>
        </is>
      </c>
      <c r="F1726" t="inlineStr">
        <is>
          <t>RAMBUS INC.-SWAP-CANT-L</t>
        </is>
      </c>
      <c r="G1726">
        <f>custodian!D1726</f>
        <v/>
      </c>
      <c r="H1726" s="1" t="inlineStr"/>
      <c r="I1726" s="1" t="inlineStr">
        <is>
          <t>750917106-TRS-12/01/27-L-CANT</t>
        </is>
      </c>
      <c r="J1726" t="inlineStr">
        <is>
          <t>US</t>
        </is>
      </c>
      <c r="K1726" t="inlineStr">
        <is>
          <t>DE</t>
        </is>
      </c>
      <c r="L1726" t="inlineStr">
        <is>
          <t>OTHER</t>
        </is>
      </c>
      <c r="M1726" t="inlineStr">
        <is>
          <t>SWP</t>
        </is>
      </c>
      <c r="N1726" t="inlineStr"/>
      <c r="O1726" s="1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otherRefInst</t>
        </is>
      </c>
      <c r="W1726" t="inlineStr"/>
      <c r="X1726" t="inlineStr"/>
      <c r="Y1726" t="inlineStr">
        <is>
          <t>Y</t>
        </is>
      </c>
      <c r="Z1726" t="inlineStr">
        <is>
          <t>2027-12-01</t>
        </is>
      </c>
      <c r="AA1726" t="inlineStr">
        <is>
          <t>469938.48</t>
        </is>
      </c>
      <c r="AB1726" t="inlineStr">
        <is>
          <t>USD</t>
        </is>
      </c>
      <c r="AC1726" t="inlineStr">
        <is>
          <t>-14383.25</t>
        </is>
      </c>
      <c r="AD1726" t="inlineStr">
        <is>
          <t>-14383.25</t>
        </is>
      </c>
      <c r="AE1726" t="inlineStr">
        <is>
          <t>-6.10</t>
        </is>
      </c>
      <c r="AF1726" t="inlineStr"/>
      <c r="AG1726" t="inlineStr"/>
      <c r="AH1726" t="inlineStr">
        <is>
          <t>Floating</t>
        </is>
      </c>
      <c r="AI1726" t="inlineStr"/>
      <c r="AJ1726" t="inlineStr"/>
      <c r="AK1726" t="inlineStr">
        <is>
          <t>469938.48</t>
        </is>
      </c>
      <c r="AL1726" t="inlineStr">
        <is>
          <t>USD</t>
        </is>
      </c>
      <c r="AM1726" t="inlineStr"/>
      <c r="AN1726" t="inlineStr"/>
      <c r="AO1726">
        <f>BDP($B1726,"ISSUER")</f>
        <v/>
      </c>
      <c r="AP1726">
        <f>BDP($B1726,"NAME")</f>
        <v/>
      </c>
      <c r="AQ1726" s="1" t="inlineStr">
        <is>
          <t>750917106</t>
        </is>
      </c>
      <c r="AR1726">
        <f>BDP($B1726,"ID_ISIN")</f>
        <v/>
      </c>
      <c r="AS1726">
        <f>BDP($B1726,"TICKER")</f>
        <v/>
      </c>
      <c r="AT1726" t="inlineStr"/>
      <c r="AU1726" t="inlineStr"/>
      <c r="AV1726" t="inlineStr"/>
      <c r="AW1726" t="inlineStr"/>
      <c r="AX1726" t="inlineStr"/>
      <c r="AY1726" t="inlineStr"/>
    </row>
    <row r="1727">
      <c r="A1727" t="inlineStr">
        <is>
          <t>RMBC</t>
        </is>
      </c>
      <c r="B1727" t="inlineStr">
        <is>
          <t>FGXXX US Equity</t>
        </is>
      </c>
      <c r="C1727" s="1" t="inlineStr">
        <is>
          <t>FGXXX</t>
        </is>
      </c>
      <c r="D1727" t="inlineStr">
        <is>
          <t>First American Government Obli</t>
        </is>
      </c>
      <c r="E1727">
        <f>BDP($B1727,"LEGAL_ENTITY_IDENTIFIER")</f>
        <v/>
      </c>
      <c r="F1727" t="inlineStr">
        <is>
          <t>First American Government Obligations Fund</t>
        </is>
      </c>
      <c r="G1727">
        <f>custodian!D1727</f>
        <v/>
      </c>
      <c r="H1727">
        <f>BDP($B1727,"ID_ISIN")</f>
        <v/>
      </c>
      <c r="I1727" s="1" t="inlineStr">
        <is>
          <t>FGXXX</t>
        </is>
      </c>
      <c r="J1727">
        <f>BDP($B1727,"CNTRY_OF_DOMICILE")</f>
        <v/>
      </c>
      <c r="K1727" t="inlineStr">
        <is>
          <t>STIV</t>
        </is>
      </c>
      <c r="L1727" t="inlineStr">
        <is>
          <t>RF</t>
        </is>
      </c>
      <c r="M1727" t="inlineStr"/>
      <c r="N1727" t="inlineStr"/>
      <c r="O1727" s="1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s="1" t="inlineStr"/>
      <c r="AR1727" s="1" t="inlineStr"/>
      <c r="AS1727" s="1" t="inlineStr"/>
      <c r="AT1727" t="inlineStr"/>
      <c r="AU1727" t="inlineStr"/>
      <c r="AV1727" t="inlineStr"/>
      <c r="AW1727" t="inlineStr"/>
      <c r="AX1727" t="inlineStr"/>
      <c r="AY1727" t="inlineStr"/>
    </row>
    <row r="1728">
      <c r="A1728" t="inlineStr">
        <is>
          <t>RMBC</t>
        </is>
      </c>
      <c r="B1728" t="inlineStr"/>
      <c r="C1728" s="1" t="inlineStr">
        <is>
          <t>Cash&amp;Other</t>
        </is>
      </c>
      <c r="D1728" t="inlineStr"/>
      <c r="E1728" s="1" t="inlineStr"/>
      <c r="F1728" t="inlineStr"/>
      <c r="G1728">
        <f>custodian!D1728</f>
        <v/>
      </c>
      <c r="H1728" s="1" t="inlineStr"/>
      <c r="I1728" s="1" t="inlineStr"/>
      <c r="J1728" t="inlineStr"/>
      <c r="K1728" t="inlineStr"/>
      <c r="L1728" t="inlineStr"/>
      <c r="M1728" t="inlineStr"/>
      <c r="N1728" t="inlineStr"/>
      <c r="O1728" s="1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s="1" t="inlineStr"/>
      <c r="AR1728" s="1" t="inlineStr"/>
      <c r="AS1728" s="1" t="inlineStr"/>
      <c r="AT1728" t="inlineStr"/>
      <c r="AU1728" t="inlineStr"/>
      <c r="AV1728" t="inlineStr"/>
      <c r="AW1728" t="inlineStr"/>
      <c r="AX1728" t="inlineStr"/>
      <c r="AY1728" t="inlineStr"/>
    </row>
    <row r="1729">
      <c r="A1729" t="inlineStr">
        <is>
          <t>SCJN</t>
        </is>
      </c>
      <c r="B1729" t="inlineStr"/>
      <c r="C1729" s="1" t="inlineStr">
        <is>
          <t>2IWM  270528C00057790</t>
        </is>
      </c>
      <c r="D1729" t="inlineStr">
        <is>
          <t>IWM 05/28/2027 57.79 C</t>
        </is>
      </c>
      <c r="E1729" s="1" t="inlineStr">
        <is>
          <t>N/A</t>
        </is>
      </c>
      <c r="F1729" t="inlineStr">
        <is>
          <t>IWM 05/28/2027 57.79 C</t>
        </is>
      </c>
      <c r="G1729">
        <f>custodian!D1729</f>
        <v/>
      </c>
      <c r="H1729" s="1" t="inlineStr"/>
      <c r="I1729" s="1" t="inlineStr">
        <is>
          <t>IWM-C57.79-20270528</t>
        </is>
      </c>
      <c r="J1729" t="inlineStr">
        <is>
          <t>US</t>
        </is>
      </c>
      <c r="K1729" t="inlineStr">
        <is>
          <t>DE</t>
        </is>
      </c>
      <c r="L1729" t="inlineStr">
        <is>
          <t>CORP</t>
        </is>
      </c>
      <c r="M1729" t="inlineStr">
        <is>
          <t>OPT</t>
        </is>
      </c>
      <c r="N1729" t="inlineStr">
        <is>
          <t>The Options Clearing Corporation</t>
        </is>
      </c>
      <c r="O1729" s="1" t="inlineStr">
        <is>
          <t>549300CII6SLYGKNHA04</t>
        </is>
      </c>
      <c r="P1729" t="inlineStr">
        <is>
          <t>Call</t>
        </is>
      </c>
      <c r="Q1729" t="inlineStr">
        <is>
          <t>Purchased</t>
        </is>
      </c>
      <c r="R1729" t="inlineStr">
        <is>
          <t>57.79</t>
        </is>
      </c>
      <c r="S1729" t="inlineStr">
        <is>
          <t>USD</t>
        </is>
      </c>
      <c r="T1729" t="inlineStr">
        <is>
          <t>2027-05-28</t>
        </is>
      </c>
      <c r="U1729" t="inlineStr">
        <is>
          <t>N/A</t>
        </is>
      </c>
      <c r="V1729" t="inlineStr">
        <is>
          <t>indexBasket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31399.90</t>
        </is>
      </c>
      <c r="AD1729" t="inlineStr">
        <is>
          <t>814284.68</t>
        </is>
      </c>
      <c r="AE1729" t="inlineStr">
        <is>
          <t>80.04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s="1" t="inlineStr"/>
      <c r="AR1729" s="1" t="inlineStr"/>
      <c r="AS1729" s="1" t="inlineStr"/>
      <c r="AT1729" t="inlineStr"/>
      <c r="AU1729" t="inlineStr"/>
      <c r="AV1729" t="inlineStr"/>
      <c r="AW1729" t="inlineStr"/>
      <c r="AX1729" t="inlineStr"/>
      <c r="AY1729" t="inlineStr"/>
    </row>
    <row r="1730">
      <c r="A1730" t="inlineStr">
        <is>
          <t>SCJN</t>
        </is>
      </c>
      <c r="B1730" t="inlineStr"/>
      <c r="C1730" s="1" t="inlineStr">
        <is>
          <t>2IWM  270528C00345560</t>
        </is>
      </c>
      <c r="D1730" t="inlineStr">
        <is>
          <t>IWM 05/28/2027 345.56 C</t>
        </is>
      </c>
      <c r="E1730" s="1" t="inlineStr">
        <is>
          <t>N/A</t>
        </is>
      </c>
      <c r="F1730" t="inlineStr">
        <is>
          <t>IWM 05/28/2027 345.56 C</t>
        </is>
      </c>
      <c r="G1730">
        <f>custodian!D1730</f>
        <v/>
      </c>
      <c r="H1730" s="1" t="inlineStr"/>
      <c r="I1730" s="1" t="inlineStr">
        <is>
          <t>IWM-C345.56-20270528</t>
        </is>
      </c>
      <c r="J1730" t="inlineStr">
        <is>
          <t>US</t>
        </is>
      </c>
      <c r="K1730" t="inlineStr">
        <is>
          <t>DE</t>
        </is>
      </c>
      <c r="L1730" t="inlineStr">
        <is>
          <t>CORP</t>
        </is>
      </c>
      <c r="M1730" t="inlineStr">
        <is>
          <t>OPT</t>
        </is>
      </c>
      <c r="N1730" t="inlineStr">
        <is>
          <t>The Options Clearing Corporation</t>
        </is>
      </c>
      <c r="O1730" s="1" t="inlineStr">
        <is>
          <t>549300CII6SLYGKNHA04</t>
        </is>
      </c>
      <c r="P1730" t="inlineStr">
        <is>
          <t>Call</t>
        </is>
      </c>
      <c r="Q1730" t="inlineStr">
        <is>
          <t>Written</t>
        </is>
      </c>
      <c r="R1730" t="inlineStr">
        <is>
          <t>345.56</t>
        </is>
      </c>
      <c r="S1730" t="inlineStr">
        <is>
          <t>USD</t>
        </is>
      </c>
      <c r="T1730" t="inlineStr">
        <is>
          <t>2027-05-28</t>
        </is>
      </c>
      <c r="U1730" t="inlineStr">
        <is>
          <t>N/A</t>
        </is>
      </c>
      <c r="V1730" t="inlineStr">
        <is>
          <t>indexBasket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-8045.98</t>
        </is>
      </c>
      <c r="AD1730" t="inlineStr">
        <is>
          <t>-38611.20</t>
        </is>
      </c>
      <c r="AE1730" t="inlineStr">
        <is>
          <t>-3.80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s="1" t="inlineStr"/>
      <c r="AR1730" s="1" t="inlineStr"/>
      <c r="AS1730" s="1" t="inlineStr"/>
      <c r="AT1730" t="inlineStr"/>
      <c r="AU1730" t="inlineStr"/>
      <c r="AV1730" t="inlineStr"/>
      <c r="AW1730" t="inlineStr"/>
      <c r="AX1730" t="inlineStr"/>
      <c r="AY1730" t="inlineStr"/>
    </row>
    <row r="1731">
      <c r="A1731" t="inlineStr">
        <is>
          <t>SCJN</t>
        </is>
      </c>
      <c r="B1731" t="inlineStr"/>
      <c r="C1731" s="1" t="inlineStr">
        <is>
          <t>2IWM  270528P00245610</t>
        </is>
      </c>
      <c r="D1731" t="inlineStr">
        <is>
          <t>IWM 05/28/2027 245.61 P</t>
        </is>
      </c>
      <c r="E1731" s="1" t="inlineStr">
        <is>
          <t>N/A</t>
        </is>
      </c>
      <c r="F1731" t="inlineStr">
        <is>
          <t>IWM 05/28/2027 245.61 P</t>
        </is>
      </c>
      <c r="G1731">
        <f>custodian!D1731</f>
        <v/>
      </c>
      <c r="H1731" s="1" t="inlineStr"/>
      <c r="I1731" s="1" t="inlineStr">
        <is>
          <t>IWM-P245.61-20270528</t>
        </is>
      </c>
      <c r="J1731" t="inlineStr">
        <is>
          <t>US</t>
        </is>
      </c>
      <c r="K1731" t="inlineStr">
        <is>
          <t>DE</t>
        </is>
      </c>
      <c r="L1731" t="inlineStr">
        <is>
          <t>CORP</t>
        </is>
      </c>
      <c r="M1731" t="inlineStr">
        <is>
          <t>OPT</t>
        </is>
      </c>
      <c r="N1731" t="inlineStr">
        <is>
          <t>The Options Clearing Corporation</t>
        </is>
      </c>
      <c r="O1731" s="1" t="inlineStr">
        <is>
          <t>549300CII6SLYGKNHA04</t>
        </is>
      </c>
      <c r="P1731" t="inlineStr">
        <is>
          <t>Put</t>
        </is>
      </c>
      <c r="Q1731" t="inlineStr">
        <is>
          <t>Written</t>
        </is>
      </c>
      <c r="R1731" t="inlineStr">
        <is>
          <t>245.61</t>
        </is>
      </c>
      <c r="S1731" t="inlineStr">
        <is>
          <t>USD</t>
        </is>
      </c>
      <c r="T1731" t="inlineStr">
        <is>
          <t>2027-05-28</t>
        </is>
      </c>
      <c r="U1731" t="inlineStr">
        <is>
          <t>N/A</t>
        </is>
      </c>
      <c r="V1731" t="inlineStr">
        <is>
          <t>indexBasket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5209.90</t>
        </is>
      </c>
      <c r="AD1731" t="inlineStr">
        <is>
          <t>-27055.32</t>
        </is>
      </c>
      <c r="AE1731" t="inlineStr">
        <is>
          <t>-2.66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s="1" t="inlineStr"/>
      <c r="AR1731" s="1" t="inlineStr"/>
      <c r="AS1731" s="1" t="inlineStr"/>
      <c r="AT1731" t="inlineStr"/>
      <c r="AU1731" t="inlineStr"/>
      <c r="AV1731" t="inlineStr"/>
      <c r="AW1731" t="inlineStr"/>
      <c r="AX1731" t="inlineStr"/>
      <c r="AY1731" t="inlineStr"/>
    </row>
    <row r="1732">
      <c r="A1732" t="inlineStr">
        <is>
          <t>SCJN</t>
        </is>
      </c>
      <c r="B1732" t="inlineStr"/>
      <c r="C1732" s="1" t="inlineStr">
        <is>
          <t>2IWM  270528P00288950</t>
        </is>
      </c>
      <c r="D1732" t="inlineStr">
        <is>
          <t>IWM 05/28/2027 288.95 P</t>
        </is>
      </c>
      <c r="E1732" s="1" t="inlineStr">
        <is>
          <t>N/A</t>
        </is>
      </c>
      <c r="F1732" t="inlineStr">
        <is>
          <t>IWM 05/28/2027 288.95 P</t>
        </is>
      </c>
      <c r="G1732">
        <f>custodian!D1732</f>
        <v/>
      </c>
      <c r="H1732" s="1" t="inlineStr"/>
      <c r="I1732" s="1" t="inlineStr">
        <is>
          <t>IWM-P288.95-20270528</t>
        </is>
      </c>
      <c r="J1732" t="inlineStr">
        <is>
          <t>US</t>
        </is>
      </c>
      <c r="K1732" t="inlineStr">
        <is>
          <t>DE</t>
        </is>
      </c>
      <c r="L1732" t="inlineStr">
        <is>
          <t>CORP</t>
        </is>
      </c>
      <c r="M1732" t="inlineStr">
        <is>
          <t>OPT</t>
        </is>
      </c>
      <c r="N1732" t="inlineStr">
        <is>
          <t>The Options Clearing Corporation</t>
        </is>
      </c>
      <c r="O1732" s="1" t="inlineStr">
        <is>
          <t>549300CII6SLYGKNHA04</t>
        </is>
      </c>
      <c r="P1732" t="inlineStr">
        <is>
          <t>Put</t>
        </is>
      </c>
      <c r="Q1732" t="inlineStr">
        <is>
          <t>Purchased</t>
        </is>
      </c>
      <c r="R1732" t="inlineStr">
        <is>
          <t>288.95</t>
        </is>
      </c>
      <c r="S1732" t="inlineStr">
        <is>
          <t>USD</t>
        </is>
      </c>
      <c r="T1732" t="inlineStr">
        <is>
          <t>2027-05-28</t>
        </is>
      </c>
      <c r="U1732" t="inlineStr">
        <is>
          <t>N/A</t>
        </is>
      </c>
      <c r="V1732" t="inlineStr">
        <is>
          <t>indexBasket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-11187.50</t>
        </is>
      </c>
      <c r="AD1732" t="inlineStr">
        <is>
          <t>63987.28</t>
        </is>
      </c>
      <c r="AE1732" t="inlineStr">
        <is>
          <t>6.29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s="1" t="inlineStr"/>
      <c r="AR1732" s="1" t="inlineStr"/>
      <c r="AS1732" s="1" t="inlineStr"/>
      <c r="AT1732" t="inlineStr"/>
      <c r="AU1732" t="inlineStr"/>
      <c r="AV1732" t="inlineStr"/>
      <c r="AW1732" t="inlineStr"/>
      <c r="AX1732" t="inlineStr"/>
      <c r="AY1732" t="inlineStr"/>
    </row>
    <row r="1733">
      <c r="A1733" t="inlineStr">
        <is>
          <t>SCJN</t>
        </is>
      </c>
      <c r="B1733" t="inlineStr">
        <is>
          <t>912828ZS2 Govt</t>
        </is>
      </c>
      <c r="C1733" s="1" t="inlineStr">
        <is>
          <t>912828ZS2</t>
        </is>
      </c>
      <c r="D1733" t="inlineStr">
        <is>
          <t>United States Treasury Note/Bo</t>
        </is>
      </c>
      <c r="E1733">
        <f>BDP($B1733,"LEGAL_ENTITY_IDENTIFIER")</f>
        <v/>
      </c>
      <c r="F1733" t="inlineStr">
        <is>
          <t>United States Treasury Note/Bond 0.5% 05/31/2027</t>
        </is>
      </c>
      <c r="G1733">
        <f>custodian!D1733</f>
        <v/>
      </c>
      <c r="H1733">
        <f>BDP($B1733,"ID_ISIN")</f>
        <v/>
      </c>
      <c r="I1733" s="1" t="inlineStr"/>
      <c r="J1733">
        <f>BDP($B1733,"CNTRY_OF_DOMICILE")</f>
        <v/>
      </c>
      <c r="K1733" t="inlineStr">
        <is>
          <t>DBT</t>
        </is>
      </c>
      <c r="L1733" t="inlineStr">
        <is>
          <t>UST</t>
        </is>
      </c>
      <c r="M1733" t="inlineStr"/>
      <c r="N1733" t="inlineStr"/>
      <c r="O1733" s="1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s="1" t="inlineStr"/>
      <c r="AR1733" s="1" t="inlineStr"/>
      <c r="AS1733" s="1" t="inlineStr"/>
      <c r="AT1733">
        <f>TEXT(BDP($B1733,"MATURITY"),"yyyy-mm-dd")</f>
        <v/>
      </c>
      <c r="AU1733">
        <f>BDP($B1733,"CPN_TYP")</f>
        <v/>
      </c>
      <c r="AV1733">
        <f>BDP($B1733,"CPN")</f>
        <v/>
      </c>
      <c r="AW1733" t="inlineStr"/>
      <c r="AX1733" t="inlineStr"/>
      <c r="AY1733" t="inlineStr"/>
    </row>
    <row r="1734">
      <c r="A1734" t="inlineStr">
        <is>
          <t>SCJN</t>
        </is>
      </c>
      <c r="B1734" t="inlineStr">
        <is>
          <t>FGXXX US Equity</t>
        </is>
      </c>
      <c r="C1734" s="1" t="inlineStr">
        <is>
          <t>FGXXX</t>
        </is>
      </c>
      <c r="D1734" t="inlineStr">
        <is>
          <t>First American Government Obli</t>
        </is>
      </c>
      <c r="E1734">
        <f>BDP($B1734,"LEGAL_ENTITY_IDENTIFIER")</f>
        <v/>
      </c>
      <c r="F1734" t="inlineStr">
        <is>
          <t>First American Government Obligations Fund</t>
        </is>
      </c>
      <c r="G1734">
        <f>custodian!D1734</f>
        <v/>
      </c>
      <c r="H1734">
        <f>BDP($B1734,"ID_ISIN")</f>
        <v/>
      </c>
      <c r="I1734" s="1" t="inlineStr">
        <is>
          <t>FGXXX</t>
        </is>
      </c>
      <c r="J1734">
        <f>BDP($B1734,"CNTRY_OF_DOMICILE")</f>
        <v/>
      </c>
      <c r="K1734" t="inlineStr">
        <is>
          <t>STIV</t>
        </is>
      </c>
      <c r="L1734" t="inlineStr">
        <is>
          <t>RF</t>
        </is>
      </c>
      <c r="M1734" t="inlineStr"/>
      <c r="N1734" t="inlineStr"/>
      <c r="O1734" s="1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s="1" t="inlineStr"/>
      <c r="AR1734" s="1" t="inlineStr"/>
      <c r="AS1734" s="1" t="inlineStr"/>
      <c r="AT1734" t="inlineStr"/>
      <c r="AU1734" t="inlineStr"/>
      <c r="AV1734" t="inlineStr"/>
      <c r="AW1734" t="inlineStr"/>
      <c r="AX1734" t="inlineStr"/>
      <c r="AY1734" t="inlineStr"/>
    </row>
    <row r="1735">
      <c r="A1735" t="inlineStr">
        <is>
          <t>SCJN</t>
        </is>
      </c>
      <c r="B1735" t="inlineStr"/>
      <c r="C1735" s="1" t="inlineStr">
        <is>
          <t>Cash&amp;Other</t>
        </is>
      </c>
      <c r="D1735" t="inlineStr"/>
      <c r="E1735" s="1" t="inlineStr"/>
      <c r="F1735" t="inlineStr"/>
      <c r="G1735">
        <f>custodian!D1735</f>
        <v/>
      </c>
      <c r="H1735" s="1" t="inlineStr"/>
      <c r="I1735" s="1" t="inlineStr"/>
      <c r="J1735" t="inlineStr"/>
      <c r="K1735" t="inlineStr"/>
      <c r="L1735" t="inlineStr"/>
      <c r="M1735" t="inlineStr"/>
      <c r="N1735" t="inlineStr"/>
      <c r="O1735" s="1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s="1" t="inlineStr"/>
      <c r="AR1735" s="1" t="inlineStr"/>
      <c r="AS1735" s="1" t="inlineStr"/>
      <c r="AT1735" t="inlineStr"/>
      <c r="AU1735" t="inlineStr"/>
      <c r="AV1735" t="inlineStr"/>
      <c r="AW1735" t="inlineStr"/>
      <c r="AX1735" t="inlineStr"/>
      <c r="AY1735" t="inlineStr"/>
    </row>
    <row r="1736">
      <c r="A1736" t="inlineStr">
        <is>
          <t>SCMY</t>
        </is>
      </c>
      <c r="B1736" t="inlineStr"/>
      <c r="C1736" s="1" t="inlineStr">
        <is>
          <t>2IWM  270430C00056520</t>
        </is>
      </c>
      <c r="D1736" t="inlineStr">
        <is>
          <t>IWM 04/30/2027 56.52 C</t>
        </is>
      </c>
      <c r="E1736" s="1" t="inlineStr">
        <is>
          <t>N/A</t>
        </is>
      </c>
      <c r="F1736" t="inlineStr">
        <is>
          <t>IWM 04/30/2027 56.52 C</t>
        </is>
      </c>
      <c r="G1736">
        <f>custodian!D1736</f>
        <v/>
      </c>
      <c r="H1736" s="1" t="inlineStr"/>
      <c r="I1736" s="1" t="inlineStr">
        <is>
          <t>IWM-C56.52-20270430</t>
        </is>
      </c>
      <c r="J1736" t="inlineStr">
        <is>
          <t>US</t>
        </is>
      </c>
      <c r="K1736" t="inlineStr">
        <is>
          <t>DE</t>
        </is>
      </c>
      <c r="L1736" t="inlineStr">
        <is>
          <t>CORP</t>
        </is>
      </c>
      <c r="M1736" t="inlineStr">
        <is>
          <t>OPT</t>
        </is>
      </c>
      <c r="N1736" t="inlineStr">
        <is>
          <t>The Options Clearing Corporation</t>
        </is>
      </c>
      <c r="O1736" s="1" t="inlineStr">
        <is>
          <t>549300CII6SLYGKNHA04</t>
        </is>
      </c>
      <c r="P1736" t="inlineStr">
        <is>
          <t>Call</t>
        </is>
      </c>
      <c r="Q1736" t="inlineStr">
        <is>
          <t>Purchased</t>
        </is>
      </c>
      <c r="R1736" t="inlineStr">
        <is>
          <t>56.52</t>
        </is>
      </c>
      <c r="S1736" t="inlineStr">
        <is>
          <t>USD</t>
        </is>
      </c>
      <c r="T1736" t="inlineStr">
        <is>
          <t>2027-04-30</t>
        </is>
      </c>
      <c r="U1736" t="inlineStr">
        <is>
          <t>N/A</t>
        </is>
      </c>
      <c r="V1736" t="inlineStr">
        <is>
          <t>indexBasket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194396.24</t>
        </is>
      </c>
      <c r="AD1736" t="inlineStr">
        <is>
          <t>3921842.18</t>
        </is>
      </c>
      <c r="AE1736" t="inlineStr">
        <is>
          <t>82.47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s="1" t="inlineStr"/>
      <c r="AR1736" s="1" t="inlineStr"/>
      <c r="AS1736" s="1" t="inlineStr"/>
      <c r="AT1736" t="inlineStr"/>
      <c r="AU1736" t="inlineStr"/>
      <c r="AV1736" t="inlineStr"/>
      <c r="AW1736" t="inlineStr"/>
      <c r="AX1736" t="inlineStr"/>
      <c r="AY1736" t="inlineStr"/>
    </row>
    <row r="1737">
      <c r="A1737" t="inlineStr">
        <is>
          <t>SCMY</t>
        </is>
      </c>
      <c r="B1737" t="inlineStr"/>
      <c r="C1737" s="1" t="inlineStr">
        <is>
          <t>2IWM  270430C00333470</t>
        </is>
      </c>
      <c r="D1737" t="inlineStr">
        <is>
          <t>IWM 04/30/2027 333.47 C</t>
        </is>
      </c>
      <c r="E1737" s="1" t="inlineStr">
        <is>
          <t>N/A</t>
        </is>
      </c>
      <c r="F1737" t="inlineStr">
        <is>
          <t>IWM 04/30/2027 333.47 C</t>
        </is>
      </c>
      <c r="G1737">
        <f>custodian!D1737</f>
        <v/>
      </c>
      <c r="H1737" s="1" t="inlineStr"/>
      <c r="I1737" s="1" t="inlineStr">
        <is>
          <t>IWM-C333.47-20270430</t>
        </is>
      </c>
      <c r="J1737" t="inlineStr">
        <is>
          <t>US</t>
        </is>
      </c>
      <c r="K1737" t="inlineStr">
        <is>
          <t>DE</t>
        </is>
      </c>
      <c r="L1737" t="inlineStr">
        <is>
          <t>CORP</t>
        </is>
      </c>
      <c r="M1737" t="inlineStr">
        <is>
          <t>OPT</t>
        </is>
      </c>
      <c r="N1737" t="inlineStr">
        <is>
          <t>The Options Clearing Corporation</t>
        </is>
      </c>
      <c r="O1737" s="1" t="inlineStr">
        <is>
          <t>549300CII6SLYGKNHA04</t>
        </is>
      </c>
      <c r="P1737" t="inlineStr">
        <is>
          <t>Call</t>
        </is>
      </c>
      <c r="Q1737" t="inlineStr">
        <is>
          <t>Written</t>
        </is>
      </c>
      <c r="R1737" t="inlineStr">
        <is>
          <t>333.47</t>
        </is>
      </c>
      <c r="S1737" t="inlineStr">
        <is>
          <t>USD</t>
        </is>
      </c>
      <c r="T1737" t="inlineStr">
        <is>
          <t>2027-04-30</t>
        </is>
      </c>
      <c r="U1737" t="inlineStr">
        <is>
          <t>N/A</t>
        </is>
      </c>
      <c r="V1737" t="inlineStr">
        <is>
          <t>indexBasket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-49783.47</t>
        </is>
      </c>
      <c r="AD1737" t="inlineStr">
        <is>
          <t>-222183.95</t>
        </is>
      </c>
      <c r="AE1737" t="inlineStr">
        <is>
          <t>-4.67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s="1" t="inlineStr"/>
      <c r="AR1737" s="1" t="inlineStr"/>
      <c r="AS1737" s="1" t="inlineStr"/>
      <c r="AT1737" t="inlineStr"/>
      <c r="AU1737" t="inlineStr"/>
      <c r="AV1737" t="inlineStr"/>
      <c r="AW1737" t="inlineStr"/>
      <c r="AX1737" t="inlineStr"/>
      <c r="AY1737" t="inlineStr"/>
    </row>
    <row r="1738">
      <c r="A1738" t="inlineStr">
        <is>
          <t>SCMY</t>
        </is>
      </c>
      <c r="B1738" t="inlineStr"/>
      <c r="C1738" s="1" t="inlineStr">
        <is>
          <t>2IWM  270430P00240210</t>
        </is>
      </c>
      <c r="D1738" t="inlineStr">
        <is>
          <t>IWM 04/30/2027 240.21 P</t>
        </is>
      </c>
      <c r="E1738" s="1" t="inlineStr">
        <is>
          <t>N/A</t>
        </is>
      </c>
      <c r="F1738" t="inlineStr">
        <is>
          <t>IWM 04/30/2027 240.21 P</t>
        </is>
      </c>
      <c r="G1738">
        <f>custodian!D1738</f>
        <v/>
      </c>
      <c r="H1738" s="1" t="inlineStr"/>
      <c r="I1738" s="1" t="inlineStr">
        <is>
          <t>IWM-P240.21-20270430</t>
        </is>
      </c>
      <c r="J1738" t="inlineStr">
        <is>
          <t>US</t>
        </is>
      </c>
      <c r="K1738" t="inlineStr">
        <is>
          <t>DE</t>
        </is>
      </c>
      <c r="L1738" t="inlineStr">
        <is>
          <t>CORP</t>
        </is>
      </c>
      <c r="M1738" t="inlineStr">
        <is>
          <t>OPT</t>
        </is>
      </c>
      <c r="N1738" t="inlineStr">
        <is>
          <t>The Options Clearing Corporation</t>
        </is>
      </c>
      <c r="O1738" s="1" t="inlineStr">
        <is>
          <t>549300CII6SLYGKNHA04</t>
        </is>
      </c>
      <c r="P1738" t="inlineStr">
        <is>
          <t>Put</t>
        </is>
      </c>
      <c r="Q1738" t="inlineStr">
        <is>
          <t>Written</t>
        </is>
      </c>
      <c r="R1738" t="inlineStr">
        <is>
          <t>240.21</t>
        </is>
      </c>
      <c r="S1738" t="inlineStr">
        <is>
          <t>USD</t>
        </is>
      </c>
      <c r="T1738" t="inlineStr">
        <is>
          <t>2027-04-30</t>
        </is>
      </c>
      <c r="U1738" t="inlineStr">
        <is>
          <t>N/A</t>
        </is>
      </c>
      <c r="V1738" t="inlineStr">
        <is>
          <t>indexBasket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42168.76</t>
        </is>
      </c>
      <c r="AD1738" t="inlineStr">
        <is>
          <t>-106838.94</t>
        </is>
      </c>
      <c r="AE1738" t="inlineStr">
        <is>
          <t>-2.25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s="1" t="inlineStr"/>
      <c r="AR1738" s="1" t="inlineStr"/>
      <c r="AS1738" s="1" t="inlineStr"/>
      <c r="AT1738" t="inlineStr"/>
      <c r="AU1738" t="inlineStr"/>
      <c r="AV1738" t="inlineStr"/>
      <c r="AW1738" t="inlineStr"/>
      <c r="AX1738" t="inlineStr"/>
      <c r="AY1738" t="inlineStr"/>
    </row>
    <row r="1739">
      <c r="A1739" t="inlineStr">
        <is>
          <t>SCMY</t>
        </is>
      </c>
      <c r="B1739" t="inlineStr"/>
      <c r="C1739" s="1" t="inlineStr">
        <is>
          <t>2IWM  270430P00282600</t>
        </is>
      </c>
      <c r="D1739" t="inlineStr">
        <is>
          <t>IWM 04/30/2027 282.6 P</t>
        </is>
      </c>
      <c r="E1739" s="1" t="inlineStr">
        <is>
          <t>N/A</t>
        </is>
      </c>
      <c r="F1739" t="inlineStr">
        <is>
          <t>IWM 04/30/2027 282.6 P</t>
        </is>
      </c>
      <c r="G1739">
        <f>custodian!D1739</f>
        <v/>
      </c>
      <c r="H1739" s="1" t="inlineStr"/>
      <c r="I1739" s="1" t="inlineStr">
        <is>
          <t>IWM-P282.6-20270430</t>
        </is>
      </c>
      <c r="J1739" t="inlineStr">
        <is>
          <t>US</t>
        </is>
      </c>
      <c r="K1739" t="inlineStr">
        <is>
          <t>DE</t>
        </is>
      </c>
      <c r="L1739" t="inlineStr">
        <is>
          <t>CORP</t>
        </is>
      </c>
      <c r="M1739" t="inlineStr">
        <is>
          <t>OPT</t>
        </is>
      </c>
      <c r="N1739" t="inlineStr">
        <is>
          <t>The Options Clearing Corporation</t>
        </is>
      </c>
      <c r="O1739" s="1" t="inlineStr">
        <is>
          <t>549300CII6SLYGKNHA04</t>
        </is>
      </c>
      <c r="P1739" t="inlineStr">
        <is>
          <t>Put</t>
        </is>
      </c>
      <c r="Q1739" t="inlineStr">
        <is>
          <t>Purchased</t>
        </is>
      </c>
      <c r="R1739" t="inlineStr">
        <is>
          <t>282.6</t>
        </is>
      </c>
      <c r="S1739" t="inlineStr">
        <is>
          <t>USD</t>
        </is>
      </c>
      <c r="T1739" t="inlineStr">
        <is>
          <t>2027-04-30</t>
        </is>
      </c>
      <c r="U1739" t="inlineStr">
        <is>
          <t>N/A</t>
        </is>
      </c>
      <c r="V1739" t="inlineStr">
        <is>
          <t>indexBasket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-78853.85</t>
        </is>
      </c>
      <c r="AD1739" t="inlineStr">
        <is>
          <t>257296.09</t>
        </is>
      </c>
      <c r="AE1739" t="inlineStr">
        <is>
          <t>5.41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s="1" t="inlineStr"/>
      <c r="AR1739" s="1" t="inlineStr"/>
      <c r="AS1739" s="1" t="inlineStr"/>
      <c r="AT1739" t="inlineStr"/>
      <c r="AU1739" t="inlineStr"/>
      <c r="AV1739" t="inlineStr"/>
      <c r="AW1739" t="inlineStr"/>
      <c r="AX1739" t="inlineStr"/>
      <c r="AY1739" t="inlineStr"/>
    </row>
    <row r="1740">
      <c r="A1740" t="inlineStr">
        <is>
          <t>SCMY</t>
        </is>
      </c>
      <c r="B1740" t="inlineStr">
        <is>
          <t>91282CMY4 Govt</t>
        </is>
      </c>
      <c r="C1740" s="1" t="inlineStr">
        <is>
          <t>91282CMY4</t>
        </is>
      </c>
      <c r="D1740" t="inlineStr">
        <is>
          <t>United States Treasury Note/Bo</t>
        </is>
      </c>
      <c r="E1740">
        <f>BDP($B1740,"LEGAL_ENTITY_IDENTIFIER")</f>
        <v/>
      </c>
      <c r="F1740" t="inlineStr">
        <is>
          <t>United States Treasury Note/Bond 3.75% 04/30/2027</t>
        </is>
      </c>
      <c r="G1740">
        <f>custodian!D1740</f>
        <v/>
      </c>
      <c r="H1740">
        <f>BDP($B1740,"ID_ISIN")</f>
        <v/>
      </c>
      <c r="I1740" s="1" t="inlineStr"/>
      <c r="J1740">
        <f>BDP($B1740,"CNTRY_OF_DOMICILE")</f>
        <v/>
      </c>
      <c r="K1740" t="inlineStr">
        <is>
          <t>DBT</t>
        </is>
      </c>
      <c r="L1740" t="inlineStr">
        <is>
          <t>UST</t>
        </is>
      </c>
      <c r="M1740" t="inlineStr"/>
      <c r="N1740" t="inlineStr"/>
      <c r="O1740" s="1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s="1" t="inlineStr"/>
      <c r="AR1740" s="1" t="inlineStr"/>
      <c r="AS1740" s="1" t="inlineStr"/>
      <c r="AT1740">
        <f>TEXT(BDP($B1740,"MATURITY"),"yyyy-mm-dd")</f>
        <v/>
      </c>
      <c r="AU1740">
        <f>BDP($B1740,"CPN_TYP")</f>
        <v/>
      </c>
      <c r="AV1740">
        <f>BDP($B1740,"CPN")</f>
        <v/>
      </c>
      <c r="AW1740" t="inlineStr"/>
      <c r="AX1740" t="inlineStr"/>
      <c r="AY1740" t="inlineStr"/>
    </row>
    <row r="1741">
      <c r="A1741" t="inlineStr">
        <is>
          <t>SCMY</t>
        </is>
      </c>
      <c r="B1741" t="inlineStr">
        <is>
          <t>FGXXX US Equity</t>
        </is>
      </c>
      <c r="C1741" s="1" t="inlineStr">
        <is>
          <t>FGXXX</t>
        </is>
      </c>
      <c r="D1741" t="inlineStr">
        <is>
          <t>First American Government Obli</t>
        </is>
      </c>
      <c r="E1741">
        <f>BDP($B1741,"LEGAL_ENTITY_IDENTIFIER")</f>
        <v/>
      </c>
      <c r="F1741" t="inlineStr">
        <is>
          <t>First American Government Obligations Fund</t>
        </is>
      </c>
      <c r="G1741">
        <f>custodian!D1741</f>
        <v/>
      </c>
      <c r="H1741">
        <f>BDP($B1741,"ID_ISIN")</f>
        <v/>
      </c>
      <c r="I1741" s="1" t="inlineStr">
        <is>
          <t>FGXXX</t>
        </is>
      </c>
      <c r="J1741">
        <f>BDP($B1741,"CNTRY_OF_DOMICILE")</f>
        <v/>
      </c>
      <c r="K1741" t="inlineStr">
        <is>
          <t>STIV</t>
        </is>
      </c>
      <c r="L1741" t="inlineStr">
        <is>
          <t>RF</t>
        </is>
      </c>
      <c r="M1741" t="inlineStr"/>
      <c r="N1741" t="inlineStr"/>
      <c r="O1741" s="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s="1" t="inlineStr"/>
      <c r="AR1741" s="1" t="inlineStr"/>
      <c r="AS1741" s="1" t="inlineStr"/>
      <c r="AT1741" t="inlineStr"/>
      <c r="AU1741" t="inlineStr"/>
      <c r="AV1741" t="inlineStr"/>
      <c r="AW1741" t="inlineStr"/>
      <c r="AX1741" t="inlineStr"/>
      <c r="AY1741" t="inlineStr"/>
    </row>
    <row r="1742">
      <c r="A1742" t="inlineStr">
        <is>
          <t>SCMY</t>
        </is>
      </c>
      <c r="B1742" t="inlineStr"/>
      <c r="C1742" s="1" t="inlineStr">
        <is>
          <t>Cash&amp;Other</t>
        </is>
      </c>
      <c r="D1742" t="inlineStr"/>
      <c r="E1742" s="1" t="inlineStr"/>
      <c r="F1742" t="inlineStr"/>
      <c r="G1742">
        <f>custodian!D1742</f>
        <v/>
      </c>
      <c r="H1742" s="1" t="inlineStr"/>
      <c r="I1742" s="1" t="inlineStr"/>
      <c r="J1742" t="inlineStr"/>
      <c r="K1742" t="inlineStr"/>
      <c r="L1742" t="inlineStr"/>
      <c r="M1742" t="inlineStr"/>
      <c r="N1742" t="inlineStr"/>
      <c r="O1742" s="1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s="1" t="inlineStr"/>
      <c r="AR1742" s="1" t="inlineStr"/>
      <c r="AS1742" s="1" t="inlineStr"/>
      <c r="AT1742" t="inlineStr"/>
      <c r="AU1742" t="inlineStr"/>
      <c r="AV1742" t="inlineStr"/>
      <c r="AW1742" t="inlineStr"/>
      <c r="AX1742" t="inlineStr"/>
      <c r="AY1742" t="inlineStr"/>
    </row>
    <row r="1743">
      <c r="A1743" t="inlineStr">
        <is>
          <t>SIMX</t>
        </is>
      </c>
      <c r="B1743" t="inlineStr">
        <is>
          <t>82706C108 Equity</t>
        </is>
      </c>
      <c r="C1743" s="1" t="inlineStr">
        <is>
          <t>82706C108-TRS-12/01/27-L-CANT</t>
        </is>
      </c>
      <c r="D1743" t="inlineStr">
        <is>
          <t>N/A</t>
        </is>
      </c>
      <c r="E1743" s="1" t="inlineStr">
        <is>
          <t>N/A</t>
        </is>
      </c>
      <c r="F1743" t="inlineStr">
        <is>
          <t>SILICON MOTION TECHNOLOGY CORPORATION-SWAP-CANT-L</t>
        </is>
      </c>
      <c r="G1743">
        <f>custodian!D1743</f>
        <v/>
      </c>
      <c r="H1743" s="1" t="inlineStr"/>
      <c r="I1743" s="1" t="inlineStr">
        <is>
          <t>82706C108-TRS-12/01/27-L-CANT</t>
        </is>
      </c>
      <c r="J1743" t="inlineStr">
        <is>
          <t>US</t>
        </is>
      </c>
      <c r="K1743" t="inlineStr">
        <is>
          <t>DE</t>
        </is>
      </c>
      <c r="L1743" t="inlineStr">
        <is>
          <t>OTHER</t>
        </is>
      </c>
      <c r="M1743" t="inlineStr">
        <is>
          <t>SWP</t>
        </is>
      </c>
      <c r="N1743" t="inlineStr"/>
      <c r="O1743" s="1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otherRefInst</t>
        </is>
      </c>
      <c r="W1743" t="inlineStr"/>
      <c r="X1743" t="inlineStr"/>
      <c r="Y1743" t="inlineStr">
        <is>
          <t>Y</t>
        </is>
      </c>
      <c r="Z1743" t="inlineStr">
        <is>
          <t>2027-12-01</t>
        </is>
      </c>
      <c r="AA1743" t="inlineStr">
        <is>
          <t>509187.78</t>
        </is>
      </c>
      <c r="AB1743" t="inlineStr">
        <is>
          <t>USD</t>
        </is>
      </c>
      <c r="AC1743" t="inlineStr">
        <is>
          <t>4068.25</t>
        </is>
      </c>
      <c r="AD1743" t="inlineStr">
        <is>
          <t>4068.25</t>
        </is>
      </c>
      <c r="AE1743" t="inlineStr">
        <is>
          <t>1.60</t>
        </is>
      </c>
      <c r="AF1743" t="inlineStr"/>
      <c r="AG1743" t="inlineStr"/>
      <c r="AH1743" t="inlineStr">
        <is>
          <t>Floating</t>
        </is>
      </c>
      <c r="AI1743" t="inlineStr"/>
      <c r="AJ1743" t="inlineStr"/>
      <c r="AK1743" t="inlineStr">
        <is>
          <t>509187.78</t>
        </is>
      </c>
      <c r="AL1743" t="inlineStr">
        <is>
          <t>USD</t>
        </is>
      </c>
      <c r="AM1743" t="inlineStr"/>
      <c r="AN1743" t="inlineStr"/>
      <c r="AO1743">
        <f>BDP($B1743,"ISSUER")</f>
        <v/>
      </c>
      <c r="AP1743">
        <f>BDP($B1743,"NAME")</f>
        <v/>
      </c>
      <c r="AQ1743" s="1" t="inlineStr">
        <is>
          <t>82706C108</t>
        </is>
      </c>
      <c r="AR1743">
        <f>BDP($B1743,"ID_ISIN")</f>
        <v/>
      </c>
      <c r="AS1743">
        <f>BDP($B1743,"TICKER")</f>
        <v/>
      </c>
      <c r="AT1743" t="inlineStr"/>
      <c r="AU1743" t="inlineStr"/>
      <c r="AV1743" t="inlineStr"/>
      <c r="AW1743" t="inlineStr"/>
      <c r="AX1743" t="inlineStr"/>
      <c r="AY1743" t="inlineStr"/>
    </row>
    <row r="1744">
      <c r="A1744" t="inlineStr">
        <is>
          <t>SIMX</t>
        </is>
      </c>
      <c r="B1744" t="inlineStr">
        <is>
          <t>FGXXX US Equity</t>
        </is>
      </c>
      <c r="C1744" s="1" t="inlineStr">
        <is>
          <t>FGXXX</t>
        </is>
      </c>
      <c r="D1744" t="inlineStr">
        <is>
          <t>First American Government Obli</t>
        </is>
      </c>
      <c r="E1744">
        <f>BDP($B1744,"LEGAL_ENTITY_IDENTIFIER")</f>
        <v/>
      </c>
      <c r="F1744" t="inlineStr">
        <is>
          <t>First American Government Obligations Fund</t>
        </is>
      </c>
      <c r="G1744">
        <f>custodian!D1744</f>
        <v/>
      </c>
      <c r="H1744">
        <f>BDP($B1744,"ID_ISIN")</f>
        <v/>
      </c>
      <c r="I1744" s="1" t="inlineStr">
        <is>
          <t>FGXXX</t>
        </is>
      </c>
      <c r="J1744">
        <f>BDP($B1744,"CNTRY_OF_DOMICILE")</f>
        <v/>
      </c>
      <c r="K1744" t="inlineStr">
        <is>
          <t>STIV</t>
        </is>
      </c>
      <c r="L1744" t="inlineStr">
        <is>
          <t>RF</t>
        </is>
      </c>
      <c r="M1744" t="inlineStr"/>
      <c r="N1744" t="inlineStr"/>
      <c r="O1744" s="1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s="1" t="inlineStr"/>
      <c r="AR1744" s="1" t="inlineStr"/>
      <c r="AS1744" s="1" t="inlineStr"/>
      <c r="AT1744" t="inlineStr"/>
      <c r="AU1744" t="inlineStr"/>
      <c r="AV1744" t="inlineStr"/>
      <c r="AW1744" t="inlineStr"/>
      <c r="AX1744" t="inlineStr"/>
      <c r="AY1744" t="inlineStr"/>
    </row>
    <row r="1745">
      <c r="A1745" t="inlineStr">
        <is>
          <t>SIMX</t>
        </is>
      </c>
      <c r="B1745" t="inlineStr"/>
      <c r="C1745" s="1" t="inlineStr">
        <is>
          <t>Cash&amp;Other</t>
        </is>
      </c>
      <c r="D1745" t="inlineStr"/>
      <c r="E1745" s="1" t="inlineStr"/>
      <c r="F1745" t="inlineStr"/>
      <c r="G1745">
        <f>custodian!D1745</f>
        <v/>
      </c>
      <c r="H1745" s="1" t="inlineStr"/>
      <c r="I1745" s="1" t="inlineStr"/>
      <c r="J1745" t="inlineStr"/>
      <c r="K1745" t="inlineStr"/>
      <c r="L1745" t="inlineStr"/>
      <c r="M1745" t="inlineStr"/>
      <c r="N1745" t="inlineStr"/>
      <c r="O1745" s="1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s="1" t="inlineStr"/>
      <c r="AR1745" s="1" t="inlineStr"/>
      <c r="AS1745" s="1" t="inlineStr"/>
      <c r="AT1745" t="inlineStr"/>
      <c r="AU1745" t="inlineStr"/>
      <c r="AV1745" t="inlineStr"/>
      <c r="AW1745" t="inlineStr"/>
      <c r="AX1745" t="inlineStr"/>
      <c r="AY1745" t="inlineStr"/>
    </row>
    <row r="1746">
      <c r="A1746" t="inlineStr">
        <is>
          <t>STYL</t>
        </is>
      </c>
      <c r="B1746" t="inlineStr">
        <is>
          <t>AEO US Equity</t>
        </is>
      </c>
      <c r="C1746" s="1" t="inlineStr">
        <is>
          <t>AEO</t>
        </is>
      </c>
      <c r="D1746" t="inlineStr">
        <is>
          <t>American Eagle Outfitters Inc</t>
        </is>
      </c>
      <c r="E1746">
        <f>BDP($B1746,"LEGAL_ENTITY_IDENTIFIER")</f>
        <v/>
      </c>
      <c r="F1746" t="inlineStr">
        <is>
          <t>American Eagle Outfitters Inc</t>
        </is>
      </c>
      <c r="G1746">
        <f>custodian!D1746</f>
        <v/>
      </c>
      <c r="H1746">
        <f>BDP($B1746,"ID_ISIN")</f>
        <v/>
      </c>
      <c r="I1746" s="1" t="inlineStr">
        <is>
          <t>AEO</t>
        </is>
      </c>
      <c r="J1746">
        <f>BDP($B1746,"CNTRY_OF_DOMICILE")</f>
        <v/>
      </c>
      <c r="K1746" t="inlineStr">
        <is>
          <t>EC</t>
        </is>
      </c>
      <c r="L1746" t="inlineStr">
        <is>
          <t>CORP</t>
        </is>
      </c>
      <c r="M1746" t="inlineStr"/>
      <c r="N1746" t="inlineStr"/>
      <c r="O1746" s="1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s="1" t="inlineStr"/>
      <c r="AR1746" s="1" t="inlineStr"/>
      <c r="AS1746" s="1" t="inlineStr"/>
      <c r="AT1746" t="inlineStr"/>
      <c r="AU1746" t="inlineStr"/>
      <c r="AV1746" t="inlineStr"/>
      <c r="AW1746" t="inlineStr"/>
      <c r="AX1746" t="inlineStr"/>
      <c r="AY1746" t="inlineStr"/>
    </row>
    <row r="1747">
      <c r="A1747" t="inlineStr">
        <is>
          <t>STYL</t>
        </is>
      </c>
      <c r="B1747" t="inlineStr">
        <is>
          <t>ANF US Equity</t>
        </is>
      </c>
      <c r="C1747" s="1" t="inlineStr">
        <is>
          <t>ANF</t>
        </is>
      </c>
      <c r="D1747" t="inlineStr">
        <is>
          <t>Abercrombie &amp; Fitch Co</t>
        </is>
      </c>
      <c r="E1747">
        <f>BDP($B1747,"LEGAL_ENTITY_IDENTIFIER")</f>
        <v/>
      </c>
      <c r="F1747" t="inlineStr">
        <is>
          <t>Abercrombie &amp; Fitch Co</t>
        </is>
      </c>
      <c r="G1747">
        <f>custodian!D1747</f>
        <v/>
      </c>
      <c r="H1747">
        <f>BDP($B1747,"ID_ISIN")</f>
        <v/>
      </c>
      <c r="I1747" s="1" t="inlineStr">
        <is>
          <t>ANF</t>
        </is>
      </c>
      <c r="J1747">
        <f>BDP($B1747,"CNTRY_OF_DOMICILE")</f>
        <v/>
      </c>
      <c r="K1747" t="inlineStr">
        <is>
          <t>EC</t>
        </is>
      </c>
      <c r="L1747" t="inlineStr">
        <is>
          <t>CORP</t>
        </is>
      </c>
      <c r="M1747" t="inlineStr"/>
      <c r="N1747" t="inlineStr"/>
      <c r="O1747" s="1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s="1" t="inlineStr"/>
      <c r="AR1747" s="1" t="inlineStr"/>
      <c r="AS1747" s="1" t="inlineStr"/>
      <c r="AT1747" t="inlineStr"/>
      <c r="AU1747" t="inlineStr"/>
      <c r="AV1747" t="inlineStr"/>
      <c r="AW1747" t="inlineStr"/>
      <c r="AX1747" t="inlineStr"/>
      <c r="AY1747" t="inlineStr"/>
    </row>
    <row r="1748">
      <c r="A1748" t="inlineStr">
        <is>
          <t>STYL</t>
        </is>
      </c>
      <c r="B1748" t="inlineStr">
        <is>
          <t>AS US Equity</t>
        </is>
      </c>
      <c r="C1748" s="1" t="inlineStr">
        <is>
          <t>AS</t>
        </is>
      </c>
      <c r="D1748" t="inlineStr">
        <is>
          <t>Amer Sports Inc</t>
        </is>
      </c>
      <c r="E1748">
        <f>BDP($B1748,"LEGAL_ENTITY_IDENTIFIER")</f>
        <v/>
      </c>
      <c r="F1748" t="inlineStr">
        <is>
          <t>Amer Sports Inc</t>
        </is>
      </c>
      <c r="G1748">
        <f>custodian!D1748</f>
        <v/>
      </c>
      <c r="H1748">
        <f>BDP($B1748,"ID_ISIN")</f>
        <v/>
      </c>
      <c r="I1748" s="1" t="inlineStr">
        <is>
          <t>AS</t>
        </is>
      </c>
      <c r="J1748">
        <f>BDP($B1748,"CNTRY_OF_DOMICILE")</f>
        <v/>
      </c>
      <c r="K1748" t="inlineStr">
        <is>
          <t>EC</t>
        </is>
      </c>
      <c r="L1748" t="inlineStr">
        <is>
          <t>CORP</t>
        </is>
      </c>
      <c r="M1748" t="inlineStr"/>
      <c r="N1748" t="inlineStr"/>
      <c r="O1748" s="1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s="1" t="inlineStr"/>
      <c r="AR1748" s="1" t="inlineStr"/>
      <c r="AS1748" s="1" t="inlineStr"/>
      <c r="AT1748" t="inlineStr"/>
      <c r="AU1748" t="inlineStr"/>
      <c r="AV1748" t="inlineStr"/>
      <c r="AW1748" t="inlineStr"/>
      <c r="AX1748" t="inlineStr"/>
      <c r="AY1748" t="inlineStr"/>
    </row>
    <row r="1749">
      <c r="A1749" t="inlineStr">
        <is>
          <t>STYL</t>
        </is>
      </c>
      <c r="B1749" t="inlineStr">
        <is>
          <t>BIRK US Equity</t>
        </is>
      </c>
      <c r="C1749" s="1" t="inlineStr">
        <is>
          <t>BIRK</t>
        </is>
      </c>
      <c r="D1749" t="inlineStr">
        <is>
          <t>Birkenstock Holding Plc</t>
        </is>
      </c>
      <c r="E1749">
        <f>BDP($B1749,"LEGAL_ENTITY_IDENTIFIER")</f>
        <v/>
      </c>
      <c r="F1749" t="inlineStr">
        <is>
          <t>Birkenstock Holding Plc</t>
        </is>
      </c>
      <c r="G1749">
        <f>custodian!D1749</f>
        <v/>
      </c>
      <c r="H1749">
        <f>BDP($B1749,"ID_ISIN")</f>
        <v/>
      </c>
      <c r="I1749" s="1" t="inlineStr">
        <is>
          <t>BIRK</t>
        </is>
      </c>
      <c r="J1749">
        <f>BDP($B1749,"CNTRY_OF_DOMICILE")</f>
        <v/>
      </c>
      <c r="K1749" t="inlineStr">
        <is>
          <t>EC</t>
        </is>
      </c>
      <c r="L1749" t="inlineStr">
        <is>
          <t>CORP</t>
        </is>
      </c>
      <c r="M1749" t="inlineStr"/>
      <c r="N1749" t="inlineStr"/>
      <c r="O1749" s="1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s="1" t="inlineStr"/>
      <c r="AR1749" s="1" t="inlineStr"/>
      <c r="AS1749" s="1" t="inlineStr"/>
      <c r="AT1749" t="inlineStr"/>
      <c r="AU1749" t="inlineStr"/>
      <c r="AV1749" t="inlineStr"/>
      <c r="AW1749" t="inlineStr"/>
      <c r="AX1749" t="inlineStr"/>
      <c r="AY1749" t="inlineStr"/>
    </row>
    <row r="1750">
      <c r="A1750" t="inlineStr">
        <is>
          <t>STYL</t>
        </is>
      </c>
      <c r="B1750" t="inlineStr">
        <is>
          <t>BKE US Equity</t>
        </is>
      </c>
      <c r="C1750" s="1" t="inlineStr">
        <is>
          <t>BKE</t>
        </is>
      </c>
      <c r="D1750" t="inlineStr">
        <is>
          <t>Buckle Inc/The</t>
        </is>
      </c>
      <c r="E1750">
        <f>BDP($B1750,"LEGAL_ENTITY_IDENTIFIER")</f>
        <v/>
      </c>
      <c r="F1750" t="inlineStr">
        <is>
          <t>Buckle Inc/The</t>
        </is>
      </c>
      <c r="G1750">
        <f>custodian!D1750</f>
        <v/>
      </c>
      <c r="H1750">
        <f>BDP($B1750,"ID_ISIN")</f>
        <v/>
      </c>
      <c r="I1750" s="1" t="inlineStr">
        <is>
          <t>BKE</t>
        </is>
      </c>
      <c r="J1750">
        <f>BDP($B1750,"CNTRY_OF_DOMICILE")</f>
        <v/>
      </c>
      <c r="K1750" t="inlineStr">
        <is>
          <t>EC</t>
        </is>
      </c>
      <c r="L1750" t="inlineStr">
        <is>
          <t>CORP</t>
        </is>
      </c>
      <c r="M1750" t="inlineStr"/>
      <c r="N1750" t="inlineStr"/>
      <c r="O1750" s="1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s="1" t="inlineStr"/>
      <c r="AR1750" s="1" t="inlineStr"/>
      <c r="AS1750" s="1" t="inlineStr"/>
      <c r="AT1750" t="inlineStr"/>
      <c r="AU1750" t="inlineStr"/>
      <c r="AV1750" t="inlineStr"/>
      <c r="AW1750" t="inlineStr"/>
      <c r="AX1750" t="inlineStr"/>
      <c r="AY1750" t="inlineStr"/>
    </row>
    <row r="1751">
      <c r="A1751" t="inlineStr">
        <is>
          <t>STYL</t>
        </is>
      </c>
      <c r="B1751" t="inlineStr">
        <is>
          <t>BOOT US Equity</t>
        </is>
      </c>
      <c r="C1751" s="1" t="inlineStr">
        <is>
          <t>BOOT</t>
        </is>
      </c>
      <c r="D1751" t="inlineStr">
        <is>
          <t>Boot Barn Holdings Inc</t>
        </is>
      </c>
      <c r="E1751">
        <f>BDP($B1751,"LEGAL_ENTITY_IDENTIFIER")</f>
        <v/>
      </c>
      <c r="F1751" t="inlineStr">
        <is>
          <t>Boot Barn Holdings Inc</t>
        </is>
      </c>
      <c r="G1751">
        <f>custodian!D1751</f>
        <v/>
      </c>
      <c r="H1751">
        <f>BDP($B1751,"ID_ISIN")</f>
        <v/>
      </c>
      <c r="I1751" s="1" t="inlineStr">
        <is>
          <t>BOOT</t>
        </is>
      </c>
      <c r="J1751">
        <f>BDP($B1751,"CNTRY_OF_DOMICILE")</f>
        <v/>
      </c>
      <c r="K1751" t="inlineStr">
        <is>
          <t>EC</t>
        </is>
      </c>
      <c r="L1751" t="inlineStr">
        <is>
          <t>CORP</t>
        </is>
      </c>
      <c r="M1751" t="inlineStr"/>
      <c r="N1751" t="inlineStr"/>
      <c r="O1751" s="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s="1" t="inlineStr"/>
      <c r="AR1751" s="1" t="inlineStr"/>
      <c r="AS1751" s="1" t="inlineStr"/>
      <c r="AT1751" t="inlineStr"/>
      <c r="AU1751" t="inlineStr"/>
      <c r="AV1751" t="inlineStr"/>
      <c r="AW1751" t="inlineStr"/>
      <c r="AX1751" t="inlineStr"/>
      <c r="AY1751" t="inlineStr"/>
    </row>
    <row r="1752">
      <c r="A1752" t="inlineStr">
        <is>
          <t>STYL</t>
        </is>
      </c>
      <c r="B1752" t="inlineStr">
        <is>
          <t>CAL US Equity</t>
        </is>
      </c>
      <c r="C1752" s="1" t="inlineStr">
        <is>
          <t>CAL</t>
        </is>
      </c>
      <c r="D1752" t="inlineStr">
        <is>
          <t>CALERES INC COM</t>
        </is>
      </c>
      <c r="E1752">
        <f>BDP($B1752,"LEGAL_ENTITY_IDENTIFIER")</f>
        <v/>
      </c>
      <c r="F1752" t="inlineStr">
        <is>
          <t>CALERES INC COM</t>
        </is>
      </c>
      <c r="G1752">
        <f>custodian!D1752</f>
        <v/>
      </c>
      <c r="H1752">
        <f>BDP($B1752,"ID_ISIN")</f>
        <v/>
      </c>
      <c r="I1752" s="1" t="inlineStr">
        <is>
          <t>CAL</t>
        </is>
      </c>
      <c r="J1752">
        <f>BDP($B1752,"CNTRY_OF_DOMICILE")</f>
        <v/>
      </c>
      <c r="K1752" t="inlineStr">
        <is>
          <t>EC</t>
        </is>
      </c>
      <c r="L1752" t="inlineStr">
        <is>
          <t>CORP</t>
        </is>
      </c>
      <c r="M1752" t="inlineStr"/>
      <c r="N1752" t="inlineStr"/>
      <c r="O1752" s="1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s="1" t="inlineStr"/>
      <c r="AR1752" s="1" t="inlineStr"/>
      <c r="AS1752" s="1" t="inlineStr"/>
      <c r="AT1752" t="inlineStr"/>
      <c r="AU1752" t="inlineStr"/>
      <c r="AV1752" t="inlineStr"/>
      <c r="AW1752" t="inlineStr"/>
      <c r="AX1752" t="inlineStr"/>
      <c r="AY1752" t="inlineStr"/>
    </row>
    <row r="1753">
      <c r="A1753" t="inlineStr">
        <is>
          <t>STYL</t>
        </is>
      </c>
      <c r="B1753" t="inlineStr">
        <is>
          <t>COLM US Equity</t>
        </is>
      </c>
      <c r="C1753" s="1" t="inlineStr">
        <is>
          <t>COLM</t>
        </is>
      </c>
      <c r="D1753" t="inlineStr">
        <is>
          <t>Columbia Sportswear Co</t>
        </is>
      </c>
      <c r="E1753">
        <f>BDP($B1753,"LEGAL_ENTITY_IDENTIFIER")</f>
        <v/>
      </c>
      <c r="F1753" t="inlineStr">
        <is>
          <t>Columbia Sportswear Co</t>
        </is>
      </c>
      <c r="G1753">
        <f>custodian!D1753</f>
        <v/>
      </c>
      <c r="H1753">
        <f>BDP($B1753,"ID_ISIN")</f>
        <v/>
      </c>
      <c r="I1753" s="1" t="inlineStr">
        <is>
          <t>COLM</t>
        </is>
      </c>
      <c r="J1753">
        <f>BDP($B1753,"CNTRY_OF_DOMICILE")</f>
        <v/>
      </c>
      <c r="K1753" t="inlineStr">
        <is>
          <t>EC</t>
        </is>
      </c>
      <c r="L1753" t="inlineStr">
        <is>
          <t>CORP</t>
        </is>
      </c>
      <c r="M1753" t="inlineStr"/>
      <c r="N1753" t="inlineStr"/>
      <c r="O1753" s="1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s="1" t="inlineStr"/>
      <c r="AR1753" s="1" t="inlineStr"/>
      <c r="AS1753" s="1" t="inlineStr"/>
      <c r="AT1753" t="inlineStr"/>
      <c r="AU1753" t="inlineStr"/>
      <c r="AV1753" t="inlineStr"/>
      <c r="AW1753" t="inlineStr"/>
      <c r="AX1753" t="inlineStr"/>
      <c r="AY1753" t="inlineStr"/>
    </row>
    <row r="1754">
      <c r="A1754" t="inlineStr">
        <is>
          <t>STYL</t>
        </is>
      </c>
      <c r="B1754" t="inlineStr">
        <is>
          <t>CPRI US Equity</t>
        </is>
      </c>
      <c r="C1754" s="1" t="inlineStr">
        <is>
          <t>CPRI</t>
        </is>
      </c>
      <c r="D1754" t="inlineStr">
        <is>
          <t>CAPRI HOLDINGS LTD</t>
        </is>
      </c>
      <c r="E1754">
        <f>BDP($B1754,"LEGAL_ENTITY_IDENTIFIER")</f>
        <v/>
      </c>
      <c r="F1754" t="inlineStr">
        <is>
          <t>CAPRI HOLDINGS LTD</t>
        </is>
      </c>
      <c r="G1754">
        <f>custodian!D1754</f>
        <v/>
      </c>
      <c r="H1754">
        <f>BDP($B1754,"ID_ISIN")</f>
        <v/>
      </c>
      <c r="I1754" s="1" t="inlineStr">
        <is>
          <t>CPRI</t>
        </is>
      </c>
      <c r="J1754">
        <f>BDP($B1754,"CNTRY_OF_DOMICILE")</f>
        <v/>
      </c>
      <c r="K1754" t="inlineStr">
        <is>
          <t>EC</t>
        </is>
      </c>
      <c r="L1754" t="inlineStr">
        <is>
          <t>CORP</t>
        </is>
      </c>
      <c r="M1754" t="inlineStr"/>
      <c r="N1754" t="inlineStr"/>
      <c r="O1754" s="1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s="1" t="inlineStr"/>
      <c r="AR1754" s="1" t="inlineStr"/>
      <c r="AS1754" s="1" t="inlineStr"/>
      <c r="AT1754" t="inlineStr"/>
      <c r="AU1754" t="inlineStr"/>
      <c r="AV1754" t="inlineStr"/>
      <c r="AW1754" t="inlineStr"/>
      <c r="AX1754" t="inlineStr"/>
      <c r="AY1754" t="inlineStr"/>
    </row>
    <row r="1755">
      <c r="A1755" t="inlineStr">
        <is>
          <t>STYL</t>
        </is>
      </c>
      <c r="B1755" t="inlineStr">
        <is>
          <t>CRI US Equity</t>
        </is>
      </c>
      <c r="C1755" s="1" t="inlineStr">
        <is>
          <t>CRI</t>
        </is>
      </c>
      <c r="D1755" t="inlineStr">
        <is>
          <t>Carter's Inc</t>
        </is>
      </c>
      <c r="E1755">
        <f>BDP($B1755,"LEGAL_ENTITY_IDENTIFIER")</f>
        <v/>
      </c>
      <c r="F1755" t="inlineStr">
        <is>
          <t>Carter's Inc</t>
        </is>
      </c>
      <c r="G1755">
        <f>custodian!D1755</f>
        <v/>
      </c>
      <c r="H1755">
        <f>BDP($B1755,"ID_ISIN")</f>
        <v/>
      </c>
      <c r="I1755" s="1" t="inlineStr">
        <is>
          <t>CRI</t>
        </is>
      </c>
      <c r="J1755">
        <f>BDP($B1755,"CNTRY_OF_DOMICILE")</f>
        <v/>
      </c>
      <c r="K1755" t="inlineStr">
        <is>
          <t>EC</t>
        </is>
      </c>
      <c r="L1755" t="inlineStr">
        <is>
          <t>CORP</t>
        </is>
      </c>
      <c r="M1755" t="inlineStr"/>
      <c r="N1755" t="inlineStr"/>
      <c r="O1755" s="1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s="1" t="inlineStr"/>
      <c r="AR1755" s="1" t="inlineStr"/>
      <c r="AS1755" s="1" t="inlineStr"/>
      <c r="AT1755" t="inlineStr"/>
      <c r="AU1755" t="inlineStr"/>
      <c r="AV1755" t="inlineStr"/>
      <c r="AW1755" t="inlineStr"/>
      <c r="AX1755" t="inlineStr"/>
      <c r="AY1755" t="inlineStr"/>
    </row>
    <row r="1756">
      <c r="A1756" t="inlineStr">
        <is>
          <t>STYL</t>
        </is>
      </c>
      <c r="B1756" t="inlineStr">
        <is>
          <t>CROX US Equity</t>
        </is>
      </c>
      <c r="C1756" s="1" t="inlineStr">
        <is>
          <t>CROX</t>
        </is>
      </c>
      <c r="D1756" t="inlineStr">
        <is>
          <t>Crocs Inc</t>
        </is>
      </c>
      <c r="E1756">
        <f>BDP($B1756,"LEGAL_ENTITY_IDENTIFIER")</f>
        <v/>
      </c>
      <c r="F1756" t="inlineStr">
        <is>
          <t>Crocs Inc</t>
        </is>
      </c>
      <c r="G1756">
        <f>custodian!D1756</f>
        <v/>
      </c>
      <c r="H1756">
        <f>BDP($B1756,"ID_ISIN")</f>
        <v/>
      </c>
      <c r="I1756" s="1" t="inlineStr">
        <is>
          <t>CROX</t>
        </is>
      </c>
      <c r="J1756">
        <f>BDP($B1756,"CNTRY_OF_DOMICILE")</f>
        <v/>
      </c>
      <c r="K1756" t="inlineStr">
        <is>
          <t>EC</t>
        </is>
      </c>
      <c r="L1756" t="inlineStr">
        <is>
          <t>CORP</t>
        </is>
      </c>
      <c r="M1756" t="inlineStr"/>
      <c r="N1756" t="inlineStr"/>
      <c r="O1756" s="1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s="1" t="inlineStr"/>
      <c r="AR1756" s="1" t="inlineStr"/>
      <c r="AS1756" s="1" t="inlineStr"/>
      <c r="AT1756" t="inlineStr"/>
      <c r="AU1756" t="inlineStr"/>
      <c r="AV1756" t="inlineStr"/>
      <c r="AW1756" t="inlineStr"/>
      <c r="AX1756" t="inlineStr"/>
      <c r="AY1756" t="inlineStr"/>
    </row>
    <row r="1757">
      <c r="A1757" t="inlineStr">
        <is>
          <t>STYL</t>
        </is>
      </c>
      <c r="B1757" t="inlineStr">
        <is>
          <t>DBI US Equity</t>
        </is>
      </c>
      <c r="C1757" s="1" t="inlineStr">
        <is>
          <t>DBI</t>
        </is>
      </c>
      <c r="D1757" t="inlineStr">
        <is>
          <t>Designer Brands Inc</t>
        </is>
      </c>
      <c r="E1757">
        <f>BDP($B1757,"LEGAL_ENTITY_IDENTIFIER")</f>
        <v/>
      </c>
      <c r="F1757" t="inlineStr">
        <is>
          <t>Designer Brands Inc</t>
        </is>
      </c>
      <c r="G1757">
        <f>custodian!D1757</f>
        <v/>
      </c>
      <c r="H1757">
        <f>BDP($B1757,"ID_ISIN")</f>
        <v/>
      </c>
      <c r="I1757" s="1" t="inlineStr">
        <is>
          <t>DBI</t>
        </is>
      </c>
      <c r="J1757">
        <f>BDP($B1757,"CNTRY_OF_DOMICILE")</f>
        <v/>
      </c>
      <c r="K1757" t="inlineStr">
        <is>
          <t>EC</t>
        </is>
      </c>
      <c r="L1757" t="inlineStr">
        <is>
          <t>CORP</t>
        </is>
      </c>
      <c r="M1757" t="inlineStr"/>
      <c r="N1757" t="inlineStr"/>
      <c r="O1757" s="1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s="1" t="inlineStr"/>
      <c r="AR1757" s="1" t="inlineStr"/>
      <c r="AS1757" s="1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STYL</t>
        </is>
      </c>
      <c r="B1758" t="inlineStr">
        <is>
          <t>DECK US Equity</t>
        </is>
      </c>
      <c r="C1758" s="1" t="inlineStr">
        <is>
          <t>DECK</t>
        </is>
      </c>
      <c r="D1758" t="inlineStr">
        <is>
          <t>Deckers Outdoor Corp</t>
        </is>
      </c>
      <c r="E1758">
        <f>BDP($B1758,"LEGAL_ENTITY_IDENTIFIER")</f>
        <v/>
      </c>
      <c r="F1758" t="inlineStr">
        <is>
          <t>Deckers Outdoor Corp</t>
        </is>
      </c>
      <c r="G1758">
        <f>custodian!D1758</f>
        <v/>
      </c>
      <c r="H1758">
        <f>BDP($B1758,"ID_ISIN")</f>
        <v/>
      </c>
      <c r="I1758" s="1" t="inlineStr">
        <is>
          <t>DECK</t>
        </is>
      </c>
      <c r="J1758">
        <f>BDP($B1758,"CNTRY_OF_DOMICILE")</f>
        <v/>
      </c>
      <c r="K1758" t="inlineStr">
        <is>
          <t>EC</t>
        </is>
      </c>
      <c r="L1758" t="inlineStr">
        <is>
          <t>CORP</t>
        </is>
      </c>
      <c r="M1758" t="inlineStr"/>
      <c r="N1758" t="inlineStr"/>
      <c r="O1758" s="1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s="1" t="inlineStr"/>
      <c r="AR1758" s="1" t="inlineStr"/>
      <c r="AS1758" s="1" t="inlineStr"/>
      <c r="AT1758" t="inlineStr"/>
      <c r="AU1758" t="inlineStr"/>
      <c r="AV1758" t="inlineStr"/>
      <c r="AW1758" t="inlineStr"/>
      <c r="AX1758" t="inlineStr"/>
      <c r="AY1758" t="inlineStr"/>
    </row>
    <row r="1759">
      <c r="A1759" t="inlineStr">
        <is>
          <t>STYL</t>
        </is>
      </c>
      <c r="B1759" t="inlineStr">
        <is>
          <t>FGXXX US Equity</t>
        </is>
      </c>
      <c r="C1759" s="1" t="inlineStr">
        <is>
          <t>FGXXX</t>
        </is>
      </c>
      <c r="D1759" t="inlineStr">
        <is>
          <t>First American Government Obli</t>
        </is>
      </c>
      <c r="E1759">
        <f>BDP($B1759,"LEGAL_ENTITY_IDENTIFIER")</f>
        <v/>
      </c>
      <c r="F1759" t="inlineStr">
        <is>
          <t>First American Government Obligations Fund</t>
        </is>
      </c>
      <c r="G1759">
        <f>custodian!D1759</f>
        <v/>
      </c>
      <c r="H1759">
        <f>BDP($B1759,"ID_ISIN")</f>
        <v/>
      </c>
      <c r="I1759" s="1" t="inlineStr">
        <is>
          <t>FGXXX</t>
        </is>
      </c>
      <c r="J1759">
        <f>BDP($B1759,"CNTRY_OF_DOMICILE")</f>
        <v/>
      </c>
      <c r="K1759" t="inlineStr">
        <is>
          <t>STIV</t>
        </is>
      </c>
      <c r="L1759" t="inlineStr">
        <is>
          <t>RF</t>
        </is>
      </c>
      <c r="M1759" t="inlineStr"/>
      <c r="N1759" t="inlineStr"/>
      <c r="O1759" s="1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s="1" t="inlineStr"/>
      <c r="AR1759" s="1" t="inlineStr"/>
      <c r="AS1759" s="1" t="inlineStr"/>
      <c r="AT1759" t="inlineStr"/>
      <c r="AU1759" t="inlineStr"/>
      <c r="AV1759" t="inlineStr"/>
      <c r="AW1759" t="inlineStr"/>
      <c r="AX1759" t="inlineStr"/>
      <c r="AY1759" t="inlineStr"/>
    </row>
    <row r="1760">
      <c r="A1760" t="inlineStr">
        <is>
          <t>STYL</t>
        </is>
      </c>
      <c r="B1760" t="inlineStr">
        <is>
          <t>FIGS US Equity</t>
        </is>
      </c>
      <c r="C1760" s="1" t="inlineStr">
        <is>
          <t>FIGS</t>
        </is>
      </c>
      <c r="D1760" t="inlineStr">
        <is>
          <t>Figs Inc</t>
        </is>
      </c>
      <c r="E1760">
        <f>BDP($B1760,"LEGAL_ENTITY_IDENTIFIER")</f>
        <v/>
      </c>
      <c r="F1760" t="inlineStr">
        <is>
          <t>Figs Inc</t>
        </is>
      </c>
      <c r="G1760">
        <f>custodian!D1760</f>
        <v/>
      </c>
      <c r="H1760">
        <f>BDP($B1760,"ID_ISIN")</f>
        <v/>
      </c>
      <c r="I1760" s="1" t="inlineStr">
        <is>
          <t>FIGS</t>
        </is>
      </c>
      <c r="J1760">
        <f>BDP($B1760,"CNTRY_OF_DOMICILE")</f>
        <v/>
      </c>
      <c r="K1760" t="inlineStr">
        <is>
          <t>EC</t>
        </is>
      </c>
      <c r="L1760" t="inlineStr">
        <is>
          <t>CORP</t>
        </is>
      </c>
      <c r="M1760" t="inlineStr"/>
      <c r="N1760" t="inlineStr"/>
      <c r="O1760" s="1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s="1" t="inlineStr"/>
      <c r="AR1760" s="1" t="inlineStr"/>
      <c r="AS1760" s="1" t="inlineStr"/>
      <c r="AT1760" t="inlineStr"/>
      <c r="AU1760" t="inlineStr"/>
      <c r="AV1760" t="inlineStr"/>
      <c r="AW1760" t="inlineStr"/>
      <c r="AX1760" t="inlineStr"/>
      <c r="AY1760" t="inlineStr"/>
    </row>
    <row r="1761">
      <c r="A1761" t="inlineStr">
        <is>
          <t>STYL</t>
        </is>
      </c>
      <c r="B1761" t="inlineStr">
        <is>
          <t>FOSL US Equity</t>
        </is>
      </c>
      <c r="C1761" s="1" t="inlineStr">
        <is>
          <t>FOSL</t>
        </is>
      </c>
      <c r="D1761" t="inlineStr">
        <is>
          <t>Fossil Group Inc</t>
        </is>
      </c>
      <c r="E1761">
        <f>BDP($B1761,"LEGAL_ENTITY_IDENTIFIER")</f>
        <v/>
      </c>
      <c r="F1761" t="inlineStr">
        <is>
          <t>Fossil Group Inc</t>
        </is>
      </c>
      <c r="G1761">
        <f>custodian!D1761</f>
        <v/>
      </c>
      <c r="H1761">
        <f>BDP($B1761,"ID_ISIN")</f>
        <v/>
      </c>
      <c r="I1761" s="1" t="inlineStr">
        <is>
          <t>FOSL</t>
        </is>
      </c>
      <c r="J1761">
        <f>BDP($B1761,"CNTRY_OF_DOMICILE")</f>
        <v/>
      </c>
      <c r="K1761" t="inlineStr">
        <is>
          <t>EC</t>
        </is>
      </c>
      <c r="L1761" t="inlineStr">
        <is>
          <t>CORP</t>
        </is>
      </c>
      <c r="M1761" t="inlineStr"/>
      <c r="N1761" t="inlineStr"/>
      <c r="O1761" s="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s="1" t="inlineStr"/>
      <c r="AR1761" s="1" t="inlineStr"/>
      <c r="AS1761" s="1" t="inlineStr"/>
      <c r="AT1761" t="inlineStr"/>
      <c r="AU1761" t="inlineStr"/>
      <c r="AV1761" t="inlineStr"/>
      <c r="AW1761" t="inlineStr"/>
      <c r="AX1761" t="inlineStr"/>
      <c r="AY1761" t="inlineStr"/>
    </row>
    <row r="1762">
      <c r="A1762" t="inlineStr">
        <is>
          <t>STYL</t>
        </is>
      </c>
      <c r="B1762" t="inlineStr">
        <is>
          <t>GAP US Equity</t>
        </is>
      </c>
      <c r="C1762" s="1" t="inlineStr">
        <is>
          <t>GAP</t>
        </is>
      </c>
      <c r="D1762" t="inlineStr">
        <is>
          <t>Gap Inc/The</t>
        </is>
      </c>
      <c r="E1762">
        <f>BDP($B1762,"LEGAL_ENTITY_IDENTIFIER")</f>
        <v/>
      </c>
      <c r="F1762" t="inlineStr">
        <is>
          <t>Gap Inc/The</t>
        </is>
      </c>
      <c r="G1762">
        <f>custodian!D1762</f>
        <v/>
      </c>
      <c r="H1762">
        <f>BDP($B1762,"ID_ISIN")</f>
        <v/>
      </c>
      <c r="I1762" s="1" t="inlineStr">
        <is>
          <t>GAP</t>
        </is>
      </c>
      <c r="J1762">
        <f>BDP($B1762,"CNTRY_OF_DOMICILE")</f>
        <v/>
      </c>
      <c r="K1762" t="inlineStr">
        <is>
          <t>EC</t>
        </is>
      </c>
      <c r="L1762" t="inlineStr">
        <is>
          <t>CORP</t>
        </is>
      </c>
      <c r="M1762" t="inlineStr"/>
      <c r="N1762" t="inlineStr"/>
      <c r="O1762" s="1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s="1" t="inlineStr"/>
      <c r="AR1762" s="1" t="inlineStr"/>
      <c r="AS1762" s="1" t="inlineStr"/>
      <c r="AT1762" t="inlineStr"/>
      <c r="AU1762" t="inlineStr"/>
      <c r="AV1762" t="inlineStr"/>
      <c r="AW1762" t="inlineStr"/>
      <c r="AX1762" t="inlineStr"/>
      <c r="AY1762" t="inlineStr"/>
    </row>
    <row r="1763">
      <c r="A1763" t="inlineStr">
        <is>
          <t>STYL</t>
        </is>
      </c>
      <c r="B1763" t="inlineStr">
        <is>
          <t>GCO US Equity</t>
        </is>
      </c>
      <c r="C1763" s="1" t="inlineStr">
        <is>
          <t>GCO</t>
        </is>
      </c>
      <c r="D1763" t="inlineStr">
        <is>
          <t>Genesco Inc</t>
        </is>
      </c>
      <c r="E1763">
        <f>BDP($B1763,"LEGAL_ENTITY_IDENTIFIER")</f>
        <v/>
      </c>
      <c r="F1763" t="inlineStr">
        <is>
          <t>Genesco Inc</t>
        </is>
      </c>
      <c r="G1763">
        <f>custodian!D1763</f>
        <v/>
      </c>
      <c r="H1763">
        <f>BDP($B1763,"ID_ISIN")</f>
        <v/>
      </c>
      <c r="I1763" s="1" t="inlineStr">
        <is>
          <t>GCO</t>
        </is>
      </c>
      <c r="J1763">
        <f>BDP($B1763,"CNTRY_OF_DOMICILE")</f>
        <v/>
      </c>
      <c r="K1763" t="inlineStr">
        <is>
          <t>EC</t>
        </is>
      </c>
      <c r="L1763" t="inlineStr">
        <is>
          <t>CORP</t>
        </is>
      </c>
      <c r="M1763" t="inlineStr"/>
      <c r="N1763" t="inlineStr"/>
      <c r="O1763" s="1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s="1" t="inlineStr"/>
      <c r="AR1763" s="1" t="inlineStr"/>
      <c r="AS1763" s="1" t="inlineStr"/>
      <c r="AT1763" t="inlineStr"/>
      <c r="AU1763" t="inlineStr"/>
      <c r="AV1763" t="inlineStr"/>
      <c r="AW1763" t="inlineStr"/>
      <c r="AX1763" t="inlineStr"/>
      <c r="AY1763" t="inlineStr"/>
    </row>
    <row r="1764">
      <c r="A1764" t="inlineStr">
        <is>
          <t>STYL</t>
        </is>
      </c>
      <c r="B1764" t="inlineStr">
        <is>
          <t>GIII US Equity</t>
        </is>
      </c>
      <c r="C1764" s="1" t="inlineStr">
        <is>
          <t>GIII</t>
        </is>
      </c>
      <c r="D1764" t="inlineStr">
        <is>
          <t>G-III Apparel Group Ltd</t>
        </is>
      </c>
      <c r="E1764">
        <f>BDP($B1764,"LEGAL_ENTITY_IDENTIFIER")</f>
        <v/>
      </c>
      <c r="F1764" t="inlineStr">
        <is>
          <t>G-III Apparel Group Ltd</t>
        </is>
      </c>
      <c r="G1764">
        <f>custodian!D1764</f>
        <v/>
      </c>
      <c r="H1764">
        <f>BDP($B1764,"ID_ISIN")</f>
        <v/>
      </c>
      <c r="I1764" s="1" t="inlineStr">
        <is>
          <t>GIII</t>
        </is>
      </c>
      <c r="J1764">
        <f>BDP($B1764,"CNTRY_OF_DOMICILE")</f>
        <v/>
      </c>
      <c r="K1764" t="inlineStr">
        <is>
          <t>EC</t>
        </is>
      </c>
      <c r="L1764" t="inlineStr">
        <is>
          <t>CORP</t>
        </is>
      </c>
      <c r="M1764" t="inlineStr"/>
      <c r="N1764" t="inlineStr"/>
      <c r="O1764" s="1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s="1" t="inlineStr"/>
      <c r="AR1764" s="1" t="inlineStr"/>
      <c r="AS1764" s="1" t="inlineStr"/>
      <c r="AT1764" t="inlineStr"/>
      <c r="AU1764" t="inlineStr"/>
      <c r="AV1764" t="inlineStr"/>
      <c r="AW1764" t="inlineStr"/>
      <c r="AX1764" t="inlineStr"/>
      <c r="AY1764" t="inlineStr"/>
    </row>
    <row r="1765">
      <c r="A1765" t="inlineStr">
        <is>
          <t>STYL</t>
        </is>
      </c>
      <c r="B1765" t="inlineStr">
        <is>
          <t>GIL US Equity</t>
        </is>
      </c>
      <c r="C1765" s="1" t="inlineStr">
        <is>
          <t>GIL</t>
        </is>
      </c>
      <c r="D1765" t="inlineStr">
        <is>
          <t>Gildan Activewear Inc</t>
        </is>
      </c>
      <c r="E1765">
        <f>BDP($B1765,"LEGAL_ENTITY_IDENTIFIER")</f>
        <v/>
      </c>
      <c r="F1765" t="inlineStr">
        <is>
          <t>Gildan Activewear Inc</t>
        </is>
      </c>
      <c r="G1765">
        <f>custodian!D1765</f>
        <v/>
      </c>
      <c r="H1765">
        <f>BDP($B1765,"ID_ISIN")</f>
        <v/>
      </c>
      <c r="I1765" s="1" t="inlineStr">
        <is>
          <t>GIL</t>
        </is>
      </c>
      <c r="J1765">
        <f>BDP($B1765,"CNTRY_OF_DOMICILE")</f>
        <v/>
      </c>
      <c r="K1765" t="inlineStr">
        <is>
          <t>EC</t>
        </is>
      </c>
      <c r="L1765" t="inlineStr">
        <is>
          <t>CORP</t>
        </is>
      </c>
      <c r="M1765" t="inlineStr"/>
      <c r="N1765" t="inlineStr"/>
      <c r="O1765" s="1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s="1" t="inlineStr"/>
      <c r="AR1765" s="1" t="inlineStr"/>
      <c r="AS1765" s="1" t="inlineStr"/>
      <c r="AT1765" t="inlineStr"/>
      <c r="AU1765" t="inlineStr"/>
      <c r="AV1765" t="inlineStr"/>
      <c r="AW1765" t="inlineStr"/>
      <c r="AX1765" t="inlineStr"/>
      <c r="AY1765" t="inlineStr"/>
    </row>
    <row r="1766">
      <c r="A1766" t="inlineStr">
        <is>
          <t>STYL</t>
        </is>
      </c>
      <c r="B1766" t="inlineStr">
        <is>
          <t>GOOS US Equity</t>
        </is>
      </c>
      <c r="C1766" s="1" t="inlineStr">
        <is>
          <t>GOOS</t>
        </is>
      </c>
      <c r="D1766" t="inlineStr">
        <is>
          <t>Canada Goose Holdings Inc</t>
        </is>
      </c>
      <c r="E1766">
        <f>BDP($B1766,"LEGAL_ENTITY_IDENTIFIER")</f>
        <v/>
      </c>
      <c r="F1766" t="inlineStr">
        <is>
          <t>Canada Goose Holdings Inc</t>
        </is>
      </c>
      <c r="G1766">
        <f>custodian!D1766</f>
        <v/>
      </c>
      <c r="H1766">
        <f>BDP($B1766,"ID_ISIN")</f>
        <v/>
      </c>
      <c r="I1766" s="1" t="inlineStr">
        <is>
          <t>GOOS</t>
        </is>
      </c>
      <c r="J1766">
        <f>BDP($B1766,"CNTRY_OF_DOMICILE")</f>
        <v/>
      </c>
      <c r="K1766" t="inlineStr">
        <is>
          <t>EC</t>
        </is>
      </c>
      <c r="L1766" t="inlineStr">
        <is>
          <t>CORP</t>
        </is>
      </c>
      <c r="M1766" t="inlineStr"/>
      <c r="N1766" t="inlineStr"/>
      <c r="O1766" s="1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s="1" t="inlineStr"/>
      <c r="AR1766" s="1" t="inlineStr"/>
      <c r="AS1766" s="1" t="inlineStr"/>
      <c r="AT1766" t="inlineStr"/>
      <c r="AU1766" t="inlineStr"/>
      <c r="AV1766" t="inlineStr"/>
      <c r="AW1766" t="inlineStr"/>
      <c r="AX1766" t="inlineStr"/>
      <c r="AY1766" t="inlineStr"/>
    </row>
    <row r="1767">
      <c r="A1767" t="inlineStr">
        <is>
          <t>STYL</t>
        </is>
      </c>
      <c r="B1767" t="inlineStr">
        <is>
          <t>JOUT US Equity</t>
        </is>
      </c>
      <c r="C1767" s="1" t="inlineStr">
        <is>
          <t>JOUT</t>
        </is>
      </c>
      <c r="D1767" t="inlineStr">
        <is>
          <t>Johnson Outdoors Inc</t>
        </is>
      </c>
      <c r="E1767">
        <f>BDP($B1767,"LEGAL_ENTITY_IDENTIFIER")</f>
        <v/>
      </c>
      <c r="F1767" t="inlineStr">
        <is>
          <t>Johnson Outdoors Inc</t>
        </is>
      </c>
      <c r="G1767">
        <f>custodian!D1767</f>
        <v/>
      </c>
      <c r="H1767">
        <f>BDP($B1767,"ID_ISIN")</f>
        <v/>
      </c>
      <c r="I1767" s="1" t="inlineStr">
        <is>
          <t>JOUT</t>
        </is>
      </c>
      <c r="J1767">
        <f>BDP($B1767,"CNTRY_OF_DOMICILE")</f>
        <v/>
      </c>
      <c r="K1767" t="inlineStr">
        <is>
          <t>EC</t>
        </is>
      </c>
      <c r="L1767" t="inlineStr">
        <is>
          <t>CORP</t>
        </is>
      </c>
      <c r="M1767" t="inlineStr"/>
      <c r="N1767" t="inlineStr"/>
      <c r="O1767" s="1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s="1" t="inlineStr"/>
      <c r="AR1767" s="1" t="inlineStr"/>
      <c r="AS1767" s="1" t="inlineStr"/>
      <c r="AT1767" t="inlineStr"/>
      <c r="AU1767" t="inlineStr"/>
      <c r="AV1767" t="inlineStr"/>
      <c r="AW1767" t="inlineStr"/>
      <c r="AX1767" t="inlineStr"/>
      <c r="AY1767" t="inlineStr"/>
    </row>
    <row r="1768">
      <c r="A1768" t="inlineStr">
        <is>
          <t>STYL</t>
        </is>
      </c>
      <c r="B1768" t="inlineStr">
        <is>
          <t>KTB US Equity</t>
        </is>
      </c>
      <c r="C1768" s="1" t="inlineStr">
        <is>
          <t>KTB</t>
        </is>
      </c>
      <c r="D1768" t="inlineStr">
        <is>
          <t>Kontoor Brands Inc</t>
        </is>
      </c>
      <c r="E1768">
        <f>BDP($B1768,"LEGAL_ENTITY_IDENTIFIER")</f>
        <v/>
      </c>
      <c r="F1768" t="inlineStr">
        <is>
          <t>Kontoor Brands Inc</t>
        </is>
      </c>
      <c r="G1768">
        <f>custodian!D1768</f>
        <v/>
      </c>
      <c r="H1768">
        <f>BDP($B1768,"ID_ISIN")</f>
        <v/>
      </c>
      <c r="I1768" s="1" t="inlineStr">
        <is>
          <t>KTB</t>
        </is>
      </c>
      <c r="J1768">
        <f>BDP($B1768,"CNTRY_OF_DOMICILE")</f>
        <v/>
      </c>
      <c r="K1768" t="inlineStr">
        <is>
          <t>EC</t>
        </is>
      </c>
      <c r="L1768" t="inlineStr">
        <is>
          <t>CORP</t>
        </is>
      </c>
      <c r="M1768" t="inlineStr"/>
      <c r="N1768" t="inlineStr"/>
      <c r="O1768" s="1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s="1" t="inlineStr"/>
      <c r="AR1768" s="1" t="inlineStr"/>
      <c r="AS1768" s="1" t="inlineStr"/>
      <c r="AT1768" t="inlineStr"/>
      <c r="AU1768" t="inlineStr"/>
      <c r="AV1768" t="inlineStr"/>
      <c r="AW1768" t="inlineStr"/>
      <c r="AX1768" t="inlineStr"/>
      <c r="AY1768" t="inlineStr"/>
    </row>
    <row r="1769">
      <c r="A1769" t="inlineStr">
        <is>
          <t>STYL</t>
        </is>
      </c>
      <c r="B1769" t="inlineStr">
        <is>
          <t>LEVI US Equity</t>
        </is>
      </c>
      <c r="C1769" s="1" t="inlineStr">
        <is>
          <t>LEVI</t>
        </is>
      </c>
      <c r="D1769" t="inlineStr">
        <is>
          <t>Levi Strauss &amp; Co</t>
        </is>
      </c>
      <c r="E1769">
        <f>BDP($B1769,"LEGAL_ENTITY_IDENTIFIER")</f>
        <v/>
      </c>
      <c r="F1769" t="inlineStr">
        <is>
          <t>Levi Strauss &amp; Co</t>
        </is>
      </c>
      <c r="G1769">
        <f>custodian!D1769</f>
        <v/>
      </c>
      <c r="H1769">
        <f>BDP($B1769,"ID_ISIN")</f>
        <v/>
      </c>
      <c r="I1769" s="1" t="inlineStr">
        <is>
          <t>LEVI</t>
        </is>
      </c>
      <c r="J1769">
        <f>BDP($B1769,"CNTRY_OF_DOMICILE")</f>
        <v/>
      </c>
      <c r="K1769" t="inlineStr">
        <is>
          <t>EC</t>
        </is>
      </c>
      <c r="L1769" t="inlineStr">
        <is>
          <t>CORP</t>
        </is>
      </c>
      <c r="M1769" t="inlineStr"/>
      <c r="N1769" t="inlineStr"/>
      <c r="O1769" s="1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s="1" t="inlineStr"/>
      <c r="AR1769" s="1" t="inlineStr"/>
      <c r="AS1769" s="1" t="inlineStr"/>
      <c r="AT1769" t="inlineStr"/>
      <c r="AU1769" t="inlineStr"/>
      <c r="AV1769" t="inlineStr"/>
      <c r="AW1769" t="inlineStr"/>
      <c r="AX1769" t="inlineStr"/>
      <c r="AY1769" t="inlineStr"/>
    </row>
    <row r="1770">
      <c r="A1770" t="inlineStr">
        <is>
          <t>STYL</t>
        </is>
      </c>
      <c r="B1770" t="inlineStr">
        <is>
          <t>LULU US Equity</t>
        </is>
      </c>
      <c r="C1770" s="1" t="inlineStr">
        <is>
          <t>LULU</t>
        </is>
      </c>
      <c r="D1770" t="inlineStr">
        <is>
          <t>Lululemon Athletica Inc</t>
        </is>
      </c>
      <c r="E1770">
        <f>BDP($B1770,"LEGAL_ENTITY_IDENTIFIER")</f>
        <v/>
      </c>
      <c r="F1770" t="inlineStr">
        <is>
          <t>Lululemon Athletica Inc</t>
        </is>
      </c>
      <c r="G1770">
        <f>custodian!D1770</f>
        <v/>
      </c>
      <c r="H1770">
        <f>BDP($B1770,"ID_ISIN")</f>
        <v/>
      </c>
      <c r="I1770" s="1" t="inlineStr">
        <is>
          <t>LULU</t>
        </is>
      </c>
      <c r="J1770">
        <f>BDP($B1770,"CNTRY_OF_DOMICILE")</f>
        <v/>
      </c>
      <c r="K1770" t="inlineStr">
        <is>
          <t>EC</t>
        </is>
      </c>
      <c r="L1770" t="inlineStr">
        <is>
          <t>CORP</t>
        </is>
      </c>
      <c r="M1770" t="inlineStr"/>
      <c r="N1770" t="inlineStr"/>
      <c r="O1770" s="1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s="1" t="inlineStr"/>
      <c r="AR1770" s="1" t="inlineStr"/>
      <c r="AS1770" s="1" t="inlineStr"/>
      <c r="AT1770" t="inlineStr"/>
      <c r="AU1770" t="inlineStr"/>
      <c r="AV1770" t="inlineStr"/>
      <c r="AW1770" t="inlineStr"/>
      <c r="AX1770" t="inlineStr"/>
      <c r="AY1770" t="inlineStr"/>
    </row>
    <row r="1771">
      <c r="A1771" t="inlineStr">
        <is>
          <t>STYL</t>
        </is>
      </c>
      <c r="B1771" t="inlineStr">
        <is>
          <t>NKE US Equity</t>
        </is>
      </c>
      <c r="C1771" s="1" t="inlineStr">
        <is>
          <t>NKE</t>
        </is>
      </c>
      <c r="D1771" t="inlineStr">
        <is>
          <t>NIKE Inc</t>
        </is>
      </c>
      <c r="E1771">
        <f>BDP($B1771,"LEGAL_ENTITY_IDENTIFIER")</f>
        <v/>
      </c>
      <c r="F1771" t="inlineStr">
        <is>
          <t>NIKE Inc</t>
        </is>
      </c>
      <c r="G1771">
        <f>custodian!D1771</f>
        <v/>
      </c>
      <c r="H1771">
        <f>BDP($B1771,"ID_ISIN")</f>
        <v/>
      </c>
      <c r="I1771" s="1" t="inlineStr">
        <is>
          <t>NKE</t>
        </is>
      </c>
      <c r="J1771">
        <f>BDP($B1771,"CNTRY_OF_DOMICILE")</f>
        <v/>
      </c>
      <c r="K1771" t="inlineStr">
        <is>
          <t>EC</t>
        </is>
      </c>
      <c r="L1771" t="inlineStr">
        <is>
          <t>CORP</t>
        </is>
      </c>
      <c r="M1771" t="inlineStr"/>
      <c r="N1771" t="inlineStr"/>
      <c r="O1771" s="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s="1" t="inlineStr"/>
      <c r="AR1771" s="1" t="inlineStr"/>
      <c r="AS1771" s="1" t="inlineStr"/>
      <c r="AT1771" t="inlineStr"/>
      <c r="AU1771" t="inlineStr"/>
      <c r="AV1771" t="inlineStr"/>
      <c r="AW1771" t="inlineStr"/>
      <c r="AX1771" t="inlineStr"/>
      <c r="AY1771" t="inlineStr"/>
    </row>
    <row r="1772">
      <c r="A1772" t="inlineStr">
        <is>
          <t>STYL</t>
        </is>
      </c>
      <c r="B1772" t="inlineStr">
        <is>
          <t>ONON US Equity</t>
        </is>
      </c>
      <c r="C1772" s="1" t="inlineStr">
        <is>
          <t>ONON</t>
        </is>
      </c>
      <c r="D1772" t="inlineStr">
        <is>
          <t>On Holding AG</t>
        </is>
      </c>
      <c r="E1772">
        <f>BDP($B1772,"LEGAL_ENTITY_IDENTIFIER")</f>
        <v/>
      </c>
      <c r="F1772" t="inlineStr">
        <is>
          <t>On Holding AG</t>
        </is>
      </c>
      <c r="G1772">
        <f>custodian!D1772</f>
        <v/>
      </c>
      <c r="H1772">
        <f>BDP($B1772,"ID_ISIN")</f>
        <v/>
      </c>
      <c r="I1772" s="1" t="inlineStr">
        <is>
          <t>ONON</t>
        </is>
      </c>
      <c r="J1772">
        <f>BDP($B1772,"CNTRY_OF_DOMICILE")</f>
        <v/>
      </c>
      <c r="K1772" t="inlineStr">
        <is>
          <t>EC</t>
        </is>
      </c>
      <c r="L1772" t="inlineStr">
        <is>
          <t>CORP</t>
        </is>
      </c>
      <c r="M1772" t="inlineStr"/>
      <c r="N1772" t="inlineStr"/>
      <c r="O1772" s="1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s="1" t="inlineStr"/>
      <c r="AR1772" s="1" t="inlineStr"/>
      <c r="AS1772" s="1" t="inlineStr"/>
      <c r="AT1772" t="inlineStr"/>
      <c r="AU1772" t="inlineStr"/>
      <c r="AV1772" t="inlineStr"/>
      <c r="AW1772" t="inlineStr"/>
      <c r="AX1772" t="inlineStr"/>
      <c r="AY1772" t="inlineStr"/>
    </row>
    <row r="1773">
      <c r="A1773" t="inlineStr">
        <is>
          <t>STYL</t>
        </is>
      </c>
      <c r="B1773" t="inlineStr">
        <is>
          <t>OXM US Equity</t>
        </is>
      </c>
      <c r="C1773" s="1" t="inlineStr">
        <is>
          <t>OXM</t>
        </is>
      </c>
      <c r="D1773" t="inlineStr">
        <is>
          <t>Oxford Industries Inc</t>
        </is>
      </c>
      <c r="E1773">
        <f>BDP($B1773,"LEGAL_ENTITY_IDENTIFIER")</f>
        <v/>
      </c>
      <c r="F1773" t="inlineStr">
        <is>
          <t>Oxford Industries Inc</t>
        </is>
      </c>
      <c r="G1773">
        <f>custodian!D1773</f>
        <v/>
      </c>
      <c r="H1773">
        <f>BDP($B1773,"ID_ISIN")</f>
        <v/>
      </c>
      <c r="I1773" s="1" t="inlineStr">
        <is>
          <t>OXM</t>
        </is>
      </c>
      <c r="J1773">
        <f>BDP($B1773,"CNTRY_OF_DOMICILE")</f>
        <v/>
      </c>
      <c r="K1773" t="inlineStr">
        <is>
          <t>EC</t>
        </is>
      </c>
      <c r="L1773" t="inlineStr">
        <is>
          <t>CORP</t>
        </is>
      </c>
      <c r="M1773" t="inlineStr"/>
      <c r="N1773" t="inlineStr"/>
      <c r="O1773" s="1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s="1" t="inlineStr"/>
      <c r="AR1773" s="1" t="inlineStr"/>
      <c r="AS1773" s="1" t="inlineStr"/>
      <c r="AT1773" t="inlineStr"/>
      <c r="AU1773" t="inlineStr"/>
      <c r="AV1773" t="inlineStr"/>
      <c r="AW1773" t="inlineStr"/>
      <c r="AX1773" t="inlineStr"/>
      <c r="AY1773" t="inlineStr"/>
    </row>
    <row r="1774">
      <c r="A1774" t="inlineStr">
        <is>
          <t>STYL</t>
        </is>
      </c>
      <c r="B1774" t="inlineStr">
        <is>
          <t>PVH US Equity</t>
        </is>
      </c>
      <c r="C1774" s="1" t="inlineStr">
        <is>
          <t>PVH</t>
        </is>
      </c>
      <c r="D1774" t="inlineStr">
        <is>
          <t>PVH Corp</t>
        </is>
      </c>
      <c r="E1774">
        <f>BDP($B1774,"LEGAL_ENTITY_IDENTIFIER")</f>
        <v/>
      </c>
      <c r="F1774" t="inlineStr">
        <is>
          <t>PVH Corp</t>
        </is>
      </c>
      <c r="G1774">
        <f>custodian!D1774</f>
        <v/>
      </c>
      <c r="H1774">
        <f>BDP($B1774,"ID_ISIN")</f>
        <v/>
      </c>
      <c r="I1774" s="1" t="inlineStr">
        <is>
          <t>PVH</t>
        </is>
      </c>
      <c r="J1774">
        <f>BDP($B1774,"CNTRY_OF_DOMICILE")</f>
        <v/>
      </c>
      <c r="K1774" t="inlineStr">
        <is>
          <t>EC</t>
        </is>
      </c>
      <c r="L1774" t="inlineStr">
        <is>
          <t>CORP</t>
        </is>
      </c>
      <c r="M1774" t="inlineStr"/>
      <c r="N1774" t="inlineStr"/>
      <c r="O1774" s="1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s="1" t="inlineStr"/>
      <c r="AR1774" s="1" t="inlineStr"/>
      <c r="AS1774" s="1" t="inlineStr"/>
      <c r="AT1774" t="inlineStr"/>
      <c r="AU1774" t="inlineStr"/>
      <c r="AV1774" t="inlineStr"/>
      <c r="AW1774" t="inlineStr"/>
      <c r="AX1774" t="inlineStr"/>
      <c r="AY1774" t="inlineStr"/>
    </row>
    <row r="1775">
      <c r="A1775" t="inlineStr">
        <is>
          <t>STYL</t>
        </is>
      </c>
      <c r="B1775" t="inlineStr">
        <is>
          <t>RACE US Equity</t>
        </is>
      </c>
      <c r="C1775" s="1" t="inlineStr">
        <is>
          <t>RACE</t>
        </is>
      </c>
      <c r="D1775" t="inlineStr">
        <is>
          <t>FERRARI NV</t>
        </is>
      </c>
      <c r="E1775">
        <f>BDP($B1775,"LEGAL_ENTITY_IDENTIFIER")</f>
        <v/>
      </c>
      <c r="F1775" t="inlineStr">
        <is>
          <t>FERRARI NV</t>
        </is>
      </c>
      <c r="G1775">
        <f>custodian!D1775</f>
        <v/>
      </c>
      <c r="H1775">
        <f>BDP($B1775,"ID_ISIN")</f>
        <v/>
      </c>
      <c r="I1775" s="1" t="inlineStr">
        <is>
          <t>RACE</t>
        </is>
      </c>
      <c r="J1775">
        <f>BDP($B1775,"CNTRY_OF_DOMICILE")</f>
        <v/>
      </c>
      <c r="K1775" t="inlineStr">
        <is>
          <t>EC</t>
        </is>
      </c>
      <c r="L1775" t="inlineStr">
        <is>
          <t>CORP</t>
        </is>
      </c>
      <c r="M1775" t="inlineStr"/>
      <c r="N1775" t="inlineStr"/>
      <c r="O1775" s="1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s="1" t="inlineStr"/>
      <c r="AR1775" s="1" t="inlineStr"/>
      <c r="AS1775" s="1" t="inlineStr"/>
      <c r="AT1775" t="inlineStr"/>
      <c r="AU1775" t="inlineStr"/>
      <c r="AV1775" t="inlineStr"/>
      <c r="AW1775" t="inlineStr"/>
      <c r="AX1775" t="inlineStr"/>
      <c r="AY1775" t="inlineStr"/>
    </row>
    <row r="1776">
      <c r="A1776" t="inlineStr">
        <is>
          <t>STYL</t>
        </is>
      </c>
      <c r="B1776" t="inlineStr">
        <is>
          <t>RCKY US Equity</t>
        </is>
      </c>
      <c r="C1776" s="1" t="inlineStr">
        <is>
          <t>RCKY</t>
        </is>
      </c>
      <c r="D1776" t="inlineStr">
        <is>
          <t>Rocky Brands Inc</t>
        </is>
      </c>
      <c r="E1776">
        <f>BDP($B1776,"LEGAL_ENTITY_IDENTIFIER")</f>
        <v/>
      </c>
      <c r="F1776" t="inlineStr">
        <is>
          <t>Rocky Brands Inc</t>
        </is>
      </c>
      <c r="G1776">
        <f>custodian!D1776</f>
        <v/>
      </c>
      <c r="H1776">
        <f>BDP($B1776,"ID_ISIN")</f>
        <v/>
      </c>
      <c r="I1776" s="1" t="inlineStr">
        <is>
          <t>RCKY</t>
        </is>
      </c>
      <c r="J1776">
        <f>BDP($B1776,"CNTRY_OF_DOMICILE")</f>
        <v/>
      </c>
      <c r="K1776" t="inlineStr">
        <is>
          <t>EC</t>
        </is>
      </c>
      <c r="L1776" t="inlineStr">
        <is>
          <t>CORP</t>
        </is>
      </c>
      <c r="M1776" t="inlineStr"/>
      <c r="N1776" t="inlineStr"/>
      <c r="O1776" s="1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s="1" t="inlineStr"/>
      <c r="AR1776" s="1" t="inlineStr"/>
      <c r="AS1776" s="1" t="inlineStr"/>
      <c r="AT1776" t="inlineStr"/>
      <c r="AU1776" t="inlineStr"/>
      <c r="AV1776" t="inlineStr"/>
      <c r="AW1776" t="inlineStr"/>
      <c r="AX1776" t="inlineStr"/>
      <c r="AY1776" t="inlineStr"/>
    </row>
    <row r="1777">
      <c r="A1777" t="inlineStr">
        <is>
          <t>STYL</t>
        </is>
      </c>
      <c r="B1777" t="inlineStr">
        <is>
          <t>REAL US Equity</t>
        </is>
      </c>
      <c r="C1777" s="1" t="inlineStr">
        <is>
          <t>REAL</t>
        </is>
      </c>
      <c r="D1777" t="inlineStr">
        <is>
          <t>RealReal Inc/The</t>
        </is>
      </c>
      <c r="E1777">
        <f>BDP($B1777,"LEGAL_ENTITY_IDENTIFIER")</f>
        <v/>
      </c>
      <c r="F1777" t="inlineStr">
        <is>
          <t>RealReal Inc/The</t>
        </is>
      </c>
      <c r="G1777">
        <f>custodian!D1777</f>
        <v/>
      </c>
      <c r="H1777">
        <f>BDP($B1777,"ID_ISIN")</f>
        <v/>
      </c>
      <c r="I1777" s="1" t="inlineStr">
        <is>
          <t>REAL</t>
        </is>
      </c>
      <c r="J1777">
        <f>BDP($B1777,"CNTRY_OF_DOMICILE")</f>
        <v/>
      </c>
      <c r="K1777" t="inlineStr">
        <is>
          <t>EC</t>
        </is>
      </c>
      <c r="L1777" t="inlineStr">
        <is>
          <t>CORP</t>
        </is>
      </c>
      <c r="M1777" t="inlineStr"/>
      <c r="N1777" t="inlineStr"/>
      <c r="O1777" s="1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s="1" t="inlineStr"/>
      <c r="AR1777" s="1" t="inlineStr"/>
      <c r="AS1777" s="1" t="inlineStr"/>
      <c r="AT1777" t="inlineStr"/>
      <c r="AU1777" t="inlineStr"/>
      <c r="AV1777" t="inlineStr"/>
      <c r="AW1777" t="inlineStr"/>
      <c r="AX1777" t="inlineStr"/>
      <c r="AY1777" t="inlineStr"/>
    </row>
    <row r="1778">
      <c r="A1778" t="inlineStr">
        <is>
          <t>STYL</t>
        </is>
      </c>
      <c r="B1778" t="inlineStr">
        <is>
          <t>RH US Equity</t>
        </is>
      </c>
      <c r="C1778" s="1" t="inlineStr">
        <is>
          <t>RH</t>
        </is>
      </c>
      <c r="D1778" t="inlineStr">
        <is>
          <t>RH</t>
        </is>
      </c>
      <c r="E1778">
        <f>BDP($B1778,"LEGAL_ENTITY_IDENTIFIER")</f>
        <v/>
      </c>
      <c r="F1778" t="inlineStr">
        <is>
          <t>RH</t>
        </is>
      </c>
      <c r="G1778">
        <f>custodian!D1778</f>
        <v/>
      </c>
      <c r="H1778">
        <f>BDP($B1778,"ID_ISIN")</f>
        <v/>
      </c>
      <c r="I1778" s="1" t="inlineStr">
        <is>
          <t>RH</t>
        </is>
      </c>
      <c r="J1778">
        <f>BDP($B1778,"CNTRY_OF_DOMICILE")</f>
        <v/>
      </c>
      <c r="K1778" t="inlineStr">
        <is>
          <t>EC</t>
        </is>
      </c>
      <c r="L1778" t="inlineStr">
        <is>
          <t>CORP</t>
        </is>
      </c>
      <c r="M1778" t="inlineStr"/>
      <c r="N1778" t="inlineStr"/>
      <c r="O1778" s="1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s="1" t="inlineStr"/>
      <c r="AR1778" s="1" t="inlineStr"/>
      <c r="AS1778" s="1" t="inlineStr"/>
      <c r="AT1778" t="inlineStr"/>
      <c r="AU1778" t="inlineStr"/>
      <c r="AV1778" t="inlineStr"/>
      <c r="AW1778" t="inlineStr"/>
      <c r="AX1778" t="inlineStr"/>
      <c r="AY1778" t="inlineStr"/>
    </row>
    <row r="1779">
      <c r="A1779" t="inlineStr">
        <is>
          <t>STYL</t>
        </is>
      </c>
      <c r="B1779" t="inlineStr">
        <is>
          <t>RL US Equity</t>
        </is>
      </c>
      <c r="C1779" s="1" t="inlineStr">
        <is>
          <t>RL</t>
        </is>
      </c>
      <c r="D1779" t="inlineStr">
        <is>
          <t>Ralph Lauren Corp</t>
        </is>
      </c>
      <c r="E1779">
        <f>BDP($B1779,"LEGAL_ENTITY_IDENTIFIER")</f>
        <v/>
      </c>
      <c r="F1779" t="inlineStr">
        <is>
          <t>Ralph Lauren Corp</t>
        </is>
      </c>
      <c r="G1779">
        <f>custodian!D1779</f>
        <v/>
      </c>
      <c r="H1779">
        <f>BDP($B1779,"ID_ISIN")</f>
        <v/>
      </c>
      <c r="I1779" s="1" t="inlineStr">
        <is>
          <t>RL</t>
        </is>
      </c>
      <c r="J1779">
        <f>BDP($B1779,"CNTRY_OF_DOMICILE")</f>
        <v/>
      </c>
      <c r="K1779" t="inlineStr">
        <is>
          <t>EC</t>
        </is>
      </c>
      <c r="L1779" t="inlineStr">
        <is>
          <t>CORP</t>
        </is>
      </c>
      <c r="M1779" t="inlineStr"/>
      <c r="N1779" t="inlineStr"/>
      <c r="O1779" s="1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s="1" t="inlineStr"/>
      <c r="AR1779" s="1" t="inlineStr"/>
      <c r="AS1779" s="1" t="inlineStr"/>
      <c r="AT1779" t="inlineStr"/>
      <c r="AU1779" t="inlineStr"/>
      <c r="AV1779" t="inlineStr"/>
      <c r="AW1779" t="inlineStr"/>
      <c r="AX1779" t="inlineStr"/>
      <c r="AY1779" t="inlineStr"/>
    </row>
    <row r="1780">
      <c r="A1780" t="inlineStr">
        <is>
          <t>STYL</t>
        </is>
      </c>
      <c r="B1780" t="inlineStr">
        <is>
          <t>RVLV US Equity</t>
        </is>
      </c>
      <c r="C1780" s="1" t="inlineStr">
        <is>
          <t>RVLV</t>
        </is>
      </c>
      <c r="D1780" t="inlineStr">
        <is>
          <t>Revolve Group Inc</t>
        </is>
      </c>
      <c r="E1780">
        <f>BDP($B1780,"LEGAL_ENTITY_IDENTIFIER")</f>
        <v/>
      </c>
      <c r="F1780" t="inlineStr">
        <is>
          <t>Revolve Group Inc</t>
        </is>
      </c>
      <c r="G1780">
        <f>custodian!D1780</f>
        <v/>
      </c>
      <c r="H1780">
        <f>BDP($B1780,"ID_ISIN")</f>
        <v/>
      </c>
      <c r="I1780" s="1" t="inlineStr">
        <is>
          <t>RVLV</t>
        </is>
      </c>
      <c r="J1780">
        <f>BDP($B1780,"CNTRY_OF_DOMICILE")</f>
        <v/>
      </c>
      <c r="K1780" t="inlineStr">
        <is>
          <t>EC</t>
        </is>
      </c>
      <c r="L1780" t="inlineStr">
        <is>
          <t>CORP</t>
        </is>
      </c>
      <c r="M1780" t="inlineStr"/>
      <c r="N1780" t="inlineStr"/>
      <c r="O1780" s="1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s="1" t="inlineStr"/>
      <c r="AR1780" s="1" t="inlineStr"/>
      <c r="AS1780" s="1" t="inlineStr"/>
      <c r="AT1780" t="inlineStr"/>
      <c r="AU1780" t="inlineStr"/>
      <c r="AV1780" t="inlineStr"/>
      <c r="AW1780" t="inlineStr"/>
      <c r="AX1780" t="inlineStr"/>
      <c r="AY1780" t="inlineStr"/>
    </row>
    <row r="1781">
      <c r="A1781" t="inlineStr">
        <is>
          <t>STYL</t>
        </is>
      </c>
      <c r="B1781" t="inlineStr">
        <is>
          <t>SFIX US Equity</t>
        </is>
      </c>
      <c r="C1781" s="1" t="inlineStr">
        <is>
          <t>SFIX</t>
        </is>
      </c>
      <c r="D1781" t="inlineStr">
        <is>
          <t>Stitch Fix Inc</t>
        </is>
      </c>
      <c r="E1781">
        <f>BDP($B1781,"LEGAL_ENTITY_IDENTIFIER")</f>
        <v/>
      </c>
      <c r="F1781" t="inlineStr">
        <is>
          <t>Stitch Fix Inc</t>
        </is>
      </c>
      <c r="G1781">
        <f>custodian!D1781</f>
        <v/>
      </c>
      <c r="H1781">
        <f>BDP($B1781,"ID_ISIN")</f>
        <v/>
      </c>
      <c r="I1781" s="1" t="inlineStr">
        <is>
          <t>SFIX</t>
        </is>
      </c>
      <c r="J1781">
        <f>BDP($B1781,"CNTRY_OF_DOMICILE")</f>
        <v/>
      </c>
      <c r="K1781" t="inlineStr">
        <is>
          <t>EC</t>
        </is>
      </c>
      <c r="L1781" t="inlineStr">
        <is>
          <t>CORP</t>
        </is>
      </c>
      <c r="M1781" t="inlineStr"/>
      <c r="N1781" t="inlineStr"/>
      <c r="O1781" s="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s="1" t="inlineStr"/>
      <c r="AR1781" s="1" t="inlineStr"/>
      <c r="AS1781" s="1" t="inlineStr"/>
      <c r="AT1781" t="inlineStr"/>
      <c r="AU1781" t="inlineStr"/>
      <c r="AV1781" t="inlineStr"/>
      <c r="AW1781" t="inlineStr"/>
      <c r="AX1781" t="inlineStr"/>
      <c r="AY1781" t="inlineStr"/>
    </row>
    <row r="1782">
      <c r="A1782" t="inlineStr">
        <is>
          <t>STYL</t>
        </is>
      </c>
      <c r="B1782" t="inlineStr">
        <is>
          <t>SHOO US Equity</t>
        </is>
      </c>
      <c r="C1782" s="1" t="inlineStr">
        <is>
          <t>SHOO</t>
        </is>
      </c>
      <c r="D1782" t="inlineStr">
        <is>
          <t>Steven Madden Ltd</t>
        </is>
      </c>
      <c r="E1782">
        <f>BDP($B1782,"LEGAL_ENTITY_IDENTIFIER")</f>
        <v/>
      </c>
      <c r="F1782" t="inlineStr">
        <is>
          <t>Steven Madden Ltd</t>
        </is>
      </c>
      <c r="G1782">
        <f>custodian!D1782</f>
        <v/>
      </c>
      <c r="H1782">
        <f>BDP($B1782,"ID_ISIN")</f>
        <v/>
      </c>
      <c r="I1782" s="1" t="inlineStr">
        <is>
          <t>SHOO</t>
        </is>
      </c>
      <c r="J1782">
        <f>BDP($B1782,"CNTRY_OF_DOMICILE")</f>
        <v/>
      </c>
      <c r="K1782" t="inlineStr">
        <is>
          <t>EC</t>
        </is>
      </c>
      <c r="L1782" t="inlineStr">
        <is>
          <t>CORP</t>
        </is>
      </c>
      <c r="M1782" t="inlineStr"/>
      <c r="N1782" t="inlineStr"/>
      <c r="O1782" s="1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s="1" t="inlineStr"/>
      <c r="AR1782" s="1" t="inlineStr"/>
      <c r="AS1782" s="1" t="inlineStr"/>
      <c r="AT1782" t="inlineStr"/>
      <c r="AU1782" t="inlineStr"/>
      <c r="AV1782" t="inlineStr"/>
      <c r="AW1782" t="inlineStr"/>
      <c r="AX1782" t="inlineStr"/>
      <c r="AY1782" t="inlineStr"/>
    </row>
    <row r="1783">
      <c r="A1783" t="inlineStr">
        <is>
          <t>STYL</t>
        </is>
      </c>
      <c r="B1783" t="inlineStr">
        <is>
          <t>TDUP US Equity</t>
        </is>
      </c>
      <c r="C1783" s="1" t="inlineStr">
        <is>
          <t>TDUP</t>
        </is>
      </c>
      <c r="D1783" t="inlineStr">
        <is>
          <t>ThredUp Inc</t>
        </is>
      </c>
      <c r="E1783">
        <f>BDP($B1783,"LEGAL_ENTITY_IDENTIFIER")</f>
        <v/>
      </c>
      <c r="F1783" t="inlineStr">
        <is>
          <t>ThredUp Inc</t>
        </is>
      </c>
      <c r="G1783">
        <f>custodian!D1783</f>
        <v/>
      </c>
      <c r="H1783">
        <f>BDP($B1783,"ID_ISIN")</f>
        <v/>
      </c>
      <c r="I1783" s="1" t="inlineStr">
        <is>
          <t>TDUP</t>
        </is>
      </c>
      <c r="J1783">
        <f>BDP($B1783,"CNTRY_OF_DOMICILE")</f>
        <v/>
      </c>
      <c r="K1783" t="inlineStr">
        <is>
          <t>EC</t>
        </is>
      </c>
      <c r="L1783" t="inlineStr">
        <is>
          <t>CORP</t>
        </is>
      </c>
      <c r="M1783" t="inlineStr"/>
      <c r="N1783" t="inlineStr"/>
      <c r="O1783" s="1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s="1" t="inlineStr"/>
      <c r="AR1783" s="1" t="inlineStr"/>
      <c r="AS1783" s="1" t="inlineStr"/>
      <c r="AT1783" t="inlineStr"/>
      <c r="AU1783" t="inlineStr"/>
      <c r="AV1783" t="inlineStr"/>
      <c r="AW1783" t="inlineStr"/>
      <c r="AX1783" t="inlineStr"/>
      <c r="AY1783" t="inlineStr"/>
    </row>
    <row r="1784">
      <c r="A1784" t="inlineStr">
        <is>
          <t>STYL</t>
        </is>
      </c>
      <c r="B1784" t="inlineStr">
        <is>
          <t>TPR US Equity</t>
        </is>
      </c>
      <c r="C1784" s="1" t="inlineStr">
        <is>
          <t>TPR</t>
        </is>
      </c>
      <c r="D1784" t="inlineStr">
        <is>
          <t>Tapestry Inc</t>
        </is>
      </c>
      <c r="E1784">
        <f>BDP($B1784,"LEGAL_ENTITY_IDENTIFIER")</f>
        <v/>
      </c>
      <c r="F1784" t="inlineStr">
        <is>
          <t>Tapestry Inc</t>
        </is>
      </c>
      <c r="G1784">
        <f>custodian!D1784</f>
        <v/>
      </c>
      <c r="H1784">
        <f>BDP($B1784,"ID_ISIN")</f>
        <v/>
      </c>
      <c r="I1784" s="1" t="inlineStr">
        <is>
          <t>TPR</t>
        </is>
      </c>
      <c r="J1784">
        <f>BDP($B1784,"CNTRY_OF_DOMICILE")</f>
        <v/>
      </c>
      <c r="K1784" t="inlineStr">
        <is>
          <t>EC</t>
        </is>
      </c>
      <c r="L1784" t="inlineStr">
        <is>
          <t>CORP</t>
        </is>
      </c>
      <c r="M1784" t="inlineStr"/>
      <c r="N1784" t="inlineStr"/>
      <c r="O1784" s="1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s="1" t="inlineStr"/>
      <c r="AR1784" s="1" t="inlineStr"/>
      <c r="AS1784" s="1" t="inlineStr"/>
      <c r="AT1784" t="inlineStr"/>
      <c r="AU1784" t="inlineStr"/>
      <c r="AV1784" t="inlineStr"/>
      <c r="AW1784" t="inlineStr"/>
      <c r="AX1784" t="inlineStr"/>
      <c r="AY1784" t="inlineStr"/>
    </row>
    <row r="1785">
      <c r="A1785" t="inlineStr">
        <is>
          <t>STYL</t>
        </is>
      </c>
      <c r="B1785" t="inlineStr">
        <is>
          <t>UAA US Equity</t>
        </is>
      </c>
      <c r="C1785" s="1" t="inlineStr">
        <is>
          <t>UAA</t>
        </is>
      </c>
      <c r="D1785" t="inlineStr">
        <is>
          <t>Under Armour Inc</t>
        </is>
      </c>
      <c r="E1785">
        <f>BDP($B1785,"LEGAL_ENTITY_IDENTIFIER")</f>
        <v/>
      </c>
      <c r="F1785" t="inlineStr">
        <is>
          <t>Under Armour Inc</t>
        </is>
      </c>
      <c r="G1785">
        <f>custodian!D1785</f>
        <v/>
      </c>
      <c r="H1785">
        <f>BDP($B1785,"ID_ISIN")</f>
        <v/>
      </c>
      <c r="I1785" s="1" t="inlineStr">
        <is>
          <t>UAA</t>
        </is>
      </c>
      <c r="J1785">
        <f>BDP($B1785,"CNTRY_OF_DOMICILE")</f>
        <v/>
      </c>
      <c r="K1785" t="inlineStr">
        <is>
          <t>EC</t>
        </is>
      </c>
      <c r="L1785" t="inlineStr">
        <is>
          <t>CORP</t>
        </is>
      </c>
      <c r="M1785" t="inlineStr"/>
      <c r="N1785" t="inlineStr"/>
      <c r="O1785" s="1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s="1" t="inlineStr"/>
      <c r="AR1785" s="1" t="inlineStr"/>
      <c r="AS1785" s="1" t="inlineStr"/>
      <c r="AT1785" t="inlineStr"/>
      <c r="AU1785" t="inlineStr"/>
      <c r="AV1785" t="inlineStr"/>
      <c r="AW1785" t="inlineStr"/>
      <c r="AX1785" t="inlineStr"/>
      <c r="AY1785" t="inlineStr"/>
    </row>
    <row r="1786">
      <c r="A1786" t="inlineStr">
        <is>
          <t>STYL</t>
        </is>
      </c>
      <c r="B1786" t="inlineStr">
        <is>
          <t>URBN US Equity</t>
        </is>
      </c>
      <c r="C1786" s="1" t="inlineStr">
        <is>
          <t>URBN</t>
        </is>
      </c>
      <c r="D1786" t="inlineStr">
        <is>
          <t>Urban Outfitters Inc</t>
        </is>
      </c>
      <c r="E1786">
        <f>BDP($B1786,"LEGAL_ENTITY_IDENTIFIER")</f>
        <v/>
      </c>
      <c r="F1786" t="inlineStr">
        <is>
          <t>Urban Outfitters Inc</t>
        </is>
      </c>
      <c r="G1786">
        <f>custodian!D1786</f>
        <v/>
      </c>
      <c r="H1786">
        <f>BDP($B1786,"ID_ISIN")</f>
        <v/>
      </c>
      <c r="I1786" s="1" t="inlineStr">
        <is>
          <t>URBN</t>
        </is>
      </c>
      <c r="J1786">
        <f>BDP($B1786,"CNTRY_OF_DOMICILE")</f>
        <v/>
      </c>
      <c r="K1786" t="inlineStr">
        <is>
          <t>EC</t>
        </is>
      </c>
      <c r="L1786" t="inlineStr">
        <is>
          <t>CORP</t>
        </is>
      </c>
      <c r="M1786" t="inlineStr"/>
      <c r="N1786" t="inlineStr"/>
      <c r="O1786" s="1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s="1" t="inlineStr"/>
      <c r="AR1786" s="1" t="inlineStr"/>
      <c r="AS1786" s="1" t="inlineStr"/>
      <c r="AT1786" t="inlineStr"/>
      <c r="AU1786" t="inlineStr"/>
      <c r="AV1786" t="inlineStr"/>
      <c r="AW1786" t="inlineStr"/>
      <c r="AX1786" t="inlineStr"/>
      <c r="AY1786" t="inlineStr"/>
    </row>
    <row r="1787">
      <c r="A1787" t="inlineStr">
        <is>
          <t>STYL</t>
        </is>
      </c>
      <c r="B1787" t="inlineStr">
        <is>
          <t>VFC US Equity</t>
        </is>
      </c>
      <c r="C1787" s="1" t="inlineStr">
        <is>
          <t>VFC</t>
        </is>
      </c>
      <c r="D1787" t="inlineStr">
        <is>
          <t>VF Corp</t>
        </is>
      </c>
      <c r="E1787">
        <f>BDP($B1787,"LEGAL_ENTITY_IDENTIFIER")</f>
        <v/>
      </c>
      <c r="F1787" t="inlineStr">
        <is>
          <t>VF Corp</t>
        </is>
      </c>
      <c r="G1787">
        <f>custodian!D1787</f>
        <v/>
      </c>
      <c r="H1787">
        <f>BDP($B1787,"ID_ISIN")</f>
        <v/>
      </c>
      <c r="I1787" s="1" t="inlineStr">
        <is>
          <t>VFC</t>
        </is>
      </c>
      <c r="J1787">
        <f>BDP($B1787,"CNTRY_OF_DOMICILE")</f>
        <v/>
      </c>
      <c r="K1787" t="inlineStr">
        <is>
          <t>EC</t>
        </is>
      </c>
      <c r="L1787" t="inlineStr">
        <is>
          <t>CORP</t>
        </is>
      </c>
      <c r="M1787" t="inlineStr"/>
      <c r="N1787" t="inlineStr"/>
      <c r="O1787" s="1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s="1" t="inlineStr"/>
      <c r="AR1787" s="1" t="inlineStr"/>
      <c r="AS1787" s="1" t="inlineStr"/>
      <c r="AT1787" t="inlineStr"/>
      <c r="AU1787" t="inlineStr"/>
      <c r="AV1787" t="inlineStr"/>
      <c r="AW1787" t="inlineStr"/>
      <c r="AX1787" t="inlineStr"/>
      <c r="AY1787" t="inlineStr"/>
    </row>
    <row r="1788">
      <c r="A1788" t="inlineStr">
        <is>
          <t>STYL</t>
        </is>
      </c>
      <c r="B1788" t="inlineStr">
        <is>
          <t>VSXY US Equity</t>
        </is>
      </c>
      <c r="C1788" s="1" t="inlineStr">
        <is>
          <t>VSXY</t>
        </is>
      </c>
      <c r="D1788" t="inlineStr">
        <is>
          <t>Victoria's Secret &amp; Co</t>
        </is>
      </c>
      <c r="E1788">
        <f>BDP($B1788,"LEGAL_ENTITY_IDENTIFIER")</f>
        <v/>
      </c>
      <c r="F1788" t="inlineStr">
        <is>
          <t>Victoria's Secret &amp; Co</t>
        </is>
      </c>
      <c r="G1788">
        <f>custodian!D1788</f>
        <v/>
      </c>
      <c r="H1788">
        <f>BDP($B1788,"ID_ISIN")</f>
        <v/>
      </c>
      <c r="I1788" s="1" t="inlineStr">
        <is>
          <t>VSXY</t>
        </is>
      </c>
      <c r="J1788">
        <f>BDP($B1788,"CNTRY_OF_DOMICILE")</f>
        <v/>
      </c>
      <c r="K1788" t="inlineStr">
        <is>
          <t>EC</t>
        </is>
      </c>
      <c r="L1788" t="inlineStr">
        <is>
          <t>CORP</t>
        </is>
      </c>
      <c r="M1788" t="inlineStr"/>
      <c r="N1788" t="inlineStr"/>
      <c r="O1788" s="1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s="1" t="inlineStr"/>
      <c r="AR1788" s="1" t="inlineStr"/>
      <c r="AS1788" s="1" t="inlineStr"/>
      <c r="AT1788" t="inlineStr"/>
      <c r="AU1788" t="inlineStr"/>
      <c r="AV1788" t="inlineStr"/>
      <c r="AW1788" t="inlineStr"/>
      <c r="AX1788" t="inlineStr"/>
      <c r="AY1788" t="inlineStr"/>
    </row>
    <row r="1789">
      <c r="A1789" t="inlineStr">
        <is>
          <t>STYL</t>
        </is>
      </c>
      <c r="B1789" t="inlineStr">
        <is>
          <t>WRBY US Equity</t>
        </is>
      </c>
      <c r="C1789" s="1" t="inlineStr">
        <is>
          <t>WRBY</t>
        </is>
      </c>
      <c r="D1789" t="inlineStr">
        <is>
          <t>Warby Parker Inc</t>
        </is>
      </c>
      <c r="E1789">
        <f>BDP($B1789,"LEGAL_ENTITY_IDENTIFIER")</f>
        <v/>
      </c>
      <c r="F1789" t="inlineStr">
        <is>
          <t>Warby Parker Inc</t>
        </is>
      </c>
      <c r="G1789">
        <f>custodian!D1789</f>
        <v/>
      </c>
      <c r="H1789">
        <f>BDP($B1789,"ID_ISIN")</f>
        <v/>
      </c>
      <c r="I1789" s="1" t="inlineStr">
        <is>
          <t>WRBY</t>
        </is>
      </c>
      <c r="J1789">
        <f>BDP($B1789,"CNTRY_OF_DOMICILE")</f>
        <v/>
      </c>
      <c r="K1789" t="inlineStr">
        <is>
          <t>EC</t>
        </is>
      </c>
      <c r="L1789" t="inlineStr">
        <is>
          <t>CORP</t>
        </is>
      </c>
      <c r="M1789" t="inlineStr"/>
      <c r="N1789" t="inlineStr"/>
      <c r="O1789" s="1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s="1" t="inlineStr"/>
      <c r="AR1789" s="1" t="inlineStr"/>
      <c r="AS1789" s="1" t="inlineStr"/>
      <c r="AT1789" t="inlineStr"/>
      <c r="AU1789" t="inlineStr"/>
      <c r="AV1789" t="inlineStr"/>
      <c r="AW1789" t="inlineStr"/>
      <c r="AX1789" t="inlineStr"/>
      <c r="AY1789" t="inlineStr"/>
    </row>
    <row r="1790">
      <c r="A1790" t="inlineStr">
        <is>
          <t>STYL</t>
        </is>
      </c>
      <c r="B1790" t="inlineStr">
        <is>
          <t>WWW US Equity</t>
        </is>
      </c>
      <c r="C1790" s="1" t="inlineStr">
        <is>
          <t>WWW</t>
        </is>
      </c>
      <c r="D1790" t="inlineStr">
        <is>
          <t>Wolverine World Wide Inc</t>
        </is>
      </c>
      <c r="E1790">
        <f>BDP($B1790,"LEGAL_ENTITY_IDENTIFIER")</f>
        <v/>
      </c>
      <c r="F1790" t="inlineStr">
        <is>
          <t>Wolverine World Wide Inc</t>
        </is>
      </c>
      <c r="G1790">
        <f>custodian!D1790</f>
        <v/>
      </c>
      <c r="H1790">
        <f>BDP($B1790,"ID_ISIN")</f>
        <v/>
      </c>
      <c r="I1790" s="1" t="inlineStr">
        <is>
          <t>WWW</t>
        </is>
      </c>
      <c r="J1790">
        <f>BDP($B1790,"CNTRY_OF_DOMICILE")</f>
        <v/>
      </c>
      <c r="K1790" t="inlineStr">
        <is>
          <t>EC</t>
        </is>
      </c>
      <c r="L1790" t="inlineStr">
        <is>
          <t>CORP</t>
        </is>
      </c>
      <c r="M1790" t="inlineStr"/>
      <c r="N1790" t="inlineStr"/>
      <c r="O1790" s="1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s="1" t="inlineStr"/>
      <c r="AR1790" s="1" t="inlineStr"/>
      <c r="AS1790" s="1" t="inlineStr"/>
      <c r="AT1790" t="inlineStr"/>
      <c r="AU1790" t="inlineStr"/>
      <c r="AV1790" t="inlineStr"/>
      <c r="AW1790" t="inlineStr"/>
      <c r="AX1790" t="inlineStr"/>
      <c r="AY1790" t="inlineStr"/>
    </row>
    <row r="1791">
      <c r="A1791" t="inlineStr">
        <is>
          <t>STYL</t>
        </is>
      </c>
      <c r="B1791" t="inlineStr">
        <is>
          <t>YETI US Equity</t>
        </is>
      </c>
      <c r="C1791" s="1" t="inlineStr">
        <is>
          <t>YETI</t>
        </is>
      </c>
      <c r="D1791" t="inlineStr">
        <is>
          <t>YETI Holdings Inc</t>
        </is>
      </c>
      <c r="E1791">
        <f>BDP($B1791,"LEGAL_ENTITY_IDENTIFIER")</f>
        <v/>
      </c>
      <c r="F1791" t="inlineStr">
        <is>
          <t>YETI Holdings Inc</t>
        </is>
      </c>
      <c r="G1791">
        <f>custodian!D1791</f>
        <v/>
      </c>
      <c r="H1791">
        <f>BDP($B1791,"ID_ISIN")</f>
        <v/>
      </c>
      <c r="I1791" s="1" t="inlineStr">
        <is>
          <t>YETI</t>
        </is>
      </c>
      <c r="J1791">
        <f>BDP($B1791,"CNTRY_OF_DOMICILE")</f>
        <v/>
      </c>
      <c r="K1791" t="inlineStr">
        <is>
          <t>EC</t>
        </is>
      </c>
      <c r="L1791" t="inlineStr">
        <is>
          <t>CORP</t>
        </is>
      </c>
      <c r="M1791" t="inlineStr"/>
      <c r="N1791" t="inlineStr"/>
      <c r="O1791" s="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s="1" t="inlineStr"/>
      <c r="AR1791" s="1" t="inlineStr"/>
      <c r="AS1791" s="1" t="inlineStr"/>
      <c r="AT1791" t="inlineStr"/>
      <c r="AU1791" t="inlineStr"/>
      <c r="AV1791" t="inlineStr"/>
      <c r="AW1791" t="inlineStr"/>
      <c r="AX1791" t="inlineStr"/>
      <c r="AY1791" t="inlineStr"/>
    </row>
    <row r="1792">
      <c r="A1792" t="inlineStr">
        <is>
          <t>STYL</t>
        </is>
      </c>
      <c r="B1792" t="inlineStr">
        <is>
          <t>ZGN US Equity</t>
        </is>
      </c>
      <c r="C1792" s="1" t="inlineStr">
        <is>
          <t>ZGN</t>
        </is>
      </c>
      <c r="D1792" t="inlineStr">
        <is>
          <t>Ermenegildo Zegna NV</t>
        </is>
      </c>
      <c r="E1792">
        <f>BDP($B1792,"LEGAL_ENTITY_IDENTIFIER")</f>
        <v/>
      </c>
      <c r="F1792" t="inlineStr">
        <is>
          <t>Ermenegildo Zegna NV</t>
        </is>
      </c>
      <c r="G1792">
        <f>custodian!D1792</f>
        <v/>
      </c>
      <c r="H1792">
        <f>BDP($B1792,"ID_ISIN")</f>
        <v/>
      </c>
      <c r="I1792" s="1" t="inlineStr">
        <is>
          <t>ZGN</t>
        </is>
      </c>
      <c r="J1792">
        <f>BDP($B1792,"CNTRY_OF_DOMICILE")</f>
        <v/>
      </c>
      <c r="K1792" t="inlineStr">
        <is>
          <t>EC</t>
        </is>
      </c>
      <c r="L1792" t="inlineStr">
        <is>
          <t>CORP</t>
        </is>
      </c>
      <c r="M1792" t="inlineStr"/>
      <c r="N1792" t="inlineStr"/>
      <c r="O1792" s="1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s="1" t="inlineStr"/>
      <c r="AR1792" s="1" t="inlineStr"/>
      <c r="AS1792" s="1" t="inlineStr"/>
      <c r="AT1792" t="inlineStr"/>
      <c r="AU1792" t="inlineStr"/>
      <c r="AV1792" t="inlineStr"/>
      <c r="AW1792" t="inlineStr"/>
      <c r="AX1792" t="inlineStr"/>
      <c r="AY1792" t="inlineStr"/>
    </row>
    <row r="1793">
      <c r="A1793" t="inlineStr">
        <is>
          <t>STYL</t>
        </is>
      </c>
      <c r="B1793" t="inlineStr">
        <is>
          <t>ZUMZ US Equity</t>
        </is>
      </c>
      <c r="C1793" s="1" t="inlineStr">
        <is>
          <t>ZUMZ</t>
        </is>
      </c>
      <c r="D1793" t="inlineStr">
        <is>
          <t>Zumiez Inc</t>
        </is>
      </c>
      <c r="E1793">
        <f>BDP($B1793,"LEGAL_ENTITY_IDENTIFIER")</f>
        <v/>
      </c>
      <c r="F1793" t="inlineStr">
        <is>
          <t>Zumiez Inc</t>
        </is>
      </c>
      <c r="G1793">
        <f>custodian!D1793</f>
        <v/>
      </c>
      <c r="H1793">
        <f>BDP($B1793,"ID_ISIN")</f>
        <v/>
      </c>
      <c r="I1793" s="1" t="inlineStr">
        <is>
          <t>ZUMZ</t>
        </is>
      </c>
      <c r="J1793">
        <f>BDP($B1793,"CNTRY_OF_DOMICILE")</f>
        <v/>
      </c>
      <c r="K1793" t="inlineStr">
        <is>
          <t>EC</t>
        </is>
      </c>
      <c r="L1793" t="inlineStr">
        <is>
          <t>CORP</t>
        </is>
      </c>
      <c r="M1793" t="inlineStr"/>
      <c r="N1793" t="inlineStr"/>
      <c r="O1793" s="1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s="1" t="inlineStr"/>
      <c r="AR1793" s="1" t="inlineStr"/>
      <c r="AS1793" s="1" t="inlineStr"/>
      <c r="AT1793" t="inlineStr"/>
      <c r="AU1793" t="inlineStr"/>
      <c r="AV1793" t="inlineStr"/>
      <c r="AW1793" t="inlineStr"/>
      <c r="AX1793" t="inlineStr"/>
      <c r="AY1793" t="inlineStr"/>
    </row>
    <row r="1794">
      <c r="A1794" t="inlineStr">
        <is>
          <t>STYL</t>
        </is>
      </c>
      <c r="B1794" t="inlineStr"/>
      <c r="C1794" s="1" t="inlineStr">
        <is>
          <t>Cash&amp;Other</t>
        </is>
      </c>
      <c r="D1794" t="inlineStr"/>
      <c r="E1794" s="1" t="inlineStr"/>
      <c r="F1794" t="inlineStr"/>
      <c r="G1794">
        <f>custodian!D1794</f>
        <v/>
      </c>
      <c r="H1794" s="1" t="inlineStr"/>
      <c r="I1794" s="1" t="inlineStr"/>
      <c r="J1794" t="inlineStr"/>
      <c r="K1794" t="inlineStr"/>
      <c r="L1794" t="inlineStr"/>
      <c r="M1794" t="inlineStr"/>
      <c r="N1794" t="inlineStr"/>
      <c r="O1794" s="1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s="1" t="inlineStr"/>
      <c r="AR1794" s="1" t="inlineStr"/>
      <c r="AS1794" s="1" t="inlineStr"/>
      <c r="AT1794" t="inlineStr"/>
      <c r="AU1794" t="inlineStr"/>
      <c r="AV1794" t="inlineStr"/>
      <c r="AW1794" t="inlineStr"/>
      <c r="AX1794" t="inlineStr"/>
      <c r="AY1794" t="inlineStr"/>
    </row>
    <row r="1795">
      <c r="A1795" t="inlineStr">
        <is>
          <t>TAJX</t>
        </is>
      </c>
      <c r="B1795" t="inlineStr">
        <is>
          <t>46429B598 Equity</t>
        </is>
      </c>
      <c r="C1795" s="1" t="inlineStr">
        <is>
          <t>46429B598-TRS-07/05/27-L-MREX</t>
        </is>
      </c>
      <c r="D1795" t="inlineStr">
        <is>
          <t>N/A</t>
        </is>
      </c>
      <c r="E1795" s="1" t="inlineStr">
        <is>
          <t>N/A</t>
        </is>
      </c>
      <c r="F1795" t="inlineStr">
        <is>
          <t>ISHARES MSCI INDIA ETF-SWAP-MREX-L</t>
        </is>
      </c>
      <c r="G1795">
        <f>custodian!D1795</f>
        <v/>
      </c>
      <c r="H1795" s="1" t="inlineStr"/>
      <c r="I1795" s="1" t="inlineStr">
        <is>
          <t>46429B598-TRS-07/05/27-L-MREX</t>
        </is>
      </c>
      <c r="J1795" t="inlineStr">
        <is>
          <t>US</t>
        </is>
      </c>
      <c r="K1795" t="inlineStr">
        <is>
          <t>DE</t>
        </is>
      </c>
      <c r="L1795" t="inlineStr">
        <is>
          <t>OTHER</t>
        </is>
      </c>
      <c r="M1795" t="inlineStr">
        <is>
          <t>SWP</t>
        </is>
      </c>
      <c r="N1795" t="inlineStr"/>
      <c r="O1795" s="1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otherRefInst</t>
        </is>
      </c>
      <c r="W1795" t="inlineStr"/>
      <c r="X1795" t="inlineStr"/>
      <c r="Y1795" t="inlineStr">
        <is>
          <t>Y</t>
        </is>
      </c>
      <c r="Z1795" t="inlineStr">
        <is>
          <t>2027-07-05</t>
        </is>
      </c>
      <c r="AA1795" t="inlineStr">
        <is>
          <t>1321498.01</t>
        </is>
      </c>
      <c r="AB1795" t="inlineStr">
        <is>
          <t>USD</t>
        </is>
      </c>
      <c r="AC1795" t="inlineStr">
        <is>
          <t>54238.29</t>
        </is>
      </c>
      <c r="AD1795" t="inlineStr">
        <is>
          <t>54238.29</t>
        </is>
      </c>
      <c r="AE1795" t="inlineStr">
        <is>
          <t>8.20</t>
        </is>
      </c>
      <c r="AF1795" t="inlineStr"/>
      <c r="AG1795" t="inlineStr"/>
      <c r="AH1795" t="inlineStr">
        <is>
          <t>Floating</t>
        </is>
      </c>
      <c r="AI1795" t="inlineStr"/>
      <c r="AJ1795" t="inlineStr"/>
      <c r="AK1795" t="inlineStr">
        <is>
          <t>1321498.01</t>
        </is>
      </c>
      <c r="AL1795" t="inlineStr">
        <is>
          <t>USD</t>
        </is>
      </c>
      <c r="AM1795" t="inlineStr"/>
      <c r="AN1795" t="inlineStr"/>
      <c r="AO1795">
        <f>BDP($B1795,"ISSUER")</f>
        <v/>
      </c>
      <c r="AP1795">
        <f>BDP($B1795,"NAME")</f>
        <v/>
      </c>
      <c r="AQ1795" s="1" t="inlineStr">
        <is>
          <t>46429B598</t>
        </is>
      </c>
      <c r="AR1795">
        <f>BDP($B1795,"ID_ISIN")</f>
        <v/>
      </c>
      <c r="AS1795">
        <f>BDP($B1795,"TICKER")</f>
        <v/>
      </c>
      <c r="AT1795" t="inlineStr"/>
      <c r="AU1795" t="inlineStr"/>
      <c r="AV1795" t="inlineStr"/>
      <c r="AW1795" t="inlineStr"/>
      <c r="AX1795" t="inlineStr"/>
      <c r="AY1795" t="inlineStr"/>
    </row>
    <row r="1796">
      <c r="A1796" t="inlineStr">
        <is>
          <t>TAJX</t>
        </is>
      </c>
      <c r="B1796" t="inlineStr">
        <is>
          <t>FGXXX US Equity</t>
        </is>
      </c>
      <c r="C1796" s="1" t="inlineStr">
        <is>
          <t>FGXXX</t>
        </is>
      </c>
      <c r="D1796" t="inlineStr">
        <is>
          <t>First American Government Obli</t>
        </is>
      </c>
      <c r="E1796">
        <f>BDP($B1796,"LEGAL_ENTITY_IDENTIFIER")</f>
        <v/>
      </c>
      <c r="F1796" t="inlineStr">
        <is>
          <t>First American Government Obligations Fund</t>
        </is>
      </c>
      <c r="G1796">
        <f>custodian!D1796</f>
        <v/>
      </c>
      <c r="H1796">
        <f>BDP($B1796,"ID_ISIN")</f>
        <v/>
      </c>
      <c r="I1796" s="1" t="inlineStr">
        <is>
          <t>FGXXX</t>
        </is>
      </c>
      <c r="J1796">
        <f>BDP($B1796,"CNTRY_OF_DOMICILE")</f>
        <v/>
      </c>
      <c r="K1796" t="inlineStr">
        <is>
          <t>STIV</t>
        </is>
      </c>
      <c r="L1796" t="inlineStr">
        <is>
          <t>RF</t>
        </is>
      </c>
      <c r="M1796" t="inlineStr"/>
      <c r="N1796" t="inlineStr"/>
      <c r="O1796" s="1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s="1" t="inlineStr"/>
      <c r="AR1796" s="1" t="inlineStr"/>
      <c r="AS1796" s="1" t="inlineStr"/>
      <c r="AT1796" t="inlineStr"/>
      <c r="AU1796" t="inlineStr"/>
      <c r="AV1796" t="inlineStr"/>
      <c r="AW1796" t="inlineStr"/>
      <c r="AX1796" t="inlineStr"/>
      <c r="AY1796" t="inlineStr"/>
    </row>
    <row r="1797">
      <c r="A1797" t="inlineStr">
        <is>
          <t>TAJX</t>
        </is>
      </c>
      <c r="B1797" t="inlineStr"/>
      <c r="C1797" s="1" t="inlineStr">
        <is>
          <t>Cash&amp;Other</t>
        </is>
      </c>
      <c r="D1797" t="inlineStr"/>
      <c r="E1797" s="1" t="inlineStr"/>
      <c r="F1797" t="inlineStr"/>
      <c r="G1797">
        <f>custodian!D1797</f>
        <v/>
      </c>
      <c r="H1797" s="1" t="inlineStr"/>
      <c r="I1797" s="1" t="inlineStr"/>
      <c r="J1797" t="inlineStr"/>
      <c r="K1797" t="inlineStr"/>
      <c r="L1797" t="inlineStr"/>
      <c r="M1797" t="inlineStr"/>
      <c r="N1797" t="inlineStr"/>
      <c r="O1797" s="1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s="1" t="inlineStr"/>
      <c r="AR1797" s="1" t="inlineStr"/>
      <c r="AS1797" s="1" t="inlineStr"/>
      <c r="AT1797" t="inlineStr"/>
      <c r="AU1797" t="inlineStr"/>
      <c r="AV1797" t="inlineStr"/>
      <c r="AW1797" t="inlineStr"/>
      <c r="AX1797" t="inlineStr"/>
      <c r="AY1797" t="inlineStr"/>
    </row>
    <row r="1798">
      <c r="A1798" t="inlineStr">
        <is>
          <t>TPLX</t>
        </is>
      </c>
      <c r="B1798" t="inlineStr">
        <is>
          <t>88262P102 Equity</t>
        </is>
      </c>
      <c r="C1798" s="1" t="inlineStr">
        <is>
          <t>88262P102-TRS-12/01/27-L-CANT</t>
        </is>
      </c>
      <c r="D1798" t="inlineStr">
        <is>
          <t>N/A</t>
        </is>
      </c>
      <c r="E1798" s="1" t="inlineStr">
        <is>
          <t>N/A</t>
        </is>
      </c>
      <c r="F1798" t="inlineStr">
        <is>
          <t>TEXAS PACIFIC LAND CORPORATION-SWAP-CANT-L</t>
        </is>
      </c>
      <c r="G1798">
        <f>custodian!D1798</f>
        <v/>
      </c>
      <c r="H1798" s="1" t="inlineStr"/>
      <c r="I1798" s="1" t="inlineStr">
        <is>
          <t>88262P102-TRS-12/01/27-L-CANT</t>
        </is>
      </c>
      <c r="J1798" t="inlineStr">
        <is>
          <t>US</t>
        </is>
      </c>
      <c r="K1798" t="inlineStr">
        <is>
          <t>DE</t>
        </is>
      </c>
      <c r="L1798" t="inlineStr">
        <is>
          <t>OTHER</t>
        </is>
      </c>
      <c r="M1798" t="inlineStr">
        <is>
          <t>SWP</t>
        </is>
      </c>
      <c r="N1798" t="inlineStr"/>
      <c r="O1798" s="1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otherRefInst</t>
        </is>
      </c>
      <c r="W1798" t="inlineStr"/>
      <c r="X1798" t="inlineStr"/>
      <c r="Y1798" t="inlineStr">
        <is>
          <t>Y</t>
        </is>
      </c>
      <c r="Z1798" t="inlineStr">
        <is>
          <t>2027-12-01</t>
        </is>
      </c>
      <c r="AA1798" t="inlineStr">
        <is>
          <t>514614.28</t>
        </is>
      </c>
      <c r="AB1798" t="inlineStr">
        <is>
          <t>USD</t>
        </is>
      </c>
      <c r="AC1798" t="inlineStr">
        <is>
          <t>10362.50</t>
        </is>
      </c>
      <c r="AD1798" t="inlineStr">
        <is>
          <t>10362.50</t>
        </is>
      </c>
      <c r="AE1798" t="inlineStr">
        <is>
          <t>3.98</t>
        </is>
      </c>
      <c r="AF1798" t="inlineStr"/>
      <c r="AG1798" t="inlineStr"/>
      <c r="AH1798" t="inlineStr">
        <is>
          <t>Floating</t>
        </is>
      </c>
      <c r="AI1798" t="inlineStr"/>
      <c r="AJ1798" t="inlineStr"/>
      <c r="AK1798" t="inlineStr">
        <is>
          <t>514614.28</t>
        </is>
      </c>
      <c r="AL1798" t="inlineStr">
        <is>
          <t>USD</t>
        </is>
      </c>
      <c r="AM1798" t="inlineStr"/>
      <c r="AN1798" t="inlineStr"/>
      <c r="AO1798">
        <f>BDP($B1798,"ISSUER")</f>
        <v/>
      </c>
      <c r="AP1798">
        <f>BDP($B1798,"NAME")</f>
        <v/>
      </c>
      <c r="AQ1798" s="1" t="inlineStr">
        <is>
          <t>88262P102</t>
        </is>
      </c>
      <c r="AR1798">
        <f>BDP($B1798,"ID_ISIN")</f>
        <v/>
      </c>
      <c r="AS1798">
        <f>BDP($B1798,"TICKER")</f>
        <v/>
      </c>
      <c r="AT1798" t="inlineStr"/>
      <c r="AU1798" t="inlineStr"/>
      <c r="AV1798" t="inlineStr"/>
      <c r="AW1798" t="inlineStr"/>
      <c r="AX1798" t="inlineStr"/>
      <c r="AY1798" t="inlineStr"/>
    </row>
    <row r="1799">
      <c r="A1799" t="inlineStr">
        <is>
          <t>TPLX</t>
        </is>
      </c>
      <c r="B1799" t="inlineStr">
        <is>
          <t>FGXXX US Equity</t>
        </is>
      </c>
      <c r="C1799" s="1" t="inlineStr">
        <is>
          <t>FGXXX</t>
        </is>
      </c>
      <c r="D1799" t="inlineStr">
        <is>
          <t>First American Government Obli</t>
        </is>
      </c>
      <c r="E1799">
        <f>BDP($B1799,"LEGAL_ENTITY_IDENTIFIER")</f>
        <v/>
      </c>
      <c r="F1799" t="inlineStr">
        <is>
          <t>First American Government Obligations Fund</t>
        </is>
      </c>
      <c r="G1799">
        <f>custodian!D1799</f>
        <v/>
      </c>
      <c r="H1799">
        <f>BDP($B1799,"ID_ISIN")</f>
        <v/>
      </c>
      <c r="I1799" s="1" t="inlineStr">
        <is>
          <t>FGXXX</t>
        </is>
      </c>
      <c r="J1799">
        <f>BDP($B1799,"CNTRY_OF_DOMICILE")</f>
        <v/>
      </c>
      <c r="K1799" t="inlineStr">
        <is>
          <t>STIV</t>
        </is>
      </c>
      <c r="L1799" t="inlineStr">
        <is>
          <t>RF</t>
        </is>
      </c>
      <c r="M1799" t="inlineStr"/>
      <c r="N1799" t="inlineStr"/>
      <c r="O1799" s="1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s="1" t="inlineStr"/>
      <c r="AR1799" s="1" t="inlineStr"/>
      <c r="AS1799" s="1" t="inlineStr"/>
      <c r="AT1799" t="inlineStr"/>
      <c r="AU1799" t="inlineStr"/>
      <c r="AV1799" t="inlineStr"/>
      <c r="AW1799" t="inlineStr"/>
      <c r="AX1799" t="inlineStr"/>
      <c r="AY1799" t="inlineStr"/>
    </row>
    <row r="1800">
      <c r="A1800" t="inlineStr">
        <is>
          <t>TPLX</t>
        </is>
      </c>
      <c r="B1800" t="inlineStr"/>
      <c r="C1800" s="1" t="inlineStr">
        <is>
          <t>Cash&amp;Other</t>
        </is>
      </c>
      <c r="D1800" t="inlineStr"/>
      <c r="E1800" s="1" t="inlineStr"/>
      <c r="F1800" t="inlineStr"/>
      <c r="G1800">
        <f>custodian!D1800</f>
        <v/>
      </c>
      <c r="H1800" s="1" t="inlineStr"/>
      <c r="I1800" s="1" t="inlineStr"/>
      <c r="J1800" t="inlineStr"/>
      <c r="K1800" t="inlineStr"/>
      <c r="L1800" t="inlineStr"/>
      <c r="M1800" t="inlineStr"/>
      <c r="N1800" t="inlineStr"/>
      <c r="O1800" s="1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s="1" t="inlineStr"/>
      <c r="AR1800" s="1" t="inlineStr"/>
      <c r="AS1800" s="1" t="inlineStr"/>
      <c r="AT1800" t="inlineStr"/>
      <c r="AU1800" t="inlineStr"/>
      <c r="AV1800" t="inlineStr"/>
      <c r="AW1800" t="inlineStr"/>
      <c r="AX1800" t="inlineStr"/>
      <c r="AY1800" t="inlineStr"/>
    </row>
    <row r="1801">
      <c r="A1801" t="inlineStr">
        <is>
          <t>UMCX</t>
        </is>
      </c>
      <c r="B1801" t="inlineStr">
        <is>
          <t>910873405 Equity</t>
        </is>
      </c>
      <c r="C1801" s="1" t="inlineStr">
        <is>
          <t>910873405-TRS-12/01/27-L-CANT</t>
        </is>
      </c>
      <c r="D1801" t="inlineStr">
        <is>
          <t>N/A</t>
        </is>
      </c>
      <c r="E1801" s="1" t="inlineStr">
        <is>
          <t>N/A</t>
        </is>
      </c>
      <c r="F1801" t="inlineStr">
        <is>
          <t>UNITED MICROELECTRONICS CORPORATION-SWAP-CANT-L</t>
        </is>
      </c>
      <c r="G1801">
        <f>custodian!D1801</f>
        <v/>
      </c>
      <c r="H1801" s="1" t="inlineStr"/>
      <c r="I1801" s="1" t="inlineStr">
        <is>
          <t>910873405-TRS-12/01/27-L-CANT</t>
        </is>
      </c>
      <c r="J1801" t="inlineStr">
        <is>
          <t>US</t>
        </is>
      </c>
      <c r="K1801" t="inlineStr">
        <is>
          <t>DE</t>
        </is>
      </c>
      <c r="L1801" t="inlineStr">
        <is>
          <t>OTHER</t>
        </is>
      </c>
      <c r="M1801" t="inlineStr">
        <is>
          <t>SWP</t>
        </is>
      </c>
      <c r="N1801" t="inlineStr"/>
      <c r="O1801" s="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otherRefInst</t>
        </is>
      </c>
      <c r="W1801" t="inlineStr"/>
      <c r="X1801" t="inlineStr"/>
      <c r="Y1801" t="inlineStr">
        <is>
          <t>Y</t>
        </is>
      </c>
      <c r="Z1801" t="inlineStr">
        <is>
          <t>2027-12-01</t>
        </is>
      </c>
      <c r="AA1801" t="inlineStr">
        <is>
          <t>562216.72</t>
        </is>
      </c>
      <c r="AB1801" t="inlineStr">
        <is>
          <t>USD</t>
        </is>
      </c>
      <c r="AC1801" t="inlineStr">
        <is>
          <t>34200.20</t>
        </is>
      </c>
      <c r="AD1801" t="inlineStr">
        <is>
          <t>34200.20</t>
        </is>
      </c>
      <c r="AE1801" t="inlineStr">
        <is>
          <t>12.03</t>
        </is>
      </c>
      <c r="AF1801" t="inlineStr"/>
      <c r="AG1801" t="inlineStr"/>
      <c r="AH1801" t="inlineStr">
        <is>
          <t>Floating</t>
        </is>
      </c>
      <c r="AI1801" t="inlineStr"/>
      <c r="AJ1801" t="inlineStr"/>
      <c r="AK1801" t="inlineStr">
        <is>
          <t>562216.72</t>
        </is>
      </c>
      <c r="AL1801" t="inlineStr">
        <is>
          <t>USD</t>
        </is>
      </c>
      <c r="AM1801" t="inlineStr"/>
      <c r="AN1801" t="inlineStr"/>
      <c r="AO1801">
        <f>BDP($B1801,"ISSUER")</f>
        <v/>
      </c>
      <c r="AP1801">
        <f>BDP($B1801,"NAME")</f>
        <v/>
      </c>
      <c r="AQ1801" s="1" t="inlineStr">
        <is>
          <t>910873405</t>
        </is>
      </c>
      <c r="AR1801">
        <f>BDP($B1801,"ID_ISIN")</f>
        <v/>
      </c>
      <c r="AS1801">
        <f>BDP($B1801,"TICKER")</f>
        <v/>
      </c>
      <c r="AT1801" t="inlineStr"/>
      <c r="AU1801" t="inlineStr"/>
      <c r="AV1801" t="inlineStr"/>
      <c r="AW1801" t="inlineStr"/>
      <c r="AX1801" t="inlineStr"/>
      <c r="AY1801" t="inlineStr"/>
    </row>
    <row r="1802">
      <c r="A1802" t="inlineStr">
        <is>
          <t>UMCX</t>
        </is>
      </c>
      <c r="B1802" t="inlineStr">
        <is>
          <t>FGXXX US Equity</t>
        </is>
      </c>
      <c r="C1802" s="1" t="inlineStr">
        <is>
          <t>FGXXX</t>
        </is>
      </c>
      <c r="D1802" t="inlineStr">
        <is>
          <t>First American Government Obli</t>
        </is>
      </c>
      <c r="E1802">
        <f>BDP($B1802,"LEGAL_ENTITY_IDENTIFIER")</f>
        <v/>
      </c>
      <c r="F1802" t="inlineStr">
        <is>
          <t>First American Government Obligations Fund</t>
        </is>
      </c>
      <c r="G1802">
        <f>custodian!D1802</f>
        <v/>
      </c>
      <c r="H1802">
        <f>BDP($B1802,"ID_ISIN")</f>
        <v/>
      </c>
      <c r="I1802" s="1" t="inlineStr">
        <is>
          <t>FGXXX</t>
        </is>
      </c>
      <c r="J1802">
        <f>BDP($B1802,"CNTRY_OF_DOMICILE")</f>
        <v/>
      </c>
      <c r="K1802" t="inlineStr">
        <is>
          <t>STIV</t>
        </is>
      </c>
      <c r="L1802" t="inlineStr">
        <is>
          <t>RF</t>
        </is>
      </c>
      <c r="M1802" t="inlineStr"/>
      <c r="N1802" t="inlineStr"/>
      <c r="O1802" s="1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s="1" t="inlineStr"/>
      <c r="AR1802" s="1" t="inlineStr"/>
      <c r="AS1802" s="1" t="inlineStr"/>
      <c r="AT1802" t="inlineStr"/>
      <c r="AU1802" t="inlineStr"/>
      <c r="AV1802" t="inlineStr"/>
      <c r="AW1802" t="inlineStr"/>
      <c r="AX1802" t="inlineStr"/>
      <c r="AY1802" t="inlineStr"/>
    </row>
    <row r="1803">
      <c r="A1803" t="inlineStr">
        <is>
          <t>UMCX</t>
        </is>
      </c>
      <c r="B1803" t="inlineStr"/>
      <c r="C1803" s="1" t="inlineStr">
        <is>
          <t>Cash&amp;Other</t>
        </is>
      </c>
      <c r="D1803" t="inlineStr"/>
      <c r="E1803" s="1" t="inlineStr"/>
      <c r="F1803" t="inlineStr"/>
      <c r="G1803">
        <f>custodian!D1803</f>
        <v/>
      </c>
      <c r="H1803" s="1" t="inlineStr"/>
      <c r="I1803" s="1" t="inlineStr"/>
      <c r="J1803" t="inlineStr"/>
      <c r="K1803" t="inlineStr"/>
      <c r="L1803" t="inlineStr"/>
      <c r="M1803" t="inlineStr"/>
      <c r="N1803" t="inlineStr"/>
      <c r="O1803" s="1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s="1" t="inlineStr"/>
      <c r="AR1803" s="1" t="inlineStr"/>
      <c r="AS1803" s="1" t="inlineStr"/>
      <c r="AT1803" t="inlineStr"/>
      <c r="AU1803" t="inlineStr"/>
      <c r="AV1803" t="inlineStr"/>
      <c r="AW1803" t="inlineStr"/>
      <c r="AX1803" t="inlineStr"/>
      <c r="AY1803" t="inlineStr"/>
    </row>
    <row r="1804">
      <c r="A1804" t="inlineStr">
        <is>
          <t>USX</t>
        </is>
      </c>
      <c r="B1804" t="inlineStr">
        <is>
          <t>922908769 Equity</t>
        </is>
      </c>
      <c r="C1804" s="1" t="inlineStr">
        <is>
          <t>922908769-TRS-07/07/27-L-CLST</t>
        </is>
      </c>
      <c r="D1804" t="inlineStr">
        <is>
          <t>N/A</t>
        </is>
      </c>
      <c r="E1804" s="1" t="inlineStr">
        <is>
          <t>N/A</t>
        </is>
      </c>
      <c r="F1804" t="inlineStr">
        <is>
          <t>VANGUARD TOTAL STOCK MARKET INDEX FUND ETF SHARES-SWAP-CLST-L</t>
        </is>
      </c>
      <c r="G1804">
        <f>custodian!D1804</f>
        <v/>
      </c>
      <c r="H1804" s="1" t="inlineStr"/>
      <c r="I1804" s="1" t="inlineStr">
        <is>
          <t>922908769-TRS-07/07/27-L-CLST</t>
        </is>
      </c>
      <c r="J1804" t="inlineStr">
        <is>
          <t>US</t>
        </is>
      </c>
      <c r="K1804" t="inlineStr">
        <is>
          <t>DE</t>
        </is>
      </c>
      <c r="L1804" t="inlineStr">
        <is>
          <t>OTHER</t>
        </is>
      </c>
      <c r="M1804" t="inlineStr">
        <is>
          <t>SWP</t>
        </is>
      </c>
      <c r="N1804" t="inlineStr"/>
      <c r="O1804" s="1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otherRefInst</t>
        </is>
      </c>
      <c r="W1804" t="inlineStr"/>
      <c r="X1804" t="inlineStr"/>
      <c r="Y1804" t="inlineStr">
        <is>
          <t>Y</t>
        </is>
      </c>
      <c r="Z1804" t="inlineStr">
        <is>
          <t>2027-07-07</t>
        </is>
      </c>
      <c r="AA1804" t="inlineStr">
        <is>
          <t>936035.10</t>
        </is>
      </c>
      <c r="AB1804" t="inlineStr">
        <is>
          <t>USD</t>
        </is>
      </c>
      <c r="AC1804" t="inlineStr">
        <is>
          <t>-14192.64</t>
        </is>
      </c>
      <c r="AD1804" t="inlineStr">
        <is>
          <t>-14192.64</t>
        </is>
      </c>
      <c r="AE1804" t="inlineStr">
        <is>
          <t>-3.03</t>
        </is>
      </c>
      <c r="AF1804" t="inlineStr"/>
      <c r="AG1804" t="inlineStr"/>
      <c r="AH1804" t="inlineStr">
        <is>
          <t>Floating</t>
        </is>
      </c>
      <c r="AI1804" t="inlineStr"/>
      <c r="AJ1804" t="inlineStr"/>
      <c r="AK1804" t="inlineStr">
        <is>
          <t>936035.10</t>
        </is>
      </c>
      <c r="AL1804" t="inlineStr">
        <is>
          <t>USD</t>
        </is>
      </c>
      <c r="AM1804" t="inlineStr"/>
      <c r="AN1804" t="inlineStr"/>
      <c r="AO1804">
        <f>BDP($B1804,"ISSUER")</f>
        <v/>
      </c>
      <c r="AP1804">
        <f>BDP($B1804,"NAME")</f>
        <v/>
      </c>
      <c r="AQ1804" s="1" t="inlineStr">
        <is>
          <t>922908769</t>
        </is>
      </c>
      <c r="AR1804">
        <f>BDP($B1804,"ID_ISIN")</f>
        <v/>
      </c>
      <c r="AS1804">
        <f>BDP($B1804,"TICKER")</f>
        <v/>
      </c>
      <c r="AT1804" t="inlineStr"/>
      <c r="AU1804" t="inlineStr"/>
      <c r="AV1804" t="inlineStr"/>
      <c r="AW1804" t="inlineStr"/>
      <c r="AX1804" t="inlineStr"/>
      <c r="AY1804" t="inlineStr"/>
    </row>
    <row r="1805">
      <c r="A1805" t="inlineStr">
        <is>
          <t>USX</t>
        </is>
      </c>
      <c r="B1805" t="inlineStr">
        <is>
          <t>FGXXX US Equity</t>
        </is>
      </c>
      <c r="C1805" s="1" t="inlineStr">
        <is>
          <t>FGXXX</t>
        </is>
      </c>
      <c r="D1805" t="inlineStr">
        <is>
          <t>First American Government Obli</t>
        </is>
      </c>
      <c r="E1805">
        <f>BDP($B1805,"LEGAL_ENTITY_IDENTIFIER")</f>
        <v/>
      </c>
      <c r="F1805" t="inlineStr">
        <is>
          <t>First American Government Obligations Fund</t>
        </is>
      </c>
      <c r="G1805">
        <f>custodian!D1805</f>
        <v/>
      </c>
      <c r="H1805">
        <f>BDP($B1805,"ID_ISIN")</f>
        <v/>
      </c>
      <c r="I1805" s="1" t="inlineStr">
        <is>
          <t>FGXXX</t>
        </is>
      </c>
      <c r="J1805">
        <f>BDP($B1805,"CNTRY_OF_DOMICILE")</f>
        <v/>
      </c>
      <c r="K1805" t="inlineStr">
        <is>
          <t>STIV</t>
        </is>
      </c>
      <c r="L1805" t="inlineStr">
        <is>
          <t>RF</t>
        </is>
      </c>
      <c r="M1805" t="inlineStr"/>
      <c r="N1805" t="inlineStr"/>
      <c r="O1805" s="1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s="1" t="inlineStr"/>
      <c r="AR1805" s="1" t="inlineStr"/>
      <c r="AS1805" s="1" t="inlineStr"/>
      <c r="AT1805" t="inlineStr"/>
      <c r="AU1805" t="inlineStr"/>
      <c r="AV1805" t="inlineStr"/>
      <c r="AW1805" t="inlineStr"/>
      <c r="AX1805" t="inlineStr"/>
      <c r="AY1805" t="inlineStr"/>
    </row>
    <row r="1806">
      <c r="A1806" t="inlineStr">
        <is>
          <t>USX</t>
        </is>
      </c>
      <c r="B1806" t="inlineStr"/>
      <c r="C1806" s="1" t="inlineStr">
        <is>
          <t>Cash&amp;Other</t>
        </is>
      </c>
      <c r="D1806" t="inlineStr"/>
      <c r="E1806" s="1" t="inlineStr"/>
      <c r="F1806" t="inlineStr"/>
      <c r="G1806">
        <f>custodian!D1806</f>
        <v/>
      </c>
      <c r="H1806" s="1" t="inlineStr"/>
      <c r="I1806" s="1" t="inlineStr"/>
      <c r="J1806" t="inlineStr"/>
      <c r="K1806" t="inlineStr"/>
      <c r="L1806" t="inlineStr"/>
      <c r="M1806" t="inlineStr"/>
      <c r="N1806" t="inlineStr"/>
      <c r="O1806" s="1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s="1" t="inlineStr"/>
      <c r="AR1806" s="1" t="inlineStr"/>
      <c r="AS1806" s="1" t="inlineStr"/>
      <c r="AT1806" t="inlineStr"/>
      <c r="AU1806" t="inlineStr"/>
      <c r="AV1806" t="inlineStr"/>
      <c r="AW1806" t="inlineStr"/>
      <c r="AX1806" t="inlineStr"/>
      <c r="AY1806" t="inlineStr"/>
    </row>
    <row r="1807">
      <c r="A1807" t="inlineStr">
        <is>
          <t>VBX</t>
        </is>
      </c>
      <c r="B1807" t="inlineStr">
        <is>
          <t>922908751 Equity</t>
        </is>
      </c>
      <c r="C1807" s="1" t="inlineStr">
        <is>
          <t>922908751-TRS-07/05/27-L-MREX</t>
        </is>
      </c>
      <c r="D1807" t="inlineStr">
        <is>
          <t>N/A</t>
        </is>
      </c>
      <c r="E1807" s="1" t="inlineStr">
        <is>
          <t>N/A</t>
        </is>
      </c>
      <c r="F1807" t="inlineStr">
        <is>
          <t>VANGUARD SMALL-CAP INDEX FUND ETF SHARES-SWAP-MREX-L</t>
        </is>
      </c>
      <c r="G1807">
        <f>custodian!D1807</f>
        <v/>
      </c>
      <c r="H1807" s="1" t="inlineStr"/>
      <c r="I1807" s="1" t="inlineStr">
        <is>
          <t>922908751-TRS-07/05/27-L-MREX</t>
        </is>
      </c>
      <c r="J1807" t="inlineStr">
        <is>
          <t>US</t>
        </is>
      </c>
      <c r="K1807" t="inlineStr">
        <is>
          <t>DE</t>
        </is>
      </c>
      <c r="L1807" t="inlineStr">
        <is>
          <t>OTHER</t>
        </is>
      </c>
      <c r="M1807" t="inlineStr">
        <is>
          <t>SWP</t>
        </is>
      </c>
      <c r="N1807" t="inlineStr"/>
      <c r="O1807" s="1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otherRefInst</t>
        </is>
      </c>
      <c r="W1807" t="inlineStr"/>
      <c r="X1807" t="inlineStr"/>
      <c r="Y1807" t="inlineStr">
        <is>
          <t>Y</t>
        </is>
      </c>
      <c r="Z1807" t="inlineStr">
        <is>
          <t>2027-07-05</t>
        </is>
      </c>
      <c r="AA1807" t="inlineStr">
        <is>
          <t>1750684.70</t>
        </is>
      </c>
      <c r="AB1807" t="inlineStr">
        <is>
          <t>USD</t>
        </is>
      </c>
      <c r="AC1807" t="inlineStr">
        <is>
          <t>5395.33</t>
        </is>
      </c>
      <c r="AD1807" t="inlineStr">
        <is>
          <t>5395.33</t>
        </is>
      </c>
      <c r="AE1807" t="inlineStr">
        <is>
          <t>0.61</t>
        </is>
      </c>
      <c r="AF1807" t="inlineStr"/>
      <c r="AG1807" t="inlineStr"/>
      <c r="AH1807" t="inlineStr">
        <is>
          <t>Floating</t>
        </is>
      </c>
      <c r="AI1807" t="inlineStr"/>
      <c r="AJ1807" t="inlineStr"/>
      <c r="AK1807" t="inlineStr">
        <is>
          <t>1750684.70</t>
        </is>
      </c>
      <c r="AL1807" t="inlineStr">
        <is>
          <t>USD</t>
        </is>
      </c>
      <c r="AM1807" t="inlineStr"/>
      <c r="AN1807" t="inlineStr"/>
      <c r="AO1807">
        <f>BDP($B1807,"ISSUER")</f>
        <v/>
      </c>
      <c r="AP1807">
        <f>BDP($B1807,"NAME")</f>
        <v/>
      </c>
      <c r="AQ1807" s="1" t="inlineStr">
        <is>
          <t>922908751</t>
        </is>
      </c>
      <c r="AR1807">
        <f>BDP($B1807,"ID_ISIN")</f>
        <v/>
      </c>
      <c r="AS1807">
        <f>BDP($B1807,"TICKER")</f>
        <v/>
      </c>
      <c r="AT1807" t="inlineStr"/>
      <c r="AU1807" t="inlineStr"/>
      <c r="AV1807" t="inlineStr"/>
      <c r="AW1807" t="inlineStr"/>
      <c r="AX1807" t="inlineStr"/>
      <c r="AY1807" t="inlineStr"/>
    </row>
    <row r="1808">
      <c r="A1808" t="inlineStr">
        <is>
          <t>VBX</t>
        </is>
      </c>
      <c r="B1808" t="inlineStr">
        <is>
          <t>FGXXX US Equity</t>
        </is>
      </c>
      <c r="C1808" s="1" t="inlineStr">
        <is>
          <t>FGXXX</t>
        </is>
      </c>
      <c r="D1808" t="inlineStr">
        <is>
          <t>First American Government Obli</t>
        </is>
      </c>
      <c r="E1808">
        <f>BDP($B1808,"LEGAL_ENTITY_IDENTIFIER")</f>
        <v/>
      </c>
      <c r="F1808" t="inlineStr">
        <is>
          <t>First American Government Obligations Fund</t>
        </is>
      </c>
      <c r="G1808">
        <f>custodian!D1808</f>
        <v/>
      </c>
      <c r="H1808">
        <f>BDP($B1808,"ID_ISIN")</f>
        <v/>
      </c>
      <c r="I1808" s="1" t="inlineStr">
        <is>
          <t>FGXXX</t>
        </is>
      </c>
      <c r="J1808">
        <f>BDP($B1808,"CNTRY_OF_DOMICILE")</f>
        <v/>
      </c>
      <c r="K1808" t="inlineStr">
        <is>
          <t>STIV</t>
        </is>
      </c>
      <c r="L1808" t="inlineStr">
        <is>
          <t>RF</t>
        </is>
      </c>
      <c r="M1808" t="inlineStr"/>
      <c r="N1808" t="inlineStr"/>
      <c r="O1808" s="1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s="1" t="inlineStr"/>
      <c r="AR1808" s="1" t="inlineStr"/>
      <c r="AS1808" s="1" t="inlineStr"/>
      <c r="AT1808" t="inlineStr"/>
      <c r="AU1808" t="inlineStr"/>
      <c r="AV1808" t="inlineStr"/>
      <c r="AW1808" t="inlineStr"/>
      <c r="AX1808" t="inlineStr"/>
      <c r="AY1808" t="inlineStr"/>
    </row>
    <row r="1809">
      <c r="A1809" t="inlineStr">
        <is>
          <t>VBX</t>
        </is>
      </c>
      <c r="B1809" t="inlineStr"/>
      <c r="C1809" s="1" t="inlineStr">
        <is>
          <t>Cash&amp;Other</t>
        </is>
      </c>
      <c r="D1809" t="inlineStr"/>
      <c r="E1809" s="1" t="inlineStr"/>
      <c r="F1809" t="inlineStr"/>
      <c r="G1809">
        <f>custodian!D1809</f>
        <v/>
      </c>
      <c r="H1809" s="1" t="inlineStr"/>
      <c r="I1809" s="1" t="inlineStr"/>
      <c r="J1809" t="inlineStr"/>
      <c r="K1809" t="inlineStr"/>
      <c r="L1809" t="inlineStr"/>
      <c r="M1809" t="inlineStr"/>
      <c r="N1809" t="inlineStr"/>
      <c r="O1809" s="1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s="1" t="inlineStr"/>
      <c r="AR1809" s="1" t="inlineStr"/>
      <c r="AS1809" s="1" t="inlineStr"/>
      <c r="AT1809" t="inlineStr"/>
      <c r="AU1809" t="inlineStr"/>
      <c r="AV1809" t="inlineStr"/>
      <c r="AW1809" t="inlineStr"/>
      <c r="AX1809" t="inlineStr"/>
      <c r="AY1809" t="inlineStr"/>
    </row>
    <row r="1810">
      <c r="A1810" t="inlineStr">
        <is>
          <t>VOOX</t>
        </is>
      </c>
      <c r="B1810" t="inlineStr">
        <is>
          <t>922908363 Equity</t>
        </is>
      </c>
      <c r="C1810" s="1" t="inlineStr">
        <is>
          <t>922908363-TRS-07/07/27-L-CLST</t>
        </is>
      </c>
      <c r="D1810" t="inlineStr">
        <is>
          <t>N/A</t>
        </is>
      </c>
      <c r="E1810" s="1" t="inlineStr">
        <is>
          <t>N/A</t>
        </is>
      </c>
      <c r="F1810" t="inlineStr">
        <is>
          <t>VANGUARD S&amp;P 500 ETF-SWAP-CLST-L</t>
        </is>
      </c>
      <c r="G1810">
        <f>custodian!D1810</f>
        <v/>
      </c>
      <c r="H1810" s="1" t="inlineStr"/>
      <c r="I1810" s="1" t="inlineStr">
        <is>
          <t>922908363-TRS-07/07/27-L-CLST</t>
        </is>
      </c>
      <c r="J1810" t="inlineStr">
        <is>
          <t>US</t>
        </is>
      </c>
      <c r="K1810" t="inlineStr">
        <is>
          <t>DE</t>
        </is>
      </c>
      <c r="L1810" t="inlineStr">
        <is>
          <t>OTHER</t>
        </is>
      </c>
      <c r="M1810" t="inlineStr">
        <is>
          <t>SWP</t>
        </is>
      </c>
      <c r="N1810" t="inlineStr"/>
      <c r="O1810" s="1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otherRefInst</t>
        </is>
      </c>
      <c r="W1810" t="inlineStr"/>
      <c r="X1810" t="inlineStr"/>
      <c r="Y1810" t="inlineStr">
        <is>
          <t>Y</t>
        </is>
      </c>
      <c r="Z1810" t="inlineStr">
        <is>
          <t>2027-07-07</t>
        </is>
      </c>
      <c r="AA1810" t="inlineStr">
        <is>
          <t>1392597.09</t>
        </is>
      </c>
      <c r="AB1810" t="inlineStr">
        <is>
          <t>USD</t>
        </is>
      </c>
      <c r="AC1810" t="inlineStr">
        <is>
          <t>-17375.02</t>
        </is>
      </c>
      <c r="AD1810" t="inlineStr">
        <is>
          <t>-17375.02</t>
        </is>
      </c>
      <c r="AE1810" t="inlineStr">
        <is>
          <t>-2.49</t>
        </is>
      </c>
      <c r="AF1810" t="inlineStr"/>
      <c r="AG1810" t="inlineStr"/>
      <c r="AH1810" t="inlineStr">
        <is>
          <t>Floating</t>
        </is>
      </c>
      <c r="AI1810" t="inlineStr"/>
      <c r="AJ1810" t="inlineStr"/>
      <c r="AK1810" t="inlineStr">
        <is>
          <t>1392597.09</t>
        </is>
      </c>
      <c r="AL1810" t="inlineStr">
        <is>
          <t>USD</t>
        </is>
      </c>
      <c r="AM1810" t="inlineStr"/>
      <c r="AN1810" t="inlineStr"/>
      <c r="AO1810">
        <f>BDP($B1810,"ISSUER")</f>
        <v/>
      </c>
      <c r="AP1810">
        <f>BDP($B1810,"NAME")</f>
        <v/>
      </c>
      <c r="AQ1810" s="1" t="inlineStr">
        <is>
          <t>922908363</t>
        </is>
      </c>
      <c r="AR1810">
        <f>BDP($B1810,"ID_ISIN")</f>
        <v/>
      </c>
      <c r="AS1810">
        <f>BDP($B1810,"TICKER")</f>
        <v/>
      </c>
      <c r="AT1810" t="inlineStr"/>
      <c r="AU1810" t="inlineStr"/>
      <c r="AV1810" t="inlineStr"/>
      <c r="AW1810" t="inlineStr"/>
      <c r="AX1810" t="inlineStr"/>
      <c r="AY1810" t="inlineStr"/>
    </row>
    <row r="1811">
      <c r="A1811" t="inlineStr">
        <is>
          <t>VOOX</t>
        </is>
      </c>
      <c r="B1811" t="inlineStr">
        <is>
          <t>FGXXX US Equity</t>
        </is>
      </c>
      <c r="C1811" s="1" t="inlineStr">
        <is>
          <t>FGXXX</t>
        </is>
      </c>
      <c r="D1811" t="inlineStr">
        <is>
          <t>First American Government Obli</t>
        </is>
      </c>
      <c r="E1811">
        <f>BDP($B1811,"LEGAL_ENTITY_IDENTIFIER")</f>
        <v/>
      </c>
      <c r="F1811" t="inlineStr">
        <is>
          <t>First American Government Obligations Fund</t>
        </is>
      </c>
      <c r="G1811">
        <f>custodian!D1811</f>
        <v/>
      </c>
      <c r="H1811">
        <f>BDP($B1811,"ID_ISIN")</f>
        <v/>
      </c>
      <c r="I1811" s="1" t="inlineStr">
        <is>
          <t>FGXXX</t>
        </is>
      </c>
      <c r="J1811">
        <f>BDP($B1811,"CNTRY_OF_DOMICILE")</f>
        <v/>
      </c>
      <c r="K1811" t="inlineStr">
        <is>
          <t>STIV</t>
        </is>
      </c>
      <c r="L1811" t="inlineStr">
        <is>
          <t>RF</t>
        </is>
      </c>
      <c r="M1811" t="inlineStr"/>
      <c r="N1811" t="inlineStr"/>
      <c r="O1811" s="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s="1" t="inlineStr"/>
      <c r="AR1811" s="1" t="inlineStr"/>
      <c r="AS1811" s="1" t="inlineStr"/>
      <c r="AT1811" t="inlineStr"/>
      <c r="AU1811" t="inlineStr"/>
      <c r="AV1811" t="inlineStr"/>
      <c r="AW1811" t="inlineStr"/>
      <c r="AX1811" t="inlineStr"/>
      <c r="AY1811" t="inlineStr"/>
    </row>
    <row r="1812">
      <c r="A1812" t="inlineStr">
        <is>
          <t>VOOX</t>
        </is>
      </c>
      <c r="B1812" t="inlineStr"/>
      <c r="C1812" s="1" t="inlineStr">
        <is>
          <t>Cash&amp;Other</t>
        </is>
      </c>
      <c r="D1812" t="inlineStr"/>
      <c r="E1812" s="1" t="inlineStr"/>
      <c r="F1812" t="inlineStr"/>
      <c r="G1812">
        <f>custodian!D1812</f>
        <v/>
      </c>
      <c r="H1812" s="1" t="inlineStr"/>
      <c r="I1812" s="1" t="inlineStr"/>
      <c r="J1812" t="inlineStr"/>
      <c r="K1812" t="inlineStr"/>
      <c r="L1812" t="inlineStr"/>
      <c r="M1812" t="inlineStr"/>
      <c r="N1812" t="inlineStr"/>
      <c r="O1812" s="1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s="1" t="inlineStr"/>
      <c r="AR1812" s="1" t="inlineStr"/>
      <c r="AS1812" s="1" t="inlineStr"/>
      <c r="AT1812" t="inlineStr"/>
      <c r="AU1812" t="inlineStr"/>
      <c r="AV1812" t="inlineStr"/>
      <c r="AW1812" t="inlineStr"/>
      <c r="AX1812" t="inlineStr"/>
      <c r="AY1812" t="inlineStr"/>
    </row>
    <row r="1813">
      <c r="A1813" t="inlineStr">
        <is>
          <t>WATS</t>
        </is>
      </c>
      <c r="B1813" t="inlineStr">
        <is>
          <t>ABAT US Equity</t>
        </is>
      </c>
      <c r="C1813" s="1" t="inlineStr">
        <is>
          <t>ABAT</t>
        </is>
      </c>
      <c r="D1813" t="inlineStr">
        <is>
          <t>American Battery Technology Co</t>
        </is>
      </c>
      <c r="E1813">
        <f>BDP($B1813,"LEGAL_ENTITY_IDENTIFIER")</f>
        <v/>
      </c>
      <c r="F1813" t="inlineStr">
        <is>
          <t>American Battery Technology Co</t>
        </is>
      </c>
      <c r="G1813">
        <f>custodian!D1813</f>
        <v/>
      </c>
      <c r="H1813">
        <f>BDP($B1813,"ID_ISIN")</f>
        <v/>
      </c>
      <c r="I1813" s="1" t="inlineStr">
        <is>
          <t>ABAT</t>
        </is>
      </c>
      <c r="J1813">
        <f>BDP($B1813,"CNTRY_OF_DOMICILE")</f>
        <v/>
      </c>
      <c r="K1813" t="inlineStr">
        <is>
          <t>EC</t>
        </is>
      </c>
      <c r="L1813" t="inlineStr">
        <is>
          <t>CORP</t>
        </is>
      </c>
      <c r="M1813" t="inlineStr"/>
      <c r="N1813" t="inlineStr"/>
      <c r="O1813" s="1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s="1" t="inlineStr"/>
      <c r="AR1813" s="1" t="inlineStr"/>
      <c r="AS1813" s="1" t="inlineStr"/>
      <c r="AT1813" t="inlineStr"/>
      <c r="AU1813" t="inlineStr"/>
      <c r="AV1813" t="inlineStr"/>
      <c r="AW1813" t="inlineStr"/>
      <c r="AX1813" t="inlineStr"/>
      <c r="AY1813" t="inlineStr"/>
    </row>
    <row r="1814">
      <c r="A1814" t="inlineStr">
        <is>
          <t>WATS</t>
        </is>
      </c>
      <c r="B1814" t="inlineStr">
        <is>
          <t>AES US Equity</t>
        </is>
      </c>
      <c r="C1814" s="1" t="inlineStr">
        <is>
          <t>AES</t>
        </is>
      </c>
      <c r="D1814" t="inlineStr">
        <is>
          <t>AES Corp/The</t>
        </is>
      </c>
      <c r="E1814">
        <f>BDP($B1814,"LEGAL_ENTITY_IDENTIFIER")</f>
        <v/>
      </c>
      <c r="F1814" t="inlineStr">
        <is>
          <t>AES Corp/The</t>
        </is>
      </c>
      <c r="G1814">
        <f>custodian!D1814</f>
        <v/>
      </c>
      <c r="H1814">
        <f>BDP($B1814,"ID_ISIN")</f>
        <v/>
      </c>
      <c r="I1814" s="1" t="inlineStr">
        <is>
          <t>AES</t>
        </is>
      </c>
      <c r="J1814">
        <f>BDP($B1814,"CNTRY_OF_DOMICILE")</f>
        <v/>
      </c>
      <c r="K1814" t="inlineStr">
        <is>
          <t>EC</t>
        </is>
      </c>
      <c r="L1814" t="inlineStr">
        <is>
          <t>CORP</t>
        </is>
      </c>
      <c r="M1814" t="inlineStr"/>
      <c r="N1814" t="inlineStr"/>
      <c r="O1814" s="1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s="1" t="inlineStr"/>
      <c r="AR1814" s="1" t="inlineStr"/>
      <c r="AS1814" s="1" t="inlineStr"/>
      <c r="AT1814" t="inlineStr"/>
      <c r="AU1814" t="inlineStr"/>
      <c r="AV1814" t="inlineStr"/>
      <c r="AW1814" t="inlineStr"/>
      <c r="AX1814" t="inlineStr"/>
      <c r="AY1814" t="inlineStr"/>
    </row>
    <row r="1815">
      <c r="A1815" t="inlineStr">
        <is>
          <t>WATS</t>
        </is>
      </c>
      <c r="B1815" t="inlineStr">
        <is>
          <t>ALB US Equity</t>
        </is>
      </c>
      <c r="C1815" s="1" t="inlineStr">
        <is>
          <t>ALB</t>
        </is>
      </c>
      <c r="D1815" t="inlineStr">
        <is>
          <t>Albemarle Corp</t>
        </is>
      </c>
      <c r="E1815">
        <f>BDP($B1815,"LEGAL_ENTITY_IDENTIFIER")</f>
        <v/>
      </c>
      <c r="F1815" t="inlineStr">
        <is>
          <t>Albemarle Corp</t>
        </is>
      </c>
      <c r="G1815">
        <f>custodian!D1815</f>
        <v/>
      </c>
      <c r="H1815">
        <f>BDP($B1815,"ID_ISIN")</f>
        <v/>
      </c>
      <c r="I1815" s="1" t="inlineStr">
        <is>
          <t>ALB</t>
        </is>
      </c>
      <c r="J1815">
        <f>BDP($B1815,"CNTRY_OF_DOMICILE")</f>
        <v/>
      </c>
      <c r="K1815" t="inlineStr">
        <is>
          <t>EC</t>
        </is>
      </c>
      <c r="L1815" t="inlineStr">
        <is>
          <t>CORP</t>
        </is>
      </c>
      <c r="M1815" t="inlineStr"/>
      <c r="N1815" t="inlineStr"/>
      <c r="O1815" s="1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s="1" t="inlineStr"/>
      <c r="AR1815" s="1" t="inlineStr"/>
      <c r="AS1815" s="1" t="inlineStr"/>
      <c r="AT1815" t="inlineStr"/>
      <c r="AU1815" t="inlineStr"/>
      <c r="AV1815" t="inlineStr"/>
      <c r="AW1815" t="inlineStr"/>
      <c r="AX1815" t="inlineStr"/>
      <c r="AY1815" t="inlineStr"/>
    </row>
    <row r="1816">
      <c r="A1816" t="inlineStr">
        <is>
          <t>WATS</t>
        </is>
      </c>
      <c r="B1816" t="inlineStr">
        <is>
          <t>AMPX US Equity</t>
        </is>
      </c>
      <c r="C1816" s="1" t="inlineStr">
        <is>
          <t>AMPX</t>
        </is>
      </c>
      <c r="D1816" t="inlineStr">
        <is>
          <t>Amprius Technologies Inc</t>
        </is>
      </c>
      <c r="E1816">
        <f>BDP($B1816,"LEGAL_ENTITY_IDENTIFIER")</f>
        <v/>
      </c>
      <c r="F1816" t="inlineStr">
        <is>
          <t>Amprius Technologies Inc</t>
        </is>
      </c>
      <c r="G1816">
        <f>custodian!D1816</f>
        <v/>
      </c>
      <c r="H1816">
        <f>BDP($B1816,"ID_ISIN")</f>
        <v/>
      </c>
      <c r="I1816" s="1" t="inlineStr">
        <is>
          <t>AMPX</t>
        </is>
      </c>
      <c r="J1816">
        <f>BDP($B1816,"CNTRY_OF_DOMICILE")</f>
        <v/>
      </c>
      <c r="K1816" t="inlineStr">
        <is>
          <t>EC</t>
        </is>
      </c>
      <c r="L1816" t="inlineStr">
        <is>
          <t>CORP</t>
        </is>
      </c>
      <c r="M1816" t="inlineStr"/>
      <c r="N1816" t="inlineStr"/>
      <c r="O1816" s="1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s="1" t="inlineStr"/>
      <c r="AR1816" s="1" t="inlineStr"/>
      <c r="AS1816" s="1" t="inlineStr"/>
      <c r="AT1816" t="inlineStr"/>
      <c r="AU1816" t="inlineStr"/>
      <c r="AV1816" t="inlineStr"/>
      <c r="AW1816" t="inlineStr"/>
      <c r="AX1816" t="inlineStr"/>
      <c r="AY1816" t="inlineStr"/>
    </row>
    <row r="1817">
      <c r="A1817" t="inlineStr">
        <is>
          <t>WATS</t>
        </is>
      </c>
      <c r="B1817" t="inlineStr">
        <is>
          <t>AMSC US Equity</t>
        </is>
      </c>
      <c r="C1817" s="1" t="inlineStr">
        <is>
          <t>AMSC</t>
        </is>
      </c>
      <c r="D1817" t="inlineStr">
        <is>
          <t>American Superconductor Corp</t>
        </is>
      </c>
      <c r="E1817">
        <f>BDP($B1817,"LEGAL_ENTITY_IDENTIFIER")</f>
        <v/>
      </c>
      <c r="F1817" t="inlineStr">
        <is>
          <t>American Superconductor Corp</t>
        </is>
      </c>
      <c r="G1817">
        <f>custodian!D1817</f>
        <v/>
      </c>
      <c r="H1817">
        <f>BDP($B1817,"ID_ISIN")</f>
        <v/>
      </c>
      <c r="I1817" s="1" t="inlineStr">
        <is>
          <t>AMSC</t>
        </is>
      </c>
      <c r="J1817">
        <f>BDP($B1817,"CNTRY_OF_DOMICILE")</f>
        <v/>
      </c>
      <c r="K1817" t="inlineStr">
        <is>
          <t>EC</t>
        </is>
      </c>
      <c r="L1817" t="inlineStr">
        <is>
          <t>CORP</t>
        </is>
      </c>
      <c r="M1817" t="inlineStr"/>
      <c r="N1817" t="inlineStr"/>
      <c r="O1817" s="1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s="1" t="inlineStr"/>
      <c r="AR1817" s="1" t="inlineStr"/>
      <c r="AS1817" s="1" t="inlineStr"/>
      <c r="AT1817" t="inlineStr"/>
      <c r="AU1817" t="inlineStr"/>
      <c r="AV1817" t="inlineStr"/>
      <c r="AW1817" t="inlineStr"/>
      <c r="AX1817" t="inlineStr"/>
      <c r="AY1817" t="inlineStr"/>
    </row>
    <row r="1818">
      <c r="A1818" t="inlineStr">
        <is>
          <t>WATS</t>
        </is>
      </c>
      <c r="B1818" t="inlineStr">
        <is>
          <t>ATKR US Equity</t>
        </is>
      </c>
      <c r="C1818" s="1" t="inlineStr">
        <is>
          <t>ATKR</t>
        </is>
      </c>
      <c r="D1818" t="inlineStr">
        <is>
          <t>Atkore Inc</t>
        </is>
      </c>
      <c r="E1818">
        <f>BDP($B1818,"LEGAL_ENTITY_IDENTIFIER")</f>
        <v/>
      </c>
      <c r="F1818" t="inlineStr">
        <is>
          <t>Atkore Inc</t>
        </is>
      </c>
      <c r="G1818">
        <f>custodian!D1818</f>
        <v/>
      </c>
      <c r="H1818">
        <f>BDP($B1818,"ID_ISIN")</f>
        <v/>
      </c>
      <c r="I1818" s="1" t="inlineStr">
        <is>
          <t>ATKR</t>
        </is>
      </c>
      <c r="J1818">
        <f>BDP($B1818,"CNTRY_OF_DOMICILE")</f>
        <v/>
      </c>
      <c r="K1818" t="inlineStr">
        <is>
          <t>EC</t>
        </is>
      </c>
      <c r="L1818" t="inlineStr">
        <is>
          <t>CORP</t>
        </is>
      </c>
      <c r="M1818" t="inlineStr"/>
      <c r="N1818" t="inlineStr"/>
      <c r="O1818" s="1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s="1" t="inlineStr"/>
      <c r="AR1818" s="1" t="inlineStr"/>
      <c r="AS1818" s="1" t="inlineStr"/>
      <c r="AT1818" t="inlineStr"/>
      <c r="AU1818" t="inlineStr"/>
      <c r="AV1818" t="inlineStr"/>
      <c r="AW1818" t="inlineStr"/>
      <c r="AX1818" t="inlineStr"/>
      <c r="AY1818" t="inlineStr"/>
    </row>
    <row r="1819">
      <c r="A1819" t="inlineStr">
        <is>
          <t>WATS</t>
        </is>
      </c>
      <c r="B1819" t="inlineStr">
        <is>
          <t>BE US Equity</t>
        </is>
      </c>
      <c r="C1819" s="1" t="inlineStr">
        <is>
          <t>BE</t>
        </is>
      </c>
      <c r="D1819" t="inlineStr">
        <is>
          <t>Bloom Energy Corp</t>
        </is>
      </c>
      <c r="E1819">
        <f>BDP($B1819,"LEGAL_ENTITY_IDENTIFIER")</f>
        <v/>
      </c>
      <c r="F1819" t="inlineStr">
        <is>
          <t>Bloom Energy Corp</t>
        </is>
      </c>
      <c r="G1819">
        <f>custodian!D1819</f>
        <v/>
      </c>
      <c r="H1819">
        <f>BDP($B1819,"ID_ISIN")</f>
        <v/>
      </c>
      <c r="I1819" s="1" t="inlineStr">
        <is>
          <t>BE</t>
        </is>
      </c>
      <c r="J1819">
        <f>BDP($B1819,"CNTRY_OF_DOMICILE")</f>
        <v/>
      </c>
      <c r="K1819" t="inlineStr">
        <is>
          <t>EC</t>
        </is>
      </c>
      <c r="L1819" t="inlineStr">
        <is>
          <t>CORP</t>
        </is>
      </c>
      <c r="M1819" t="inlineStr"/>
      <c r="N1819" t="inlineStr"/>
      <c r="O1819" s="1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s="1" t="inlineStr"/>
      <c r="AR1819" s="1" t="inlineStr"/>
      <c r="AS1819" s="1" t="inlineStr"/>
      <c r="AT1819" t="inlineStr"/>
      <c r="AU1819" t="inlineStr"/>
      <c r="AV1819" t="inlineStr"/>
      <c r="AW1819" t="inlineStr"/>
      <c r="AX1819" t="inlineStr"/>
      <c r="AY1819" t="inlineStr"/>
    </row>
    <row r="1820">
      <c r="A1820" t="inlineStr">
        <is>
          <t>WATS</t>
        </is>
      </c>
      <c r="B1820" t="inlineStr">
        <is>
          <t>ENPH US Equity</t>
        </is>
      </c>
      <c r="C1820" s="1" t="inlineStr">
        <is>
          <t>ENPH</t>
        </is>
      </c>
      <c r="D1820" t="inlineStr">
        <is>
          <t>Enphase Energy Inc</t>
        </is>
      </c>
      <c r="E1820">
        <f>BDP($B1820,"LEGAL_ENTITY_IDENTIFIER")</f>
        <v/>
      </c>
      <c r="F1820" t="inlineStr">
        <is>
          <t>Enphase Energy Inc</t>
        </is>
      </c>
      <c r="G1820">
        <f>custodian!D1820</f>
        <v/>
      </c>
      <c r="H1820">
        <f>BDP($B1820,"ID_ISIN")</f>
        <v/>
      </c>
      <c r="I1820" s="1" t="inlineStr">
        <is>
          <t>ENPH</t>
        </is>
      </c>
      <c r="J1820">
        <f>BDP($B1820,"CNTRY_OF_DOMICILE")</f>
        <v/>
      </c>
      <c r="K1820" t="inlineStr">
        <is>
          <t>EC</t>
        </is>
      </c>
      <c r="L1820" t="inlineStr">
        <is>
          <t>CORP</t>
        </is>
      </c>
      <c r="M1820" t="inlineStr"/>
      <c r="N1820" t="inlineStr"/>
      <c r="O1820" s="1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s="1" t="inlineStr"/>
      <c r="AR1820" s="1" t="inlineStr"/>
      <c r="AS1820" s="1" t="inlineStr"/>
      <c r="AT1820" t="inlineStr"/>
      <c r="AU1820" t="inlineStr"/>
      <c r="AV1820" t="inlineStr"/>
      <c r="AW1820" t="inlineStr"/>
      <c r="AX1820" t="inlineStr"/>
      <c r="AY1820" t="inlineStr"/>
    </row>
    <row r="1821">
      <c r="A1821" t="inlineStr">
        <is>
          <t>WATS</t>
        </is>
      </c>
      <c r="B1821" t="inlineStr">
        <is>
          <t>ENS US Equity</t>
        </is>
      </c>
      <c r="C1821" s="1" t="inlineStr">
        <is>
          <t>ENS</t>
        </is>
      </c>
      <c r="D1821" t="inlineStr">
        <is>
          <t>EnerSys</t>
        </is>
      </c>
      <c r="E1821">
        <f>BDP($B1821,"LEGAL_ENTITY_IDENTIFIER")</f>
        <v/>
      </c>
      <c r="F1821" t="inlineStr">
        <is>
          <t>EnerSys</t>
        </is>
      </c>
      <c r="G1821">
        <f>custodian!D1821</f>
        <v/>
      </c>
      <c r="H1821">
        <f>BDP($B1821,"ID_ISIN")</f>
        <v/>
      </c>
      <c r="I1821" s="1" t="inlineStr">
        <is>
          <t>ENS</t>
        </is>
      </c>
      <c r="J1821">
        <f>BDP($B1821,"CNTRY_OF_DOMICILE")</f>
        <v/>
      </c>
      <c r="K1821" t="inlineStr">
        <is>
          <t>EC</t>
        </is>
      </c>
      <c r="L1821" t="inlineStr">
        <is>
          <t>CORP</t>
        </is>
      </c>
      <c r="M1821" t="inlineStr"/>
      <c r="N1821" t="inlineStr"/>
      <c r="O1821" s="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s="1" t="inlineStr"/>
      <c r="AR1821" s="1" t="inlineStr"/>
      <c r="AS1821" s="1" t="inlineStr"/>
      <c r="AT1821" t="inlineStr"/>
      <c r="AU1821" t="inlineStr"/>
      <c r="AV1821" t="inlineStr"/>
      <c r="AW1821" t="inlineStr"/>
      <c r="AX1821" t="inlineStr"/>
      <c r="AY1821" t="inlineStr"/>
    </row>
    <row r="1822">
      <c r="A1822" t="inlineStr">
        <is>
          <t>WATS</t>
        </is>
      </c>
      <c r="B1822" t="inlineStr">
        <is>
          <t>ENVX US Equity</t>
        </is>
      </c>
      <c r="C1822" s="1" t="inlineStr">
        <is>
          <t>ENVX</t>
        </is>
      </c>
      <c r="D1822" t="inlineStr">
        <is>
          <t>Enovix Corp</t>
        </is>
      </c>
      <c r="E1822">
        <f>BDP($B1822,"LEGAL_ENTITY_IDENTIFIER")</f>
        <v/>
      </c>
      <c r="F1822" t="inlineStr">
        <is>
          <t>Enovix Corp</t>
        </is>
      </c>
      <c r="G1822">
        <f>custodian!D1822</f>
        <v/>
      </c>
      <c r="H1822">
        <f>BDP($B1822,"ID_ISIN")</f>
        <v/>
      </c>
      <c r="I1822" s="1" t="inlineStr">
        <is>
          <t>ENVX</t>
        </is>
      </c>
      <c r="J1822">
        <f>BDP($B1822,"CNTRY_OF_DOMICILE")</f>
        <v/>
      </c>
      <c r="K1822" t="inlineStr">
        <is>
          <t>EC</t>
        </is>
      </c>
      <c r="L1822" t="inlineStr">
        <is>
          <t>CORP</t>
        </is>
      </c>
      <c r="M1822" t="inlineStr"/>
      <c r="N1822" t="inlineStr"/>
      <c r="O1822" s="1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s="1" t="inlineStr"/>
      <c r="AR1822" s="1" t="inlineStr"/>
      <c r="AS1822" s="1" t="inlineStr"/>
      <c r="AT1822" t="inlineStr"/>
      <c r="AU1822" t="inlineStr"/>
      <c r="AV1822" t="inlineStr"/>
      <c r="AW1822" t="inlineStr"/>
      <c r="AX1822" t="inlineStr"/>
      <c r="AY1822" t="inlineStr"/>
    </row>
    <row r="1823">
      <c r="A1823" t="inlineStr">
        <is>
          <t>WATS</t>
        </is>
      </c>
      <c r="B1823" t="inlineStr">
        <is>
          <t>EOSE US Equity</t>
        </is>
      </c>
      <c r="C1823" s="1" t="inlineStr">
        <is>
          <t>EOSE</t>
        </is>
      </c>
      <c r="D1823" t="inlineStr">
        <is>
          <t>Eos Energy Enterprises Inc</t>
        </is>
      </c>
      <c r="E1823">
        <f>BDP($B1823,"LEGAL_ENTITY_IDENTIFIER")</f>
        <v/>
      </c>
      <c r="F1823" t="inlineStr">
        <is>
          <t>Eos Energy Enterprises Inc</t>
        </is>
      </c>
      <c r="G1823">
        <f>custodian!D1823</f>
        <v/>
      </c>
      <c r="H1823">
        <f>BDP($B1823,"ID_ISIN")</f>
        <v/>
      </c>
      <c r="I1823" s="1" t="inlineStr">
        <is>
          <t>EOSE</t>
        </is>
      </c>
      <c r="J1823">
        <f>BDP($B1823,"CNTRY_OF_DOMICILE")</f>
        <v/>
      </c>
      <c r="K1823" t="inlineStr">
        <is>
          <t>EC</t>
        </is>
      </c>
      <c r="L1823" t="inlineStr">
        <is>
          <t>CORP</t>
        </is>
      </c>
      <c r="M1823" t="inlineStr"/>
      <c r="N1823" t="inlineStr"/>
      <c r="O1823" s="1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s="1" t="inlineStr"/>
      <c r="AR1823" s="1" t="inlineStr"/>
      <c r="AS1823" s="1" t="inlineStr"/>
      <c r="AT1823" t="inlineStr"/>
      <c r="AU1823" t="inlineStr"/>
      <c r="AV1823" t="inlineStr"/>
      <c r="AW1823" t="inlineStr"/>
      <c r="AX1823" t="inlineStr"/>
      <c r="AY1823" t="inlineStr"/>
    </row>
    <row r="1824">
      <c r="A1824" t="inlineStr">
        <is>
          <t>WATS</t>
        </is>
      </c>
      <c r="B1824" t="inlineStr">
        <is>
          <t>FGXXX US Equity</t>
        </is>
      </c>
      <c r="C1824" s="1" t="inlineStr">
        <is>
          <t>FGXXX</t>
        </is>
      </c>
      <c r="D1824" t="inlineStr">
        <is>
          <t>First American Government Obli</t>
        </is>
      </c>
      <c r="E1824">
        <f>BDP($B1824,"LEGAL_ENTITY_IDENTIFIER")</f>
        <v/>
      </c>
      <c r="F1824" t="inlineStr">
        <is>
          <t>First American Government Obligations Fund</t>
        </is>
      </c>
      <c r="G1824">
        <f>custodian!D1824</f>
        <v/>
      </c>
      <c r="H1824">
        <f>BDP($B1824,"ID_ISIN")</f>
        <v/>
      </c>
      <c r="I1824" s="1" t="inlineStr">
        <is>
          <t>FGXXX</t>
        </is>
      </c>
      <c r="J1824">
        <f>BDP($B1824,"CNTRY_OF_DOMICILE")</f>
        <v/>
      </c>
      <c r="K1824" t="inlineStr">
        <is>
          <t>STIV</t>
        </is>
      </c>
      <c r="L1824" t="inlineStr">
        <is>
          <t>RF</t>
        </is>
      </c>
      <c r="M1824" t="inlineStr"/>
      <c r="N1824" t="inlineStr"/>
      <c r="O1824" s="1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s="1" t="inlineStr"/>
      <c r="AR1824" s="1" t="inlineStr"/>
      <c r="AS1824" s="1" t="inlineStr"/>
      <c r="AT1824" t="inlineStr"/>
      <c r="AU1824" t="inlineStr"/>
      <c r="AV1824" t="inlineStr"/>
      <c r="AW1824" t="inlineStr"/>
      <c r="AX1824" t="inlineStr"/>
      <c r="AY1824" t="inlineStr"/>
    </row>
    <row r="1825">
      <c r="A1825" t="inlineStr">
        <is>
          <t>WATS</t>
        </is>
      </c>
      <c r="B1825" t="inlineStr">
        <is>
          <t>FLNC US Equity</t>
        </is>
      </c>
      <c r="C1825" s="1" t="inlineStr">
        <is>
          <t>FLNC</t>
        </is>
      </c>
      <c r="D1825" t="inlineStr">
        <is>
          <t>Fluence Energy Inc</t>
        </is>
      </c>
      <c r="E1825">
        <f>BDP($B1825,"LEGAL_ENTITY_IDENTIFIER")</f>
        <v/>
      </c>
      <c r="F1825" t="inlineStr">
        <is>
          <t>Fluence Energy Inc</t>
        </is>
      </c>
      <c r="G1825">
        <f>custodian!D1825</f>
        <v/>
      </c>
      <c r="H1825">
        <f>BDP($B1825,"ID_ISIN")</f>
        <v/>
      </c>
      <c r="I1825" s="1" t="inlineStr">
        <is>
          <t>FLNC</t>
        </is>
      </c>
      <c r="J1825">
        <f>BDP($B1825,"CNTRY_OF_DOMICILE")</f>
        <v/>
      </c>
      <c r="K1825" t="inlineStr">
        <is>
          <t>EC</t>
        </is>
      </c>
      <c r="L1825" t="inlineStr">
        <is>
          <t>CORP</t>
        </is>
      </c>
      <c r="M1825" t="inlineStr"/>
      <c r="N1825" t="inlineStr"/>
      <c r="O1825" s="1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s="1" t="inlineStr"/>
      <c r="AR1825" s="1" t="inlineStr"/>
      <c r="AS1825" s="1" t="inlineStr"/>
      <c r="AT1825" t="inlineStr"/>
      <c r="AU1825" t="inlineStr"/>
      <c r="AV1825" t="inlineStr"/>
      <c r="AW1825" t="inlineStr"/>
      <c r="AX1825" t="inlineStr"/>
      <c r="AY1825" t="inlineStr"/>
    </row>
    <row r="1826">
      <c r="A1826" t="inlineStr">
        <is>
          <t>WATS</t>
        </is>
      </c>
      <c r="B1826" t="inlineStr">
        <is>
          <t>GNRC US Equity</t>
        </is>
      </c>
      <c r="C1826" s="1" t="inlineStr">
        <is>
          <t>GNRC</t>
        </is>
      </c>
      <c r="D1826" t="inlineStr">
        <is>
          <t>Generac Holdings Inc</t>
        </is>
      </c>
      <c r="E1826">
        <f>BDP($B1826,"LEGAL_ENTITY_IDENTIFIER")</f>
        <v/>
      </c>
      <c r="F1826" t="inlineStr">
        <is>
          <t>Generac Holdings Inc</t>
        </is>
      </c>
      <c r="G1826">
        <f>custodian!D1826</f>
        <v/>
      </c>
      <c r="H1826">
        <f>BDP($B1826,"ID_ISIN")</f>
        <v/>
      </c>
      <c r="I1826" s="1" t="inlineStr">
        <is>
          <t>GNRC</t>
        </is>
      </c>
      <c r="J1826">
        <f>BDP($B1826,"CNTRY_OF_DOMICILE")</f>
        <v/>
      </c>
      <c r="K1826" t="inlineStr">
        <is>
          <t>EC</t>
        </is>
      </c>
      <c r="L1826" t="inlineStr">
        <is>
          <t>CORP</t>
        </is>
      </c>
      <c r="M1826" t="inlineStr"/>
      <c r="N1826" t="inlineStr"/>
      <c r="O1826" s="1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s="1" t="inlineStr"/>
      <c r="AR1826" s="1" t="inlineStr"/>
      <c r="AS1826" s="1" t="inlineStr"/>
      <c r="AT1826" t="inlineStr"/>
      <c r="AU1826" t="inlineStr"/>
      <c r="AV1826" t="inlineStr"/>
      <c r="AW1826" t="inlineStr"/>
      <c r="AX1826" t="inlineStr"/>
      <c r="AY1826" t="inlineStr"/>
    </row>
    <row r="1827">
      <c r="A1827" t="inlineStr">
        <is>
          <t>WATS</t>
        </is>
      </c>
      <c r="B1827" t="inlineStr">
        <is>
          <t>MVST US Equity</t>
        </is>
      </c>
      <c r="C1827" s="1" t="inlineStr">
        <is>
          <t>MVST</t>
        </is>
      </c>
      <c r="D1827" t="inlineStr">
        <is>
          <t>Microvast Holdings Inc</t>
        </is>
      </c>
      <c r="E1827">
        <f>BDP($B1827,"LEGAL_ENTITY_IDENTIFIER")</f>
        <v/>
      </c>
      <c r="F1827" t="inlineStr">
        <is>
          <t>Microvast Holdings Inc</t>
        </is>
      </c>
      <c r="G1827">
        <f>custodian!D1827</f>
        <v/>
      </c>
      <c r="H1827">
        <f>BDP($B1827,"ID_ISIN")</f>
        <v/>
      </c>
      <c r="I1827" s="1" t="inlineStr">
        <is>
          <t>MVST</t>
        </is>
      </c>
      <c r="J1827">
        <f>BDP($B1827,"CNTRY_OF_DOMICILE")</f>
        <v/>
      </c>
      <c r="K1827" t="inlineStr">
        <is>
          <t>EC</t>
        </is>
      </c>
      <c r="L1827" t="inlineStr">
        <is>
          <t>CORP</t>
        </is>
      </c>
      <c r="M1827" t="inlineStr"/>
      <c r="N1827" t="inlineStr"/>
      <c r="O1827" s="1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s="1" t="inlineStr"/>
      <c r="AR1827" s="1" t="inlineStr"/>
      <c r="AS1827" s="1" t="inlineStr"/>
      <c r="AT1827" t="inlineStr"/>
      <c r="AU1827" t="inlineStr"/>
      <c r="AV1827" t="inlineStr"/>
      <c r="AW1827" t="inlineStr"/>
      <c r="AX1827" t="inlineStr"/>
      <c r="AY1827" t="inlineStr"/>
    </row>
    <row r="1828">
      <c r="A1828" t="inlineStr">
        <is>
          <t>WATS</t>
        </is>
      </c>
      <c r="B1828" t="inlineStr">
        <is>
          <t>NRGV US Equity</t>
        </is>
      </c>
      <c r="C1828" s="1" t="inlineStr">
        <is>
          <t>NRGV</t>
        </is>
      </c>
      <c r="D1828" t="inlineStr">
        <is>
          <t>Energy Vault Holdings Inc</t>
        </is>
      </c>
      <c r="E1828">
        <f>BDP($B1828,"LEGAL_ENTITY_IDENTIFIER")</f>
        <v/>
      </c>
      <c r="F1828" t="inlineStr">
        <is>
          <t>Energy Vault Holdings Inc</t>
        </is>
      </c>
      <c r="G1828">
        <f>custodian!D1828</f>
        <v/>
      </c>
      <c r="H1828">
        <f>BDP($B1828,"ID_ISIN")</f>
        <v/>
      </c>
      <c r="I1828" s="1" t="inlineStr">
        <is>
          <t>NRGV</t>
        </is>
      </c>
      <c r="J1828">
        <f>BDP($B1828,"CNTRY_OF_DOMICILE")</f>
        <v/>
      </c>
      <c r="K1828" t="inlineStr">
        <is>
          <t>EC</t>
        </is>
      </c>
      <c r="L1828" t="inlineStr">
        <is>
          <t>CORP</t>
        </is>
      </c>
      <c r="M1828" t="inlineStr"/>
      <c r="N1828" t="inlineStr"/>
      <c r="O1828" s="1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s="1" t="inlineStr"/>
      <c r="AR1828" s="1" t="inlineStr"/>
      <c r="AS1828" s="1" t="inlineStr"/>
      <c r="AT1828" t="inlineStr"/>
      <c r="AU1828" t="inlineStr"/>
      <c r="AV1828" t="inlineStr"/>
      <c r="AW1828" t="inlineStr"/>
      <c r="AX1828" t="inlineStr"/>
      <c r="AY1828" t="inlineStr"/>
    </row>
    <row r="1829">
      <c r="A1829" t="inlineStr">
        <is>
          <t>WATS</t>
        </is>
      </c>
      <c r="B1829" t="inlineStr">
        <is>
          <t>RUN US Equity</t>
        </is>
      </c>
      <c r="C1829" s="1" t="inlineStr">
        <is>
          <t>RUN</t>
        </is>
      </c>
      <c r="D1829" t="inlineStr">
        <is>
          <t>Sunrun Inc</t>
        </is>
      </c>
      <c r="E1829">
        <f>BDP($B1829,"LEGAL_ENTITY_IDENTIFIER")</f>
        <v/>
      </c>
      <c r="F1829" t="inlineStr">
        <is>
          <t>Sunrun Inc</t>
        </is>
      </c>
      <c r="G1829">
        <f>custodian!D1829</f>
        <v/>
      </c>
      <c r="H1829">
        <f>BDP($B1829,"ID_ISIN")</f>
        <v/>
      </c>
      <c r="I1829" s="1" t="inlineStr">
        <is>
          <t>RUN</t>
        </is>
      </c>
      <c r="J1829">
        <f>BDP($B1829,"CNTRY_OF_DOMICILE")</f>
        <v/>
      </c>
      <c r="K1829" t="inlineStr">
        <is>
          <t>EC</t>
        </is>
      </c>
      <c r="L1829" t="inlineStr">
        <is>
          <t>CORP</t>
        </is>
      </c>
      <c r="M1829" t="inlineStr"/>
      <c r="N1829" t="inlineStr"/>
      <c r="O1829" s="1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s="1" t="inlineStr"/>
      <c r="AR1829" s="1" t="inlineStr"/>
      <c r="AS1829" s="1" t="inlineStr"/>
      <c r="AT1829" t="inlineStr"/>
      <c r="AU1829" t="inlineStr"/>
      <c r="AV1829" t="inlineStr"/>
      <c r="AW1829" t="inlineStr"/>
      <c r="AX1829" t="inlineStr"/>
      <c r="AY1829" t="inlineStr"/>
    </row>
    <row r="1830">
      <c r="A1830" t="inlineStr">
        <is>
          <t>WATS</t>
        </is>
      </c>
      <c r="B1830" t="inlineStr">
        <is>
          <t>SEDG US Equity</t>
        </is>
      </c>
      <c r="C1830" s="1" t="inlineStr">
        <is>
          <t>SEDG</t>
        </is>
      </c>
      <c r="D1830" t="inlineStr">
        <is>
          <t>SolarEdge Technologies Inc</t>
        </is>
      </c>
      <c r="E1830">
        <f>BDP($B1830,"LEGAL_ENTITY_IDENTIFIER")</f>
        <v/>
      </c>
      <c r="F1830" t="inlineStr">
        <is>
          <t>SolarEdge Technologies Inc</t>
        </is>
      </c>
      <c r="G1830">
        <f>custodian!D1830</f>
        <v/>
      </c>
      <c r="H1830">
        <f>BDP($B1830,"ID_ISIN")</f>
        <v/>
      </c>
      <c r="I1830" s="1" t="inlineStr">
        <is>
          <t>SEDG</t>
        </is>
      </c>
      <c r="J1830">
        <f>BDP($B1830,"CNTRY_OF_DOMICILE")</f>
        <v/>
      </c>
      <c r="K1830" t="inlineStr">
        <is>
          <t>EC</t>
        </is>
      </c>
      <c r="L1830" t="inlineStr">
        <is>
          <t>CORP</t>
        </is>
      </c>
      <c r="M1830" t="inlineStr"/>
      <c r="N1830" t="inlineStr"/>
      <c r="O1830" s="1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s="1" t="inlineStr"/>
      <c r="AR1830" s="1" t="inlineStr"/>
      <c r="AS1830" s="1" t="inlineStr"/>
      <c r="AT1830" t="inlineStr"/>
      <c r="AU1830" t="inlineStr"/>
      <c r="AV1830" t="inlineStr"/>
      <c r="AW1830" t="inlineStr"/>
      <c r="AX1830" t="inlineStr"/>
      <c r="AY1830" t="inlineStr"/>
    </row>
    <row r="1831">
      <c r="A1831" t="inlineStr">
        <is>
          <t>WATS</t>
        </is>
      </c>
      <c r="B1831" t="inlineStr">
        <is>
          <t>SES US Equity</t>
        </is>
      </c>
      <c r="C1831" s="1" t="inlineStr">
        <is>
          <t>SES</t>
        </is>
      </c>
      <c r="D1831" t="inlineStr">
        <is>
          <t>SES AI Corp</t>
        </is>
      </c>
      <c r="E1831">
        <f>BDP($B1831,"LEGAL_ENTITY_IDENTIFIER")</f>
        <v/>
      </c>
      <c r="F1831" t="inlineStr">
        <is>
          <t>SES AI Corp</t>
        </is>
      </c>
      <c r="G1831">
        <f>custodian!D1831</f>
        <v/>
      </c>
      <c r="H1831">
        <f>BDP($B1831,"ID_ISIN")</f>
        <v/>
      </c>
      <c r="I1831" s="1" t="inlineStr">
        <is>
          <t>SES</t>
        </is>
      </c>
      <c r="J1831">
        <f>BDP($B1831,"CNTRY_OF_DOMICILE")</f>
        <v/>
      </c>
      <c r="K1831" t="inlineStr">
        <is>
          <t>EC</t>
        </is>
      </c>
      <c r="L1831" t="inlineStr">
        <is>
          <t>CORP</t>
        </is>
      </c>
      <c r="M1831" t="inlineStr"/>
      <c r="N1831" t="inlineStr"/>
      <c r="O1831" s="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s="1" t="inlineStr"/>
      <c r="AR1831" s="1" t="inlineStr"/>
      <c r="AS1831" s="1" t="inlineStr"/>
      <c r="AT1831" t="inlineStr"/>
      <c r="AU1831" t="inlineStr"/>
      <c r="AV1831" t="inlineStr"/>
      <c r="AW1831" t="inlineStr"/>
      <c r="AX1831" t="inlineStr"/>
      <c r="AY1831" t="inlineStr"/>
    </row>
    <row r="1832">
      <c r="A1832" t="inlineStr">
        <is>
          <t>WATS</t>
        </is>
      </c>
      <c r="B1832" t="inlineStr">
        <is>
          <t>SLDP US Equity</t>
        </is>
      </c>
      <c r="C1832" s="1" t="inlineStr">
        <is>
          <t>SLDP</t>
        </is>
      </c>
      <c r="D1832" t="inlineStr">
        <is>
          <t>Solid Power Inc</t>
        </is>
      </c>
      <c r="E1832">
        <f>BDP($B1832,"LEGAL_ENTITY_IDENTIFIER")</f>
        <v/>
      </c>
      <c r="F1832" t="inlineStr">
        <is>
          <t>Solid Power Inc</t>
        </is>
      </c>
      <c r="G1832">
        <f>custodian!D1832</f>
        <v/>
      </c>
      <c r="H1832">
        <f>BDP($B1832,"ID_ISIN")</f>
        <v/>
      </c>
      <c r="I1832" s="1" t="inlineStr">
        <is>
          <t>SLDP</t>
        </is>
      </c>
      <c r="J1832">
        <f>BDP($B1832,"CNTRY_OF_DOMICILE")</f>
        <v/>
      </c>
      <c r="K1832" t="inlineStr">
        <is>
          <t>EC</t>
        </is>
      </c>
      <c r="L1832" t="inlineStr">
        <is>
          <t>CORP</t>
        </is>
      </c>
      <c r="M1832" t="inlineStr"/>
      <c r="N1832" t="inlineStr"/>
      <c r="O1832" s="1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s="1" t="inlineStr"/>
      <c r="AR1832" s="1" t="inlineStr"/>
      <c r="AS1832" s="1" t="inlineStr"/>
      <c r="AT1832" t="inlineStr"/>
      <c r="AU1832" t="inlineStr"/>
      <c r="AV1832" t="inlineStr"/>
      <c r="AW1832" t="inlineStr"/>
      <c r="AX1832" t="inlineStr"/>
      <c r="AY1832" t="inlineStr"/>
    </row>
    <row r="1833">
      <c r="A1833" t="inlineStr">
        <is>
          <t>WATS</t>
        </is>
      </c>
      <c r="B1833" t="inlineStr">
        <is>
          <t>SQM US Equity</t>
        </is>
      </c>
      <c r="C1833" s="1" t="inlineStr">
        <is>
          <t>SQM</t>
        </is>
      </c>
      <c r="D1833" t="inlineStr">
        <is>
          <t>Sociedad Quimica y Minera de C</t>
        </is>
      </c>
      <c r="E1833">
        <f>BDP($B1833,"LEGAL_ENTITY_IDENTIFIER")</f>
        <v/>
      </c>
      <c r="F1833" t="inlineStr">
        <is>
          <t>Sociedad Quimica y Minera de Chile SA</t>
        </is>
      </c>
      <c r="G1833">
        <f>custodian!D1833</f>
        <v/>
      </c>
      <c r="H1833">
        <f>BDP($B1833,"ID_ISIN")</f>
        <v/>
      </c>
      <c r="I1833" s="1" t="inlineStr">
        <is>
          <t>SQM</t>
        </is>
      </c>
      <c r="J1833">
        <f>BDP($B1833,"CNTRY_OF_DOMICILE")</f>
        <v/>
      </c>
      <c r="K1833" t="inlineStr">
        <is>
          <t>EC</t>
        </is>
      </c>
      <c r="L1833" t="inlineStr">
        <is>
          <t>CORP</t>
        </is>
      </c>
      <c r="M1833" t="inlineStr"/>
      <c r="N1833" t="inlineStr"/>
      <c r="O1833" s="1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s="1" t="inlineStr"/>
      <c r="AR1833" s="1" t="inlineStr"/>
      <c r="AS1833" s="1" t="inlineStr"/>
      <c r="AT1833" t="inlineStr"/>
      <c r="AU1833" t="inlineStr"/>
      <c r="AV1833" t="inlineStr"/>
      <c r="AW1833" t="inlineStr"/>
      <c r="AX1833" t="inlineStr"/>
      <c r="AY1833" t="inlineStr"/>
    </row>
    <row r="1834">
      <c r="A1834" t="inlineStr">
        <is>
          <t>WATS</t>
        </is>
      </c>
      <c r="B1834" t="inlineStr">
        <is>
          <t>STEM US Equity</t>
        </is>
      </c>
      <c r="C1834" s="1" t="inlineStr">
        <is>
          <t>STEM</t>
        </is>
      </c>
      <c r="D1834" t="inlineStr">
        <is>
          <t>Stem Inc</t>
        </is>
      </c>
      <c r="E1834">
        <f>BDP($B1834,"LEGAL_ENTITY_IDENTIFIER")</f>
        <v/>
      </c>
      <c r="F1834" t="inlineStr">
        <is>
          <t>Stem Inc</t>
        </is>
      </c>
      <c r="G1834">
        <f>custodian!D1834</f>
        <v/>
      </c>
      <c r="H1834">
        <f>BDP($B1834,"ID_ISIN")</f>
        <v/>
      </c>
      <c r="I1834" s="1" t="inlineStr">
        <is>
          <t>STEM</t>
        </is>
      </c>
      <c r="J1834">
        <f>BDP($B1834,"CNTRY_OF_DOMICILE")</f>
        <v/>
      </c>
      <c r="K1834" t="inlineStr">
        <is>
          <t>EC</t>
        </is>
      </c>
      <c r="L1834" t="inlineStr">
        <is>
          <t>CORP</t>
        </is>
      </c>
      <c r="M1834" t="inlineStr"/>
      <c r="N1834" t="inlineStr"/>
      <c r="O1834" s="1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s="1" t="inlineStr"/>
      <c r="AR1834" s="1" t="inlineStr"/>
      <c r="AS1834" s="1" t="inlineStr"/>
      <c r="AT1834" t="inlineStr"/>
      <c r="AU1834" t="inlineStr"/>
      <c r="AV1834" t="inlineStr"/>
      <c r="AW1834" t="inlineStr"/>
      <c r="AX1834" t="inlineStr"/>
      <c r="AY1834" t="inlineStr"/>
    </row>
    <row r="1835">
      <c r="A1835" t="inlineStr">
        <is>
          <t>WATS</t>
        </is>
      </c>
      <c r="B1835" t="inlineStr">
        <is>
          <t>TE US Equity</t>
        </is>
      </c>
      <c r="C1835" s="1" t="inlineStr">
        <is>
          <t>TE</t>
        </is>
      </c>
      <c r="D1835" t="inlineStr">
        <is>
          <t>T1 Energy Inc</t>
        </is>
      </c>
      <c r="E1835">
        <f>BDP($B1835,"LEGAL_ENTITY_IDENTIFIER")</f>
        <v/>
      </c>
      <c r="F1835" t="inlineStr">
        <is>
          <t>T1 Energy Inc</t>
        </is>
      </c>
      <c r="G1835">
        <f>custodian!D1835</f>
        <v/>
      </c>
      <c r="H1835">
        <f>BDP($B1835,"ID_ISIN")</f>
        <v/>
      </c>
      <c r="I1835" s="1" t="inlineStr">
        <is>
          <t>TE</t>
        </is>
      </c>
      <c r="J1835">
        <f>BDP($B1835,"CNTRY_OF_DOMICILE")</f>
        <v/>
      </c>
      <c r="K1835" t="inlineStr">
        <is>
          <t>EC</t>
        </is>
      </c>
      <c r="L1835" t="inlineStr">
        <is>
          <t>CORP</t>
        </is>
      </c>
      <c r="M1835" t="inlineStr"/>
      <c r="N1835" t="inlineStr"/>
      <c r="O1835" s="1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s="1" t="inlineStr"/>
      <c r="AR1835" s="1" t="inlineStr"/>
      <c r="AS1835" s="1" t="inlineStr"/>
      <c r="AT1835" t="inlineStr"/>
      <c r="AU1835" t="inlineStr"/>
      <c r="AV1835" t="inlineStr"/>
      <c r="AW1835" t="inlineStr"/>
      <c r="AX1835" t="inlineStr"/>
      <c r="AY1835" t="inlineStr"/>
    </row>
    <row r="1836">
      <c r="A1836" t="inlineStr">
        <is>
          <t>WATS</t>
        </is>
      </c>
      <c r="B1836" t="inlineStr">
        <is>
          <t>TSLA US Equity</t>
        </is>
      </c>
      <c r="C1836" s="1" t="inlineStr">
        <is>
          <t>TSLA</t>
        </is>
      </c>
      <c r="D1836" t="inlineStr">
        <is>
          <t>Tesla Inc</t>
        </is>
      </c>
      <c r="E1836">
        <f>BDP($B1836,"LEGAL_ENTITY_IDENTIFIER")</f>
        <v/>
      </c>
      <c r="F1836" t="inlineStr">
        <is>
          <t>Tesla Inc</t>
        </is>
      </c>
      <c r="G1836">
        <f>custodian!D1836</f>
        <v/>
      </c>
      <c r="H1836">
        <f>BDP($B1836,"ID_ISIN")</f>
        <v/>
      </c>
      <c r="I1836" s="1" t="inlineStr">
        <is>
          <t>TSLA</t>
        </is>
      </c>
      <c r="J1836">
        <f>BDP($B1836,"CNTRY_OF_DOMICILE")</f>
        <v/>
      </c>
      <c r="K1836" t="inlineStr">
        <is>
          <t>EC</t>
        </is>
      </c>
      <c r="L1836" t="inlineStr">
        <is>
          <t>CORP</t>
        </is>
      </c>
      <c r="M1836" t="inlineStr"/>
      <c r="N1836" t="inlineStr"/>
      <c r="O1836" s="1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s="1" t="inlineStr"/>
      <c r="AR1836" s="1" t="inlineStr"/>
      <c r="AS1836" s="1" t="inlineStr"/>
      <c r="AT1836" t="inlineStr"/>
      <c r="AU1836" t="inlineStr"/>
      <c r="AV1836" t="inlineStr"/>
      <c r="AW1836" t="inlineStr"/>
      <c r="AX1836" t="inlineStr"/>
      <c r="AY1836" t="inlineStr"/>
    </row>
    <row r="1837">
      <c r="A1837" t="inlineStr">
        <is>
          <t>WATS</t>
        </is>
      </c>
      <c r="B1837" t="inlineStr"/>
      <c r="C1837" s="1" t="inlineStr">
        <is>
          <t>Cash&amp;Other</t>
        </is>
      </c>
      <c r="D1837" t="inlineStr"/>
      <c r="E1837" s="1" t="inlineStr"/>
      <c r="F1837" t="inlineStr"/>
      <c r="G1837">
        <f>custodian!D1837</f>
        <v/>
      </c>
      <c r="H1837" s="1" t="inlineStr"/>
      <c r="I1837" s="1" t="inlineStr"/>
      <c r="J1837" t="inlineStr"/>
      <c r="K1837" t="inlineStr"/>
      <c r="L1837" t="inlineStr"/>
      <c r="M1837" t="inlineStr"/>
      <c r="N1837" t="inlineStr"/>
      <c r="O1837" s="1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s="1" t="inlineStr"/>
      <c r="AR1837" s="1" t="inlineStr"/>
      <c r="AS1837" s="1" t="inlineStr"/>
      <c r="AT1837" t="inlineStr"/>
      <c r="AU1837" t="inlineStr"/>
      <c r="AV1837" t="inlineStr"/>
      <c r="AW1837" t="inlineStr"/>
      <c r="AX1837" t="inlineStr"/>
      <c r="AY1837" t="inlineStr"/>
    </row>
    <row r="1838">
      <c r="A1838" t="inlineStr">
        <is>
          <t>WEBX</t>
        </is>
      </c>
      <c r="B1838" t="inlineStr">
        <is>
          <t>500767306 Equity</t>
        </is>
      </c>
      <c r="C1838" s="1" t="inlineStr">
        <is>
          <t>500767306-TRS-12/01/27-L-CANT</t>
        </is>
      </c>
      <c r="D1838" t="inlineStr">
        <is>
          <t>N/A</t>
        </is>
      </c>
      <c r="E1838" s="1" t="inlineStr">
        <is>
          <t>N/A</t>
        </is>
      </c>
      <c r="F1838" t="inlineStr">
        <is>
          <t>KRANESHARES CSI CHINA INTERNET ETF-SWAP-CANT-L</t>
        </is>
      </c>
      <c r="G1838">
        <f>custodian!D1838</f>
        <v/>
      </c>
      <c r="H1838" s="1" t="inlineStr"/>
      <c r="I1838" s="1" t="inlineStr">
        <is>
          <t>500767306-TRS-12/01/27-L-CANT</t>
        </is>
      </c>
      <c r="J1838" t="inlineStr">
        <is>
          <t>US</t>
        </is>
      </c>
      <c r="K1838" t="inlineStr">
        <is>
          <t>DE</t>
        </is>
      </c>
      <c r="L1838" t="inlineStr">
        <is>
          <t>OTHER</t>
        </is>
      </c>
      <c r="M1838" t="inlineStr">
        <is>
          <t>SWP</t>
        </is>
      </c>
      <c r="N1838" t="inlineStr"/>
      <c r="O1838" s="1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otherRefInst</t>
        </is>
      </c>
      <c r="W1838" t="inlineStr"/>
      <c r="X1838" t="inlineStr"/>
      <c r="Y1838" t="inlineStr">
        <is>
          <t>Y</t>
        </is>
      </c>
      <c r="Z1838" t="inlineStr">
        <is>
          <t>2027-12-01</t>
        </is>
      </c>
      <c r="AA1838" t="inlineStr">
        <is>
          <t>907677.90</t>
        </is>
      </c>
      <c r="AB1838" t="inlineStr">
        <is>
          <t>USD</t>
        </is>
      </c>
      <c r="AC1838" t="inlineStr">
        <is>
          <t>-97487.96</t>
        </is>
      </c>
      <c r="AD1838" t="inlineStr">
        <is>
          <t>-97487.96</t>
        </is>
      </c>
      <c r="AE1838" t="inlineStr">
        <is>
          <t>-21.45</t>
        </is>
      </c>
      <c r="AF1838" t="inlineStr"/>
      <c r="AG1838" t="inlineStr"/>
      <c r="AH1838" t="inlineStr">
        <is>
          <t>Floating</t>
        </is>
      </c>
      <c r="AI1838" t="inlineStr"/>
      <c r="AJ1838" t="inlineStr"/>
      <c r="AK1838" t="inlineStr">
        <is>
          <t>907677.90</t>
        </is>
      </c>
      <c r="AL1838" t="inlineStr">
        <is>
          <t>USD</t>
        </is>
      </c>
      <c r="AM1838" t="inlineStr"/>
      <c r="AN1838" t="inlineStr"/>
      <c r="AO1838">
        <f>BDP($B1838,"ISSUER")</f>
        <v/>
      </c>
      <c r="AP1838">
        <f>BDP($B1838,"NAME")</f>
        <v/>
      </c>
      <c r="AQ1838" s="1" t="inlineStr">
        <is>
          <t>500767306</t>
        </is>
      </c>
      <c r="AR1838">
        <f>BDP($B1838,"ID_ISIN")</f>
        <v/>
      </c>
      <c r="AS1838">
        <f>BDP($B1838,"TICKER")</f>
        <v/>
      </c>
      <c r="AT1838" t="inlineStr"/>
      <c r="AU1838" t="inlineStr"/>
      <c r="AV1838" t="inlineStr"/>
      <c r="AW1838" t="inlineStr"/>
      <c r="AX1838" t="inlineStr"/>
      <c r="AY1838" t="inlineStr"/>
    </row>
    <row r="1839">
      <c r="A1839" t="inlineStr">
        <is>
          <t>WEBX</t>
        </is>
      </c>
      <c r="B1839" t="inlineStr">
        <is>
          <t>FGXXX US Equity</t>
        </is>
      </c>
      <c r="C1839" s="1" t="inlineStr">
        <is>
          <t>FGXXX</t>
        </is>
      </c>
      <c r="D1839" t="inlineStr">
        <is>
          <t>First American Government Obli</t>
        </is>
      </c>
      <c r="E1839">
        <f>BDP($B1839,"LEGAL_ENTITY_IDENTIFIER")</f>
        <v/>
      </c>
      <c r="F1839" t="inlineStr">
        <is>
          <t>First American Government Obligations Fund</t>
        </is>
      </c>
      <c r="G1839">
        <f>custodian!D1839</f>
        <v/>
      </c>
      <c r="H1839">
        <f>BDP($B1839,"ID_ISIN")</f>
        <v/>
      </c>
      <c r="I1839" s="1" t="inlineStr">
        <is>
          <t>FGXXX</t>
        </is>
      </c>
      <c r="J1839">
        <f>BDP($B1839,"CNTRY_OF_DOMICILE")</f>
        <v/>
      </c>
      <c r="K1839" t="inlineStr">
        <is>
          <t>STIV</t>
        </is>
      </c>
      <c r="L1839" t="inlineStr">
        <is>
          <t>RF</t>
        </is>
      </c>
      <c r="M1839" t="inlineStr"/>
      <c r="N1839" t="inlineStr"/>
      <c r="O1839" s="1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s="1" t="inlineStr"/>
      <c r="AR1839" s="1" t="inlineStr"/>
      <c r="AS1839" s="1" t="inlineStr"/>
      <c r="AT1839" t="inlineStr"/>
      <c r="AU1839" t="inlineStr"/>
      <c r="AV1839" t="inlineStr"/>
      <c r="AW1839" t="inlineStr"/>
      <c r="AX1839" t="inlineStr"/>
      <c r="AY1839" t="inlineStr"/>
    </row>
    <row r="1840">
      <c r="A1840" t="inlineStr">
        <is>
          <t>WEBX</t>
        </is>
      </c>
      <c r="B1840" t="inlineStr"/>
      <c r="C1840" s="1" t="inlineStr">
        <is>
          <t>Cash&amp;Other</t>
        </is>
      </c>
      <c r="D1840" t="inlineStr"/>
      <c r="E1840" s="1" t="inlineStr"/>
      <c r="F1840" t="inlineStr"/>
      <c r="G1840">
        <f>custodian!D1840</f>
        <v/>
      </c>
      <c r="H1840" s="1" t="inlineStr"/>
      <c r="I1840" s="1" t="inlineStr"/>
      <c r="J1840" t="inlineStr"/>
      <c r="K1840" t="inlineStr"/>
      <c r="L1840" t="inlineStr"/>
      <c r="M1840" t="inlineStr"/>
      <c r="N1840" t="inlineStr"/>
      <c r="O1840" s="1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s="1" t="inlineStr"/>
      <c r="AR1840" s="1" t="inlineStr"/>
      <c r="AS1840" s="1" t="inlineStr"/>
      <c r="AT1840" t="inlineStr"/>
      <c r="AU1840" t="inlineStr"/>
      <c r="AV1840" t="inlineStr"/>
      <c r="AW1840" t="inlineStr"/>
      <c r="AX1840" t="inlineStr"/>
      <c r="AY1840" t="inlineStr"/>
    </row>
    <row r="1841">
      <c r="A1841" t="inlineStr">
        <is>
          <t>WNDR</t>
        </is>
      </c>
      <c r="B1841" t="inlineStr">
        <is>
          <t>AAL US Equity</t>
        </is>
      </c>
      <c r="C1841" s="1" t="inlineStr">
        <is>
          <t>AAL</t>
        </is>
      </c>
      <c r="D1841" t="inlineStr">
        <is>
          <t>American Airlines Group Inc</t>
        </is>
      </c>
      <c r="E1841">
        <f>BDP($B1841,"LEGAL_ENTITY_IDENTIFIER")</f>
        <v/>
      </c>
      <c r="F1841" t="inlineStr">
        <is>
          <t>American Airlines Group Inc</t>
        </is>
      </c>
      <c r="G1841">
        <f>custodian!D1841</f>
        <v/>
      </c>
      <c r="H1841">
        <f>BDP($B1841,"ID_ISIN")</f>
        <v/>
      </c>
      <c r="I1841" s="1" t="inlineStr">
        <is>
          <t>AAL</t>
        </is>
      </c>
      <c r="J1841">
        <f>BDP($B1841,"CNTRY_OF_DOMICILE")</f>
        <v/>
      </c>
      <c r="K1841" t="inlineStr">
        <is>
          <t>EC</t>
        </is>
      </c>
      <c r="L1841" t="inlineStr">
        <is>
          <t>CORP</t>
        </is>
      </c>
      <c r="M1841" t="inlineStr"/>
      <c r="N1841" t="inlineStr"/>
      <c r="O1841" s="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s="1" t="inlineStr"/>
      <c r="AR1841" s="1" t="inlineStr"/>
      <c r="AS1841" s="1" t="inlineStr"/>
      <c r="AT1841" t="inlineStr"/>
      <c r="AU1841" t="inlineStr"/>
      <c r="AV1841" t="inlineStr"/>
      <c r="AW1841" t="inlineStr"/>
      <c r="AX1841" t="inlineStr"/>
      <c r="AY1841" t="inlineStr"/>
    </row>
    <row r="1842">
      <c r="A1842" t="inlineStr">
        <is>
          <t>WNDR</t>
        </is>
      </c>
      <c r="B1842" t="inlineStr">
        <is>
          <t>ABNB US Equity</t>
        </is>
      </c>
      <c r="C1842" s="1" t="inlineStr">
        <is>
          <t>ABNB</t>
        </is>
      </c>
      <c r="D1842" t="inlineStr">
        <is>
          <t>Airbnb Inc</t>
        </is>
      </c>
      <c r="E1842">
        <f>BDP($B1842,"LEGAL_ENTITY_IDENTIFIER")</f>
        <v/>
      </c>
      <c r="F1842" t="inlineStr">
        <is>
          <t>Airbnb Inc</t>
        </is>
      </c>
      <c r="G1842">
        <f>custodian!D1842</f>
        <v/>
      </c>
      <c r="H1842">
        <f>BDP($B1842,"ID_ISIN")</f>
        <v/>
      </c>
      <c r="I1842" s="1" t="inlineStr">
        <is>
          <t>ABNB</t>
        </is>
      </c>
      <c r="J1842">
        <f>BDP($B1842,"CNTRY_OF_DOMICILE")</f>
        <v/>
      </c>
      <c r="K1842" t="inlineStr">
        <is>
          <t>EC</t>
        </is>
      </c>
      <c r="L1842" t="inlineStr">
        <is>
          <t>CORP</t>
        </is>
      </c>
      <c r="M1842" t="inlineStr"/>
      <c r="N1842" t="inlineStr"/>
      <c r="O1842" s="1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s="1" t="inlineStr"/>
      <c r="AR1842" s="1" t="inlineStr"/>
      <c r="AS1842" s="1" t="inlineStr"/>
      <c r="AT1842" t="inlineStr"/>
      <c r="AU1842" t="inlineStr"/>
      <c r="AV1842" t="inlineStr"/>
      <c r="AW1842" t="inlineStr"/>
      <c r="AX1842" t="inlineStr"/>
      <c r="AY1842" t="inlineStr"/>
    </row>
    <row r="1843">
      <c r="A1843" t="inlineStr">
        <is>
          <t>WNDR</t>
        </is>
      </c>
      <c r="B1843" t="inlineStr">
        <is>
          <t>ALGT US Equity</t>
        </is>
      </c>
      <c r="C1843" s="1" t="inlineStr">
        <is>
          <t>ALGT</t>
        </is>
      </c>
      <c r="D1843" t="inlineStr">
        <is>
          <t>Allegiant Travel Co</t>
        </is>
      </c>
      <c r="E1843">
        <f>BDP($B1843,"LEGAL_ENTITY_IDENTIFIER")</f>
        <v/>
      </c>
      <c r="F1843" t="inlineStr">
        <is>
          <t>Allegiant Travel Co</t>
        </is>
      </c>
      <c r="G1843">
        <f>custodian!D1843</f>
        <v/>
      </c>
      <c r="H1843">
        <f>BDP($B1843,"ID_ISIN")</f>
        <v/>
      </c>
      <c r="I1843" s="1" t="inlineStr">
        <is>
          <t>ALGT</t>
        </is>
      </c>
      <c r="J1843">
        <f>BDP($B1843,"CNTRY_OF_DOMICILE")</f>
        <v/>
      </c>
      <c r="K1843" t="inlineStr">
        <is>
          <t>EC</t>
        </is>
      </c>
      <c r="L1843" t="inlineStr">
        <is>
          <t>CORP</t>
        </is>
      </c>
      <c r="M1843" t="inlineStr"/>
      <c r="N1843" t="inlineStr"/>
      <c r="O1843" s="1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s="1" t="inlineStr"/>
      <c r="AR1843" s="1" t="inlineStr"/>
      <c r="AS1843" s="1" t="inlineStr"/>
      <c r="AT1843" t="inlineStr"/>
      <c r="AU1843" t="inlineStr"/>
      <c r="AV1843" t="inlineStr"/>
      <c r="AW1843" t="inlineStr"/>
      <c r="AX1843" t="inlineStr"/>
      <c r="AY1843" t="inlineStr"/>
    </row>
    <row r="1844">
      <c r="A1844" t="inlineStr">
        <is>
          <t>WNDR</t>
        </is>
      </c>
      <c r="B1844" t="inlineStr">
        <is>
          <t>ALK US Equity</t>
        </is>
      </c>
      <c r="C1844" s="1" t="inlineStr">
        <is>
          <t>ALK</t>
        </is>
      </c>
      <c r="D1844" t="inlineStr">
        <is>
          <t>Alaska Air Group Inc</t>
        </is>
      </c>
      <c r="E1844">
        <f>BDP($B1844,"LEGAL_ENTITY_IDENTIFIER")</f>
        <v/>
      </c>
      <c r="F1844" t="inlineStr">
        <is>
          <t>Alaska Air Group Inc</t>
        </is>
      </c>
      <c r="G1844">
        <f>custodian!D1844</f>
        <v/>
      </c>
      <c r="H1844">
        <f>BDP($B1844,"ID_ISIN")</f>
        <v/>
      </c>
      <c r="I1844" s="1" t="inlineStr">
        <is>
          <t>ALK</t>
        </is>
      </c>
      <c r="J1844">
        <f>BDP($B1844,"CNTRY_OF_DOMICILE")</f>
        <v/>
      </c>
      <c r="K1844" t="inlineStr">
        <is>
          <t>EC</t>
        </is>
      </c>
      <c r="L1844" t="inlineStr">
        <is>
          <t>CORP</t>
        </is>
      </c>
      <c r="M1844" t="inlineStr"/>
      <c r="N1844" t="inlineStr"/>
      <c r="O1844" s="1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s="1" t="inlineStr"/>
      <c r="AR1844" s="1" t="inlineStr"/>
      <c r="AS1844" s="1" t="inlineStr"/>
      <c r="AT1844" t="inlineStr"/>
      <c r="AU1844" t="inlineStr"/>
      <c r="AV1844" t="inlineStr"/>
      <c r="AW1844" t="inlineStr"/>
      <c r="AX1844" t="inlineStr"/>
      <c r="AY1844" t="inlineStr"/>
    </row>
    <row r="1845">
      <c r="A1845" t="inlineStr">
        <is>
          <t>WNDR</t>
        </is>
      </c>
      <c r="B1845" t="inlineStr">
        <is>
          <t>ASR US Equity</t>
        </is>
      </c>
      <c r="C1845" s="1" t="inlineStr">
        <is>
          <t>ASR</t>
        </is>
      </c>
      <c r="D1845" t="inlineStr">
        <is>
          <t>Grupo Aeroportuario del Surest</t>
        </is>
      </c>
      <c r="E1845">
        <f>BDP($B1845,"LEGAL_ENTITY_IDENTIFIER")</f>
        <v/>
      </c>
      <c r="F1845" t="inlineStr">
        <is>
          <t>Grupo Aeroportuario del Sureste SAB de CV</t>
        </is>
      </c>
      <c r="G1845">
        <f>custodian!D1845</f>
        <v/>
      </c>
      <c r="H1845">
        <f>BDP($B1845,"ID_ISIN")</f>
        <v/>
      </c>
      <c r="I1845" s="1" t="inlineStr">
        <is>
          <t>ASR</t>
        </is>
      </c>
      <c r="J1845">
        <f>BDP($B1845,"CNTRY_OF_DOMICILE")</f>
        <v/>
      </c>
      <c r="K1845" t="inlineStr">
        <is>
          <t>EC</t>
        </is>
      </c>
      <c r="L1845" t="inlineStr">
        <is>
          <t>CORP</t>
        </is>
      </c>
      <c r="M1845" t="inlineStr"/>
      <c r="N1845" t="inlineStr"/>
      <c r="O1845" s="1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s="1" t="inlineStr"/>
      <c r="AR1845" s="1" t="inlineStr"/>
      <c r="AS1845" s="1" t="inlineStr"/>
      <c r="AT1845" t="inlineStr"/>
      <c r="AU1845" t="inlineStr"/>
      <c r="AV1845" t="inlineStr"/>
      <c r="AW1845" t="inlineStr"/>
      <c r="AX1845" t="inlineStr"/>
      <c r="AY1845" t="inlineStr"/>
    </row>
    <row r="1846">
      <c r="A1846" t="inlineStr">
        <is>
          <t>WNDR</t>
        </is>
      </c>
      <c r="B1846" t="inlineStr">
        <is>
          <t>AXP US Equity</t>
        </is>
      </c>
      <c r="C1846" s="1" t="inlineStr">
        <is>
          <t>AXP</t>
        </is>
      </c>
      <c r="D1846" t="inlineStr">
        <is>
          <t>American Express Co</t>
        </is>
      </c>
      <c r="E1846">
        <f>BDP($B1846,"LEGAL_ENTITY_IDENTIFIER")</f>
        <v/>
      </c>
      <c r="F1846" t="inlineStr">
        <is>
          <t>American Express Co</t>
        </is>
      </c>
      <c r="G1846">
        <f>custodian!D1846</f>
        <v/>
      </c>
      <c r="H1846">
        <f>BDP($B1846,"ID_ISIN")</f>
        <v/>
      </c>
      <c r="I1846" s="1" t="inlineStr">
        <is>
          <t>AXP</t>
        </is>
      </c>
      <c r="J1846">
        <f>BDP($B1846,"CNTRY_OF_DOMICILE")</f>
        <v/>
      </c>
      <c r="K1846" t="inlineStr">
        <is>
          <t>EC</t>
        </is>
      </c>
      <c r="L1846" t="inlineStr">
        <is>
          <t>CORP</t>
        </is>
      </c>
      <c r="M1846" t="inlineStr"/>
      <c r="N1846" t="inlineStr"/>
      <c r="O1846" s="1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s="1" t="inlineStr"/>
      <c r="AR1846" s="1" t="inlineStr"/>
      <c r="AS1846" s="1" t="inlineStr"/>
      <c r="AT1846" t="inlineStr"/>
      <c r="AU1846" t="inlineStr"/>
      <c r="AV1846" t="inlineStr"/>
      <c r="AW1846" t="inlineStr"/>
      <c r="AX1846" t="inlineStr"/>
      <c r="AY1846" t="inlineStr"/>
    </row>
    <row r="1847">
      <c r="A1847" t="inlineStr">
        <is>
          <t>WNDR</t>
        </is>
      </c>
      <c r="B1847" t="inlineStr">
        <is>
          <t>BKNG US Equity</t>
        </is>
      </c>
      <c r="C1847" s="1" t="inlineStr">
        <is>
          <t>BKNG</t>
        </is>
      </c>
      <c r="D1847" t="inlineStr">
        <is>
          <t>Booking Holdings Inc</t>
        </is>
      </c>
      <c r="E1847">
        <f>BDP($B1847,"LEGAL_ENTITY_IDENTIFIER")</f>
        <v/>
      </c>
      <c r="F1847" t="inlineStr">
        <is>
          <t>Booking Holdings Inc</t>
        </is>
      </c>
      <c r="G1847">
        <f>custodian!D1847</f>
        <v/>
      </c>
      <c r="H1847">
        <f>BDP($B1847,"ID_ISIN")</f>
        <v/>
      </c>
      <c r="I1847" s="1" t="inlineStr">
        <is>
          <t>BKNG</t>
        </is>
      </c>
      <c r="J1847">
        <f>BDP($B1847,"CNTRY_OF_DOMICILE")</f>
        <v/>
      </c>
      <c r="K1847" t="inlineStr">
        <is>
          <t>EC</t>
        </is>
      </c>
      <c r="L1847" t="inlineStr">
        <is>
          <t>CORP</t>
        </is>
      </c>
      <c r="M1847" t="inlineStr"/>
      <c r="N1847" t="inlineStr"/>
      <c r="O1847" s="1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s="1" t="inlineStr"/>
      <c r="AR1847" s="1" t="inlineStr"/>
      <c r="AS1847" s="1" t="inlineStr"/>
      <c r="AT1847" t="inlineStr"/>
      <c r="AU1847" t="inlineStr"/>
      <c r="AV1847" t="inlineStr"/>
      <c r="AW1847" t="inlineStr"/>
      <c r="AX1847" t="inlineStr"/>
      <c r="AY1847" t="inlineStr"/>
    </row>
    <row r="1848">
      <c r="A1848" t="inlineStr">
        <is>
          <t>WNDR</t>
        </is>
      </c>
      <c r="B1848" t="inlineStr">
        <is>
          <t>CAR US Equity</t>
        </is>
      </c>
      <c r="C1848" s="1" t="inlineStr">
        <is>
          <t>CAR</t>
        </is>
      </c>
      <c r="D1848" t="inlineStr">
        <is>
          <t>Avis Budget Group Inc</t>
        </is>
      </c>
      <c r="E1848">
        <f>BDP($B1848,"LEGAL_ENTITY_IDENTIFIER")</f>
        <v/>
      </c>
      <c r="F1848" t="inlineStr">
        <is>
          <t>Avis Budget Group Inc</t>
        </is>
      </c>
      <c r="G1848">
        <f>custodian!D1848</f>
        <v/>
      </c>
      <c r="H1848">
        <f>BDP($B1848,"ID_ISIN")</f>
        <v/>
      </c>
      <c r="I1848" s="1" t="inlineStr">
        <is>
          <t>CAR</t>
        </is>
      </c>
      <c r="J1848">
        <f>BDP($B1848,"CNTRY_OF_DOMICILE")</f>
        <v/>
      </c>
      <c r="K1848" t="inlineStr">
        <is>
          <t>EC</t>
        </is>
      </c>
      <c r="L1848" t="inlineStr">
        <is>
          <t>CORP</t>
        </is>
      </c>
      <c r="M1848" t="inlineStr"/>
      <c r="N1848" t="inlineStr"/>
      <c r="O1848" s="1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s="1" t="inlineStr"/>
      <c r="AR1848" s="1" t="inlineStr"/>
      <c r="AS1848" s="1" t="inlineStr"/>
      <c r="AT1848" t="inlineStr"/>
      <c r="AU1848" t="inlineStr"/>
      <c r="AV1848" t="inlineStr"/>
      <c r="AW1848" t="inlineStr"/>
      <c r="AX1848" t="inlineStr"/>
      <c r="AY1848" t="inlineStr"/>
    </row>
    <row r="1849">
      <c r="A1849" t="inlineStr">
        <is>
          <t>WNDR</t>
        </is>
      </c>
      <c r="B1849" t="inlineStr">
        <is>
          <t>CCL US Equity</t>
        </is>
      </c>
      <c r="C1849" s="1" t="inlineStr">
        <is>
          <t>CCL</t>
        </is>
      </c>
      <c r="D1849" t="inlineStr">
        <is>
          <t>Carnival Corp Ltd</t>
        </is>
      </c>
      <c r="E1849">
        <f>BDP($B1849,"LEGAL_ENTITY_IDENTIFIER")</f>
        <v/>
      </c>
      <c r="F1849" t="inlineStr">
        <is>
          <t>Carnival Corp Ltd</t>
        </is>
      </c>
      <c r="G1849">
        <f>custodian!D1849</f>
        <v/>
      </c>
      <c r="H1849">
        <f>BDP($B1849,"ID_ISIN")</f>
        <v/>
      </c>
      <c r="I1849" s="1" t="inlineStr">
        <is>
          <t>CCL</t>
        </is>
      </c>
      <c r="J1849">
        <f>BDP($B1849,"CNTRY_OF_DOMICILE")</f>
        <v/>
      </c>
      <c r="K1849" t="inlineStr">
        <is>
          <t>EC</t>
        </is>
      </c>
      <c r="L1849" t="inlineStr">
        <is>
          <t>CORP</t>
        </is>
      </c>
      <c r="M1849" t="inlineStr"/>
      <c r="N1849" t="inlineStr"/>
      <c r="O1849" s="1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s="1" t="inlineStr"/>
      <c r="AR1849" s="1" t="inlineStr"/>
      <c r="AS1849" s="1" t="inlineStr"/>
      <c r="AT1849" t="inlineStr"/>
      <c r="AU1849" t="inlineStr"/>
      <c r="AV1849" t="inlineStr"/>
      <c r="AW1849" t="inlineStr"/>
      <c r="AX1849" t="inlineStr"/>
      <c r="AY1849" t="inlineStr"/>
    </row>
    <row r="1850">
      <c r="A1850" t="inlineStr">
        <is>
          <t>WNDR</t>
        </is>
      </c>
      <c r="B1850" t="inlineStr">
        <is>
          <t>CHH US Equity</t>
        </is>
      </c>
      <c r="C1850" s="1" t="inlineStr">
        <is>
          <t>CHH</t>
        </is>
      </c>
      <c r="D1850" t="inlineStr">
        <is>
          <t>Choice Hotels International In</t>
        </is>
      </c>
      <c r="E1850">
        <f>BDP($B1850,"LEGAL_ENTITY_IDENTIFIER")</f>
        <v/>
      </c>
      <c r="F1850" t="inlineStr">
        <is>
          <t>Choice Hotels International Inc</t>
        </is>
      </c>
      <c r="G1850">
        <f>custodian!D1850</f>
        <v/>
      </c>
      <c r="H1850">
        <f>BDP($B1850,"ID_ISIN")</f>
        <v/>
      </c>
      <c r="I1850" s="1" t="inlineStr">
        <is>
          <t>CHH</t>
        </is>
      </c>
      <c r="J1850">
        <f>BDP($B1850,"CNTRY_OF_DOMICILE")</f>
        <v/>
      </c>
      <c r="K1850" t="inlineStr">
        <is>
          <t>EC</t>
        </is>
      </c>
      <c r="L1850" t="inlineStr">
        <is>
          <t>CORP</t>
        </is>
      </c>
      <c r="M1850" t="inlineStr"/>
      <c r="N1850" t="inlineStr"/>
      <c r="O1850" s="1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s="1" t="inlineStr"/>
      <c r="AR1850" s="1" t="inlineStr"/>
      <c r="AS1850" s="1" t="inlineStr"/>
      <c r="AT1850" t="inlineStr"/>
      <c r="AU1850" t="inlineStr"/>
      <c r="AV1850" t="inlineStr"/>
      <c r="AW1850" t="inlineStr"/>
      <c r="AX1850" t="inlineStr"/>
      <c r="AY1850" t="inlineStr"/>
    </row>
    <row r="1851">
      <c r="A1851" t="inlineStr">
        <is>
          <t>WNDR</t>
        </is>
      </c>
      <c r="B1851" t="inlineStr">
        <is>
          <t>CPA US Equity</t>
        </is>
      </c>
      <c r="C1851" s="1" t="inlineStr">
        <is>
          <t>CPA</t>
        </is>
      </c>
      <c r="D1851" t="inlineStr">
        <is>
          <t>Copa Holdings SA</t>
        </is>
      </c>
      <c r="E1851">
        <f>BDP($B1851,"LEGAL_ENTITY_IDENTIFIER")</f>
        <v/>
      </c>
      <c r="F1851" t="inlineStr">
        <is>
          <t>Copa Holdings SA</t>
        </is>
      </c>
      <c r="G1851">
        <f>custodian!D1851</f>
        <v/>
      </c>
      <c r="H1851">
        <f>BDP($B1851,"ID_ISIN")</f>
        <v/>
      </c>
      <c r="I1851" s="1" t="inlineStr">
        <is>
          <t>CPA</t>
        </is>
      </c>
      <c r="J1851">
        <f>BDP($B1851,"CNTRY_OF_DOMICILE")</f>
        <v/>
      </c>
      <c r="K1851" t="inlineStr">
        <is>
          <t>EC</t>
        </is>
      </c>
      <c r="L1851" t="inlineStr">
        <is>
          <t>CORP</t>
        </is>
      </c>
      <c r="M1851" t="inlineStr"/>
      <c r="N1851" t="inlineStr"/>
      <c r="O1851" s="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s="1" t="inlineStr"/>
      <c r="AR1851" s="1" t="inlineStr"/>
      <c r="AS1851" s="1" t="inlineStr"/>
      <c r="AT1851" t="inlineStr"/>
      <c r="AU1851" t="inlineStr"/>
      <c r="AV1851" t="inlineStr"/>
      <c r="AW1851" t="inlineStr"/>
      <c r="AX1851" t="inlineStr"/>
      <c r="AY1851" t="inlineStr"/>
    </row>
    <row r="1852">
      <c r="A1852" t="inlineStr">
        <is>
          <t>WNDR</t>
        </is>
      </c>
      <c r="B1852" t="inlineStr">
        <is>
          <t>CZR US Equity</t>
        </is>
      </c>
      <c r="C1852" s="1" t="inlineStr">
        <is>
          <t>CZR</t>
        </is>
      </c>
      <c r="D1852" t="inlineStr">
        <is>
          <t>Caesars Entertainment Inc</t>
        </is>
      </c>
      <c r="E1852">
        <f>BDP($B1852,"LEGAL_ENTITY_IDENTIFIER")</f>
        <v/>
      </c>
      <c r="F1852" t="inlineStr">
        <is>
          <t>Caesars Entertainment Inc</t>
        </is>
      </c>
      <c r="G1852">
        <f>custodian!D1852</f>
        <v/>
      </c>
      <c r="H1852">
        <f>BDP($B1852,"ID_ISIN")</f>
        <v/>
      </c>
      <c r="I1852" s="1" t="inlineStr">
        <is>
          <t>CZR</t>
        </is>
      </c>
      <c r="J1852">
        <f>BDP($B1852,"CNTRY_OF_DOMICILE")</f>
        <v/>
      </c>
      <c r="K1852" t="inlineStr">
        <is>
          <t>EC</t>
        </is>
      </c>
      <c r="L1852" t="inlineStr">
        <is>
          <t>CORP</t>
        </is>
      </c>
      <c r="M1852" t="inlineStr"/>
      <c r="N1852" t="inlineStr"/>
      <c r="O1852" s="1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s="1" t="inlineStr"/>
      <c r="AR1852" s="1" t="inlineStr"/>
      <c r="AS1852" s="1" t="inlineStr"/>
      <c r="AT1852" t="inlineStr"/>
      <c r="AU1852" t="inlineStr"/>
      <c r="AV1852" t="inlineStr"/>
      <c r="AW1852" t="inlineStr"/>
      <c r="AX1852" t="inlineStr"/>
      <c r="AY1852" t="inlineStr"/>
    </row>
    <row r="1853">
      <c r="A1853" t="inlineStr">
        <is>
          <t>WNDR</t>
        </is>
      </c>
      <c r="B1853" t="inlineStr">
        <is>
          <t>DAL US Equity</t>
        </is>
      </c>
      <c r="C1853" s="1" t="inlineStr">
        <is>
          <t>DAL</t>
        </is>
      </c>
      <c r="D1853" t="inlineStr">
        <is>
          <t>Delta Air Lines Inc</t>
        </is>
      </c>
      <c r="E1853">
        <f>BDP($B1853,"LEGAL_ENTITY_IDENTIFIER")</f>
        <v/>
      </c>
      <c r="F1853" t="inlineStr">
        <is>
          <t>Delta Air Lines Inc</t>
        </is>
      </c>
      <c r="G1853">
        <f>custodian!D1853</f>
        <v/>
      </c>
      <c r="H1853">
        <f>BDP($B1853,"ID_ISIN")</f>
        <v/>
      </c>
      <c r="I1853" s="1" t="inlineStr">
        <is>
          <t>DAL</t>
        </is>
      </c>
      <c r="J1853">
        <f>BDP($B1853,"CNTRY_OF_DOMICILE")</f>
        <v/>
      </c>
      <c r="K1853" t="inlineStr">
        <is>
          <t>EC</t>
        </is>
      </c>
      <c r="L1853" t="inlineStr">
        <is>
          <t>CORP</t>
        </is>
      </c>
      <c r="M1853" t="inlineStr"/>
      <c r="N1853" t="inlineStr"/>
      <c r="O1853" s="1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s="1" t="inlineStr"/>
      <c r="AR1853" s="1" t="inlineStr"/>
      <c r="AS1853" s="1" t="inlineStr"/>
      <c r="AT1853" t="inlineStr"/>
      <c r="AU1853" t="inlineStr"/>
      <c r="AV1853" t="inlineStr"/>
      <c r="AW1853" t="inlineStr"/>
      <c r="AX1853" t="inlineStr"/>
      <c r="AY1853" t="inlineStr"/>
    </row>
    <row r="1854">
      <c r="A1854" t="inlineStr">
        <is>
          <t>WNDR</t>
        </is>
      </c>
      <c r="B1854" t="inlineStr">
        <is>
          <t>DIS US Equity</t>
        </is>
      </c>
      <c r="C1854" s="1" t="inlineStr">
        <is>
          <t>DIS</t>
        </is>
      </c>
      <c r="D1854" t="inlineStr">
        <is>
          <t>Walt Disney Co/The</t>
        </is>
      </c>
      <c r="E1854">
        <f>BDP($B1854,"LEGAL_ENTITY_IDENTIFIER")</f>
        <v/>
      </c>
      <c r="F1854" t="inlineStr">
        <is>
          <t>Walt Disney Co/The</t>
        </is>
      </c>
      <c r="G1854">
        <f>custodian!D1854</f>
        <v/>
      </c>
      <c r="H1854">
        <f>BDP($B1854,"ID_ISIN")</f>
        <v/>
      </c>
      <c r="I1854" s="1" t="inlineStr">
        <is>
          <t>DIS</t>
        </is>
      </c>
      <c r="J1854">
        <f>BDP($B1854,"CNTRY_OF_DOMICILE")</f>
        <v/>
      </c>
      <c r="K1854" t="inlineStr">
        <is>
          <t>EC</t>
        </is>
      </c>
      <c r="L1854" t="inlineStr">
        <is>
          <t>CORP</t>
        </is>
      </c>
      <c r="M1854" t="inlineStr"/>
      <c r="N1854" t="inlineStr"/>
      <c r="O1854" s="1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s="1" t="inlineStr"/>
      <c r="AR1854" s="1" t="inlineStr"/>
      <c r="AS1854" s="1" t="inlineStr"/>
      <c r="AT1854" t="inlineStr"/>
      <c r="AU1854" t="inlineStr"/>
      <c r="AV1854" t="inlineStr"/>
      <c r="AW1854" t="inlineStr"/>
      <c r="AX1854" t="inlineStr"/>
      <c r="AY1854" t="inlineStr"/>
    </row>
    <row r="1855">
      <c r="A1855" t="inlineStr">
        <is>
          <t>WNDR</t>
        </is>
      </c>
      <c r="B1855" t="inlineStr">
        <is>
          <t>DRH US Equity</t>
        </is>
      </c>
      <c r="C1855" s="1" t="inlineStr">
        <is>
          <t>DRH</t>
        </is>
      </c>
      <c r="D1855" t="inlineStr">
        <is>
          <t>DiamondRock Hospitality Co</t>
        </is>
      </c>
      <c r="E1855">
        <f>BDP($B1855,"LEGAL_ENTITY_IDENTIFIER")</f>
        <v/>
      </c>
      <c r="F1855" t="inlineStr">
        <is>
          <t>DiamondRock Hospitality Co</t>
        </is>
      </c>
      <c r="G1855">
        <f>custodian!D1855</f>
        <v/>
      </c>
      <c r="H1855">
        <f>BDP($B1855,"ID_ISIN")</f>
        <v/>
      </c>
      <c r="I1855" s="1" t="inlineStr">
        <is>
          <t>DRH</t>
        </is>
      </c>
      <c r="J1855">
        <f>BDP($B1855,"CNTRY_OF_DOMICILE")</f>
        <v/>
      </c>
      <c r="K1855" t="inlineStr">
        <is>
          <t>EC</t>
        </is>
      </c>
      <c r="L1855" t="inlineStr">
        <is>
          <t>CORP</t>
        </is>
      </c>
      <c r="M1855" t="inlineStr"/>
      <c r="N1855" t="inlineStr"/>
      <c r="O1855" s="1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s="1" t="inlineStr"/>
      <c r="AR1855" s="1" t="inlineStr"/>
      <c r="AS1855" s="1" t="inlineStr"/>
      <c r="AT1855" t="inlineStr"/>
      <c r="AU1855" t="inlineStr"/>
      <c r="AV1855" t="inlineStr"/>
      <c r="AW1855" t="inlineStr"/>
      <c r="AX1855" t="inlineStr"/>
      <c r="AY1855" t="inlineStr"/>
    </row>
    <row r="1856">
      <c r="A1856" t="inlineStr">
        <is>
          <t>WNDR</t>
        </is>
      </c>
      <c r="B1856" t="inlineStr">
        <is>
          <t>EXPE US Equity</t>
        </is>
      </c>
      <c r="C1856" s="1" t="inlineStr">
        <is>
          <t>EXPE</t>
        </is>
      </c>
      <c r="D1856" t="inlineStr">
        <is>
          <t>Expedia Group Inc</t>
        </is>
      </c>
      <c r="E1856">
        <f>BDP($B1856,"LEGAL_ENTITY_IDENTIFIER")</f>
        <v/>
      </c>
      <c r="F1856" t="inlineStr">
        <is>
          <t>Expedia Group Inc</t>
        </is>
      </c>
      <c r="G1856">
        <f>custodian!D1856</f>
        <v/>
      </c>
      <c r="H1856">
        <f>BDP($B1856,"ID_ISIN")</f>
        <v/>
      </c>
      <c r="I1856" s="1" t="inlineStr">
        <is>
          <t>EXPE</t>
        </is>
      </c>
      <c r="J1856">
        <f>BDP($B1856,"CNTRY_OF_DOMICILE")</f>
        <v/>
      </c>
      <c r="K1856" t="inlineStr">
        <is>
          <t>EC</t>
        </is>
      </c>
      <c r="L1856" t="inlineStr">
        <is>
          <t>CORP</t>
        </is>
      </c>
      <c r="M1856" t="inlineStr"/>
      <c r="N1856" t="inlineStr"/>
      <c r="O1856" s="1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s="1" t="inlineStr"/>
      <c r="AR1856" s="1" t="inlineStr"/>
      <c r="AS1856" s="1" t="inlineStr"/>
      <c r="AT1856" t="inlineStr"/>
      <c r="AU1856" t="inlineStr"/>
      <c r="AV1856" t="inlineStr"/>
      <c r="AW1856" t="inlineStr"/>
      <c r="AX1856" t="inlineStr"/>
      <c r="AY1856" t="inlineStr"/>
    </row>
    <row r="1857">
      <c r="A1857" t="inlineStr">
        <is>
          <t>WNDR</t>
        </is>
      </c>
      <c r="B1857" t="inlineStr">
        <is>
          <t>FGXXX US Equity</t>
        </is>
      </c>
      <c r="C1857" s="1" t="inlineStr">
        <is>
          <t>FGXXX</t>
        </is>
      </c>
      <c r="D1857" t="inlineStr">
        <is>
          <t>First American Government Obli</t>
        </is>
      </c>
      <c r="E1857">
        <f>BDP($B1857,"LEGAL_ENTITY_IDENTIFIER")</f>
        <v/>
      </c>
      <c r="F1857" t="inlineStr">
        <is>
          <t>First American Government Obligations Fund</t>
        </is>
      </c>
      <c r="G1857">
        <f>custodian!D1857</f>
        <v/>
      </c>
      <c r="H1857">
        <f>BDP($B1857,"ID_ISIN")</f>
        <v/>
      </c>
      <c r="I1857" s="1" t="inlineStr">
        <is>
          <t>FGXXX</t>
        </is>
      </c>
      <c r="J1857">
        <f>BDP($B1857,"CNTRY_OF_DOMICILE")</f>
        <v/>
      </c>
      <c r="K1857" t="inlineStr">
        <is>
          <t>STIV</t>
        </is>
      </c>
      <c r="L1857" t="inlineStr">
        <is>
          <t>RF</t>
        </is>
      </c>
      <c r="M1857" t="inlineStr"/>
      <c r="N1857" t="inlineStr"/>
      <c r="O1857" s="1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s="1" t="inlineStr"/>
      <c r="AR1857" s="1" t="inlineStr"/>
      <c r="AS1857" s="1" t="inlineStr"/>
      <c r="AT1857" t="inlineStr"/>
      <c r="AU1857" t="inlineStr"/>
      <c r="AV1857" t="inlineStr"/>
      <c r="AW1857" t="inlineStr"/>
      <c r="AX1857" t="inlineStr"/>
      <c r="AY1857" t="inlineStr"/>
    </row>
    <row r="1858">
      <c r="A1858" t="inlineStr">
        <is>
          <t>WNDR</t>
        </is>
      </c>
      <c r="B1858" t="inlineStr">
        <is>
          <t>FLYW US Equity</t>
        </is>
      </c>
      <c r="C1858" s="1" t="inlineStr">
        <is>
          <t>FLYW</t>
        </is>
      </c>
      <c r="D1858" t="inlineStr">
        <is>
          <t>Flywire Corp</t>
        </is>
      </c>
      <c r="E1858">
        <f>BDP($B1858,"LEGAL_ENTITY_IDENTIFIER")</f>
        <v/>
      </c>
      <c r="F1858" t="inlineStr">
        <is>
          <t>Flywire Corp</t>
        </is>
      </c>
      <c r="G1858">
        <f>custodian!D1858</f>
        <v/>
      </c>
      <c r="H1858">
        <f>BDP($B1858,"ID_ISIN")</f>
        <v/>
      </c>
      <c r="I1858" s="1" t="inlineStr">
        <is>
          <t>FLYW</t>
        </is>
      </c>
      <c r="J1858">
        <f>BDP($B1858,"CNTRY_OF_DOMICILE")</f>
        <v/>
      </c>
      <c r="K1858" t="inlineStr">
        <is>
          <t>EC</t>
        </is>
      </c>
      <c r="L1858" t="inlineStr">
        <is>
          <t>CORP</t>
        </is>
      </c>
      <c r="M1858" t="inlineStr"/>
      <c r="N1858" t="inlineStr"/>
      <c r="O1858" s="1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s="1" t="inlineStr"/>
      <c r="AR1858" s="1" t="inlineStr"/>
      <c r="AS1858" s="1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WNDR</t>
        </is>
      </c>
      <c r="B1859" t="inlineStr">
        <is>
          <t>FOUR US Equity</t>
        </is>
      </c>
      <c r="C1859" s="1" t="inlineStr">
        <is>
          <t>FOUR</t>
        </is>
      </c>
      <c r="D1859" t="inlineStr">
        <is>
          <t>Shift4 Payments Inc</t>
        </is>
      </c>
      <c r="E1859">
        <f>BDP($B1859,"LEGAL_ENTITY_IDENTIFIER")</f>
        <v/>
      </c>
      <c r="F1859" t="inlineStr">
        <is>
          <t>Shift4 Payments Inc</t>
        </is>
      </c>
      <c r="G1859">
        <f>custodian!D1859</f>
        <v/>
      </c>
      <c r="H1859">
        <f>BDP($B1859,"ID_ISIN")</f>
        <v/>
      </c>
      <c r="I1859" s="1" t="inlineStr">
        <is>
          <t>FOUR</t>
        </is>
      </c>
      <c r="J1859">
        <f>BDP($B1859,"CNTRY_OF_DOMICILE")</f>
        <v/>
      </c>
      <c r="K1859" t="inlineStr">
        <is>
          <t>EC</t>
        </is>
      </c>
      <c r="L1859" t="inlineStr">
        <is>
          <t>CORP</t>
        </is>
      </c>
      <c r="M1859" t="inlineStr"/>
      <c r="N1859" t="inlineStr"/>
      <c r="O1859" s="1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s="1" t="inlineStr"/>
      <c r="AR1859" s="1" t="inlineStr"/>
      <c r="AS1859" s="1" t="inlineStr"/>
      <c r="AT1859" t="inlineStr"/>
      <c r="AU1859" t="inlineStr"/>
      <c r="AV1859" t="inlineStr"/>
      <c r="AW1859" t="inlineStr"/>
      <c r="AX1859" t="inlineStr"/>
      <c r="AY1859" t="inlineStr"/>
    </row>
    <row r="1860">
      <c r="A1860" t="inlineStr">
        <is>
          <t>WNDR</t>
        </is>
      </c>
      <c r="B1860" t="inlineStr">
        <is>
          <t>FUN US Equity</t>
        </is>
      </c>
      <c r="C1860" s="1" t="inlineStr">
        <is>
          <t>FUN</t>
        </is>
      </c>
      <c r="D1860" t="inlineStr">
        <is>
          <t>Six Flags Entertainment Corp</t>
        </is>
      </c>
      <c r="E1860">
        <f>BDP($B1860,"LEGAL_ENTITY_IDENTIFIER")</f>
        <v/>
      </c>
      <c r="F1860" t="inlineStr">
        <is>
          <t>Six Flags Entertainment Corp</t>
        </is>
      </c>
      <c r="G1860">
        <f>custodian!D1860</f>
        <v/>
      </c>
      <c r="H1860">
        <f>BDP($B1860,"ID_ISIN")</f>
        <v/>
      </c>
      <c r="I1860" s="1" t="inlineStr">
        <is>
          <t>FUN</t>
        </is>
      </c>
      <c r="J1860">
        <f>BDP($B1860,"CNTRY_OF_DOMICILE")</f>
        <v/>
      </c>
      <c r="K1860" t="inlineStr">
        <is>
          <t>EC</t>
        </is>
      </c>
      <c r="L1860" t="inlineStr">
        <is>
          <t>CORP</t>
        </is>
      </c>
      <c r="M1860" t="inlineStr"/>
      <c r="N1860" t="inlineStr"/>
      <c r="O1860" s="1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s="1" t="inlineStr"/>
      <c r="AR1860" s="1" t="inlineStr"/>
      <c r="AS1860" s="1" t="inlineStr"/>
      <c r="AT1860" t="inlineStr"/>
      <c r="AU1860" t="inlineStr"/>
      <c r="AV1860" t="inlineStr"/>
      <c r="AW1860" t="inlineStr"/>
      <c r="AX1860" t="inlineStr"/>
      <c r="AY1860" t="inlineStr"/>
    </row>
    <row r="1861">
      <c r="A1861" t="inlineStr">
        <is>
          <t>WNDR</t>
        </is>
      </c>
      <c r="B1861" t="inlineStr">
        <is>
          <t>GBTG US Equity</t>
        </is>
      </c>
      <c r="C1861" s="1" t="inlineStr">
        <is>
          <t>GBTG</t>
        </is>
      </c>
      <c r="D1861" t="inlineStr">
        <is>
          <t>Global Business Travel Group I</t>
        </is>
      </c>
      <c r="E1861">
        <f>BDP($B1861,"LEGAL_ENTITY_IDENTIFIER")</f>
        <v/>
      </c>
      <c r="F1861" t="inlineStr">
        <is>
          <t>Global Business Travel Group I</t>
        </is>
      </c>
      <c r="G1861">
        <f>custodian!D1861</f>
        <v/>
      </c>
      <c r="H1861">
        <f>BDP($B1861,"ID_ISIN")</f>
        <v/>
      </c>
      <c r="I1861" s="1" t="inlineStr">
        <is>
          <t>GBTG</t>
        </is>
      </c>
      <c r="J1861">
        <f>BDP($B1861,"CNTRY_OF_DOMICILE")</f>
        <v/>
      </c>
      <c r="K1861" t="inlineStr">
        <is>
          <t>EC</t>
        </is>
      </c>
      <c r="L1861" t="inlineStr">
        <is>
          <t>CORP</t>
        </is>
      </c>
      <c r="M1861" t="inlineStr"/>
      <c r="N1861" t="inlineStr"/>
      <c r="O1861" s="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s="1" t="inlineStr"/>
      <c r="AR1861" s="1" t="inlineStr"/>
      <c r="AS1861" s="1" t="inlineStr"/>
      <c r="AT1861" t="inlineStr"/>
      <c r="AU1861" t="inlineStr"/>
      <c r="AV1861" t="inlineStr"/>
      <c r="AW1861" t="inlineStr"/>
      <c r="AX1861" t="inlineStr"/>
      <c r="AY1861" t="inlineStr"/>
    </row>
    <row r="1862">
      <c r="A1862" t="inlineStr">
        <is>
          <t>WNDR</t>
        </is>
      </c>
      <c r="B1862" t="inlineStr">
        <is>
          <t>H US Equity</t>
        </is>
      </c>
      <c r="C1862" s="1" t="inlineStr">
        <is>
          <t>H</t>
        </is>
      </c>
      <c r="D1862" t="inlineStr">
        <is>
          <t>Hyatt Hotels Corp</t>
        </is>
      </c>
      <c r="E1862">
        <f>BDP($B1862,"LEGAL_ENTITY_IDENTIFIER")</f>
        <v/>
      </c>
      <c r="F1862" t="inlineStr">
        <is>
          <t>Hyatt Hotels Corp</t>
        </is>
      </c>
      <c r="G1862">
        <f>custodian!D1862</f>
        <v/>
      </c>
      <c r="H1862">
        <f>BDP($B1862,"ID_ISIN")</f>
        <v/>
      </c>
      <c r="I1862" s="1" t="inlineStr">
        <is>
          <t>H</t>
        </is>
      </c>
      <c r="J1862">
        <f>BDP($B1862,"CNTRY_OF_DOMICILE")</f>
        <v/>
      </c>
      <c r="K1862" t="inlineStr">
        <is>
          <t>EC</t>
        </is>
      </c>
      <c r="L1862" t="inlineStr">
        <is>
          <t>CORP</t>
        </is>
      </c>
      <c r="M1862" t="inlineStr"/>
      <c r="N1862" t="inlineStr"/>
      <c r="O1862" s="1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s="1" t="inlineStr"/>
      <c r="AR1862" s="1" t="inlineStr"/>
      <c r="AS1862" s="1" t="inlineStr"/>
      <c r="AT1862" t="inlineStr"/>
      <c r="AU1862" t="inlineStr"/>
      <c r="AV1862" t="inlineStr"/>
      <c r="AW1862" t="inlineStr"/>
      <c r="AX1862" t="inlineStr"/>
      <c r="AY1862" t="inlineStr"/>
    </row>
    <row r="1863">
      <c r="A1863" t="inlineStr">
        <is>
          <t>WNDR</t>
        </is>
      </c>
      <c r="B1863" t="inlineStr">
        <is>
          <t>HGV US Equity</t>
        </is>
      </c>
      <c r="C1863" s="1" t="inlineStr">
        <is>
          <t>HGV</t>
        </is>
      </c>
      <c r="D1863" t="inlineStr">
        <is>
          <t>Hilton Grand Vacations Inc</t>
        </is>
      </c>
      <c r="E1863">
        <f>BDP($B1863,"LEGAL_ENTITY_IDENTIFIER")</f>
        <v/>
      </c>
      <c r="F1863" t="inlineStr">
        <is>
          <t>Hilton Grand Vacations Inc</t>
        </is>
      </c>
      <c r="G1863">
        <f>custodian!D1863</f>
        <v/>
      </c>
      <c r="H1863">
        <f>BDP($B1863,"ID_ISIN")</f>
        <v/>
      </c>
      <c r="I1863" s="1" t="inlineStr">
        <is>
          <t>HGV</t>
        </is>
      </c>
      <c r="J1863">
        <f>BDP($B1863,"CNTRY_OF_DOMICILE")</f>
        <v/>
      </c>
      <c r="K1863" t="inlineStr">
        <is>
          <t>EC</t>
        </is>
      </c>
      <c r="L1863" t="inlineStr">
        <is>
          <t>CORP</t>
        </is>
      </c>
      <c r="M1863" t="inlineStr"/>
      <c r="N1863" t="inlineStr"/>
      <c r="O1863" s="1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s="1" t="inlineStr"/>
      <c r="AR1863" s="1" t="inlineStr"/>
      <c r="AS1863" s="1" t="inlineStr"/>
      <c r="AT1863" t="inlineStr"/>
      <c r="AU1863" t="inlineStr"/>
      <c r="AV1863" t="inlineStr"/>
      <c r="AW1863" t="inlineStr"/>
      <c r="AX1863" t="inlineStr"/>
      <c r="AY1863" t="inlineStr"/>
    </row>
    <row r="1864">
      <c r="A1864" t="inlineStr">
        <is>
          <t>WNDR</t>
        </is>
      </c>
      <c r="B1864" t="inlineStr">
        <is>
          <t>HLT US Equity</t>
        </is>
      </c>
      <c r="C1864" s="1" t="inlineStr">
        <is>
          <t>HLT</t>
        </is>
      </c>
      <c r="D1864" t="inlineStr">
        <is>
          <t>Hilton Worldwide Holdings Inc</t>
        </is>
      </c>
      <c r="E1864">
        <f>BDP($B1864,"LEGAL_ENTITY_IDENTIFIER")</f>
        <v/>
      </c>
      <c r="F1864" t="inlineStr">
        <is>
          <t>Hilton Worldwide Holdings Inc</t>
        </is>
      </c>
      <c r="G1864">
        <f>custodian!D1864</f>
        <v/>
      </c>
      <c r="H1864">
        <f>BDP($B1864,"ID_ISIN")</f>
        <v/>
      </c>
      <c r="I1864" s="1" t="inlineStr">
        <is>
          <t>HLT</t>
        </is>
      </c>
      <c r="J1864">
        <f>BDP($B1864,"CNTRY_OF_DOMICILE")</f>
        <v/>
      </c>
      <c r="K1864" t="inlineStr">
        <is>
          <t>EC</t>
        </is>
      </c>
      <c r="L1864" t="inlineStr">
        <is>
          <t>CORP</t>
        </is>
      </c>
      <c r="M1864" t="inlineStr"/>
      <c r="N1864" t="inlineStr"/>
      <c r="O1864" s="1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s="1" t="inlineStr"/>
      <c r="AR1864" s="1" t="inlineStr"/>
      <c r="AS1864" s="1" t="inlineStr"/>
      <c r="AT1864" t="inlineStr"/>
      <c r="AU1864" t="inlineStr"/>
      <c r="AV1864" t="inlineStr"/>
      <c r="AW1864" t="inlineStr"/>
      <c r="AX1864" t="inlineStr"/>
      <c r="AY1864" t="inlineStr"/>
    </row>
    <row r="1865">
      <c r="A1865" t="inlineStr">
        <is>
          <t>WNDR</t>
        </is>
      </c>
      <c r="B1865" t="inlineStr">
        <is>
          <t>HST US Equity</t>
        </is>
      </c>
      <c r="C1865" s="1" t="inlineStr">
        <is>
          <t>HST</t>
        </is>
      </c>
      <c r="D1865" t="inlineStr">
        <is>
          <t>Host Hotels &amp; Resorts Inc</t>
        </is>
      </c>
      <c r="E1865">
        <f>BDP($B1865,"LEGAL_ENTITY_IDENTIFIER")</f>
        <v/>
      </c>
      <c r="F1865" t="inlineStr">
        <is>
          <t>Host Hotels &amp; Resorts Inc</t>
        </is>
      </c>
      <c r="G1865">
        <f>custodian!D1865</f>
        <v/>
      </c>
      <c r="H1865">
        <f>BDP($B1865,"ID_ISIN")</f>
        <v/>
      </c>
      <c r="I1865" s="1" t="inlineStr">
        <is>
          <t>HST</t>
        </is>
      </c>
      <c r="J1865">
        <f>BDP($B1865,"CNTRY_OF_DOMICILE")</f>
        <v/>
      </c>
      <c r="K1865" t="inlineStr">
        <is>
          <t>EC</t>
        </is>
      </c>
      <c r="L1865" t="inlineStr">
        <is>
          <t>CORP</t>
        </is>
      </c>
      <c r="M1865" t="inlineStr"/>
      <c r="N1865" t="inlineStr"/>
      <c r="O1865" s="1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s="1" t="inlineStr"/>
      <c r="AR1865" s="1" t="inlineStr"/>
      <c r="AS1865" s="1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WNDR</t>
        </is>
      </c>
      <c r="B1866" t="inlineStr">
        <is>
          <t>HTHT US Equity</t>
        </is>
      </c>
      <c r="C1866" s="1" t="inlineStr">
        <is>
          <t>HTHT</t>
        </is>
      </c>
      <c r="D1866" t="inlineStr">
        <is>
          <t>H World Group Ltd</t>
        </is>
      </c>
      <c r="E1866">
        <f>BDP($B1866,"LEGAL_ENTITY_IDENTIFIER")</f>
        <v/>
      </c>
      <c r="F1866" t="inlineStr">
        <is>
          <t>H World Group Ltd</t>
        </is>
      </c>
      <c r="G1866">
        <f>custodian!D1866</f>
        <v/>
      </c>
      <c r="H1866">
        <f>BDP($B1866,"ID_ISIN")</f>
        <v/>
      </c>
      <c r="I1866" s="1" t="inlineStr">
        <is>
          <t>HTHT</t>
        </is>
      </c>
      <c r="J1866">
        <f>BDP($B1866,"CNTRY_OF_DOMICILE")</f>
        <v/>
      </c>
      <c r="K1866" t="inlineStr">
        <is>
          <t>EC</t>
        </is>
      </c>
      <c r="L1866" t="inlineStr">
        <is>
          <t>CORP</t>
        </is>
      </c>
      <c r="M1866" t="inlineStr"/>
      <c r="N1866" t="inlineStr"/>
      <c r="O1866" s="1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s="1" t="inlineStr"/>
      <c r="AR1866" s="1" t="inlineStr"/>
      <c r="AS1866" s="1" t="inlineStr"/>
      <c r="AT1866" t="inlineStr"/>
      <c r="AU1866" t="inlineStr"/>
      <c r="AV1866" t="inlineStr"/>
      <c r="AW1866" t="inlineStr"/>
      <c r="AX1866" t="inlineStr"/>
      <c r="AY1866" t="inlineStr"/>
    </row>
    <row r="1867">
      <c r="A1867" t="inlineStr">
        <is>
          <t>WNDR</t>
        </is>
      </c>
      <c r="B1867" t="inlineStr">
        <is>
          <t>HTZ US Equity</t>
        </is>
      </c>
      <c r="C1867" s="1" t="inlineStr">
        <is>
          <t>HTZ</t>
        </is>
      </c>
      <c r="D1867" t="inlineStr">
        <is>
          <t>Hertz Global Holdings Inc</t>
        </is>
      </c>
      <c r="E1867">
        <f>BDP($B1867,"LEGAL_ENTITY_IDENTIFIER")</f>
        <v/>
      </c>
      <c r="F1867" t="inlineStr">
        <is>
          <t>Hertz Global Holdings Inc</t>
        </is>
      </c>
      <c r="G1867">
        <f>custodian!D1867</f>
        <v/>
      </c>
      <c r="H1867">
        <f>BDP($B1867,"ID_ISIN")</f>
        <v/>
      </c>
      <c r="I1867" s="1" t="inlineStr">
        <is>
          <t>HTZ</t>
        </is>
      </c>
      <c r="J1867">
        <f>BDP($B1867,"CNTRY_OF_DOMICILE")</f>
        <v/>
      </c>
      <c r="K1867" t="inlineStr">
        <is>
          <t>EC</t>
        </is>
      </c>
      <c r="L1867" t="inlineStr">
        <is>
          <t>CORP</t>
        </is>
      </c>
      <c r="M1867" t="inlineStr"/>
      <c r="N1867" t="inlineStr"/>
      <c r="O1867" s="1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s="1" t="inlineStr"/>
      <c r="AR1867" s="1" t="inlineStr"/>
      <c r="AS1867" s="1" t="inlineStr"/>
      <c r="AT1867" t="inlineStr"/>
      <c r="AU1867" t="inlineStr"/>
      <c r="AV1867" t="inlineStr"/>
      <c r="AW1867" t="inlineStr"/>
      <c r="AX1867" t="inlineStr"/>
      <c r="AY1867" t="inlineStr"/>
    </row>
    <row r="1868">
      <c r="A1868" t="inlineStr">
        <is>
          <t>WNDR</t>
        </is>
      </c>
      <c r="B1868" t="inlineStr">
        <is>
          <t>IHG US Equity</t>
        </is>
      </c>
      <c r="C1868" s="1" t="inlineStr">
        <is>
          <t>IHG</t>
        </is>
      </c>
      <c r="D1868" t="inlineStr">
        <is>
          <t xml:space="preserve">InterContinental Hotels Group </t>
        </is>
      </c>
      <c r="E1868">
        <f>BDP($B1868,"LEGAL_ENTITY_IDENTIFIER")</f>
        <v/>
      </c>
      <c r="F1868" t="inlineStr">
        <is>
          <t>InterContinental Hotels Group PLC</t>
        </is>
      </c>
      <c r="G1868">
        <f>custodian!D1868</f>
        <v/>
      </c>
      <c r="H1868">
        <f>BDP($B1868,"ID_ISIN")</f>
        <v/>
      </c>
      <c r="I1868" s="1" t="inlineStr">
        <is>
          <t>IHG</t>
        </is>
      </c>
      <c r="J1868">
        <f>BDP($B1868,"CNTRY_OF_DOMICILE")</f>
        <v/>
      </c>
      <c r="K1868" t="inlineStr">
        <is>
          <t>EC</t>
        </is>
      </c>
      <c r="L1868" t="inlineStr">
        <is>
          <t>CORP</t>
        </is>
      </c>
      <c r="M1868" t="inlineStr"/>
      <c r="N1868" t="inlineStr"/>
      <c r="O1868" s="1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s="1" t="inlineStr"/>
      <c r="AR1868" s="1" t="inlineStr"/>
      <c r="AS1868" s="1" t="inlineStr"/>
      <c r="AT1868" t="inlineStr"/>
      <c r="AU1868" t="inlineStr"/>
      <c r="AV1868" t="inlineStr"/>
      <c r="AW1868" t="inlineStr"/>
      <c r="AX1868" t="inlineStr"/>
      <c r="AY1868" t="inlineStr"/>
    </row>
    <row r="1869">
      <c r="A1869" t="inlineStr">
        <is>
          <t>WNDR</t>
        </is>
      </c>
      <c r="B1869" t="inlineStr">
        <is>
          <t>JBLU US Equity</t>
        </is>
      </c>
      <c r="C1869" s="1" t="inlineStr">
        <is>
          <t>JBLU</t>
        </is>
      </c>
      <c r="D1869" t="inlineStr">
        <is>
          <t>JetBlue Airways Corp</t>
        </is>
      </c>
      <c r="E1869">
        <f>BDP($B1869,"LEGAL_ENTITY_IDENTIFIER")</f>
        <v/>
      </c>
      <c r="F1869" t="inlineStr">
        <is>
          <t>JetBlue Airways Corp</t>
        </is>
      </c>
      <c r="G1869">
        <f>custodian!D1869</f>
        <v/>
      </c>
      <c r="H1869">
        <f>BDP($B1869,"ID_ISIN")</f>
        <v/>
      </c>
      <c r="I1869" s="1" t="inlineStr">
        <is>
          <t>JBLU</t>
        </is>
      </c>
      <c r="J1869">
        <f>BDP($B1869,"CNTRY_OF_DOMICILE")</f>
        <v/>
      </c>
      <c r="K1869" t="inlineStr">
        <is>
          <t>EC</t>
        </is>
      </c>
      <c r="L1869" t="inlineStr">
        <is>
          <t>CORP</t>
        </is>
      </c>
      <c r="M1869" t="inlineStr"/>
      <c r="N1869" t="inlineStr"/>
      <c r="O1869" s="1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s="1" t="inlineStr"/>
      <c r="AR1869" s="1" t="inlineStr"/>
      <c r="AS1869" s="1" t="inlineStr"/>
      <c r="AT1869" t="inlineStr"/>
      <c r="AU1869" t="inlineStr"/>
      <c r="AV1869" t="inlineStr"/>
      <c r="AW1869" t="inlineStr"/>
      <c r="AX1869" t="inlineStr"/>
      <c r="AY1869" t="inlineStr"/>
    </row>
    <row r="1870">
      <c r="A1870" t="inlineStr">
        <is>
          <t>WNDR</t>
        </is>
      </c>
      <c r="B1870" t="inlineStr">
        <is>
          <t>LIND US Equity</t>
        </is>
      </c>
      <c r="C1870" s="1" t="inlineStr">
        <is>
          <t>LIND</t>
        </is>
      </c>
      <c r="D1870" t="inlineStr">
        <is>
          <t xml:space="preserve">Lindblad Expeditions Holdings </t>
        </is>
      </c>
      <c r="E1870">
        <f>BDP($B1870,"LEGAL_ENTITY_IDENTIFIER")</f>
        <v/>
      </c>
      <c r="F1870" t="inlineStr">
        <is>
          <t>Lindblad Expeditions Holdings Inc</t>
        </is>
      </c>
      <c r="G1870">
        <f>custodian!D1870</f>
        <v/>
      </c>
      <c r="H1870">
        <f>BDP($B1870,"ID_ISIN")</f>
        <v/>
      </c>
      <c r="I1870" s="1" t="inlineStr">
        <is>
          <t>LIND</t>
        </is>
      </c>
      <c r="J1870">
        <f>BDP($B1870,"CNTRY_OF_DOMICILE")</f>
        <v/>
      </c>
      <c r="K1870" t="inlineStr">
        <is>
          <t>EC</t>
        </is>
      </c>
      <c r="L1870" t="inlineStr">
        <is>
          <t>CORP</t>
        </is>
      </c>
      <c r="M1870" t="inlineStr"/>
      <c r="N1870" t="inlineStr"/>
      <c r="O1870" s="1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s="1" t="inlineStr"/>
      <c r="AR1870" s="1" t="inlineStr"/>
      <c r="AS1870" s="1" t="inlineStr"/>
      <c r="AT1870" t="inlineStr"/>
      <c r="AU1870" t="inlineStr"/>
      <c r="AV1870" t="inlineStr"/>
      <c r="AW1870" t="inlineStr"/>
      <c r="AX1870" t="inlineStr"/>
      <c r="AY1870" t="inlineStr"/>
    </row>
    <row r="1871">
      <c r="A1871" t="inlineStr">
        <is>
          <t>WNDR</t>
        </is>
      </c>
      <c r="B1871" t="inlineStr">
        <is>
          <t>LUV US Equity</t>
        </is>
      </c>
      <c r="C1871" s="1" t="inlineStr">
        <is>
          <t>LUV</t>
        </is>
      </c>
      <c r="D1871" t="inlineStr">
        <is>
          <t>Southwest Airlines Co</t>
        </is>
      </c>
      <c r="E1871">
        <f>BDP($B1871,"LEGAL_ENTITY_IDENTIFIER")</f>
        <v/>
      </c>
      <c r="F1871" t="inlineStr">
        <is>
          <t>Southwest Airlines Co</t>
        </is>
      </c>
      <c r="G1871">
        <f>custodian!D1871</f>
        <v/>
      </c>
      <c r="H1871">
        <f>BDP($B1871,"ID_ISIN")</f>
        <v/>
      </c>
      <c r="I1871" s="1" t="inlineStr">
        <is>
          <t>LUV</t>
        </is>
      </c>
      <c r="J1871">
        <f>BDP($B1871,"CNTRY_OF_DOMICILE")</f>
        <v/>
      </c>
      <c r="K1871" t="inlineStr">
        <is>
          <t>EC</t>
        </is>
      </c>
      <c r="L1871" t="inlineStr">
        <is>
          <t>CORP</t>
        </is>
      </c>
      <c r="M1871" t="inlineStr"/>
      <c r="N1871" t="inlineStr"/>
      <c r="O1871" s="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s="1" t="inlineStr"/>
      <c r="AR1871" s="1" t="inlineStr"/>
      <c r="AS1871" s="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WNDR</t>
        </is>
      </c>
      <c r="B1872" t="inlineStr">
        <is>
          <t>LVS US Equity</t>
        </is>
      </c>
      <c r="C1872" s="1" t="inlineStr">
        <is>
          <t>LVS</t>
        </is>
      </c>
      <c r="D1872" t="inlineStr">
        <is>
          <t>Las Vegas Sands Corp</t>
        </is>
      </c>
      <c r="E1872">
        <f>BDP($B1872,"LEGAL_ENTITY_IDENTIFIER")</f>
        <v/>
      </c>
      <c r="F1872" t="inlineStr">
        <is>
          <t>Las Vegas Sands Corp</t>
        </is>
      </c>
      <c r="G1872">
        <f>custodian!D1872</f>
        <v/>
      </c>
      <c r="H1872">
        <f>BDP($B1872,"ID_ISIN")</f>
        <v/>
      </c>
      <c r="I1872" s="1" t="inlineStr">
        <is>
          <t>LVS</t>
        </is>
      </c>
      <c r="J1872">
        <f>BDP($B1872,"CNTRY_OF_DOMICILE")</f>
        <v/>
      </c>
      <c r="K1872" t="inlineStr">
        <is>
          <t>EC</t>
        </is>
      </c>
      <c r="L1872" t="inlineStr">
        <is>
          <t>CORP</t>
        </is>
      </c>
      <c r="M1872" t="inlineStr"/>
      <c r="N1872" t="inlineStr"/>
      <c r="O1872" s="1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s="1" t="inlineStr"/>
      <c r="AR1872" s="1" t="inlineStr"/>
      <c r="AS1872" s="1" t="inlineStr"/>
      <c r="AT1872" t="inlineStr"/>
      <c r="AU1872" t="inlineStr"/>
      <c r="AV1872" t="inlineStr"/>
      <c r="AW1872" t="inlineStr"/>
      <c r="AX1872" t="inlineStr"/>
      <c r="AY1872" t="inlineStr"/>
    </row>
    <row r="1873">
      <c r="A1873" t="inlineStr">
        <is>
          <t>WNDR</t>
        </is>
      </c>
      <c r="B1873" t="inlineStr">
        <is>
          <t>LYFT US Equity</t>
        </is>
      </c>
      <c r="C1873" s="1" t="inlineStr">
        <is>
          <t>LYFT</t>
        </is>
      </c>
      <c r="D1873" t="inlineStr">
        <is>
          <t>Lyft Inc</t>
        </is>
      </c>
      <c r="E1873">
        <f>BDP($B1873,"LEGAL_ENTITY_IDENTIFIER")</f>
        <v/>
      </c>
      <c r="F1873" t="inlineStr">
        <is>
          <t>Lyft Inc</t>
        </is>
      </c>
      <c r="G1873">
        <f>custodian!D1873</f>
        <v/>
      </c>
      <c r="H1873">
        <f>BDP($B1873,"ID_ISIN")</f>
        <v/>
      </c>
      <c r="I1873" s="1" t="inlineStr">
        <is>
          <t>LYFT</t>
        </is>
      </c>
      <c r="J1873">
        <f>BDP($B1873,"CNTRY_OF_DOMICILE")</f>
        <v/>
      </c>
      <c r="K1873" t="inlineStr">
        <is>
          <t>EC</t>
        </is>
      </c>
      <c r="L1873" t="inlineStr">
        <is>
          <t>CORP</t>
        </is>
      </c>
      <c r="M1873" t="inlineStr"/>
      <c r="N1873" t="inlineStr"/>
      <c r="O1873" s="1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s="1" t="inlineStr"/>
      <c r="AR1873" s="1" t="inlineStr"/>
      <c r="AS1873" s="1" t="inlineStr"/>
      <c r="AT1873" t="inlineStr"/>
      <c r="AU1873" t="inlineStr"/>
      <c r="AV1873" t="inlineStr"/>
      <c r="AW1873" t="inlineStr"/>
      <c r="AX1873" t="inlineStr"/>
      <c r="AY1873" t="inlineStr"/>
    </row>
    <row r="1874">
      <c r="A1874" t="inlineStr">
        <is>
          <t>WNDR</t>
        </is>
      </c>
      <c r="B1874" t="inlineStr">
        <is>
          <t>LYV US Equity</t>
        </is>
      </c>
      <c r="C1874" s="1" t="inlineStr">
        <is>
          <t>LYV</t>
        </is>
      </c>
      <c r="D1874" t="inlineStr">
        <is>
          <t>Live Nation Entertainment Inc</t>
        </is>
      </c>
      <c r="E1874">
        <f>BDP($B1874,"LEGAL_ENTITY_IDENTIFIER")</f>
        <v/>
      </c>
      <c r="F1874" t="inlineStr">
        <is>
          <t>Live Nation Entertainment Inc</t>
        </is>
      </c>
      <c r="G1874">
        <f>custodian!D1874</f>
        <v/>
      </c>
      <c r="H1874">
        <f>BDP($B1874,"ID_ISIN")</f>
        <v/>
      </c>
      <c r="I1874" s="1" t="inlineStr">
        <is>
          <t>LYV</t>
        </is>
      </c>
      <c r="J1874">
        <f>BDP($B1874,"CNTRY_OF_DOMICILE")</f>
        <v/>
      </c>
      <c r="K1874" t="inlineStr">
        <is>
          <t>EC</t>
        </is>
      </c>
      <c r="L1874" t="inlineStr">
        <is>
          <t>CORP</t>
        </is>
      </c>
      <c r="M1874" t="inlineStr"/>
      <c r="N1874" t="inlineStr"/>
      <c r="O1874" s="1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s="1" t="inlineStr"/>
      <c r="AR1874" s="1" t="inlineStr"/>
      <c r="AS1874" s="1" t="inlineStr"/>
      <c r="AT1874" t="inlineStr"/>
      <c r="AU1874" t="inlineStr"/>
      <c r="AV1874" t="inlineStr"/>
      <c r="AW1874" t="inlineStr"/>
      <c r="AX1874" t="inlineStr"/>
      <c r="AY1874" t="inlineStr"/>
    </row>
    <row r="1875">
      <c r="A1875" t="inlineStr">
        <is>
          <t>WNDR</t>
        </is>
      </c>
      <c r="B1875" t="inlineStr">
        <is>
          <t>MAR US Equity</t>
        </is>
      </c>
      <c r="C1875" s="1" t="inlineStr">
        <is>
          <t>MAR</t>
        </is>
      </c>
      <c r="D1875" t="inlineStr">
        <is>
          <t>Marriott International Inc/MD</t>
        </is>
      </c>
      <c r="E1875">
        <f>BDP($B1875,"LEGAL_ENTITY_IDENTIFIER")</f>
        <v/>
      </c>
      <c r="F1875" t="inlineStr">
        <is>
          <t>Marriott International Inc/MD</t>
        </is>
      </c>
      <c r="G1875">
        <f>custodian!D1875</f>
        <v/>
      </c>
      <c r="H1875">
        <f>BDP($B1875,"ID_ISIN")</f>
        <v/>
      </c>
      <c r="I1875" s="1" t="inlineStr">
        <is>
          <t>MAR</t>
        </is>
      </c>
      <c r="J1875">
        <f>BDP($B1875,"CNTRY_OF_DOMICILE")</f>
        <v/>
      </c>
      <c r="K1875" t="inlineStr">
        <is>
          <t>EC</t>
        </is>
      </c>
      <c r="L1875" t="inlineStr">
        <is>
          <t>CORP</t>
        </is>
      </c>
      <c r="M1875" t="inlineStr"/>
      <c r="N1875" t="inlineStr"/>
      <c r="O1875" s="1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s="1" t="inlineStr"/>
      <c r="AR1875" s="1" t="inlineStr"/>
      <c r="AS1875" s="1" t="inlineStr"/>
      <c r="AT1875" t="inlineStr"/>
      <c r="AU1875" t="inlineStr"/>
      <c r="AV1875" t="inlineStr"/>
      <c r="AW1875" t="inlineStr"/>
      <c r="AX1875" t="inlineStr"/>
      <c r="AY1875" t="inlineStr"/>
    </row>
    <row r="1876">
      <c r="A1876" t="inlineStr">
        <is>
          <t>WNDR</t>
        </is>
      </c>
      <c r="B1876" t="inlineStr">
        <is>
          <t>MGM US Equity</t>
        </is>
      </c>
      <c r="C1876" s="1" t="inlineStr">
        <is>
          <t>MGM</t>
        </is>
      </c>
      <c r="D1876" t="inlineStr">
        <is>
          <t>MGM Resorts International</t>
        </is>
      </c>
      <c r="E1876">
        <f>BDP($B1876,"LEGAL_ENTITY_IDENTIFIER")</f>
        <v/>
      </c>
      <c r="F1876" t="inlineStr">
        <is>
          <t>MGM Resorts International</t>
        </is>
      </c>
      <c r="G1876">
        <f>custodian!D1876</f>
        <v/>
      </c>
      <c r="H1876">
        <f>BDP($B1876,"ID_ISIN")</f>
        <v/>
      </c>
      <c r="I1876" s="1" t="inlineStr">
        <is>
          <t>MGM</t>
        </is>
      </c>
      <c r="J1876">
        <f>BDP($B1876,"CNTRY_OF_DOMICILE")</f>
        <v/>
      </c>
      <c r="K1876" t="inlineStr">
        <is>
          <t>EC</t>
        </is>
      </c>
      <c r="L1876" t="inlineStr">
        <is>
          <t>CORP</t>
        </is>
      </c>
      <c r="M1876" t="inlineStr"/>
      <c r="N1876" t="inlineStr"/>
      <c r="O1876" s="1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s="1" t="inlineStr"/>
      <c r="AR1876" s="1" t="inlineStr"/>
      <c r="AS1876" s="1" t="inlineStr"/>
      <c r="AT1876" t="inlineStr"/>
      <c r="AU1876" t="inlineStr"/>
      <c r="AV1876" t="inlineStr"/>
      <c r="AW1876" t="inlineStr"/>
      <c r="AX1876" t="inlineStr"/>
      <c r="AY1876" t="inlineStr"/>
    </row>
    <row r="1877">
      <c r="A1877" t="inlineStr">
        <is>
          <t>WNDR</t>
        </is>
      </c>
      <c r="B1877" t="inlineStr">
        <is>
          <t>MMYT US Equity</t>
        </is>
      </c>
      <c r="C1877" s="1" t="inlineStr">
        <is>
          <t>MMYT</t>
        </is>
      </c>
      <c r="D1877" t="inlineStr">
        <is>
          <t>MakeMyTrip Ltd</t>
        </is>
      </c>
      <c r="E1877">
        <f>BDP($B1877,"LEGAL_ENTITY_IDENTIFIER")</f>
        <v/>
      </c>
      <c r="F1877" t="inlineStr">
        <is>
          <t>MakeMyTrip Ltd</t>
        </is>
      </c>
      <c r="G1877">
        <f>custodian!D1877</f>
        <v/>
      </c>
      <c r="H1877">
        <f>BDP($B1877,"ID_ISIN")</f>
        <v/>
      </c>
      <c r="I1877" s="1" t="inlineStr">
        <is>
          <t>MMYT</t>
        </is>
      </c>
      <c r="J1877">
        <f>BDP($B1877,"CNTRY_OF_DOMICILE")</f>
        <v/>
      </c>
      <c r="K1877" t="inlineStr">
        <is>
          <t>EC</t>
        </is>
      </c>
      <c r="L1877" t="inlineStr">
        <is>
          <t>CORP</t>
        </is>
      </c>
      <c r="M1877" t="inlineStr"/>
      <c r="N1877" t="inlineStr"/>
      <c r="O1877" s="1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s="1" t="inlineStr"/>
      <c r="AR1877" s="1" t="inlineStr"/>
      <c r="AS1877" s="1" t="inlineStr"/>
      <c r="AT1877" t="inlineStr"/>
      <c r="AU1877" t="inlineStr"/>
      <c r="AV1877" t="inlineStr"/>
      <c r="AW1877" t="inlineStr"/>
      <c r="AX1877" t="inlineStr"/>
      <c r="AY1877" t="inlineStr"/>
    </row>
    <row r="1878">
      <c r="A1878" t="inlineStr">
        <is>
          <t>WNDR</t>
        </is>
      </c>
      <c r="B1878" t="inlineStr">
        <is>
          <t>MTN US Equity</t>
        </is>
      </c>
      <c r="C1878" s="1" t="inlineStr">
        <is>
          <t>MTN</t>
        </is>
      </c>
      <c r="D1878" t="inlineStr">
        <is>
          <t>Vail Resorts Inc</t>
        </is>
      </c>
      <c r="E1878">
        <f>BDP($B1878,"LEGAL_ENTITY_IDENTIFIER")</f>
        <v/>
      </c>
      <c r="F1878" t="inlineStr">
        <is>
          <t>Vail Resorts Inc</t>
        </is>
      </c>
      <c r="G1878">
        <f>custodian!D1878</f>
        <v/>
      </c>
      <c r="H1878">
        <f>BDP($B1878,"ID_ISIN")</f>
        <v/>
      </c>
      <c r="I1878" s="1" t="inlineStr">
        <is>
          <t>MTN</t>
        </is>
      </c>
      <c r="J1878">
        <f>BDP($B1878,"CNTRY_OF_DOMICILE")</f>
        <v/>
      </c>
      <c r="K1878" t="inlineStr">
        <is>
          <t>EC</t>
        </is>
      </c>
      <c r="L1878" t="inlineStr">
        <is>
          <t>CORP</t>
        </is>
      </c>
      <c r="M1878" t="inlineStr"/>
      <c r="N1878" t="inlineStr"/>
      <c r="O1878" s="1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s="1" t="inlineStr"/>
      <c r="AR1878" s="1" t="inlineStr"/>
      <c r="AS1878" s="1" t="inlineStr"/>
      <c r="AT1878" t="inlineStr"/>
      <c r="AU1878" t="inlineStr"/>
      <c r="AV1878" t="inlineStr"/>
      <c r="AW1878" t="inlineStr"/>
      <c r="AX1878" t="inlineStr"/>
      <c r="AY1878" t="inlineStr"/>
    </row>
    <row r="1879">
      <c r="A1879" t="inlineStr">
        <is>
          <t>WNDR</t>
        </is>
      </c>
      <c r="B1879" t="inlineStr">
        <is>
          <t>NAVN US Equity</t>
        </is>
      </c>
      <c r="C1879" s="1" t="inlineStr">
        <is>
          <t>NAVN</t>
        </is>
      </c>
      <c r="D1879" t="inlineStr">
        <is>
          <t>Navan Inc</t>
        </is>
      </c>
      <c r="E1879">
        <f>BDP($B1879,"LEGAL_ENTITY_IDENTIFIER")</f>
        <v/>
      </c>
      <c r="F1879" t="inlineStr">
        <is>
          <t>Navan Inc</t>
        </is>
      </c>
      <c r="G1879">
        <f>custodian!D1879</f>
        <v/>
      </c>
      <c r="H1879">
        <f>BDP($B1879,"ID_ISIN")</f>
        <v/>
      </c>
      <c r="I1879" s="1" t="inlineStr">
        <is>
          <t>NAVN</t>
        </is>
      </c>
      <c r="J1879">
        <f>BDP($B1879,"CNTRY_OF_DOMICILE")</f>
        <v/>
      </c>
      <c r="K1879" t="inlineStr">
        <is>
          <t>EC</t>
        </is>
      </c>
      <c r="L1879" t="inlineStr">
        <is>
          <t>CORP</t>
        </is>
      </c>
      <c r="M1879" t="inlineStr"/>
      <c r="N1879" t="inlineStr"/>
      <c r="O1879" s="1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s="1" t="inlineStr"/>
      <c r="AR1879" s="1" t="inlineStr"/>
      <c r="AS1879" s="1" t="inlineStr"/>
      <c r="AT1879" t="inlineStr"/>
      <c r="AU1879" t="inlineStr"/>
      <c r="AV1879" t="inlineStr"/>
      <c r="AW1879" t="inlineStr"/>
      <c r="AX1879" t="inlineStr"/>
      <c r="AY1879" t="inlineStr"/>
    </row>
    <row r="1880">
      <c r="A1880" t="inlineStr">
        <is>
          <t>WNDR</t>
        </is>
      </c>
      <c r="B1880" t="inlineStr">
        <is>
          <t>NCLH US Equity</t>
        </is>
      </c>
      <c r="C1880" s="1" t="inlineStr">
        <is>
          <t>NCLH</t>
        </is>
      </c>
      <c r="D1880" t="inlineStr">
        <is>
          <t>Norwegian Cruise Line Holdings</t>
        </is>
      </c>
      <c r="E1880">
        <f>BDP($B1880,"LEGAL_ENTITY_IDENTIFIER")</f>
        <v/>
      </c>
      <c r="F1880" t="inlineStr">
        <is>
          <t>Norwegian Cruise Line Holdings Ltd</t>
        </is>
      </c>
      <c r="G1880">
        <f>custodian!D1880</f>
        <v/>
      </c>
      <c r="H1880">
        <f>BDP($B1880,"ID_ISIN")</f>
        <v/>
      </c>
      <c r="I1880" s="1" t="inlineStr">
        <is>
          <t>NCLH</t>
        </is>
      </c>
      <c r="J1880">
        <f>BDP($B1880,"CNTRY_OF_DOMICILE")</f>
        <v/>
      </c>
      <c r="K1880" t="inlineStr">
        <is>
          <t>EC</t>
        </is>
      </c>
      <c r="L1880" t="inlineStr">
        <is>
          <t>CORP</t>
        </is>
      </c>
      <c r="M1880" t="inlineStr"/>
      <c r="N1880" t="inlineStr"/>
      <c r="O1880" s="1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s="1" t="inlineStr"/>
      <c r="AR1880" s="1" t="inlineStr"/>
      <c r="AS1880" s="1" t="inlineStr"/>
      <c r="AT1880" t="inlineStr"/>
      <c r="AU1880" t="inlineStr"/>
      <c r="AV1880" t="inlineStr"/>
      <c r="AW1880" t="inlineStr"/>
      <c r="AX1880" t="inlineStr"/>
      <c r="AY1880" t="inlineStr"/>
    </row>
    <row r="1881">
      <c r="A1881" t="inlineStr">
        <is>
          <t>WNDR</t>
        </is>
      </c>
      <c r="B1881" t="inlineStr">
        <is>
          <t>PAC US Equity</t>
        </is>
      </c>
      <c r="C1881" s="1" t="inlineStr">
        <is>
          <t>PAC</t>
        </is>
      </c>
      <c r="D1881" t="inlineStr">
        <is>
          <t>Grupo Aeroportuario del Pacifi</t>
        </is>
      </c>
      <c r="E1881">
        <f>BDP($B1881,"LEGAL_ENTITY_IDENTIFIER")</f>
        <v/>
      </c>
      <c r="F1881" t="inlineStr">
        <is>
          <t>Grupo Aeroportuario del Pacifico SAB de CV</t>
        </is>
      </c>
      <c r="G1881">
        <f>custodian!D1881</f>
        <v/>
      </c>
      <c r="H1881">
        <f>BDP($B1881,"ID_ISIN")</f>
        <v/>
      </c>
      <c r="I1881" s="1" t="inlineStr">
        <is>
          <t>PAC</t>
        </is>
      </c>
      <c r="J1881">
        <f>BDP($B1881,"CNTRY_OF_DOMICILE")</f>
        <v/>
      </c>
      <c r="K1881" t="inlineStr">
        <is>
          <t>EC</t>
        </is>
      </c>
      <c r="L1881" t="inlineStr">
        <is>
          <t>CORP</t>
        </is>
      </c>
      <c r="M1881" t="inlineStr"/>
      <c r="N1881" t="inlineStr"/>
      <c r="O1881" s="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s="1" t="inlineStr"/>
      <c r="AR1881" s="1" t="inlineStr"/>
      <c r="AS1881" s="1" t="inlineStr"/>
      <c r="AT1881" t="inlineStr"/>
      <c r="AU1881" t="inlineStr"/>
      <c r="AV1881" t="inlineStr"/>
      <c r="AW1881" t="inlineStr"/>
      <c r="AX1881" t="inlineStr"/>
      <c r="AY1881" t="inlineStr"/>
    </row>
    <row r="1882">
      <c r="A1882" t="inlineStr">
        <is>
          <t>WNDR</t>
        </is>
      </c>
      <c r="B1882" t="inlineStr">
        <is>
          <t>PEB US Equity</t>
        </is>
      </c>
      <c r="C1882" s="1" t="inlineStr">
        <is>
          <t>PEB</t>
        </is>
      </c>
      <c r="D1882" t="inlineStr">
        <is>
          <t>Pebblebrook Hotel Trust</t>
        </is>
      </c>
      <c r="E1882">
        <f>BDP($B1882,"LEGAL_ENTITY_IDENTIFIER")</f>
        <v/>
      </c>
      <c r="F1882" t="inlineStr">
        <is>
          <t>Pebblebrook Hotel Trust</t>
        </is>
      </c>
      <c r="G1882">
        <f>custodian!D1882</f>
        <v/>
      </c>
      <c r="H1882">
        <f>BDP($B1882,"ID_ISIN")</f>
        <v/>
      </c>
      <c r="I1882" s="1" t="inlineStr">
        <is>
          <t>PEB</t>
        </is>
      </c>
      <c r="J1882">
        <f>BDP($B1882,"CNTRY_OF_DOMICILE")</f>
        <v/>
      </c>
      <c r="K1882" t="inlineStr">
        <is>
          <t>EC</t>
        </is>
      </c>
      <c r="L1882" t="inlineStr">
        <is>
          <t>CORP</t>
        </is>
      </c>
      <c r="M1882" t="inlineStr"/>
      <c r="N1882" t="inlineStr"/>
      <c r="O1882" s="1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s="1" t="inlineStr"/>
      <c r="AR1882" s="1" t="inlineStr"/>
      <c r="AS1882" s="1" t="inlineStr"/>
      <c r="AT1882" t="inlineStr"/>
      <c r="AU1882" t="inlineStr"/>
      <c r="AV1882" t="inlineStr"/>
      <c r="AW1882" t="inlineStr"/>
      <c r="AX1882" t="inlineStr"/>
      <c r="AY1882" t="inlineStr"/>
    </row>
    <row r="1883">
      <c r="A1883" t="inlineStr">
        <is>
          <t>WNDR</t>
        </is>
      </c>
      <c r="B1883" t="inlineStr">
        <is>
          <t>PK US Equity</t>
        </is>
      </c>
      <c r="C1883" s="1" t="inlineStr">
        <is>
          <t>PK</t>
        </is>
      </c>
      <c r="D1883" t="inlineStr">
        <is>
          <t>Park Hotels &amp; Resorts Inc</t>
        </is>
      </c>
      <c r="E1883">
        <f>BDP($B1883,"LEGAL_ENTITY_IDENTIFIER")</f>
        <v/>
      </c>
      <c r="F1883" t="inlineStr">
        <is>
          <t>Park Hotels &amp; Resorts Inc</t>
        </is>
      </c>
      <c r="G1883">
        <f>custodian!D1883</f>
        <v/>
      </c>
      <c r="H1883">
        <f>BDP($B1883,"ID_ISIN")</f>
        <v/>
      </c>
      <c r="I1883" s="1" t="inlineStr">
        <is>
          <t>PK</t>
        </is>
      </c>
      <c r="J1883">
        <f>BDP($B1883,"CNTRY_OF_DOMICILE")</f>
        <v/>
      </c>
      <c r="K1883" t="inlineStr">
        <is>
          <t>EC</t>
        </is>
      </c>
      <c r="L1883" t="inlineStr">
        <is>
          <t>CORP</t>
        </is>
      </c>
      <c r="M1883" t="inlineStr"/>
      <c r="N1883" t="inlineStr"/>
      <c r="O1883" s="1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s="1" t="inlineStr"/>
      <c r="AR1883" s="1" t="inlineStr"/>
      <c r="AS1883" s="1" t="inlineStr"/>
      <c r="AT1883" t="inlineStr"/>
      <c r="AU1883" t="inlineStr"/>
      <c r="AV1883" t="inlineStr"/>
      <c r="AW1883" t="inlineStr"/>
      <c r="AX1883" t="inlineStr"/>
      <c r="AY1883" t="inlineStr"/>
    </row>
    <row r="1884">
      <c r="A1884" t="inlineStr">
        <is>
          <t>WNDR</t>
        </is>
      </c>
      <c r="B1884" t="inlineStr">
        <is>
          <t>PRKS US Equity</t>
        </is>
      </c>
      <c r="C1884" s="1" t="inlineStr">
        <is>
          <t>PRKS</t>
        </is>
      </c>
      <c r="D1884" t="inlineStr">
        <is>
          <t>United Parks &amp; Resorts Inc</t>
        </is>
      </c>
      <c r="E1884">
        <f>BDP($B1884,"LEGAL_ENTITY_IDENTIFIER")</f>
        <v/>
      </c>
      <c r="F1884" t="inlineStr">
        <is>
          <t>United Parks &amp; Resorts Inc</t>
        </is>
      </c>
      <c r="G1884">
        <f>custodian!D1884</f>
        <v/>
      </c>
      <c r="H1884">
        <f>BDP($B1884,"ID_ISIN")</f>
        <v/>
      </c>
      <c r="I1884" s="1" t="inlineStr">
        <is>
          <t>PRKS</t>
        </is>
      </c>
      <c r="J1884">
        <f>BDP($B1884,"CNTRY_OF_DOMICILE")</f>
        <v/>
      </c>
      <c r="K1884" t="inlineStr">
        <is>
          <t>EC</t>
        </is>
      </c>
      <c r="L1884" t="inlineStr">
        <is>
          <t>CORP</t>
        </is>
      </c>
      <c r="M1884" t="inlineStr"/>
      <c r="N1884" t="inlineStr"/>
      <c r="O1884" s="1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s="1" t="inlineStr"/>
      <c r="AR1884" s="1" t="inlineStr"/>
      <c r="AS1884" s="1" t="inlineStr"/>
      <c r="AT1884" t="inlineStr"/>
      <c r="AU1884" t="inlineStr"/>
      <c r="AV1884" t="inlineStr"/>
      <c r="AW1884" t="inlineStr"/>
      <c r="AX1884" t="inlineStr"/>
      <c r="AY1884" t="inlineStr"/>
    </row>
    <row r="1885">
      <c r="A1885" t="inlineStr">
        <is>
          <t>WNDR</t>
        </is>
      </c>
      <c r="B1885" t="inlineStr">
        <is>
          <t>RCL US Equity</t>
        </is>
      </c>
      <c r="C1885" s="1" t="inlineStr">
        <is>
          <t>RCL</t>
        </is>
      </c>
      <c r="D1885" t="inlineStr">
        <is>
          <t>Royal Caribbean Cruises Ltd</t>
        </is>
      </c>
      <c r="E1885">
        <f>BDP($B1885,"LEGAL_ENTITY_IDENTIFIER")</f>
        <v/>
      </c>
      <c r="F1885" t="inlineStr">
        <is>
          <t>Royal Caribbean Cruises Ltd</t>
        </is>
      </c>
      <c r="G1885">
        <f>custodian!D1885</f>
        <v/>
      </c>
      <c r="H1885">
        <f>BDP($B1885,"ID_ISIN")</f>
        <v/>
      </c>
      <c r="I1885" s="1" t="inlineStr">
        <is>
          <t>RCL</t>
        </is>
      </c>
      <c r="J1885">
        <f>BDP($B1885,"CNTRY_OF_DOMICILE")</f>
        <v/>
      </c>
      <c r="K1885" t="inlineStr">
        <is>
          <t>EC</t>
        </is>
      </c>
      <c r="L1885" t="inlineStr">
        <is>
          <t>CORP</t>
        </is>
      </c>
      <c r="M1885" t="inlineStr"/>
      <c r="N1885" t="inlineStr"/>
      <c r="O1885" s="1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s="1" t="inlineStr"/>
      <c r="AR1885" s="1" t="inlineStr"/>
      <c r="AS1885" s="1" t="inlineStr"/>
      <c r="AT1885" t="inlineStr"/>
      <c r="AU1885" t="inlineStr"/>
      <c r="AV1885" t="inlineStr"/>
      <c r="AW1885" t="inlineStr"/>
      <c r="AX1885" t="inlineStr"/>
      <c r="AY1885" t="inlineStr"/>
    </row>
    <row r="1886">
      <c r="A1886" t="inlineStr">
        <is>
          <t>WNDR</t>
        </is>
      </c>
      <c r="B1886" t="inlineStr">
        <is>
          <t>RHP US Equity</t>
        </is>
      </c>
      <c r="C1886" s="1" t="inlineStr">
        <is>
          <t>RHP</t>
        </is>
      </c>
      <c r="D1886" t="inlineStr">
        <is>
          <t>Ryman Hospitality Properties I</t>
        </is>
      </c>
      <c r="E1886">
        <f>BDP($B1886,"LEGAL_ENTITY_IDENTIFIER")</f>
        <v/>
      </c>
      <c r="F1886" t="inlineStr">
        <is>
          <t>Ryman Hospitality Properties Inc</t>
        </is>
      </c>
      <c r="G1886">
        <f>custodian!D1886</f>
        <v/>
      </c>
      <c r="H1886">
        <f>BDP($B1886,"ID_ISIN")</f>
        <v/>
      </c>
      <c r="I1886" s="1" t="inlineStr">
        <is>
          <t>RHP</t>
        </is>
      </c>
      <c r="J1886">
        <f>BDP($B1886,"CNTRY_OF_DOMICILE")</f>
        <v/>
      </c>
      <c r="K1886" t="inlineStr">
        <is>
          <t>EC</t>
        </is>
      </c>
      <c r="L1886" t="inlineStr">
        <is>
          <t>CORP</t>
        </is>
      </c>
      <c r="M1886" t="inlineStr"/>
      <c r="N1886" t="inlineStr"/>
      <c r="O1886" s="1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s="1" t="inlineStr"/>
      <c r="AR1886" s="1" t="inlineStr"/>
      <c r="AS1886" s="1" t="inlineStr"/>
      <c r="AT1886" t="inlineStr"/>
      <c r="AU1886" t="inlineStr"/>
      <c r="AV1886" t="inlineStr"/>
      <c r="AW1886" t="inlineStr"/>
      <c r="AX1886" t="inlineStr"/>
      <c r="AY1886" t="inlineStr"/>
    </row>
    <row r="1887">
      <c r="A1887" t="inlineStr">
        <is>
          <t>WNDR</t>
        </is>
      </c>
      <c r="B1887" t="inlineStr">
        <is>
          <t>RLJ US Equity</t>
        </is>
      </c>
      <c r="C1887" s="1" t="inlineStr">
        <is>
          <t>RLJ</t>
        </is>
      </c>
      <c r="D1887" t="inlineStr">
        <is>
          <t>RLJ Lodging Trust</t>
        </is>
      </c>
      <c r="E1887">
        <f>BDP($B1887,"LEGAL_ENTITY_IDENTIFIER")</f>
        <v/>
      </c>
      <c r="F1887" t="inlineStr">
        <is>
          <t>RLJ Lodging Trust</t>
        </is>
      </c>
      <c r="G1887">
        <f>custodian!D1887</f>
        <v/>
      </c>
      <c r="H1887">
        <f>BDP($B1887,"ID_ISIN")</f>
        <v/>
      </c>
      <c r="I1887" s="1" t="inlineStr">
        <is>
          <t>RLJ</t>
        </is>
      </c>
      <c r="J1887">
        <f>BDP($B1887,"CNTRY_OF_DOMICILE")</f>
        <v/>
      </c>
      <c r="K1887" t="inlineStr">
        <is>
          <t>EC</t>
        </is>
      </c>
      <c r="L1887" t="inlineStr">
        <is>
          <t>CORP</t>
        </is>
      </c>
      <c r="M1887" t="inlineStr"/>
      <c r="N1887" t="inlineStr"/>
      <c r="O1887" s="1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s="1" t="inlineStr"/>
      <c r="AR1887" s="1" t="inlineStr"/>
      <c r="AS1887" s="1" t="inlineStr"/>
      <c r="AT1887" t="inlineStr"/>
      <c r="AU1887" t="inlineStr"/>
      <c r="AV1887" t="inlineStr"/>
      <c r="AW1887" t="inlineStr"/>
      <c r="AX1887" t="inlineStr"/>
      <c r="AY1887" t="inlineStr"/>
    </row>
    <row r="1888">
      <c r="A1888" t="inlineStr">
        <is>
          <t>WNDR</t>
        </is>
      </c>
      <c r="B1888" t="inlineStr">
        <is>
          <t>RYAAY US Equity</t>
        </is>
      </c>
      <c r="C1888" s="1" t="inlineStr">
        <is>
          <t>RYAAY</t>
        </is>
      </c>
      <c r="D1888" t="inlineStr">
        <is>
          <t>Ryanair Holdings PLC</t>
        </is>
      </c>
      <c r="E1888">
        <f>BDP($B1888,"LEGAL_ENTITY_IDENTIFIER")</f>
        <v/>
      </c>
      <c r="F1888" t="inlineStr">
        <is>
          <t>Ryanair Holdings PLC</t>
        </is>
      </c>
      <c r="G1888">
        <f>custodian!D1888</f>
        <v/>
      </c>
      <c r="H1888">
        <f>BDP($B1888,"ID_ISIN")</f>
        <v/>
      </c>
      <c r="I1888" s="1" t="inlineStr">
        <is>
          <t>RYAAY</t>
        </is>
      </c>
      <c r="J1888">
        <f>BDP($B1888,"CNTRY_OF_DOMICILE")</f>
        <v/>
      </c>
      <c r="K1888" t="inlineStr">
        <is>
          <t>EC</t>
        </is>
      </c>
      <c r="L1888" t="inlineStr">
        <is>
          <t>CORP</t>
        </is>
      </c>
      <c r="M1888" t="inlineStr"/>
      <c r="N1888" t="inlineStr"/>
      <c r="O1888" s="1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s="1" t="inlineStr"/>
      <c r="AR1888" s="1" t="inlineStr"/>
      <c r="AS1888" s="1" t="inlineStr"/>
      <c r="AT1888" t="inlineStr"/>
      <c r="AU1888" t="inlineStr"/>
      <c r="AV1888" t="inlineStr"/>
      <c r="AW1888" t="inlineStr"/>
      <c r="AX1888" t="inlineStr"/>
      <c r="AY1888" t="inlineStr"/>
    </row>
    <row r="1889">
      <c r="A1889" t="inlineStr">
        <is>
          <t>WNDR</t>
        </is>
      </c>
      <c r="B1889" t="inlineStr">
        <is>
          <t>SKYW US Equity</t>
        </is>
      </c>
      <c r="C1889" s="1" t="inlineStr">
        <is>
          <t>SKYW</t>
        </is>
      </c>
      <c r="D1889" t="inlineStr">
        <is>
          <t>SkyWest Inc</t>
        </is>
      </c>
      <c r="E1889">
        <f>BDP($B1889,"LEGAL_ENTITY_IDENTIFIER")</f>
        <v/>
      </c>
      <c r="F1889" t="inlineStr">
        <is>
          <t>SkyWest Inc</t>
        </is>
      </c>
      <c r="G1889">
        <f>custodian!D1889</f>
        <v/>
      </c>
      <c r="H1889">
        <f>BDP($B1889,"ID_ISIN")</f>
        <v/>
      </c>
      <c r="I1889" s="1" t="inlineStr">
        <is>
          <t>SKYW</t>
        </is>
      </c>
      <c r="J1889">
        <f>BDP($B1889,"CNTRY_OF_DOMICILE")</f>
        <v/>
      </c>
      <c r="K1889" t="inlineStr">
        <is>
          <t>EC</t>
        </is>
      </c>
      <c r="L1889" t="inlineStr">
        <is>
          <t>CORP</t>
        </is>
      </c>
      <c r="M1889" t="inlineStr"/>
      <c r="N1889" t="inlineStr"/>
      <c r="O1889" s="1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s="1" t="inlineStr"/>
      <c r="AR1889" s="1" t="inlineStr"/>
      <c r="AS1889" s="1" t="inlineStr"/>
      <c r="AT1889" t="inlineStr"/>
      <c r="AU1889" t="inlineStr"/>
      <c r="AV1889" t="inlineStr"/>
      <c r="AW1889" t="inlineStr"/>
      <c r="AX1889" t="inlineStr"/>
      <c r="AY1889" t="inlineStr"/>
    </row>
    <row r="1890">
      <c r="A1890" t="inlineStr">
        <is>
          <t>WNDR</t>
        </is>
      </c>
      <c r="B1890" t="inlineStr">
        <is>
          <t>TCOM US Equity</t>
        </is>
      </c>
      <c r="C1890" s="1" t="inlineStr">
        <is>
          <t>TCOM</t>
        </is>
      </c>
      <c r="D1890" t="inlineStr">
        <is>
          <t>TRIP.COM GROUP</t>
        </is>
      </c>
      <c r="E1890">
        <f>BDP($B1890,"LEGAL_ENTITY_IDENTIFIER")</f>
        <v/>
      </c>
      <c r="F1890" t="inlineStr">
        <is>
          <t>TRIP.COM GROUP</t>
        </is>
      </c>
      <c r="G1890">
        <f>custodian!D1890</f>
        <v/>
      </c>
      <c r="H1890">
        <f>BDP($B1890,"ID_ISIN")</f>
        <v/>
      </c>
      <c r="I1890" s="1" t="inlineStr">
        <is>
          <t>TCOM</t>
        </is>
      </c>
      <c r="J1890">
        <f>BDP($B1890,"CNTRY_OF_DOMICILE")</f>
        <v/>
      </c>
      <c r="K1890" t="inlineStr">
        <is>
          <t>EC</t>
        </is>
      </c>
      <c r="L1890" t="inlineStr">
        <is>
          <t>CORP</t>
        </is>
      </c>
      <c r="M1890" t="inlineStr"/>
      <c r="N1890" t="inlineStr"/>
      <c r="O1890" s="1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s="1" t="inlineStr"/>
      <c r="AR1890" s="1" t="inlineStr"/>
      <c r="AS1890" s="1" t="inlineStr"/>
      <c r="AT1890" t="inlineStr"/>
      <c r="AU1890" t="inlineStr"/>
      <c r="AV1890" t="inlineStr"/>
      <c r="AW1890" t="inlineStr"/>
      <c r="AX1890" t="inlineStr"/>
      <c r="AY1890" t="inlineStr"/>
    </row>
    <row r="1891">
      <c r="A1891" t="inlineStr">
        <is>
          <t>WNDR</t>
        </is>
      </c>
      <c r="B1891" t="inlineStr">
        <is>
          <t>TNL US Equity</t>
        </is>
      </c>
      <c r="C1891" s="1" t="inlineStr">
        <is>
          <t>TNL</t>
        </is>
      </c>
      <c r="D1891" t="inlineStr">
        <is>
          <t>Travel + Leisure Co</t>
        </is>
      </c>
      <c r="E1891">
        <f>BDP($B1891,"LEGAL_ENTITY_IDENTIFIER")</f>
        <v/>
      </c>
      <c r="F1891" t="inlineStr">
        <is>
          <t>Travel + Leisure Co</t>
        </is>
      </c>
      <c r="G1891">
        <f>custodian!D1891</f>
        <v/>
      </c>
      <c r="H1891">
        <f>BDP($B1891,"ID_ISIN")</f>
        <v/>
      </c>
      <c r="I1891" s="1" t="inlineStr">
        <is>
          <t>TNL</t>
        </is>
      </c>
      <c r="J1891">
        <f>BDP($B1891,"CNTRY_OF_DOMICILE")</f>
        <v/>
      </c>
      <c r="K1891" t="inlineStr">
        <is>
          <t>EC</t>
        </is>
      </c>
      <c r="L1891" t="inlineStr">
        <is>
          <t>CORP</t>
        </is>
      </c>
      <c r="M1891" t="inlineStr"/>
      <c r="N1891" t="inlineStr"/>
      <c r="O1891" s="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s="1" t="inlineStr"/>
      <c r="AR1891" s="1" t="inlineStr"/>
      <c r="AS1891" s="1" t="inlineStr"/>
      <c r="AT1891" t="inlineStr"/>
      <c r="AU1891" t="inlineStr"/>
      <c r="AV1891" t="inlineStr"/>
      <c r="AW1891" t="inlineStr"/>
      <c r="AX1891" t="inlineStr"/>
      <c r="AY1891" t="inlineStr"/>
    </row>
    <row r="1892">
      <c r="A1892" t="inlineStr">
        <is>
          <t>WNDR</t>
        </is>
      </c>
      <c r="B1892" t="inlineStr">
        <is>
          <t>TRIP US Equity</t>
        </is>
      </c>
      <c r="C1892" s="1" t="inlineStr">
        <is>
          <t>TRIP</t>
        </is>
      </c>
      <c r="D1892" t="inlineStr">
        <is>
          <t>TripAdvisor Inc</t>
        </is>
      </c>
      <c r="E1892">
        <f>BDP($B1892,"LEGAL_ENTITY_IDENTIFIER")</f>
        <v/>
      </c>
      <c r="F1892" t="inlineStr">
        <is>
          <t>TripAdvisor Inc</t>
        </is>
      </c>
      <c r="G1892">
        <f>custodian!D1892</f>
        <v/>
      </c>
      <c r="H1892">
        <f>BDP($B1892,"ID_ISIN")</f>
        <v/>
      </c>
      <c r="I1892" s="1" t="inlineStr">
        <is>
          <t>TRIP</t>
        </is>
      </c>
      <c r="J1892">
        <f>BDP($B1892,"CNTRY_OF_DOMICILE")</f>
        <v/>
      </c>
      <c r="K1892" t="inlineStr">
        <is>
          <t>EC</t>
        </is>
      </c>
      <c r="L1892" t="inlineStr">
        <is>
          <t>CORP</t>
        </is>
      </c>
      <c r="M1892" t="inlineStr"/>
      <c r="N1892" t="inlineStr"/>
      <c r="O1892" s="1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s="1" t="inlineStr"/>
      <c r="AR1892" s="1" t="inlineStr"/>
      <c r="AS1892" s="1" t="inlineStr"/>
      <c r="AT1892" t="inlineStr"/>
      <c r="AU1892" t="inlineStr"/>
      <c r="AV1892" t="inlineStr"/>
      <c r="AW1892" t="inlineStr"/>
      <c r="AX1892" t="inlineStr"/>
      <c r="AY1892" t="inlineStr"/>
    </row>
    <row r="1893">
      <c r="A1893" t="inlineStr">
        <is>
          <t>WNDR</t>
        </is>
      </c>
      <c r="B1893" t="inlineStr">
        <is>
          <t>UAL US Equity</t>
        </is>
      </c>
      <c r="C1893" s="1" t="inlineStr">
        <is>
          <t>UAL</t>
        </is>
      </c>
      <c r="D1893" t="inlineStr">
        <is>
          <t>United Airlines Holdings Inc</t>
        </is>
      </c>
      <c r="E1893">
        <f>BDP($B1893,"LEGAL_ENTITY_IDENTIFIER")</f>
        <v/>
      </c>
      <c r="F1893" t="inlineStr">
        <is>
          <t>United Airlines Holdings Inc</t>
        </is>
      </c>
      <c r="G1893">
        <f>custodian!D1893</f>
        <v/>
      </c>
      <c r="H1893">
        <f>BDP($B1893,"ID_ISIN")</f>
        <v/>
      </c>
      <c r="I1893" s="1" t="inlineStr">
        <is>
          <t>UAL</t>
        </is>
      </c>
      <c r="J1893">
        <f>BDP($B1893,"CNTRY_OF_DOMICILE")</f>
        <v/>
      </c>
      <c r="K1893" t="inlineStr">
        <is>
          <t>EC</t>
        </is>
      </c>
      <c r="L1893" t="inlineStr">
        <is>
          <t>CORP</t>
        </is>
      </c>
      <c r="M1893" t="inlineStr"/>
      <c r="N1893" t="inlineStr"/>
      <c r="O1893" s="1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s="1" t="inlineStr"/>
      <c r="AR1893" s="1" t="inlineStr"/>
      <c r="AS1893" s="1" t="inlineStr"/>
      <c r="AT1893" t="inlineStr"/>
      <c r="AU1893" t="inlineStr"/>
      <c r="AV1893" t="inlineStr"/>
      <c r="AW1893" t="inlineStr"/>
      <c r="AX1893" t="inlineStr"/>
      <c r="AY1893" t="inlineStr"/>
    </row>
    <row r="1894">
      <c r="A1894" t="inlineStr">
        <is>
          <t>WNDR</t>
        </is>
      </c>
      <c r="B1894" t="inlineStr">
        <is>
          <t>UBER US Equity</t>
        </is>
      </c>
      <c r="C1894" s="1" t="inlineStr">
        <is>
          <t>UBER</t>
        </is>
      </c>
      <c r="D1894" t="inlineStr">
        <is>
          <t>Uber Technologies Inc</t>
        </is>
      </c>
      <c r="E1894">
        <f>BDP($B1894,"LEGAL_ENTITY_IDENTIFIER")</f>
        <v/>
      </c>
      <c r="F1894" t="inlineStr">
        <is>
          <t>Uber Technologies Inc</t>
        </is>
      </c>
      <c r="G1894">
        <f>custodian!D1894</f>
        <v/>
      </c>
      <c r="H1894">
        <f>BDP($B1894,"ID_ISIN")</f>
        <v/>
      </c>
      <c r="I1894" s="1" t="inlineStr">
        <is>
          <t>UBER</t>
        </is>
      </c>
      <c r="J1894">
        <f>BDP($B1894,"CNTRY_OF_DOMICILE")</f>
        <v/>
      </c>
      <c r="K1894" t="inlineStr">
        <is>
          <t>EC</t>
        </is>
      </c>
      <c r="L1894" t="inlineStr">
        <is>
          <t>CORP</t>
        </is>
      </c>
      <c r="M1894" t="inlineStr"/>
      <c r="N1894" t="inlineStr"/>
      <c r="O1894" s="1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s="1" t="inlineStr"/>
      <c r="AR1894" s="1" t="inlineStr"/>
      <c r="AS1894" s="1" t="inlineStr"/>
      <c r="AT1894" t="inlineStr"/>
      <c r="AU1894" t="inlineStr"/>
      <c r="AV1894" t="inlineStr"/>
      <c r="AW1894" t="inlineStr"/>
      <c r="AX1894" t="inlineStr"/>
      <c r="AY1894" t="inlineStr"/>
    </row>
    <row r="1895">
      <c r="A1895" t="inlineStr">
        <is>
          <t>WNDR</t>
        </is>
      </c>
      <c r="B1895" t="inlineStr">
        <is>
          <t>VAC US Equity</t>
        </is>
      </c>
      <c r="C1895" s="1" t="inlineStr">
        <is>
          <t>VAC</t>
        </is>
      </c>
      <c r="D1895" t="inlineStr">
        <is>
          <t>Marriott Vacations Worldwide C</t>
        </is>
      </c>
      <c r="E1895">
        <f>BDP($B1895,"LEGAL_ENTITY_IDENTIFIER")</f>
        <v/>
      </c>
      <c r="F1895" t="inlineStr">
        <is>
          <t>Marriott Vacations Worldwide Corp</t>
        </is>
      </c>
      <c r="G1895">
        <f>custodian!D1895</f>
        <v/>
      </c>
      <c r="H1895">
        <f>BDP($B1895,"ID_ISIN")</f>
        <v/>
      </c>
      <c r="I1895" s="1" t="inlineStr">
        <is>
          <t>VAC</t>
        </is>
      </c>
      <c r="J1895">
        <f>BDP($B1895,"CNTRY_OF_DOMICILE")</f>
        <v/>
      </c>
      <c r="K1895" t="inlineStr">
        <is>
          <t>EC</t>
        </is>
      </c>
      <c r="L1895" t="inlineStr">
        <is>
          <t>CORP</t>
        </is>
      </c>
      <c r="M1895" t="inlineStr"/>
      <c r="N1895" t="inlineStr"/>
      <c r="O1895" s="1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s="1" t="inlineStr"/>
      <c r="AR1895" s="1" t="inlineStr"/>
      <c r="AS1895" s="1" t="inlineStr"/>
      <c r="AT1895" t="inlineStr"/>
      <c r="AU1895" t="inlineStr"/>
      <c r="AV1895" t="inlineStr"/>
      <c r="AW1895" t="inlineStr"/>
      <c r="AX1895" t="inlineStr"/>
      <c r="AY1895" t="inlineStr"/>
    </row>
    <row r="1896">
      <c r="A1896" t="inlineStr">
        <is>
          <t>WNDR</t>
        </is>
      </c>
      <c r="B1896" t="inlineStr">
        <is>
          <t>VIK US Equity</t>
        </is>
      </c>
      <c r="C1896" s="1" t="inlineStr">
        <is>
          <t>VIK</t>
        </is>
      </c>
      <c r="D1896" t="inlineStr">
        <is>
          <t>Viking Holdings Ltd</t>
        </is>
      </c>
      <c r="E1896">
        <f>BDP($B1896,"LEGAL_ENTITY_IDENTIFIER")</f>
        <v/>
      </c>
      <c r="F1896" t="inlineStr">
        <is>
          <t>Viking Holdings Ltd</t>
        </is>
      </c>
      <c r="G1896">
        <f>custodian!D1896</f>
        <v/>
      </c>
      <c r="H1896">
        <f>BDP($B1896,"ID_ISIN")</f>
        <v/>
      </c>
      <c r="I1896" s="1" t="inlineStr">
        <is>
          <t>VIK</t>
        </is>
      </c>
      <c r="J1896">
        <f>BDP($B1896,"CNTRY_OF_DOMICILE")</f>
        <v/>
      </c>
      <c r="K1896" t="inlineStr">
        <is>
          <t>EC</t>
        </is>
      </c>
      <c r="L1896" t="inlineStr">
        <is>
          <t>CORP</t>
        </is>
      </c>
      <c r="M1896" t="inlineStr"/>
      <c r="N1896" t="inlineStr"/>
      <c r="O1896" s="1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s="1" t="inlineStr"/>
      <c r="AR1896" s="1" t="inlineStr"/>
      <c r="AS1896" s="1" t="inlineStr"/>
      <c r="AT1896" t="inlineStr"/>
      <c r="AU1896" t="inlineStr"/>
      <c r="AV1896" t="inlineStr"/>
      <c r="AW1896" t="inlineStr"/>
      <c r="AX1896" t="inlineStr"/>
      <c r="AY1896" t="inlineStr"/>
    </row>
    <row r="1897">
      <c r="A1897" t="inlineStr">
        <is>
          <t>WNDR</t>
        </is>
      </c>
      <c r="B1897" t="inlineStr">
        <is>
          <t>VLRS US Equity</t>
        </is>
      </c>
      <c r="C1897" s="1" t="inlineStr">
        <is>
          <t>VLRS</t>
        </is>
      </c>
      <c r="D1897" t="inlineStr">
        <is>
          <t>Controladora Vuela Cia de Avia</t>
        </is>
      </c>
      <c r="E1897">
        <f>BDP($B1897,"LEGAL_ENTITY_IDENTIFIER")</f>
        <v/>
      </c>
      <c r="F1897" t="inlineStr">
        <is>
          <t>Controladora Vuela Cia de Aviacion SAB de CV</t>
        </is>
      </c>
      <c r="G1897">
        <f>custodian!D1897</f>
        <v/>
      </c>
      <c r="H1897">
        <f>BDP($B1897,"ID_ISIN")</f>
        <v/>
      </c>
      <c r="I1897" s="1" t="inlineStr">
        <is>
          <t>VLRS</t>
        </is>
      </c>
      <c r="J1897">
        <f>BDP($B1897,"CNTRY_OF_DOMICILE")</f>
        <v/>
      </c>
      <c r="K1897" t="inlineStr">
        <is>
          <t>EC</t>
        </is>
      </c>
      <c r="L1897" t="inlineStr">
        <is>
          <t>CORP</t>
        </is>
      </c>
      <c r="M1897" t="inlineStr"/>
      <c r="N1897" t="inlineStr"/>
      <c r="O1897" s="1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s="1" t="inlineStr"/>
      <c r="AR1897" s="1" t="inlineStr"/>
      <c r="AS1897" s="1" t="inlineStr"/>
      <c r="AT1897" t="inlineStr"/>
      <c r="AU1897" t="inlineStr"/>
      <c r="AV1897" t="inlineStr"/>
      <c r="AW1897" t="inlineStr"/>
      <c r="AX1897" t="inlineStr"/>
      <c r="AY1897" t="inlineStr"/>
    </row>
    <row r="1898">
      <c r="A1898" t="inlineStr">
        <is>
          <t>WNDR</t>
        </is>
      </c>
      <c r="B1898" t="inlineStr">
        <is>
          <t>WH US Equity</t>
        </is>
      </c>
      <c r="C1898" s="1" t="inlineStr">
        <is>
          <t>WH</t>
        </is>
      </c>
      <c r="D1898" t="inlineStr">
        <is>
          <t>Wyndham Hotels &amp; Resorts Inc</t>
        </is>
      </c>
      <c r="E1898">
        <f>BDP($B1898,"LEGAL_ENTITY_IDENTIFIER")</f>
        <v/>
      </c>
      <c r="F1898" t="inlineStr">
        <is>
          <t>Wyndham Hotels &amp; Resorts Inc</t>
        </is>
      </c>
      <c r="G1898">
        <f>custodian!D1898</f>
        <v/>
      </c>
      <c r="H1898">
        <f>BDP($B1898,"ID_ISIN")</f>
        <v/>
      </c>
      <c r="I1898" s="1" t="inlineStr">
        <is>
          <t>WH</t>
        </is>
      </c>
      <c r="J1898">
        <f>BDP($B1898,"CNTRY_OF_DOMICILE")</f>
        <v/>
      </c>
      <c r="K1898" t="inlineStr">
        <is>
          <t>EC</t>
        </is>
      </c>
      <c r="L1898" t="inlineStr">
        <is>
          <t>CORP</t>
        </is>
      </c>
      <c r="M1898" t="inlineStr"/>
      <c r="N1898" t="inlineStr"/>
      <c r="O1898" s="1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s="1" t="inlineStr"/>
      <c r="AR1898" s="1" t="inlineStr"/>
      <c r="AS1898" s="1" t="inlineStr"/>
      <c r="AT1898" t="inlineStr"/>
      <c r="AU1898" t="inlineStr"/>
      <c r="AV1898" t="inlineStr"/>
      <c r="AW1898" t="inlineStr"/>
      <c r="AX1898" t="inlineStr"/>
      <c r="AY1898" t="inlineStr"/>
    </row>
    <row r="1899">
      <c r="A1899" t="inlineStr">
        <is>
          <t>WNDR</t>
        </is>
      </c>
      <c r="B1899" t="inlineStr"/>
      <c r="C1899" s="1" t="inlineStr">
        <is>
          <t>Cash&amp;Other</t>
        </is>
      </c>
      <c r="D1899" t="inlineStr"/>
      <c r="E1899" s="1" t="inlineStr"/>
      <c r="F1899" t="inlineStr"/>
      <c r="G1899">
        <f>custodian!D1899</f>
        <v/>
      </c>
      <c r="H1899" s="1" t="inlineStr"/>
      <c r="I1899" s="1" t="inlineStr"/>
      <c r="J1899" t="inlineStr"/>
      <c r="K1899" t="inlineStr"/>
      <c r="L1899" t="inlineStr"/>
      <c r="M1899" t="inlineStr"/>
      <c r="N1899" t="inlineStr"/>
      <c r="O1899" s="1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s="1" t="inlineStr"/>
      <c r="AR1899" s="1" t="inlineStr"/>
      <c r="AS1899" s="1" t="inlineStr"/>
      <c r="AT1899" t="inlineStr"/>
      <c r="AU1899" t="inlineStr"/>
      <c r="AV1899" t="inlineStr"/>
      <c r="AW1899" t="inlineStr"/>
      <c r="AX1899" t="inlineStr"/>
      <c r="AY1899" t="inlineStr"/>
    </row>
    <row r="1900">
      <c r="A1900" t="inlineStr">
        <is>
          <t>WR</t>
        </is>
      </c>
      <c r="B1900" t="inlineStr">
        <is>
          <t>AMTM US Equity</t>
        </is>
      </c>
      <c r="C1900" s="1" t="inlineStr">
        <is>
          <t>AMTM</t>
        </is>
      </c>
      <c r="D1900" t="inlineStr">
        <is>
          <t>Amentum Holdings Inc</t>
        </is>
      </c>
      <c r="E1900">
        <f>BDP($B1900,"LEGAL_ENTITY_IDENTIFIER")</f>
        <v/>
      </c>
      <c r="F1900" t="inlineStr">
        <is>
          <t>Amentum Holdings Inc</t>
        </is>
      </c>
      <c r="G1900">
        <f>custodian!D1900</f>
        <v/>
      </c>
      <c r="H1900">
        <f>BDP($B1900,"ID_ISIN")</f>
        <v/>
      </c>
      <c r="I1900" s="1" t="inlineStr">
        <is>
          <t>AMTM</t>
        </is>
      </c>
      <c r="J1900">
        <f>BDP($B1900,"CNTRY_OF_DOMICILE")</f>
        <v/>
      </c>
      <c r="K1900" t="inlineStr">
        <is>
          <t>EC</t>
        </is>
      </c>
      <c r="L1900" t="inlineStr">
        <is>
          <t>CORP</t>
        </is>
      </c>
      <c r="M1900" t="inlineStr"/>
      <c r="N1900" t="inlineStr"/>
      <c r="O1900" s="1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s="1" t="inlineStr"/>
      <c r="AR1900" s="1" t="inlineStr"/>
      <c r="AS1900" s="1" t="inlineStr"/>
      <c r="AT1900" t="inlineStr"/>
      <c r="AU1900" t="inlineStr"/>
      <c r="AV1900" t="inlineStr"/>
      <c r="AW1900" t="inlineStr"/>
      <c r="AX1900" t="inlineStr"/>
      <c r="AY1900" t="inlineStr"/>
    </row>
    <row r="1901">
      <c r="A1901" t="inlineStr">
        <is>
          <t>WR</t>
        </is>
      </c>
      <c r="B1901" t="inlineStr">
        <is>
          <t>ATI US Equity</t>
        </is>
      </c>
      <c r="C1901" s="1" t="inlineStr">
        <is>
          <t>ATI</t>
        </is>
      </c>
      <c r="D1901" t="inlineStr">
        <is>
          <t>ATI Inc</t>
        </is>
      </c>
      <c r="E1901">
        <f>BDP($B1901,"LEGAL_ENTITY_IDENTIFIER")</f>
        <v/>
      </c>
      <c r="F1901" t="inlineStr">
        <is>
          <t>ATI Inc</t>
        </is>
      </c>
      <c r="G1901">
        <f>custodian!D1901</f>
        <v/>
      </c>
      <c r="H1901">
        <f>BDP($B1901,"ID_ISIN")</f>
        <v/>
      </c>
      <c r="I1901" s="1" t="inlineStr">
        <is>
          <t>ATI</t>
        </is>
      </c>
      <c r="J1901">
        <f>BDP($B1901,"CNTRY_OF_DOMICILE")</f>
        <v/>
      </c>
      <c r="K1901" t="inlineStr">
        <is>
          <t>EC</t>
        </is>
      </c>
      <c r="L1901" t="inlineStr">
        <is>
          <t>CORP</t>
        </is>
      </c>
      <c r="M1901" t="inlineStr"/>
      <c r="N1901" t="inlineStr"/>
      <c r="O1901" s="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s="1" t="inlineStr"/>
      <c r="AR1901" s="1" t="inlineStr"/>
      <c r="AS1901" s="1" t="inlineStr"/>
      <c r="AT1901" t="inlineStr"/>
      <c r="AU1901" t="inlineStr"/>
      <c r="AV1901" t="inlineStr"/>
      <c r="AW1901" t="inlineStr"/>
      <c r="AX1901" t="inlineStr"/>
      <c r="AY1901" t="inlineStr"/>
    </row>
    <row r="1902">
      <c r="A1902" t="inlineStr">
        <is>
          <t>WR</t>
        </is>
      </c>
      <c r="B1902" t="inlineStr">
        <is>
          <t>AVAV US Equity</t>
        </is>
      </c>
      <c r="C1902" s="1" t="inlineStr">
        <is>
          <t>AVAV</t>
        </is>
      </c>
      <c r="D1902" t="inlineStr">
        <is>
          <t>AeroVironment Inc</t>
        </is>
      </c>
      <c r="E1902">
        <f>BDP($B1902,"LEGAL_ENTITY_IDENTIFIER")</f>
        <v/>
      </c>
      <c r="F1902" t="inlineStr">
        <is>
          <t>AeroVironment Inc</t>
        </is>
      </c>
      <c r="G1902">
        <f>custodian!D1902</f>
        <v/>
      </c>
      <c r="H1902">
        <f>BDP($B1902,"ID_ISIN")</f>
        <v/>
      </c>
      <c r="I1902" s="1" t="inlineStr">
        <is>
          <t>AVAV</t>
        </is>
      </c>
      <c r="J1902">
        <f>BDP($B1902,"CNTRY_OF_DOMICILE")</f>
        <v/>
      </c>
      <c r="K1902" t="inlineStr">
        <is>
          <t>EC</t>
        </is>
      </c>
      <c r="L1902" t="inlineStr">
        <is>
          <t>CORP</t>
        </is>
      </c>
      <c r="M1902" t="inlineStr"/>
      <c r="N1902" t="inlineStr"/>
      <c r="O1902" s="1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s="1" t="inlineStr"/>
      <c r="AR1902" s="1" t="inlineStr"/>
      <c r="AS1902" s="1" t="inlineStr"/>
      <c r="AT1902" t="inlineStr"/>
      <c r="AU1902" t="inlineStr"/>
      <c r="AV1902" t="inlineStr"/>
      <c r="AW1902" t="inlineStr"/>
      <c r="AX1902" t="inlineStr"/>
      <c r="AY1902" t="inlineStr"/>
    </row>
    <row r="1903">
      <c r="A1903" t="inlineStr">
        <is>
          <t>WR</t>
        </is>
      </c>
      <c r="B1903" t="inlineStr">
        <is>
          <t>BAH US Equity</t>
        </is>
      </c>
      <c r="C1903" s="1" t="inlineStr">
        <is>
          <t>BAH</t>
        </is>
      </c>
      <c r="D1903" t="inlineStr">
        <is>
          <t>Booz Allen Hamilton Holding Co</t>
        </is>
      </c>
      <c r="E1903">
        <f>BDP($B1903,"LEGAL_ENTITY_IDENTIFIER")</f>
        <v/>
      </c>
      <c r="F1903" t="inlineStr">
        <is>
          <t>Booz Allen Hamilton Holding Corp</t>
        </is>
      </c>
      <c r="G1903">
        <f>custodian!D1903</f>
        <v/>
      </c>
      <c r="H1903">
        <f>BDP($B1903,"ID_ISIN")</f>
        <v/>
      </c>
      <c r="I1903" s="1" t="inlineStr">
        <is>
          <t>BAH</t>
        </is>
      </c>
      <c r="J1903">
        <f>BDP($B1903,"CNTRY_OF_DOMICILE")</f>
        <v/>
      </c>
      <c r="K1903" t="inlineStr">
        <is>
          <t>EC</t>
        </is>
      </c>
      <c r="L1903" t="inlineStr">
        <is>
          <t>CORP</t>
        </is>
      </c>
      <c r="M1903" t="inlineStr"/>
      <c r="N1903" t="inlineStr"/>
      <c r="O1903" s="1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s="1" t="inlineStr"/>
      <c r="AR1903" s="1" t="inlineStr"/>
      <c r="AS1903" s="1" t="inlineStr"/>
      <c r="AT1903" t="inlineStr"/>
      <c r="AU1903" t="inlineStr"/>
      <c r="AV1903" t="inlineStr"/>
      <c r="AW1903" t="inlineStr"/>
      <c r="AX1903" t="inlineStr"/>
      <c r="AY1903" t="inlineStr"/>
    </row>
    <row r="1904">
      <c r="A1904" t="inlineStr">
        <is>
          <t>WR</t>
        </is>
      </c>
      <c r="B1904" t="inlineStr">
        <is>
          <t>BKR US Equity</t>
        </is>
      </c>
      <c r="C1904" s="1" t="inlineStr">
        <is>
          <t>BKR</t>
        </is>
      </c>
      <c r="D1904" t="inlineStr">
        <is>
          <t>Baker Hughes Co</t>
        </is>
      </c>
      <c r="E1904">
        <f>BDP($B1904,"LEGAL_ENTITY_IDENTIFIER")</f>
        <v/>
      </c>
      <c r="F1904" t="inlineStr">
        <is>
          <t>Baker Hughes Co</t>
        </is>
      </c>
      <c r="G1904">
        <f>custodian!D1904</f>
        <v/>
      </c>
      <c r="H1904">
        <f>BDP($B1904,"ID_ISIN")</f>
        <v/>
      </c>
      <c r="I1904" s="1" t="inlineStr">
        <is>
          <t>BKR</t>
        </is>
      </c>
      <c r="J1904">
        <f>BDP($B1904,"CNTRY_OF_DOMICILE")</f>
        <v/>
      </c>
      <c r="K1904" t="inlineStr">
        <is>
          <t>EC</t>
        </is>
      </c>
      <c r="L1904" t="inlineStr">
        <is>
          <t>CORP</t>
        </is>
      </c>
      <c r="M1904" t="inlineStr"/>
      <c r="N1904" t="inlineStr"/>
      <c r="O1904" s="1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s="1" t="inlineStr"/>
      <c r="AR1904" s="1" t="inlineStr"/>
      <c r="AS1904" s="1" t="inlineStr"/>
      <c r="AT1904" t="inlineStr"/>
      <c r="AU1904" t="inlineStr"/>
      <c r="AV1904" t="inlineStr"/>
      <c r="AW1904" t="inlineStr"/>
      <c r="AX1904" t="inlineStr"/>
      <c r="AY1904" t="inlineStr"/>
    </row>
    <row r="1905">
      <c r="A1905" t="inlineStr">
        <is>
          <t>WR</t>
        </is>
      </c>
      <c r="B1905" t="inlineStr">
        <is>
          <t>BWXT US Equity</t>
        </is>
      </c>
      <c r="C1905" s="1" t="inlineStr">
        <is>
          <t>BWXT</t>
        </is>
      </c>
      <c r="D1905" t="inlineStr">
        <is>
          <t>BWX Technologies Inc</t>
        </is>
      </c>
      <c r="E1905">
        <f>BDP($B1905,"LEGAL_ENTITY_IDENTIFIER")</f>
        <v/>
      </c>
      <c r="F1905" t="inlineStr">
        <is>
          <t>BWX Technologies Inc</t>
        </is>
      </c>
      <c r="G1905">
        <f>custodian!D1905</f>
        <v/>
      </c>
      <c r="H1905">
        <f>BDP($B1905,"ID_ISIN")</f>
        <v/>
      </c>
      <c r="I1905" s="1" t="inlineStr">
        <is>
          <t>BWXT</t>
        </is>
      </c>
      <c r="J1905">
        <f>BDP($B1905,"CNTRY_OF_DOMICILE")</f>
        <v/>
      </c>
      <c r="K1905" t="inlineStr">
        <is>
          <t>EC</t>
        </is>
      </c>
      <c r="L1905" t="inlineStr">
        <is>
          <t>CORP</t>
        </is>
      </c>
      <c r="M1905" t="inlineStr"/>
      <c r="N1905" t="inlineStr"/>
      <c r="O1905" s="1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s="1" t="inlineStr"/>
      <c r="AR1905" s="1" t="inlineStr"/>
      <c r="AS1905" s="1" t="inlineStr"/>
      <c r="AT1905" t="inlineStr"/>
      <c r="AU1905" t="inlineStr"/>
      <c r="AV1905" t="inlineStr"/>
      <c r="AW1905" t="inlineStr"/>
      <c r="AX1905" t="inlineStr"/>
      <c r="AY1905" t="inlineStr"/>
    </row>
    <row r="1906">
      <c r="A1906" t="inlineStr">
        <is>
          <t>WR</t>
        </is>
      </c>
      <c r="B1906" t="inlineStr">
        <is>
          <t>CACI US Equity</t>
        </is>
      </c>
      <c r="C1906" s="1" t="inlineStr">
        <is>
          <t>CACI</t>
        </is>
      </c>
      <c r="D1906" t="inlineStr">
        <is>
          <t>CACI International Inc</t>
        </is>
      </c>
      <c r="E1906">
        <f>BDP($B1906,"LEGAL_ENTITY_IDENTIFIER")</f>
        <v/>
      </c>
      <c r="F1906" t="inlineStr">
        <is>
          <t>CACI International Inc</t>
        </is>
      </c>
      <c r="G1906">
        <f>custodian!D1906</f>
        <v/>
      </c>
      <c r="H1906">
        <f>BDP($B1906,"ID_ISIN")</f>
        <v/>
      </c>
      <c r="I1906" s="1" t="inlineStr">
        <is>
          <t>CACI</t>
        </is>
      </c>
      <c r="J1906">
        <f>BDP($B1906,"CNTRY_OF_DOMICILE")</f>
        <v/>
      </c>
      <c r="K1906" t="inlineStr">
        <is>
          <t>EC</t>
        </is>
      </c>
      <c r="L1906" t="inlineStr">
        <is>
          <t>CORP</t>
        </is>
      </c>
      <c r="M1906" t="inlineStr"/>
      <c r="N1906" t="inlineStr"/>
      <c r="O1906" s="1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s="1" t="inlineStr"/>
      <c r="AR1906" s="1" t="inlineStr"/>
      <c r="AS1906" s="1" t="inlineStr"/>
      <c r="AT1906" t="inlineStr"/>
      <c r="AU1906" t="inlineStr"/>
      <c r="AV1906" t="inlineStr"/>
      <c r="AW1906" t="inlineStr"/>
      <c r="AX1906" t="inlineStr"/>
      <c r="AY1906" t="inlineStr"/>
    </row>
    <row r="1907">
      <c r="A1907" t="inlineStr">
        <is>
          <t>WR</t>
        </is>
      </c>
      <c r="B1907" t="inlineStr">
        <is>
          <t>CDRE US Equity</t>
        </is>
      </c>
      <c r="C1907" s="1" t="inlineStr">
        <is>
          <t>CDRE</t>
        </is>
      </c>
      <c r="D1907" t="inlineStr">
        <is>
          <t>Cadre Holdings Inc</t>
        </is>
      </c>
      <c r="E1907">
        <f>BDP($B1907,"LEGAL_ENTITY_IDENTIFIER")</f>
        <v/>
      </c>
      <c r="F1907" t="inlineStr">
        <is>
          <t>Cadre Holdings Inc</t>
        </is>
      </c>
      <c r="G1907">
        <f>custodian!D1907</f>
        <v/>
      </c>
      <c r="H1907">
        <f>BDP($B1907,"ID_ISIN")</f>
        <v/>
      </c>
      <c r="I1907" s="1" t="inlineStr">
        <is>
          <t>CDRE</t>
        </is>
      </c>
      <c r="J1907">
        <f>BDP($B1907,"CNTRY_OF_DOMICILE")</f>
        <v/>
      </c>
      <c r="K1907" t="inlineStr">
        <is>
          <t>EC</t>
        </is>
      </c>
      <c r="L1907" t="inlineStr">
        <is>
          <t>CORP</t>
        </is>
      </c>
      <c r="M1907" t="inlineStr"/>
      <c r="N1907" t="inlineStr"/>
      <c r="O1907" s="1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s="1" t="inlineStr"/>
      <c r="AR1907" s="1" t="inlineStr"/>
      <c r="AS1907" s="1" t="inlineStr"/>
      <c r="AT1907" t="inlineStr"/>
      <c r="AU1907" t="inlineStr"/>
      <c r="AV1907" t="inlineStr"/>
      <c r="AW1907" t="inlineStr"/>
      <c r="AX1907" t="inlineStr"/>
      <c r="AY1907" t="inlineStr"/>
    </row>
    <row r="1908">
      <c r="A1908" t="inlineStr">
        <is>
          <t>WR</t>
        </is>
      </c>
      <c r="B1908" t="inlineStr">
        <is>
          <t>COP US Equity</t>
        </is>
      </c>
      <c r="C1908" s="1" t="inlineStr">
        <is>
          <t>COP</t>
        </is>
      </c>
      <c r="D1908" t="inlineStr">
        <is>
          <t>ConocoPhillips</t>
        </is>
      </c>
      <c r="E1908">
        <f>BDP($B1908,"LEGAL_ENTITY_IDENTIFIER")</f>
        <v/>
      </c>
      <c r="F1908" t="inlineStr">
        <is>
          <t>ConocoPhillips</t>
        </is>
      </c>
      <c r="G1908">
        <f>custodian!D1908</f>
        <v/>
      </c>
      <c r="H1908">
        <f>BDP($B1908,"ID_ISIN")</f>
        <v/>
      </c>
      <c r="I1908" s="1" t="inlineStr">
        <is>
          <t>COP</t>
        </is>
      </c>
      <c r="J1908">
        <f>BDP($B1908,"CNTRY_OF_DOMICILE")</f>
        <v/>
      </c>
      <c r="K1908" t="inlineStr">
        <is>
          <t>EC</t>
        </is>
      </c>
      <c r="L1908" t="inlineStr">
        <is>
          <t>CORP</t>
        </is>
      </c>
      <c r="M1908" t="inlineStr"/>
      <c r="N1908" t="inlineStr"/>
      <c r="O1908" s="1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s="1" t="inlineStr"/>
      <c r="AR1908" s="1" t="inlineStr"/>
      <c r="AS1908" s="1" t="inlineStr"/>
      <c r="AT1908" t="inlineStr"/>
      <c r="AU1908" t="inlineStr"/>
      <c r="AV1908" t="inlineStr"/>
      <c r="AW1908" t="inlineStr"/>
      <c r="AX1908" t="inlineStr"/>
      <c r="AY1908" t="inlineStr"/>
    </row>
    <row r="1909">
      <c r="A1909" t="inlineStr">
        <is>
          <t>WR</t>
        </is>
      </c>
      <c r="B1909" t="inlineStr">
        <is>
          <t>CVX US Equity</t>
        </is>
      </c>
      <c r="C1909" s="1" t="inlineStr">
        <is>
          <t>CVX</t>
        </is>
      </c>
      <c r="D1909" t="inlineStr">
        <is>
          <t>Chevron Corp</t>
        </is>
      </c>
      <c r="E1909">
        <f>BDP($B1909,"LEGAL_ENTITY_IDENTIFIER")</f>
        <v/>
      </c>
      <c r="F1909" t="inlineStr">
        <is>
          <t>Chevron Corp</t>
        </is>
      </c>
      <c r="G1909">
        <f>custodian!D1909</f>
        <v/>
      </c>
      <c r="H1909">
        <f>BDP($B1909,"ID_ISIN")</f>
        <v/>
      </c>
      <c r="I1909" s="1" t="inlineStr">
        <is>
          <t>CVX</t>
        </is>
      </c>
      <c r="J1909">
        <f>BDP($B1909,"CNTRY_OF_DOMICILE")</f>
        <v/>
      </c>
      <c r="K1909" t="inlineStr">
        <is>
          <t>EC</t>
        </is>
      </c>
      <c r="L1909" t="inlineStr">
        <is>
          <t>CORP</t>
        </is>
      </c>
      <c r="M1909" t="inlineStr"/>
      <c r="N1909" t="inlineStr"/>
      <c r="O1909" s="1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s="1" t="inlineStr"/>
      <c r="AR1909" s="1" t="inlineStr"/>
      <c r="AS1909" s="1" t="inlineStr"/>
      <c r="AT1909" t="inlineStr"/>
      <c r="AU1909" t="inlineStr"/>
      <c r="AV1909" t="inlineStr"/>
      <c r="AW1909" t="inlineStr"/>
      <c r="AX1909" t="inlineStr"/>
      <c r="AY1909" t="inlineStr"/>
    </row>
    <row r="1910">
      <c r="A1910" t="inlineStr">
        <is>
          <t>WR</t>
        </is>
      </c>
      <c r="B1910" t="inlineStr">
        <is>
          <t>DRS US Equity</t>
        </is>
      </c>
      <c r="C1910" s="1" t="inlineStr">
        <is>
          <t>DRS</t>
        </is>
      </c>
      <c r="D1910" t="inlineStr">
        <is>
          <t>Leonardo DRS Inc</t>
        </is>
      </c>
      <c r="E1910">
        <f>BDP($B1910,"LEGAL_ENTITY_IDENTIFIER")</f>
        <v/>
      </c>
      <c r="F1910" t="inlineStr">
        <is>
          <t>Leonardo DRS Inc</t>
        </is>
      </c>
      <c r="G1910">
        <f>custodian!D1910</f>
        <v/>
      </c>
      <c r="H1910">
        <f>BDP($B1910,"ID_ISIN")</f>
        <v/>
      </c>
      <c r="I1910" s="1" t="inlineStr">
        <is>
          <t>DRS</t>
        </is>
      </c>
      <c r="J1910">
        <f>BDP($B1910,"CNTRY_OF_DOMICILE")</f>
        <v/>
      </c>
      <c r="K1910" t="inlineStr">
        <is>
          <t>EC</t>
        </is>
      </c>
      <c r="L1910" t="inlineStr">
        <is>
          <t>CORP</t>
        </is>
      </c>
      <c r="M1910" t="inlineStr"/>
      <c r="N1910" t="inlineStr"/>
      <c r="O1910" s="1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s="1" t="inlineStr"/>
      <c r="AR1910" s="1" t="inlineStr"/>
      <c r="AS1910" s="1" t="inlineStr"/>
      <c r="AT1910" t="inlineStr"/>
      <c r="AU1910" t="inlineStr"/>
      <c r="AV1910" t="inlineStr"/>
      <c r="AW1910" t="inlineStr"/>
      <c r="AX1910" t="inlineStr"/>
      <c r="AY1910" t="inlineStr"/>
    </row>
    <row r="1911">
      <c r="A1911" t="inlineStr">
        <is>
          <t>WR</t>
        </is>
      </c>
      <c r="B1911" t="inlineStr">
        <is>
          <t>DVN US Equity</t>
        </is>
      </c>
      <c r="C1911" s="1" t="inlineStr">
        <is>
          <t>DVN</t>
        </is>
      </c>
      <c r="D1911" t="inlineStr">
        <is>
          <t>Devon Energy Corp</t>
        </is>
      </c>
      <c r="E1911">
        <f>BDP($B1911,"LEGAL_ENTITY_IDENTIFIER")</f>
        <v/>
      </c>
      <c r="F1911" t="inlineStr">
        <is>
          <t>Devon Energy Corp</t>
        </is>
      </c>
      <c r="G1911">
        <f>custodian!D1911</f>
        <v/>
      </c>
      <c r="H1911">
        <f>BDP($B1911,"ID_ISIN")</f>
        <v/>
      </c>
      <c r="I1911" s="1" t="inlineStr">
        <is>
          <t>DVN</t>
        </is>
      </c>
      <c r="J1911">
        <f>BDP($B1911,"CNTRY_OF_DOMICILE")</f>
        <v/>
      </c>
      <c r="K1911" t="inlineStr">
        <is>
          <t>EC</t>
        </is>
      </c>
      <c r="L1911" t="inlineStr">
        <is>
          <t>CORP</t>
        </is>
      </c>
      <c r="M1911" t="inlineStr"/>
      <c r="N1911" t="inlineStr"/>
      <c r="O1911" s="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s="1" t="inlineStr"/>
      <c r="AR1911" s="1" t="inlineStr"/>
      <c r="AS1911" s="1" t="inlineStr"/>
      <c r="AT1911" t="inlineStr"/>
      <c r="AU1911" t="inlineStr"/>
      <c r="AV1911" t="inlineStr"/>
      <c r="AW1911" t="inlineStr"/>
      <c r="AX1911" t="inlineStr"/>
      <c r="AY1911" t="inlineStr"/>
    </row>
    <row r="1912">
      <c r="A1912" t="inlineStr">
        <is>
          <t>WR</t>
        </is>
      </c>
      <c r="B1912" t="inlineStr">
        <is>
          <t>EOG US Equity</t>
        </is>
      </c>
      <c r="C1912" s="1" t="inlineStr">
        <is>
          <t>EOG</t>
        </is>
      </c>
      <c r="D1912" t="inlineStr">
        <is>
          <t>EOG Resources Inc</t>
        </is>
      </c>
      <c r="E1912">
        <f>BDP($B1912,"LEGAL_ENTITY_IDENTIFIER")</f>
        <v/>
      </c>
      <c r="F1912" t="inlineStr">
        <is>
          <t>EOG Resources Inc</t>
        </is>
      </c>
      <c r="G1912">
        <f>custodian!D1912</f>
        <v/>
      </c>
      <c r="H1912">
        <f>BDP($B1912,"ID_ISIN")</f>
        <v/>
      </c>
      <c r="I1912" s="1" t="inlineStr">
        <is>
          <t>EOG</t>
        </is>
      </c>
      <c r="J1912">
        <f>BDP($B1912,"CNTRY_OF_DOMICILE")</f>
        <v/>
      </c>
      <c r="K1912" t="inlineStr">
        <is>
          <t>EC</t>
        </is>
      </c>
      <c r="L1912" t="inlineStr">
        <is>
          <t>CORP</t>
        </is>
      </c>
      <c r="M1912" t="inlineStr"/>
      <c r="N1912" t="inlineStr"/>
      <c r="O1912" s="1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s="1" t="inlineStr"/>
      <c r="AR1912" s="1" t="inlineStr"/>
      <c r="AS1912" s="1" t="inlineStr"/>
      <c r="AT1912" t="inlineStr"/>
      <c r="AU1912" t="inlineStr"/>
      <c r="AV1912" t="inlineStr"/>
      <c r="AW1912" t="inlineStr"/>
      <c r="AX1912" t="inlineStr"/>
      <c r="AY1912" t="inlineStr"/>
    </row>
    <row r="1913">
      <c r="A1913" t="inlineStr">
        <is>
          <t>WR</t>
        </is>
      </c>
      <c r="B1913" t="inlineStr">
        <is>
          <t>EQT US Equity</t>
        </is>
      </c>
      <c r="C1913" s="1" t="inlineStr">
        <is>
          <t>EQT</t>
        </is>
      </c>
      <c r="D1913" t="inlineStr">
        <is>
          <t>EQT Corp</t>
        </is>
      </c>
      <c r="E1913">
        <f>BDP($B1913,"LEGAL_ENTITY_IDENTIFIER")</f>
        <v/>
      </c>
      <c r="F1913" t="inlineStr">
        <is>
          <t>EQT Corp</t>
        </is>
      </c>
      <c r="G1913">
        <f>custodian!D1913</f>
        <v/>
      </c>
      <c r="H1913">
        <f>BDP($B1913,"ID_ISIN")</f>
        <v/>
      </c>
      <c r="I1913" s="1" t="inlineStr">
        <is>
          <t>EQT</t>
        </is>
      </c>
      <c r="J1913">
        <f>BDP($B1913,"CNTRY_OF_DOMICILE")</f>
        <v/>
      </c>
      <c r="K1913" t="inlineStr">
        <is>
          <t>EC</t>
        </is>
      </c>
      <c r="L1913" t="inlineStr">
        <is>
          <t>CORP</t>
        </is>
      </c>
      <c r="M1913" t="inlineStr"/>
      <c r="N1913" t="inlineStr"/>
      <c r="O1913" s="1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s="1" t="inlineStr"/>
      <c r="AR1913" s="1" t="inlineStr"/>
      <c r="AS1913" s="1" t="inlineStr"/>
      <c r="AT1913" t="inlineStr"/>
      <c r="AU1913" t="inlineStr"/>
      <c r="AV1913" t="inlineStr"/>
      <c r="AW1913" t="inlineStr"/>
      <c r="AX1913" t="inlineStr"/>
      <c r="AY1913" t="inlineStr"/>
    </row>
    <row r="1914">
      <c r="A1914" t="inlineStr">
        <is>
          <t>WR</t>
        </is>
      </c>
      <c r="B1914" t="inlineStr">
        <is>
          <t>FANG US Equity</t>
        </is>
      </c>
      <c r="C1914" s="1" t="inlineStr">
        <is>
          <t>FANG</t>
        </is>
      </c>
      <c r="D1914" t="inlineStr">
        <is>
          <t>Diamondback Energy Inc</t>
        </is>
      </c>
      <c r="E1914">
        <f>BDP($B1914,"LEGAL_ENTITY_IDENTIFIER")</f>
        <v/>
      </c>
      <c r="F1914" t="inlineStr">
        <is>
          <t>Diamondback Energy Inc</t>
        </is>
      </c>
      <c r="G1914">
        <f>custodian!D1914</f>
        <v/>
      </c>
      <c r="H1914">
        <f>BDP($B1914,"ID_ISIN")</f>
        <v/>
      </c>
      <c r="I1914" s="1" t="inlineStr">
        <is>
          <t>FANG</t>
        </is>
      </c>
      <c r="J1914">
        <f>BDP($B1914,"CNTRY_OF_DOMICILE")</f>
        <v/>
      </c>
      <c r="K1914" t="inlineStr">
        <is>
          <t>EC</t>
        </is>
      </c>
      <c r="L1914" t="inlineStr">
        <is>
          <t>CORP</t>
        </is>
      </c>
      <c r="M1914" t="inlineStr"/>
      <c r="N1914" t="inlineStr"/>
      <c r="O1914" s="1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s="1" t="inlineStr"/>
      <c r="AR1914" s="1" t="inlineStr"/>
      <c r="AS1914" s="1" t="inlineStr"/>
      <c r="AT1914" t="inlineStr"/>
      <c r="AU1914" t="inlineStr"/>
      <c r="AV1914" t="inlineStr"/>
      <c r="AW1914" t="inlineStr"/>
      <c r="AX1914" t="inlineStr"/>
      <c r="AY1914" t="inlineStr"/>
    </row>
    <row r="1915">
      <c r="A1915" t="inlineStr">
        <is>
          <t>WR</t>
        </is>
      </c>
      <c r="B1915" t="inlineStr">
        <is>
          <t>FGXXX US Equity</t>
        </is>
      </c>
      <c r="C1915" s="1" t="inlineStr">
        <is>
          <t>FGXXX</t>
        </is>
      </c>
      <c r="D1915" t="inlineStr">
        <is>
          <t>First American Government Obli</t>
        </is>
      </c>
      <c r="E1915">
        <f>BDP($B1915,"LEGAL_ENTITY_IDENTIFIER")</f>
        <v/>
      </c>
      <c r="F1915" t="inlineStr">
        <is>
          <t>First American Government Obligations Fund</t>
        </is>
      </c>
      <c r="G1915">
        <f>custodian!D1915</f>
        <v/>
      </c>
      <c r="H1915">
        <f>BDP($B1915,"ID_ISIN")</f>
        <v/>
      </c>
      <c r="I1915" s="1" t="inlineStr">
        <is>
          <t>FGXXX</t>
        </is>
      </c>
      <c r="J1915">
        <f>BDP($B1915,"CNTRY_OF_DOMICILE")</f>
        <v/>
      </c>
      <c r="K1915" t="inlineStr">
        <is>
          <t>STIV</t>
        </is>
      </c>
      <c r="L1915" t="inlineStr">
        <is>
          <t>RF</t>
        </is>
      </c>
      <c r="M1915" t="inlineStr"/>
      <c r="N1915" t="inlineStr"/>
      <c r="O1915" s="1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s="1" t="inlineStr"/>
      <c r="AR1915" s="1" t="inlineStr"/>
      <c r="AS1915" s="1" t="inlineStr"/>
      <c r="AT1915" t="inlineStr"/>
      <c r="AU1915" t="inlineStr"/>
      <c r="AV1915" t="inlineStr"/>
      <c r="AW1915" t="inlineStr"/>
      <c r="AX1915" t="inlineStr"/>
      <c r="AY1915" t="inlineStr"/>
    </row>
    <row r="1916">
      <c r="A1916" t="inlineStr">
        <is>
          <t>WR</t>
        </is>
      </c>
      <c r="B1916" t="inlineStr">
        <is>
          <t>GD US Equity</t>
        </is>
      </c>
      <c r="C1916" s="1" t="inlineStr">
        <is>
          <t>GD</t>
        </is>
      </c>
      <c r="D1916" t="inlineStr">
        <is>
          <t>General Dynamics Corp</t>
        </is>
      </c>
      <c r="E1916">
        <f>BDP($B1916,"LEGAL_ENTITY_IDENTIFIER")</f>
        <v/>
      </c>
      <c r="F1916" t="inlineStr">
        <is>
          <t>General Dynamics Corp</t>
        </is>
      </c>
      <c r="G1916">
        <f>custodian!D1916</f>
        <v/>
      </c>
      <c r="H1916">
        <f>BDP($B1916,"ID_ISIN")</f>
        <v/>
      </c>
      <c r="I1916" s="1" t="inlineStr">
        <is>
          <t>GD</t>
        </is>
      </c>
      <c r="J1916">
        <f>BDP($B1916,"CNTRY_OF_DOMICILE")</f>
        <v/>
      </c>
      <c r="K1916" t="inlineStr">
        <is>
          <t>EC</t>
        </is>
      </c>
      <c r="L1916" t="inlineStr">
        <is>
          <t>CORP</t>
        </is>
      </c>
      <c r="M1916" t="inlineStr"/>
      <c r="N1916" t="inlineStr"/>
      <c r="O1916" s="1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s="1" t="inlineStr"/>
      <c r="AR1916" s="1" t="inlineStr"/>
      <c r="AS1916" s="1" t="inlineStr"/>
      <c r="AT1916" t="inlineStr"/>
      <c r="AU1916" t="inlineStr"/>
      <c r="AV1916" t="inlineStr"/>
      <c r="AW1916" t="inlineStr"/>
      <c r="AX1916" t="inlineStr"/>
      <c r="AY1916" t="inlineStr"/>
    </row>
    <row r="1917">
      <c r="A1917" t="inlineStr">
        <is>
          <t>WR</t>
        </is>
      </c>
      <c r="B1917" t="inlineStr">
        <is>
          <t>HAL US Equity</t>
        </is>
      </c>
      <c r="C1917" s="1" t="inlineStr">
        <is>
          <t>HAL</t>
        </is>
      </c>
      <c r="D1917" t="inlineStr">
        <is>
          <t>Halliburton Co</t>
        </is>
      </c>
      <c r="E1917">
        <f>BDP($B1917,"LEGAL_ENTITY_IDENTIFIER")</f>
        <v/>
      </c>
      <c r="F1917" t="inlineStr">
        <is>
          <t>Halliburton Co</t>
        </is>
      </c>
      <c r="G1917">
        <f>custodian!D1917</f>
        <v/>
      </c>
      <c r="H1917">
        <f>BDP($B1917,"ID_ISIN")</f>
        <v/>
      </c>
      <c r="I1917" s="1" t="inlineStr">
        <is>
          <t>HAL</t>
        </is>
      </c>
      <c r="J1917">
        <f>BDP($B1917,"CNTRY_OF_DOMICILE")</f>
        <v/>
      </c>
      <c r="K1917" t="inlineStr">
        <is>
          <t>EC</t>
        </is>
      </c>
      <c r="L1917" t="inlineStr">
        <is>
          <t>CORP</t>
        </is>
      </c>
      <c r="M1917" t="inlineStr"/>
      <c r="N1917" t="inlineStr"/>
      <c r="O1917" s="1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s="1" t="inlineStr"/>
      <c r="AR1917" s="1" t="inlineStr"/>
      <c r="AS1917" s="1" t="inlineStr"/>
      <c r="AT1917" t="inlineStr"/>
      <c r="AU1917" t="inlineStr"/>
      <c r="AV1917" t="inlineStr"/>
      <c r="AW1917" t="inlineStr"/>
      <c r="AX1917" t="inlineStr"/>
      <c r="AY1917" t="inlineStr"/>
    </row>
    <row r="1918">
      <c r="A1918" t="inlineStr">
        <is>
          <t>WR</t>
        </is>
      </c>
      <c r="B1918" t="inlineStr">
        <is>
          <t>HII US Equity</t>
        </is>
      </c>
      <c r="C1918" s="1" t="inlineStr">
        <is>
          <t>HII</t>
        </is>
      </c>
      <c r="D1918" t="inlineStr">
        <is>
          <t xml:space="preserve">Huntington Ingalls Industries </t>
        </is>
      </c>
      <c r="E1918">
        <f>BDP($B1918,"LEGAL_ENTITY_IDENTIFIER")</f>
        <v/>
      </c>
      <c r="F1918" t="inlineStr">
        <is>
          <t>Huntington Ingalls Industries Inc</t>
        </is>
      </c>
      <c r="G1918">
        <f>custodian!D1918</f>
        <v/>
      </c>
      <c r="H1918">
        <f>BDP($B1918,"ID_ISIN")</f>
        <v/>
      </c>
      <c r="I1918" s="1" t="inlineStr">
        <is>
          <t>HII</t>
        </is>
      </c>
      <c r="J1918">
        <f>BDP($B1918,"CNTRY_OF_DOMICILE")</f>
        <v/>
      </c>
      <c r="K1918" t="inlineStr">
        <is>
          <t>EC</t>
        </is>
      </c>
      <c r="L1918" t="inlineStr">
        <is>
          <t>CORP</t>
        </is>
      </c>
      <c r="M1918" t="inlineStr"/>
      <c r="N1918" t="inlineStr"/>
      <c r="O1918" s="1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s="1" t="inlineStr"/>
      <c r="AR1918" s="1" t="inlineStr"/>
      <c r="AS1918" s="1" t="inlineStr"/>
      <c r="AT1918" t="inlineStr"/>
      <c r="AU1918" t="inlineStr"/>
      <c r="AV1918" t="inlineStr"/>
      <c r="AW1918" t="inlineStr"/>
      <c r="AX1918" t="inlineStr"/>
      <c r="AY1918" t="inlineStr"/>
    </row>
    <row r="1919">
      <c r="A1919" t="inlineStr">
        <is>
          <t>WR</t>
        </is>
      </c>
      <c r="B1919" t="inlineStr">
        <is>
          <t>HP US Equity</t>
        </is>
      </c>
      <c r="C1919" s="1" t="inlineStr">
        <is>
          <t>HP</t>
        </is>
      </c>
      <c r="D1919" t="inlineStr">
        <is>
          <t>Helmerich &amp; Payne Inc</t>
        </is>
      </c>
      <c r="E1919">
        <f>BDP($B1919,"LEGAL_ENTITY_IDENTIFIER")</f>
        <v/>
      </c>
      <c r="F1919" t="inlineStr">
        <is>
          <t>Helmerich &amp; Payne Inc</t>
        </is>
      </c>
      <c r="G1919">
        <f>custodian!D1919</f>
        <v/>
      </c>
      <c r="H1919">
        <f>BDP($B1919,"ID_ISIN")</f>
        <v/>
      </c>
      <c r="I1919" s="1" t="inlineStr">
        <is>
          <t>HP</t>
        </is>
      </c>
      <c r="J1919">
        <f>BDP($B1919,"CNTRY_OF_DOMICILE")</f>
        <v/>
      </c>
      <c r="K1919" t="inlineStr">
        <is>
          <t>EC</t>
        </is>
      </c>
      <c r="L1919" t="inlineStr">
        <is>
          <t>CORP</t>
        </is>
      </c>
      <c r="M1919" t="inlineStr"/>
      <c r="N1919" t="inlineStr"/>
      <c r="O1919" s="1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s="1" t="inlineStr"/>
      <c r="AR1919" s="1" t="inlineStr"/>
      <c r="AS1919" s="1" t="inlineStr"/>
      <c r="AT1919" t="inlineStr"/>
      <c r="AU1919" t="inlineStr"/>
      <c r="AV1919" t="inlineStr"/>
      <c r="AW1919" t="inlineStr"/>
      <c r="AX1919" t="inlineStr"/>
      <c r="AY1919" t="inlineStr"/>
    </row>
    <row r="1920">
      <c r="A1920" t="inlineStr">
        <is>
          <t>WR</t>
        </is>
      </c>
      <c r="B1920" t="inlineStr">
        <is>
          <t>HWM US Equity</t>
        </is>
      </c>
      <c r="C1920" s="1" t="inlineStr">
        <is>
          <t>HWM</t>
        </is>
      </c>
      <c r="D1920" t="inlineStr">
        <is>
          <t>Howmet Aerospace Inc</t>
        </is>
      </c>
      <c r="E1920">
        <f>BDP($B1920,"LEGAL_ENTITY_IDENTIFIER")</f>
        <v/>
      </c>
      <c r="F1920" t="inlineStr">
        <is>
          <t>Howmet Aerospace Inc</t>
        </is>
      </c>
      <c r="G1920">
        <f>custodian!D1920</f>
        <v/>
      </c>
      <c r="H1920">
        <f>BDP($B1920,"ID_ISIN")</f>
        <v/>
      </c>
      <c r="I1920" s="1" t="inlineStr">
        <is>
          <t>HWM</t>
        </is>
      </c>
      <c r="J1920">
        <f>BDP($B1920,"CNTRY_OF_DOMICILE")</f>
        <v/>
      </c>
      <c r="K1920" t="inlineStr">
        <is>
          <t>EC</t>
        </is>
      </c>
      <c r="L1920" t="inlineStr">
        <is>
          <t>CORP</t>
        </is>
      </c>
      <c r="M1920" t="inlineStr"/>
      <c r="N1920" t="inlineStr"/>
      <c r="O1920" s="1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s="1" t="inlineStr"/>
      <c r="AR1920" s="1" t="inlineStr"/>
      <c r="AS1920" s="1" t="inlineStr"/>
      <c r="AT1920" t="inlineStr"/>
      <c r="AU1920" t="inlineStr"/>
      <c r="AV1920" t="inlineStr"/>
      <c r="AW1920" t="inlineStr"/>
      <c r="AX1920" t="inlineStr"/>
      <c r="AY1920" t="inlineStr"/>
    </row>
    <row r="1921">
      <c r="A1921" t="inlineStr">
        <is>
          <t>WR</t>
        </is>
      </c>
      <c r="B1921" t="inlineStr">
        <is>
          <t>HXL US Equity</t>
        </is>
      </c>
      <c r="C1921" s="1" t="inlineStr">
        <is>
          <t>HXL</t>
        </is>
      </c>
      <c r="D1921" t="inlineStr">
        <is>
          <t>Hexcel Corp</t>
        </is>
      </c>
      <c r="E1921">
        <f>BDP($B1921,"LEGAL_ENTITY_IDENTIFIER")</f>
        <v/>
      </c>
      <c r="F1921" t="inlineStr">
        <is>
          <t>Hexcel Corp</t>
        </is>
      </c>
      <c r="G1921">
        <f>custodian!D1921</f>
        <v/>
      </c>
      <c r="H1921">
        <f>BDP($B1921,"ID_ISIN")</f>
        <v/>
      </c>
      <c r="I1921" s="1" t="inlineStr">
        <is>
          <t>HXL</t>
        </is>
      </c>
      <c r="J1921">
        <f>BDP($B1921,"CNTRY_OF_DOMICILE")</f>
        <v/>
      </c>
      <c r="K1921" t="inlineStr">
        <is>
          <t>EC</t>
        </is>
      </c>
      <c r="L1921" t="inlineStr">
        <is>
          <t>CORP</t>
        </is>
      </c>
      <c r="M1921" t="inlineStr"/>
      <c r="N1921" t="inlineStr"/>
      <c r="O1921" s="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s="1" t="inlineStr"/>
      <c r="AR1921" s="1" t="inlineStr"/>
      <c r="AS1921" s="1" t="inlineStr"/>
      <c r="AT1921" t="inlineStr"/>
      <c r="AU1921" t="inlineStr"/>
      <c r="AV1921" t="inlineStr"/>
      <c r="AW1921" t="inlineStr"/>
      <c r="AX1921" t="inlineStr"/>
      <c r="AY1921" t="inlineStr"/>
    </row>
    <row r="1922">
      <c r="A1922" t="inlineStr">
        <is>
          <t>WR</t>
        </is>
      </c>
      <c r="B1922" t="inlineStr">
        <is>
          <t>KMI US Equity</t>
        </is>
      </c>
      <c r="C1922" s="1" t="inlineStr">
        <is>
          <t>KMI</t>
        </is>
      </c>
      <c r="D1922" t="inlineStr">
        <is>
          <t>Kinder Morgan Inc</t>
        </is>
      </c>
      <c r="E1922">
        <f>BDP($B1922,"LEGAL_ENTITY_IDENTIFIER")</f>
        <v/>
      </c>
      <c r="F1922" t="inlineStr">
        <is>
          <t>Kinder Morgan Inc</t>
        </is>
      </c>
      <c r="G1922">
        <f>custodian!D1922</f>
        <v/>
      </c>
      <c r="H1922">
        <f>BDP($B1922,"ID_ISIN")</f>
        <v/>
      </c>
      <c r="I1922" s="1" t="inlineStr">
        <is>
          <t>KMI</t>
        </is>
      </c>
      <c r="J1922">
        <f>BDP($B1922,"CNTRY_OF_DOMICILE")</f>
        <v/>
      </c>
      <c r="K1922" t="inlineStr">
        <is>
          <t>EC</t>
        </is>
      </c>
      <c r="L1922" t="inlineStr">
        <is>
          <t>CORP</t>
        </is>
      </c>
      <c r="M1922" t="inlineStr"/>
      <c r="N1922" t="inlineStr"/>
      <c r="O1922" s="1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s="1" t="inlineStr"/>
      <c r="AR1922" s="1" t="inlineStr"/>
      <c r="AS1922" s="1" t="inlineStr"/>
      <c r="AT1922" t="inlineStr"/>
      <c r="AU1922" t="inlineStr"/>
      <c r="AV1922" t="inlineStr"/>
      <c r="AW1922" t="inlineStr"/>
      <c r="AX1922" t="inlineStr"/>
      <c r="AY1922" t="inlineStr"/>
    </row>
    <row r="1923">
      <c r="A1923" t="inlineStr">
        <is>
          <t>WR</t>
        </is>
      </c>
      <c r="B1923" t="inlineStr">
        <is>
          <t>KRMN US Equity</t>
        </is>
      </c>
      <c r="C1923" s="1" t="inlineStr">
        <is>
          <t>KRMN</t>
        </is>
      </c>
      <c r="D1923" t="inlineStr">
        <is>
          <t>Karman Holdings Inc</t>
        </is>
      </c>
      <c r="E1923">
        <f>BDP($B1923,"LEGAL_ENTITY_IDENTIFIER")</f>
        <v/>
      </c>
      <c r="F1923" t="inlineStr">
        <is>
          <t>Karman Holdings Inc</t>
        </is>
      </c>
      <c r="G1923">
        <f>custodian!D1923</f>
        <v/>
      </c>
      <c r="H1923">
        <f>BDP($B1923,"ID_ISIN")</f>
        <v/>
      </c>
      <c r="I1923" s="1" t="inlineStr">
        <is>
          <t>KRMN</t>
        </is>
      </c>
      <c r="J1923">
        <f>BDP($B1923,"CNTRY_OF_DOMICILE")</f>
        <v/>
      </c>
      <c r="K1923" t="inlineStr">
        <is>
          <t>EC</t>
        </is>
      </c>
      <c r="L1923" t="inlineStr">
        <is>
          <t>CORP</t>
        </is>
      </c>
      <c r="M1923" t="inlineStr"/>
      <c r="N1923" t="inlineStr"/>
      <c r="O1923" s="1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s="1" t="inlineStr"/>
      <c r="AR1923" s="1" t="inlineStr"/>
      <c r="AS1923" s="1" t="inlineStr"/>
      <c r="AT1923" t="inlineStr"/>
      <c r="AU1923" t="inlineStr"/>
      <c r="AV1923" t="inlineStr"/>
      <c r="AW1923" t="inlineStr"/>
      <c r="AX1923" t="inlineStr"/>
      <c r="AY1923" t="inlineStr"/>
    </row>
    <row r="1924">
      <c r="A1924" t="inlineStr">
        <is>
          <t>WR</t>
        </is>
      </c>
      <c r="B1924" t="inlineStr">
        <is>
          <t>KTOS US Equity</t>
        </is>
      </c>
      <c r="C1924" s="1" t="inlineStr">
        <is>
          <t>KTOS</t>
        </is>
      </c>
      <c r="D1924" t="inlineStr">
        <is>
          <t>Kratos Defense &amp; Security Solu</t>
        </is>
      </c>
      <c r="E1924">
        <f>BDP($B1924,"LEGAL_ENTITY_IDENTIFIER")</f>
        <v/>
      </c>
      <c r="F1924" t="inlineStr">
        <is>
          <t>Kratos Defense &amp; Security Solutions Inc</t>
        </is>
      </c>
      <c r="G1924">
        <f>custodian!D1924</f>
        <v/>
      </c>
      <c r="H1924">
        <f>BDP($B1924,"ID_ISIN")</f>
        <v/>
      </c>
      <c r="I1924" s="1" t="inlineStr">
        <is>
          <t>KTOS</t>
        </is>
      </c>
      <c r="J1924">
        <f>BDP($B1924,"CNTRY_OF_DOMICILE")</f>
        <v/>
      </c>
      <c r="K1924" t="inlineStr">
        <is>
          <t>EC</t>
        </is>
      </c>
      <c r="L1924" t="inlineStr">
        <is>
          <t>CORP</t>
        </is>
      </c>
      <c r="M1924" t="inlineStr"/>
      <c r="N1924" t="inlineStr"/>
      <c r="O1924" s="1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s="1" t="inlineStr"/>
      <c r="AR1924" s="1" t="inlineStr"/>
      <c r="AS1924" s="1" t="inlineStr"/>
      <c r="AT1924" t="inlineStr"/>
      <c r="AU1924" t="inlineStr"/>
      <c r="AV1924" t="inlineStr"/>
      <c r="AW1924" t="inlineStr"/>
      <c r="AX1924" t="inlineStr"/>
      <c r="AY1924" t="inlineStr"/>
    </row>
    <row r="1925">
      <c r="A1925" t="inlineStr">
        <is>
          <t>WR</t>
        </is>
      </c>
      <c r="B1925" t="inlineStr">
        <is>
          <t>LBRT US Equity</t>
        </is>
      </c>
      <c r="C1925" s="1" t="inlineStr">
        <is>
          <t>LBRT</t>
        </is>
      </c>
      <c r="D1925" t="inlineStr">
        <is>
          <t>Liberty Energy Inc</t>
        </is>
      </c>
      <c r="E1925">
        <f>BDP($B1925,"LEGAL_ENTITY_IDENTIFIER")</f>
        <v/>
      </c>
      <c r="F1925" t="inlineStr">
        <is>
          <t>Liberty Energy Inc</t>
        </is>
      </c>
      <c r="G1925">
        <f>custodian!D1925</f>
        <v/>
      </c>
      <c r="H1925">
        <f>BDP($B1925,"ID_ISIN")</f>
        <v/>
      </c>
      <c r="I1925" s="1" t="inlineStr">
        <is>
          <t>LBRT</t>
        </is>
      </c>
      <c r="J1925">
        <f>BDP($B1925,"CNTRY_OF_DOMICILE")</f>
        <v/>
      </c>
      <c r="K1925" t="inlineStr">
        <is>
          <t>EC</t>
        </is>
      </c>
      <c r="L1925" t="inlineStr">
        <is>
          <t>CORP</t>
        </is>
      </c>
      <c r="M1925" t="inlineStr"/>
      <c r="N1925" t="inlineStr"/>
      <c r="O1925" s="1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s="1" t="inlineStr"/>
      <c r="AR1925" s="1" t="inlineStr"/>
      <c r="AS1925" s="1" t="inlineStr"/>
      <c r="AT1925" t="inlineStr"/>
      <c r="AU1925" t="inlineStr"/>
      <c r="AV1925" t="inlineStr"/>
      <c r="AW1925" t="inlineStr"/>
      <c r="AX1925" t="inlineStr"/>
      <c r="AY1925" t="inlineStr"/>
    </row>
    <row r="1926">
      <c r="A1926" t="inlineStr">
        <is>
          <t>WR</t>
        </is>
      </c>
      <c r="B1926" t="inlineStr">
        <is>
          <t>LDOS US Equity</t>
        </is>
      </c>
      <c r="C1926" s="1" t="inlineStr">
        <is>
          <t>LDOS</t>
        </is>
      </c>
      <c r="D1926" t="inlineStr">
        <is>
          <t>Leidos Holdings Inc</t>
        </is>
      </c>
      <c r="E1926">
        <f>BDP($B1926,"LEGAL_ENTITY_IDENTIFIER")</f>
        <v/>
      </c>
      <c r="F1926" t="inlineStr">
        <is>
          <t>Leidos Holdings Inc</t>
        </is>
      </c>
      <c r="G1926">
        <f>custodian!D1926</f>
        <v/>
      </c>
      <c r="H1926">
        <f>BDP($B1926,"ID_ISIN")</f>
        <v/>
      </c>
      <c r="I1926" s="1" t="inlineStr">
        <is>
          <t>LDOS</t>
        </is>
      </c>
      <c r="J1926">
        <f>BDP($B1926,"CNTRY_OF_DOMICILE")</f>
        <v/>
      </c>
      <c r="K1926" t="inlineStr">
        <is>
          <t>EC</t>
        </is>
      </c>
      <c r="L1926" t="inlineStr">
        <is>
          <t>CORP</t>
        </is>
      </c>
      <c r="M1926" t="inlineStr"/>
      <c r="N1926" t="inlineStr"/>
      <c r="O1926" s="1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s="1" t="inlineStr"/>
      <c r="AR1926" s="1" t="inlineStr"/>
      <c r="AS1926" s="1" t="inlineStr"/>
      <c r="AT1926" t="inlineStr"/>
      <c r="AU1926" t="inlineStr"/>
      <c r="AV1926" t="inlineStr"/>
      <c r="AW1926" t="inlineStr"/>
      <c r="AX1926" t="inlineStr"/>
      <c r="AY1926" t="inlineStr"/>
    </row>
    <row r="1927">
      <c r="A1927" t="inlineStr">
        <is>
          <t>WR</t>
        </is>
      </c>
      <c r="B1927" t="inlineStr">
        <is>
          <t>LMT US Equity</t>
        </is>
      </c>
      <c r="C1927" s="1" t="inlineStr">
        <is>
          <t>LMT</t>
        </is>
      </c>
      <c r="D1927" t="inlineStr">
        <is>
          <t>Lockheed Martin Corp</t>
        </is>
      </c>
      <c r="E1927">
        <f>BDP($B1927,"LEGAL_ENTITY_IDENTIFIER")</f>
        <v/>
      </c>
      <c r="F1927" t="inlineStr">
        <is>
          <t>Lockheed Martin Corp</t>
        </is>
      </c>
      <c r="G1927">
        <f>custodian!D1927</f>
        <v/>
      </c>
      <c r="H1927">
        <f>BDP($B1927,"ID_ISIN")</f>
        <v/>
      </c>
      <c r="I1927" s="1" t="inlineStr">
        <is>
          <t>LMT</t>
        </is>
      </c>
      <c r="J1927">
        <f>BDP($B1927,"CNTRY_OF_DOMICILE")</f>
        <v/>
      </c>
      <c r="K1927" t="inlineStr">
        <is>
          <t>EC</t>
        </is>
      </c>
      <c r="L1927" t="inlineStr">
        <is>
          <t>CORP</t>
        </is>
      </c>
      <c r="M1927" t="inlineStr"/>
      <c r="N1927" t="inlineStr"/>
      <c r="O1927" s="1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s="1" t="inlineStr"/>
      <c r="AR1927" s="1" t="inlineStr"/>
      <c r="AS1927" s="1" t="inlineStr"/>
      <c r="AT1927" t="inlineStr"/>
      <c r="AU1927" t="inlineStr"/>
      <c r="AV1927" t="inlineStr"/>
      <c r="AW1927" t="inlineStr"/>
      <c r="AX1927" t="inlineStr"/>
      <c r="AY1927" t="inlineStr"/>
    </row>
    <row r="1928">
      <c r="A1928" t="inlineStr">
        <is>
          <t>WR</t>
        </is>
      </c>
      <c r="B1928" t="inlineStr">
        <is>
          <t>LNG US Equity</t>
        </is>
      </c>
      <c r="C1928" s="1" t="inlineStr">
        <is>
          <t>LNG</t>
        </is>
      </c>
      <c r="D1928" t="inlineStr">
        <is>
          <t>Cheniere Energy Inc</t>
        </is>
      </c>
      <c r="E1928">
        <f>BDP($B1928,"LEGAL_ENTITY_IDENTIFIER")</f>
        <v/>
      </c>
      <c r="F1928" t="inlineStr">
        <is>
          <t>Cheniere Energy Inc</t>
        </is>
      </c>
      <c r="G1928">
        <f>custodian!D1928</f>
        <v/>
      </c>
      <c r="H1928">
        <f>BDP($B1928,"ID_ISIN")</f>
        <v/>
      </c>
      <c r="I1928" s="1" t="inlineStr">
        <is>
          <t>LNG</t>
        </is>
      </c>
      <c r="J1928">
        <f>BDP($B1928,"CNTRY_OF_DOMICILE")</f>
        <v/>
      </c>
      <c r="K1928" t="inlineStr">
        <is>
          <t>EC</t>
        </is>
      </c>
      <c r="L1928" t="inlineStr">
        <is>
          <t>CORP</t>
        </is>
      </c>
      <c r="M1928" t="inlineStr"/>
      <c r="N1928" t="inlineStr"/>
      <c r="O1928" s="1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s="1" t="inlineStr"/>
      <c r="AR1928" s="1" t="inlineStr"/>
      <c r="AS1928" s="1" t="inlineStr"/>
      <c r="AT1928" t="inlineStr"/>
      <c r="AU1928" t="inlineStr"/>
      <c r="AV1928" t="inlineStr"/>
      <c r="AW1928" t="inlineStr"/>
      <c r="AX1928" t="inlineStr"/>
      <c r="AY1928" t="inlineStr"/>
    </row>
    <row r="1929">
      <c r="A1929" t="inlineStr">
        <is>
          <t>WR</t>
        </is>
      </c>
      <c r="B1929" t="inlineStr">
        <is>
          <t>LOAR US Equity</t>
        </is>
      </c>
      <c r="C1929" s="1" t="inlineStr">
        <is>
          <t>LOAR</t>
        </is>
      </c>
      <c r="D1929" t="inlineStr">
        <is>
          <t>Loar Holdings Inc</t>
        </is>
      </c>
      <c r="E1929">
        <f>BDP($B1929,"LEGAL_ENTITY_IDENTIFIER")</f>
        <v/>
      </c>
      <c r="F1929" t="inlineStr">
        <is>
          <t>Loar Holdings Inc</t>
        </is>
      </c>
      <c r="G1929">
        <f>custodian!D1929</f>
        <v/>
      </c>
      <c r="H1929">
        <f>BDP($B1929,"ID_ISIN")</f>
        <v/>
      </c>
      <c r="I1929" s="1" t="inlineStr">
        <is>
          <t>LOAR</t>
        </is>
      </c>
      <c r="J1929">
        <f>BDP($B1929,"CNTRY_OF_DOMICILE")</f>
        <v/>
      </c>
      <c r="K1929" t="inlineStr">
        <is>
          <t>EC</t>
        </is>
      </c>
      <c r="L1929" t="inlineStr">
        <is>
          <t>CORP</t>
        </is>
      </c>
      <c r="M1929" t="inlineStr"/>
      <c r="N1929" t="inlineStr"/>
      <c r="O1929" s="1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s="1" t="inlineStr"/>
      <c r="AR1929" s="1" t="inlineStr"/>
      <c r="AS1929" s="1" t="inlineStr"/>
      <c r="AT1929" t="inlineStr"/>
      <c r="AU1929" t="inlineStr"/>
      <c r="AV1929" t="inlineStr"/>
      <c r="AW1929" t="inlineStr"/>
      <c r="AX1929" t="inlineStr"/>
      <c r="AY1929" t="inlineStr"/>
    </row>
    <row r="1930">
      <c r="A1930" t="inlineStr">
        <is>
          <t>WR</t>
        </is>
      </c>
      <c r="B1930" t="inlineStr">
        <is>
          <t>MOG/A US Equity</t>
        </is>
      </c>
      <c r="C1930" s="1" t="inlineStr">
        <is>
          <t>MOG/A</t>
        </is>
      </c>
      <c r="D1930" t="inlineStr">
        <is>
          <t>Moog Inc</t>
        </is>
      </c>
      <c r="E1930">
        <f>BDP($B1930,"LEGAL_ENTITY_IDENTIFIER")</f>
        <v/>
      </c>
      <c r="F1930" t="inlineStr">
        <is>
          <t>Moog Inc</t>
        </is>
      </c>
      <c r="G1930">
        <f>custodian!D1930</f>
        <v/>
      </c>
      <c r="H1930">
        <f>BDP($B1930,"ID_ISIN")</f>
        <v/>
      </c>
      <c r="I1930" s="1" t="inlineStr">
        <is>
          <t>MOG/A</t>
        </is>
      </c>
      <c r="J1930">
        <f>BDP($B1930,"CNTRY_OF_DOMICILE")</f>
        <v/>
      </c>
      <c r="K1930" t="inlineStr">
        <is>
          <t>EC</t>
        </is>
      </c>
      <c r="L1930" t="inlineStr">
        <is>
          <t>CORP</t>
        </is>
      </c>
      <c r="M1930" t="inlineStr"/>
      <c r="N1930" t="inlineStr"/>
      <c r="O1930" s="1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s="1" t="inlineStr"/>
      <c r="AR1930" s="1" t="inlineStr"/>
      <c r="AS1930" s="1" t="inlineStr"/>
      <c r="AT1930" t="inlineStr"/>
      <c r="AU1930" t="inlineStr"/>
      <c r="AV1930" t="inlineStr"/>
      <c r="AW1930" t="inlineStr"/>
      <c r="AX1930" t="inlineStr"/>
      <c r="AY1930" t="inlineStr"/>
    </row>
    <row r="1931">
      <c r="A1931" t="inlineStr">
        <is>
          <t>WR</t>
        </is>
      </c>
      <c r="B1931" t="inlineStr">
        <is>
          <t>MPC US Equity</t>
        </is>
      </c>
      <c r="C1931" s="1" t="inlineStr">
        <is>
          <t>MPC</t>
        </is>
      </c>
      <c r="D1931" t="inlineStr">
        <is>
          <t>Marathon Petroleum Corp</t>
        </is>
      </c>
      <c r="E1931">
        <f>BDP($B1931,"LEGAL_ENTITY_IDENTIFIER")</f>
        <v/>
      </c>
      <c r="F1931" t="inlineStr">
        <is>
          <t>Marathon Petroleum Corp</t>
        </is>
      </c>
      <c r="G1931">
        <f>custodian!D1931</f>
        <v/>
      </c>
      <c r="H1931">
        <f>BDP($B1931,"ID_ISIN")</f>
        <v/>
      </c>
      <c r="I1931" s="1" t="inlineStr">
        <is>
          <t>MPC</t>
        </is>
      </c>
      <c r="J1931">
        <f>BDP($B1931,"CNTRY_OF_DOMICILE")</f>
        <v/>
      </c>
      <c r="K1931" t="inlineStr">
        <is>
          <t>EC</t>
        </is>
      </c>
      <c r="L1931" t="inlineStr">
        <is>
          <t>CORP</t>
        </is>
      </c>
      <c r="M1931" t="inlineStr"/>
      <c r="N1931" t="inlineStr"/>
      <c r="O1931" s="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s="1" t="inlineStr"/>
      <c r="AR1931" s="1" t="inlineStr"/>
      <c r="AS1931" s="1" t="inlineStr"/>
      <c r="AT1931" t="inlineStr"/>
      <c r="AU1931" t="inlineStr"/>
      <c r="AV1931" t="inlineStr"/>
      <c r="AW1931" t="inlineStr"/>
      <c r="AX1931" t="inlineStr"/>
      <c r="AY1931" t="inlineStr"/>
    </row>
    <row r="1932">
      <c r="A1932" t="inlineStr">
        <is>
          <t>WR</t>
        </is>
      </c>
      <c r="B1932" t="inlineStr">
        <is>
          <t>MRCY US Equity</t>
        </is>
      </c>
      <c r="C1932" s="1" t="inlineStr">
        <is>
          <t>MRCY</t>
        </is>
      </c>
      <c r="D1932" t="inlineStr">
        <is>
          <t>Mercury Systems Inc</t>
        </is>
      </c>
      <c r="E1932">
        <f>BDP($B1932,"LEGAL_ENTITY_IDENTIFIER")</f>
        <v/>
      </c>
      <c r="F1932" t="inlineStr">
        <is>
          <t>Mercury Systems Inc</t>
        </is>
      </c>
      <c r="G1932">
        <f>custodian!D1932</f>
        <v/>
      </c>
      <c r="H1932">
        <f>BDP($B1932,"ID_ISIN")</f>
        <v/>
      </c>
      <c r="I1932" s="1" t="inlineStr">
        <is>
          <t>MRCY</t>
        </is>
      </c>
      <c r="J1932">
        <f>BDP($B1932,"CNTRY_OF_DOMICILE")</f>
        <v/>
      </c>
      <c r="K1932" t="inlineStr">
        <is>
          <t>EC</t>
        </is>
      </c>
      <c r="L1932" t="inlineStr">
        <is>
          <t>CORP</t>
        </is>
      </c>
      <c r="M1932" t="inlineStr"/>
      <c r="N1932" t="inlineStr"/>
      <c r="O1932" s="1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s="1" t="inlineStr"/>
      <c r="AR1932" s="1" t="inlineStr"/>
      <c r="AS1932" s="1" t="inlineStr"/>
      <c r="AT1932" t="inlineStr"/>
      <c r="AU1932" t="inlineStr"/>
      <c r="AV1932" t="inlineStr"/>
      <c r="AW1932" t="inlineStr"/>
      <c r="AX1932" t="inlineStr"/>
      <c r="AY1932" t="inlineStr"/>
    </row>
    <row r="1933">
      <c r="A1933" t="inlineStr">
        <is>
          <t>WR</t>
        </is>
      </c>
      <c r="B1933" t="inlineStr">
        <is>
          <t>MTDR US Equity</t>
        </is>
      </c>
      <c r="C1933" s="1" t="inlineStr">
        <is>
          <t>MTDR</t>
        </is>
      </c>
      <c r="D1933" t="inlineStr">
        <is>
          <t>Matador Resources Co</t>
        </is>
      </c>
      <c r="E1933">
        <f>BDP($B1933,"LEGAL_ENTITY_IDENTIFIER")</f>
        <v/>
      </c>
      <c r="F1933" t="inlineStr">
        <is>
          <t>Matador Resources Co</t>
        </is>
      </c>
      <c r="G1933">
        <f>custodian!D1933</f>
        <v/>
      </c>
      <c r="H1933">
        <f>BDP($B1933,"ID_ISIN")</f>
        <v/>
      </c>
      <c r="I1933" s="1" t="inlineStr">
        <is>
          <t>MTDR</t>
        </is>
      </c>
      <c r="J1933">
        <f>BDP($B1933,"CNTRY_OF_DOMICILE")</f>
        <v/>
      </c>
      <c r="K1933" t="inlineStr">
        <is>
          <t>EC</t>
        </is>
      </c>
      <c r="L1933" t="inlineStr">
        <is>
          <t>CORP</t>
        </is>
      </c>
      <c r="M1933" t="inlineStr"/>
      <c r="N1933" t="inlineStr"/>
      <c r="O1933" s="1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s="1" t="inlineStr"/>
      <c r="AR1933" s="1" t="inlineStr"/>
      <c r="AS1933" s="1" t="inlineStr"/>
      <c r="AT1933" t="inlineStr"/>
      <c r="AU1933" t="inlineStr"/>
      <c r="AV1933" t="inlineStr"/>
      <c r="AW1933" t="inlineStr"/>
      <c r="AX1933" t="inlineStr"/>
      <c r="AY1933" t="inlineStr"/>
    </row>
    <row r="1934">
      <c r="A1934" t="inlineStr">
        <is>
          <t>WR</t>
        </is>
      </c>
      <c r="B1934" t="inlineStr">
        <is>
          <t>NPK US Equity</t>
        </is>
      </c>
      <c r="C1934" s="1" t="inlineStr">
        <is>
          <t>NPK</t>
        </is>
      </c>
      <c r="D1934" t="inlineStr">
        <is>
          <t>National Presto Industries Inc</t>
        </is>
      </c>
      <c r="E1934">
        <f>BDP($B1934,"LEGAL_ENTITY_IDENTIFIER")</f>
        <v/>
      </c>
      <c r="F1934" t="inlineStr">
        <is>
          <t>National Presto Industries Inc</t>
        </is>
      </c>
      <c r="G1934">
        <f>custodian!D1934</f>
        <v/>
      </c>
      <c r="H1934">
        <f>BDP($B1934,"ID_ISIN")</f>
        <v/>
      </c>
      <c r="I1934" s="1" t="inlineStr">
        <is>
          <t>NPK</t>
        </is>
      </c>
      <c r="J1934">
        <f>BDP($B1934,"CNTRY_OF_DOMICILE")</f>
        <v/>
      </c>
      <c r="K1934" t="inlineStr">
        <is>
          <t>EC</t>
        </is>
      </c>
      <c r="L1934" t="inlineStr">
        <is>
          <t>CORP</t>
        </is>
      </c>
      <c r="M1934" t="inlineStr"/>
      <c r="N1934" t="inlineStr"/>
      <c r="O1934" s="1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s="1" t="inlineStr"/>
      <c r="AR1934" s="1" t="inlineStr"/>
      <c r="AS1934" s="1" t="inlineStr"/>
      <c r="AT1934" t="inlineStr"/>
      <c r="AU1934" t="inlineStr"/>
      <c r="AV1934" t="inlineStr"/>
      <c r="AW1934" t="inlineStr"/>
      <c r="AX1934" t="inlineStr"/>
      <c r="AY1934" t="inlineStr"/>
    </row>
    <row r="1935">
      <c r="A1935" t="inlineStr">
        <is>
          <t>WR</t>
        </is>
      </c>
      <c r="B1935" t="inlineStr">
        <is>
          <t>OKE US Equity</t>
        </is>
      </c>
      <c r="C1935" s="1" t="inlineStr">
        <is>
          <t>OKE</t>
        </is>
      </c>
      <c r="D1935" t="inlineStr">
        <is>
          <t>ONEOK Inc</t>
        </is>
      </c>
      <c r="E1935">
        <f>BDP($B1935,"LEGAL_ENTITY_IDENTIFIER")</f>
        <v/>
      </c>
      <c r="F1935" t="inlineStr">
        <is>
          <t>ONEOK Inc</t>
        </is>
      </c>
      <c r="G1935">
        <f>custodian!D1935</f>
        <v/>
      </c>
      <c r="H1935">
        <f>BDP($B1935,"ID_ISIN")</f>
        <v/>
      </c>
      <c r="I1935" s="1" t="inlineStr">
        <is>
          <t>OKE</t>
        </is>
      </c>
      <c r="J1935">
        <f>BDP($B1935,"CNTRY_OF_DOMICILE")</f>
        <v/>
      </c>
      <c r="K1935" t="inlineStr">
        <is>
          <t>EC</t>
        </is>
      </c>
      <c r="L1935" t="inlineStr">
        <is>
          <t>CORP</t>
        </is>
      </c>
      <c r="M1935" t="inlineStr"/>
      <c r="N1935" t="inlineStr"/>
      <c r="O1935" s="1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s="1" t="inlineStr"/>
      <c r="AR1935" s="1" t="inlineStr"/>
      <c r="AS1935" s="1" t="inlineStr"/>
      <c r="AT1935" t="inlineStr"/>
      <c r="AU1935" t="inlineStr"/>
      <c r="AV1935" t="inlineStr"/>
      <c r="AW1935" t="inlineStr"/>
      <c r="AX1935" t="inlineStr"/>
      <c r="AY1935" t="inlineStr"/>
    </row>
    <row r="1936">
      <c r="A1936" t="inlineStr">
        <is>
          <t>WR</t>
        </is>
      </c>
      <c r="B1936" t="inlineStr">
        <is>
          <t>OLN US Equity</t>
        </is>
      </c>
      <c r="C1936" s="1" t="inlineStr">
        <is>
          <t>OLN</t>
        </is>
      </c>
      <c r="D1936" t="inlineStr">
        <is>
          <t>Olin Corp</t>
        </is>
      </c>
      <c r="E1936">
        <f>BDP($B1936,"LEGAL_ENTITY_IDENTIFIER")</f>
        <v/>
      </c>
      <c r="F1936" t="inlineStr">
        <is>
          <t>Olin Corp</t>
        </is>
      </c>
      <c r="G1936">
        <f>custodian!D1936</f>
        <v/>
      </c>
      <c r="H1936">
        <f>BDP($B1936,"ID_ISIN")</f>
        <v/>
      </c>
      <c r="I1936" s="1" t="inlineStr">
        <is>
          <t>OLN</t>
        </is>
      </c>
      <c r="J1936">
        <f>BDP($B1936,"CNTRY_OF_DOMICILE")</f>
        <v/>
      </c>
      <c r="K1936" t="inlineStr">
        <is>
          <t>EC</t>
        </is>
      </c>
      <c r="L1936" t="inlineStr">
        <is>
          <t>CORP</t>
        </is>
      </c>
      <c r="M1936" t="inlineStr"/>
      <c r="N1936" t="inlineStr"/>
      <c r="O1936" s="1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s="1" t="inlineStr"/>
      <c r="AR1936" s="1" t="inlineStr"/>
      <c r="AS1936" s="1" t="inlineStr"/>
      <c r="AT1936" t="inlineStr"/>
      <c r="AU1936" t="inlineStr"/>
      <c r="AV1936" t="inlineStr"/>
      <c r="AW1936" t="inlineStr"/>
      <c r="AX1936" t="inlineStr"/>
      <c r="AY1936" t="inlineStr"/>
    </row>
    <row r="1937">
      <c r="A1937" t="inlineStr">
        <is>
          <t>WR</t>
        </is>
      </c>
      <c r="B1937" t="inlineStr">
        <is>
          <t>ONDS US Equity</t>
        </is>
      </c>
      <c r="C1937" s="1" t="inlineStr">
        <is>
          <t>ONDS</t>
        </is>
      </c>
      <c r="D1937" t="inlineStr">
        <is>
          <t>Ondas Inc</t>
        </is>
      </c>
      <c r="E1937">
        <f>BDP($B1937,"LEGAL_ENTITY_IDENTIFIER")</f>
        <v/>
      </c>
      <c r="F1937" t="inlineStr">
        <is>
          <t>Ondas Inc</t>
        </is>
      </c>
      <c r="G1937">
        <f>custodian!D1937</f>
        <v/>
      </c>
      <c r="H1937">
        <f>BDP($B1937,"ID_ISIN")</f>
        <v/>
      </c>
      <c r="I1937" s="1" t="inlineStr">
        <is>
          <t>ONDS</t>
        </is>
      </c>
      <c r="J1937">
        <f>BDP($B1937,"CNTRY_OF_DOMICILE")</f>
        <v/>
      </c>
      <c r="K1937" t="inlineStr">
        <is>
          <t>EC</t>
        </is>
      </c>
      <c r="L1937" t="inlineStr">
        <is>
          <t>CORP</t>
        </is>
      </c>
      <c r="M1937" t="inlineStr"/>
      <c r="N1937" t="inlineStr"/>
      <c r="O1937" s="1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s="1" t="inlineStr"/>
      <c r="AR1937" s="1" t="inlineStr"/>
      <c r="AS1937" s="1" t="inlineStr"/>
      <c r="AT1937" t="inlineStr"/>
      <c r="AU1937" t="inlineStr"/>
      <c r="AV1937" t="inlineStr"/>
      <c r="AW1937" t="inlineStr"/>
      <c r="AX1937" t="inlineStr"/>
      <c r="AY1937" t="inlineStr"/>
    </row>
    <row r="1938">
      <c r="A1938" t="inlineStr">
        <is>
          <t>WR</t>
        </is>
      </c>
      <c r="B1938" t="inlineStr">
        <is>
          <t>OXY US Equity</t>
        </is>
      </c>
      <c r="C1938" s="1" t="inlineStr">
        <is>
          <t>OXY</t>
        </is>
      </c>
      <c r="D1938" t="inlineStr">
        <is>
          <t>Occidental Petroleum Corp</t>
        </is>
      </c>
      <c r="E1938">
        <f>BDP($B1938,"LEGAL_ENTITY_IDENTIFIER")</f>
        <v/>
      </c>
      <c r="F1938" t="inlineStr">
        <is>
          <t>Occidental Petroleum Corp</t>
        </is>
      </c>
      <c r="G1938">
        <f>custodian!D1938</f>
        <v/>
      </c>
      <c r="H1938">
        <f>BDP($B1938,"ID_ISIN")</f>
        <v/>
      </c>
      <c r="I1938" s="1" t="inlineStr">
        <is>
          <t>OXY</t>
        </is>
      </c>
      <c r="J1938">
        <f>BDP($B1938,"CNTRY_OF_DOMICILE")</f>
        <v/>
      </c>
      <c r="K1938" t="inlineStr">
        <is>
          <t>EC</t>
        </is>
      </c>
      <c r="L1938" t="inlineStr">
        <is>
          <t>CORP</t>
        </is>
      </c>
      <c r="M1938" t="inlineStr"/>
      <c r="N1938" t="inlineStr"/>
      <c r="O1938" s="1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s="1" t="inlineStr"/>
      <c r="AR1938" s="1" t="inlineStr"/>
      <c r="AS1938" s="1" t="inlineStr"/>
      <c r="AT1938" t="inlineStr"/>
      <c r="AU1938" t="inlineStr"/>
      <c r="AV1938" t="inlineStr"/>
      <c r="AW1938" t="inlineStr"/>
      <c r="AX1938" t="inlineStr"/>
      <c r="AY1938" t="inlineStr"/>
    </row>
    <row r="1939">
      <c r="A1939" t="inlineStr">
        <is>
          <t>WR</t>
        </is>
      </c>
      <c r="B1939" t="inlineStr">
        <is>
          <t>PLTR US Equity</t>
        </is>
      </c>
      <c r="C1939" s="1" t="inlineStr">
        <is>
          <t>PLTR</t>
        </is>
      </c>
      <c r="D1939" t="inlineStr">
        <is>
          <t>Palantir Technologies Inc</t>
        </is>
      </c>
      <c r="E1939">
        <f>BDP($B1939,"LEGAL_ENTITY_IDENTIFIER")</f>
        <v/>
      </c>
      <c r="F1939" t="inlineStr">
        <is>
          <t>Palantir Technologies Inc</t>
        </is>
      </c>
      <c r="G1939">
        <f>custodian!D1939</f>
        <v/>
      </c>
      <c r="H1939">
        <f>BDP($B1939,"ID_ISIN")</f>
        <v/>
      </c>
      <c r="I1939" s="1" t="inlineStr">
        <is>
          <t>PLTR</t>
        </is>
      </c>
      <c r="J1939">
        <f>BDP($B1939,"CNTRY_OF_DOMICILE")</f>
        <v/>
      </c>
      <c r="K1939" t="inlineStr">
        <is>
          <t>EC</t>
        </is>
      </c>
      <c r="L1939" t="inlineStr">
        <is>
          <t>CORP</t>
        </is>
      </c>
      <c r="M1939" t="inlineStr"/>
      <c r="N1939" t="inlineStr"/>
      <c r="O1939" s="1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s="1" t="inlineStr"/>
      <c r="AR1939" s="1" t="inlineStr"/>
      <c r="AS1939" s="1" t="inlineStr"/>
      <c r="AT1939" t="inlineStr"/>
      <c r="AU1939" t="inlineStr"/>
      <c r="AV1939" t="inlineStr"/>
      <c r="AW1939" t="inlineStr"/>
      <c r="AX1939" t="inlineStr"/>
      <c r="AY1939" t="inlineStr"/>
    </row>
    <row r="1940">
      <c r="A1940" t="inlineStr">
        <is>
          <t>WR</t>
        </is>
      </c>
      <c r="B1940" t="inlineStr">
        <is>
          <t>PR US Equity</t>
        </is>
      </c>
      <c r="C1940" s="1" t="inlineStr">
        <is>
          <t>PR</t>
        </is>
      </c>
      <c r="D1940" t="inlineStr">
        <is>
          <t>Permian Resources Corp</t>
        </is>
      </c>
      <c r="E1940">
        <f>BDP($B1940,"LEGAL_ENTITY_IDENTIFIER")</f>
        <v/>
      </c>
      <c r="F1940" t="inlineStr">
        <is>
          <t>Permian Resources Corp</t>
        </is>
      </c>
      <c r="G1940">
        <f>custodian!D1940</f>
        <v/>
      </c>
      <c r="H1940">
        <f>BDP($B1940,"ID_ISIN")</f>
        <v/>
      </c>
      <c r="I1940" s="1" t="inlineStr">
        <is>
          <t>PR</t>
        </is>
      </c>
      <c r="J1940">
        <f>BDP($B1940,"CNTRY_OF_DOMICILE")</f>
        <v/>
      </c>
      <c r="K1940" t="inlineStr">
        <is>
          <t>EC</t>
        </is>
      </c>
      <c r="L1940" t="inlineStr">
        <is>
          <t>CORP</t>
        </is>
      </c>
      <c r="M1940" t="inlineStr"/>
      <c r="N1940" t="inlineStr"/>
      <c r="O1940" s="1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s="1" t="inlineStr"/>
      <c r="AR1940" s="1" t="inlineStr"/>
      <c r="AS1940" s="1" t="inlineStr"/>
      <c r="AT1940" t="inlineStr"/>
      <c r="AU1940" t="inlineStr"/>
      <c r="AV1940" t="inlineStr"/>
      <c r="AW1940" t="inlineStr"/>
      <c r="AX1940" t="inlineStr"/>
      <c r="AY1940" t="inlineStr"/>
    </row>
    <row r="1941">
      <c r="A1941" t="inlineStr">
        <is>
          <t>WR</t>
        </is>
      </c>
      <c r="B1941" t="inlineStr">
        <is>
          <t>PSX US Equity</t>
        </is>
      </c>
      <c r="C1941" s="1" t="inlineStr">
        <is>
          <t>PSX</t>
        </is>
      </c>
      <c r="D1941" t="inlineStr">
        <is>
          <t>Phillips 66</t>
        </is>
      </c>
      <c r="E1941">
        <f>BDP($B1941,"LEGAL_ENTITY_IDENTIFIER")</f>
        <v/>
      </c>
      <c r="F1941" t="inlineStr">
        <is>
          <t>Phillips 66</t>
        </is>
      </c>
      <c r="G1941">
        <f>custodian!D1941</f>
        <v/>
      </c>
      <c r="H1941">
        <f>BDP($B1941,"ID_ISIN")</f>
        <v/>
      </c>
      <c r="I1941" s="1" t="inlineStr">
        <is>
          <t>PSX</t>
        </is>
      </c>
      <c r="J1941">
        <f>BDP($B1941,"CNTRY_OF_DOMICILE")</f>
        <v/>
      </c>
      <c r="K1941" t="inlineStr">
        <is>
          <t>EC</t>
        </is>
      </c>
      <c r="L1941" t="inlineStr">
        <is>
          <t>CORP</t>
        </is>
      </c>
      <c r="M1941" t="inlineStr"/>
      <c r="N1941" t="inlineStr"/>
      <c r="O1941" s="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s="1" t="inlineStr"/>
      <c r="AR1941" s="1" t="inlineStr"/>
      <c r="AS1941" s="1" t="inlineStr"/>
      <c r="AT1941" t="inlineStr"/>
      <c r="AU1941" t="inlineStr"/>
      <c r="AV1941" t="inlineStr"/>
      <c r="AW1941" t="inlineStr"/>
      <c r="AX1941" t="inlineStr"/>
      <c r="AY1941" t="inlineStr"/>
    </row>
    <row r="1942">
      <c r="A1942" t="inlineStr">
        <is>
          <t>WR</t>
        </is>
      </c>
      <c r="B1942" t="inlineStr">
        <is>
          <t>PTEN US Equity</t>
        </is>
      </c>
      <c r="C1942" s="1" t="inlineStr">
        <is>
          <t>PTEN</t>
        </is>
      </c>
      <c r="D1942" t="inlineStr">
        <is>
          <t>Patterson-UTI Energy Inc</t>
        </is>
      </c>
      <c r="E1942">
        <f>BDP($B1942,"LEGAL_ENTITY_IDENTIFIER")</f>
        <v/>
      </c>
      <c r="F1942" t="inlineStr">
        <is>
          <t>Patterson-UTI Energy Inc</t>
        </is>
      </c>
      <c r="G1942">
        <f>custodian!D1942</f>
        <v/>
      </c>
      <c r="H1942">
        <f>BDP($B1942,"ID_ISIN")</f>
        <v/>
      </c>
      <c r="I1942" s="1" t="inlineStr">
        <is>
          <t>PTEN</t>
        </is>
      </c>
      <c r="J1942">
        <f>BDP($B1942,"CNTRY_OF_DOMICILE")</f>
        <v/>
      </c>
      <c r="K1942" t="inlineStr">
        <is>
          <t>EC</t>
        </is>
      </c>
      <c r="L1942" t="inlineStr">
        <is>
          <t>CORP</t>
        </is>
      </c>
      <c r="M1942" t="inlineStr"/>
      <c r="N1942" t="inlineStr"/>
      <c r="O1942" s="1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s="1" t="inlineStr"/>
      <c r="AR1942" s="1" t="inlineStr"/>
      <c r="AS1942" s="1" t="inlineStr"/>
      <c r="AT1942" t="inlineStr"/>
      <c r="AU1942" t="inlineStr"/>
      <c r="AV1942" t="inlineStr"/>
      <c r="AW1942" t="inlineStr"/>
      <c r="AX1942" t="inlineStr"/>
      <c r="AY1942" t="inlineStr"/>
    </row>
    <row r="1943">
      <c r="A1943" t="inlineStr">
        <is>
          <t>WR</t>
        </is>
      </c>
      <c r="B1943" t="inlineStr">
        <is>
          <t>RCAT US Equity</t>
        </is>
      </c>
      <c r="C1943" s="1" t="inlineStr">
        <is>
          <t>RCAT</t>
        </is>
      </c>
      <c r="D1943" t="inlineStr">
        <is>
          <t>Red Cat Holdings Inc</t>
        </is>
      </c>
      <c r="E1943">
        <f>BDP($B1943,"LEGAL_ENTITY_IDENTIFIER")</f>
        <v/>
      </c>
      <c r="F1943" t="inlineStr">
        <is>
          <t>Red Cat Holdings Inc</t>
        </is>
      </c>
      <c r="G1943">
        <f>custodian!D1943</f>
        <v/>
      </c>
      <c r="H1943">
        <f>BDP($B1943,"ID_ISIN")</f>
        <v/>
      </c>
      <c r="I1943" s="1" t="inlineStr">
        <is>
          <t>RCAT</t>
        </is>
      </c>
      <c r="J1943">
        <f>BDP($B1943,"CNTRY_OF_DOMICILE")</f>
        <v/>
      </c>
      <c r="K1943" t="inlineStr">
        <is>
          <t>EC</t>
        </is>
      </c>
      <c r="L1943" t="inlineStr">
        <is>
          <t>CORP</t>
        </is>
      </c>
      <c r="M1943" t="inlineStr"/>
      <c r="N1943" t="inlineStr"/>
      <c r="O1943" s="1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s="1" t="inlineStr"/>
      <c r="AR1943" s="1" t="inlineStr"/>
      <c r="AS1943" s="1" t="inlineStr"/>
      <c r="AT1943" t="inlineStr"/>
      <c r="AU1943" t="inlineStr"/>
      <c r="AV1943" t="inlineStr"/>
      <c r="AW1943" t="inlineStr"/>
      <c r="AX1943" t="inlineStr"/>
      <c r="AY1943" t="inlineStr"/>
    </row>
    <row r="1944">
      <c r="A1944" t="inlineStr">
        <is>
          <t>WR</t>
        </is>
      </c>
      <c r="B1944" t="inlineStr">
        <is>
          <t>RKLB US Equity</t>
        </is>
      </c>
      <c r="C1944" s="1" t="inlineStr">
        <is>
          <t>RKLB</t>
        </is>
      </c>
      <c r="D1944" t="inlineStr">
        <is>
          <t>Rocket Lab Corp</t>
        </is>
      </c>
      <c r="E1944">
        <f>BDP($B1944,"LEGAL_ENTITY_IDENTIFIER")</f>
        <v/>
      </c>
      <c r="F1944" t="inlineStr">
        <is>
          <t>Rocket Lab Corp</t>
        </is>
      </c>
      <c r="G1944">
        <f>custodian!D1944</f>
        <v/>
      </c>
      <c r="H1944">
        <f>BDP($B1944,"ID_ISIN")</f>
        <v/>
      </c>
      <c r="I1944" s="1" t="inlineStr">
        <is>
          <t>RKLB</t>
        </is>
      </c>
      <c r="J1944">
        <f>BDP($B1944,"CNTRY_OF_DOMICILE")</f>
        <v/>
      </c>
      <c r="K1944" t="inlineStr">
        <is>
          <t>EC</t>
        </is>
      </c>
      <c r="L1944" t="inlineStr">
        <is>
          <t>CORP</t>
        </is>
      </c>
      <c r="M1944" t="inlineStr"/>
      <c r="N1944" t="inlineStr"/>
      <c r="O1944" s="1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s="1" t="inlineStr"/>
      <c r="AR1944" s="1" t="inlineStr"/>
      <c r="AS1944" s="1" t="inlineStr"/>
      <c r="AT1944" t="inlineStr"/>
      <c r="AU1944" t="inlineStr"/>
      <c r="AV1944" t="inlineStr"/>
      <c r="AW1944" t="inlineStr"/>
      <c r="AX1944" t="inlineStr"/>
      <c r="AY1944" t="inlineStr"/>
    </row>
    <row r="1945">
      <c r="A1945" t="inlineStr">
        <is>
          <t>WR</t>
        </is>
      </c>
      <c r="B1945" t="inlineStr">
        <is>
          <t>RTX US Equity</t>
        </is>
      </c>
      <c r="C1945" s="1" t="inlineStr">
        <is>
          <t>RTX</t>
        </is>
      </c>
      <c r="D1945" t="inlineStr">
        <is>
          <t>RTX Corp</t>
        </is>
      </c>
      <c r="E1945">
        <f>BDP($B1945,"LEGAL_ENTITY_IDENTIFIER")</f>
        <v/>
      </c>
      <c r="F1945" t="inlineStr">
        <is>
          <t>RTX Corp</t>
        </is>
      </c>
      <c r="G1945">
        <f>custodian!D1945</f>
        <v/>
      </c>
      <c r="H1945">
        <f>BDP($B1945,"ID_ISIN")</f>
        <v/>
      </c>
      <c r="I1945" s="1" t="inlineStr">
        <is>
          <t>RTX</t>
        </is>
      </c>
      <c r="J1945">
        <f>BDP($B1945,"CNTRY_OF_DOMICILE")</f>
        <v/>
      </c>
      <c r="K1945" t="inlineStr">
        <is>
          <t>EC</t>
        </is>
      </c>
      <c r="L1945" t="inlineStr">
        <is>
          <t>CORP</t>
        </is>
      </c>
      <c r="M1945" t="inlineStr"/>
      <c r="N1945" t="inlineStr"/>
      <c r="O1945" s="1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s="1" t="inlineStr"/>
      <c r="AR1945" s="1" t="inlineStr"/>
      <c r="AS1945" s="1" t="inlineStr"/>
      <c r="AT1945" t="inlineStr"/>
      <c r="AU1945" t="inlineStr"/>
      <c r="AV1945" t="inlineStr"/>
      <c r="AW1945" t="inlineStr"/>
      <c r="AX1945" t="inlineStr"/>
      <c r="AY1945" t="inlineStr"/>
    </row>
    <row r="1946">
      <c r="A1946" t="inlineStr">
        <is>
          <t>WR</t>
        </is>
      </c>
      <c r="B1946" t="inlineStr">
        <is>
          <t>SAIC US Equity</t>
        </is>
      </c>
      <c r="C1946" s="1" t="inlineStr">
        <is>
          <t>SAIC</t>
        </is>
      </c>
      <c r="D1946" t="inlineStr">
        <is>
          <t>Science Applications Internati</t>
        </is>
      </c>
      <c r="E1946">
        <f>BDP($B1946,"LEGAL_ENTITY_IDENTIFIER")</f>
        <v/>
      </c>
      <c r="F1946" t="inlineStr">
        <is>
          <t>Science Applications International Corp</t>
        </is>
      </c>
      <c r="G1946">
        <f>custodian!D1946</f>
        <v/>
      </c>
      <c r="H1946">
        <f>BDP($B1946,"ID_ISIN")</f>
        <v/>
      </c>
      <c r="I1946" s="1" t="inlineStr">
        <is>
          <t>SAIC</t>
        </is>
      </c>
      <c r="J1946">
        <f>BDP($B1946,"CNTRY_OF_DOMICILE")</f>
        <v/>
      </c>
      <c r="K1946" t="inlineStr">
        <is>
          <t>EC</t>
        </is>
      </c>
      <c r="L1946" t="inlineStr">
        <is>
          <t>CORP</t>
        </is>
      </c>
      <c r="M1946" t="inlineStr"/>
      <c r="N1946" t="inlineStr"/>
      <c r="O1946" s="1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s="1" t="inlineStr"/>
      <c r="AR1946" s="1" t="inlineStr"/>
      <c r="AS1946" s="1" t="inlineStr"/>
      <c r="AT1946" t="inlineStr"/>
      <c r="AU1946" t="inlineStr"/>
      <c r="AV1946" t="inlineStr"/>
      <c r="AW1946" t="inlineStr"/>
      <c r="AX1946" t="inlineStr"/>
      <c r="AY1946" t="inlineStr"/>
    </row>
    <row r="1947">
      <c r="A1947" t="inlineStr">
        <is>
          <t>WR</t>
        </is>
      </c>
      <c r="B1947" t="inlineStr">
        <is>
          <t>SLB US Equity</t>
        </is>
      </c>
      <c r="C1947" s="1" t="inlineStr">
        <is>
          <t>SLB</t>
        </is>
      </c>
      <c r="D1947" t="inlineStr">
        <is>
          <t>SLB Ltd</t>
        </is>
      </c>
      <c r="E1947">
        <f>BDP($B1947,"LEGAL_ENTITY_IDENTIFIER")</f>
        <v/>
      </c>
      <c r="F1947" t="inlineStr">
        <is>
          <t>SLB Ltd</t>
        </is>
      </c>
      <c r="G1947">
        <f>custodian!D1947</f>
        <v/>
      </c>
      <c r="H1947">
        <f>BDP($B1947,"ID_ISIN")</f>
        <v/>
      </c>
      <c r="I1947" s="1" t="inlineStr">
        <is>
          <t>SLB</t>
        </is>
      </c>
      <c r="J1947">
        <f>BDP($B1947,"CNTRY_OF_DOMICILE")</f>
        <v/>
      </c>
      <c r="K1947" t="inlineStr">
        <is>
          <t>EC</t>
        </is>
      </c>
      <c r="L1947" t="inlineStr">
        <is>
          <t>CORP</t>
        </is>
      </c>
      <c r="M1947" t="inlineStr"/>
      <c r="N1947" t="inlineStr"/>
      <c r="O1947" s="1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s="1" t="inlineStr"/>
      <c r="AR1947" s="1" t="inlineStr"/>
      <c r="AS1947" s="1" t="inlineStr"/>
      <c r="AT1947" t="inlineStr"/>
      <c r="AU1947" t="inlineStr"/>
      <c r="AV1947" t="inlineStr"/>
      <c r="AW1947" t="inlineStr"/>
      <c r="AX1947" t="inlineStr"/>
      <c r="AY1947" t="inlineStr"/>
    </row>
    <row r="1948">
      <c r="A1948" t="inlineStr">
        <is>
          <t>WR</t>
        </is>
      </c>
      <c r="B1948" t="inlineStr">
        <is>
          <t>SWBI US Equity</t>
        </is>
      </c>
      <c r="C1948" s="1" t="inlineStr">
        <is>
          <t>SWBI</t>
        </is>
      </c>
      <c r="D1948" t="inlineStr">
        <is>
          <t>Smith &amp; Wesson Brands Inc</t>
        </is>
      </c>
      <c r="E1948">
        <f>BDP($B1948,"LEGAL_ENTITY_IDENTIFIER")</f>
        <v/>
      </c>
      <c r="F1948" t="inlineStr">
        <is>
          <t>Smith &amp; Wesson Brands Inc</t>
        </is>
      </c>
      <c r="G1948">
        <f>custodian!D1948</f>
        <v/>
      </c>
      <c r="H1948">
        <f>BDP($B1948,"ID_ISIN")</f>
        <v/>
      </c>
      <c r="I1948" s="1" t="inlineStr">
        <is>
          <t>SWBI</t>
        </is>
      </c>
      <c r="J1948">
        <f>BDP($B1948,"CNTRY_OF_DOMICILE")</f>
        <v/>
      </c>
      <c r="K1948" t="inlineStr">
        <is>
          <t>EC</t>
        </is>
      </c>
      <c r="L1948" t="inlineStr">
        <is>
          <t>CORP</t>
        </is>
      </c>
      <c r="M1948" t="inlineStr"/>
      <c r="N1948" t="inlineStr"/>
      <c r="O1948" s="1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s="1" t="inlineStr"/>
      <c r="AR1948" s="1" t="inlineStr"/>
      <c r="AS1948" s="1" t="inlineStr"/>
      <c r="AT1948" t="inlineStr"/>
      <c r="AU1948" t="inlineStr"/>
      <c r="AV1948" t="inlineStr"/>
      <c r="AW1948" t="inlineStr"/>
      <c r="AX1948" t="inlineStr"/>
      <c r="AY1948" t="inlineStr"/>
    </row>
    <row r="1949">
      <c r="A1949" t="inlineStr">
        <is>
          <t>WR</t>
        </is>
      </c>
      <c r="B1949" t="inlineStr">
        <is>
          <t>TDG US Equity</t>
        </is>
      </c>
      <c r="C1949" s="1" t="inlineStr">
        <is>
          <t>TDG</t>
        </is>
      </c>
      <c r="D1949" t="inlineStr">
        <is>
          <t>TransDigm Group Inc</t>
        </is>
      </c>
      <c r="E1949">
        <f>BDP($B1949,"LEGAL_ENTITY_IDENTIFIER")</f>
        <v/>
      </c>
      <c r="F1949" t="inlineStr">
        <is>
          <t>TransDigm Group Inc</t>
        </is>
      </c>
      <c r="G1949">
        <f>custodian!D1949</f>
        <v/>
      </c>
      <c r="H1949">
        <f>BDP($B1949,"ID_ISIN")</f>
        <v/>
      </c>
      <c r="I1949" s="1" t="inlineStr">
        <is>
          <t>TDG</t>
        </is>
      </c>
      <c r="J1949">
        <f>BDP($B1949,"CNTRY_OF_DOMICILE")</f>
        <v/>
      </c>
      <c r="K1949" t="inlineStr">
        <is>
          <t>EC</t>
        </is>
      </c>
      <c r="L1949" t="inlineStr">
        <is>
          <t>CORP</t>
        </is>
      </c>
      <c r="M1949" t="inlineStr"/>
      <c r="N1949" t="inlineStr"/>
      <c r="O1949" s="1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s="1" t="inlineStr"/>
      <c r="AR1949" s="1" t="inlineStr"/>
      <c r="AS1949" s="1" t="inlineStr"/>
      <c r="AT1949" t="inlineStr"/>
      <c r="AU1949" t="inlineStr"/>
      <c r="AV1949" t="inlineStr"/>
      <c r="AW1949" t="inlineStr"/>
      <c r="AX1949" t="inlineStr"/>
      <c r="AY1949" t="inlineStr"/>
    </row>
    <row r="1950">
      <c r="A1950" t="inlineStr">
        <is>
          <t>WR</t>
        </is>
      </c>
      <c r="B1950" t="inlineStr">
        <is>
          <t>TRGP US Equity</t>
        </is>
      </c>
      <c r="C1950" s="1" t="inlineStr">
        <is>
          <t>TRGP</t>
        </is>
      </c>
      <c r="D1950" t="inlineStr">
        <is>
          <t>Targa Resources Corp</t>
        </is>
      </c>
      <c r="E1950">
        <f>BDP($B1950,"LEGAL_ENTITY_IDENTIFIER")</f>
        <v/>
      </c>
      <c r="F1950" t="inlineStr">
        <is>
          <t>Targa Resources Corp</t>
        </is>
      </c>
      <c r="G1950">
        <f>custodian!D1950</f>
        <v/>
      </c>
      <c r="H1950">
        <f>BDP($B1950,"ID_ISIN")</f>
        <v/>
      </c>
      <c r="I1950" s="1" t="inlineStr">
        <is>
          <t>TRGP</t>
        </is>
      </c>
      <c r="J1950">
        <f>BDP($B1950,"CNTRY_OF_DOMICILE")</f>
        <v/>
      </c>
      <c r="K1950" t="inlineStr">
        <is>
          <t>EC</t>
        </is>
      </c>
      <c r="L1950" t="inlineStr">
        <is>
          <t>CORP</t>
        </is>
      </c>
      <c r="M1950" t="inlineStr"/>
      <c r="N1950" t="inlineStr"/>
      <c r="O1950" s="1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s="1" t="inlineStr"/>
      <c r="AR1950" s="1" t="inlineStr"/>
      <c r="AS1950" s="1" t="inlineStr"/>
      <c r="AT1950" t="inlineStr"/>
      <c r="AU1950" t="inlineStr"/>
      <c r="AV1950" t="inlineStr"/>
      <c r="AW1950" t="inlineStr"/>
      <c r="AX1950" t="inlineStr"/>
      <c r="AY1950" t="inlineStr"/>
    </row>
    <row r="1951">
      <c r="A1951" t="inlineStr">
        <is>
          <t>WR</t>
        </is>
      </c>
      <c r="B1951" t="inlineStr">
        <is>
          <t>VG US Equity</t>
        </is>
      </c>
      <c r="C1951" s="1" t="inlineStr">
        <is>
          <t>VG</t>
        </is>
      </c>
      <c r="D1951" t="inlineStr">
        <is>
          <t>Venture Global Inc</t>
        </is>
      </c>
      <c r="E1951">
        <f>BDP($B1951,"LEGAL_ENTITY_IDENTIFIER")</f>
        <v/>
      </c>
      <c r="F1951" t="inlineStr">
        <is>
          <t>Venture Global Inc</t>
        </is>
      </c>
      <c r="G1951">
        <f>custodian!D1951</f>
        <v/>
      </c>
      <c r="H1951">
        <f>BDP($B1951,"ID_ISIN")</f>
        <v/>
      </c>
      <c r="I1951" s="1" t="inlineStr">
        <is>
          <t>VG</t>
        </is>
      </c>
      <c r="J1951">
        <f>BDP($B1951,"CNTRY_OF_DOMICILE")</f>
        <v/>
      </c>
      <c r="K1951" t="inlineStr">
        <is>
          <t>EC</t>
        </is>
      </c>
      <c r="L1951" t="inlineStr">
        <is>
          <t>CORP</t>
        </is>
      </c>
      <c r="M1951" t="inlineStr"/>
      <c r="N1951" t="inlineStr"/>
      <c r="O1951" s="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s="1" t="inlineStr"/>
      <c r="AR1951" s="1" t="inlineStr"/>
      <c r="AS1951" s="1" t="inlineStr"/>
      <c r="AT1951" t="inlineStr"/>
      <c r="AU1951" t="inlineStr"/>
      <c r="AV1951" t="inlineStr"/>
      <c r="AW1951" t="inlineStr"/>
      <c r="AX1951" t="inlineStr"/>
      <c r="AY1951" t="inlineStr"/>
    </row>
    <row r="1952">
      <c r="A1952" t="inlineStr">
        <is>
          <t>WR</t>
        </is>
      </c>
      <c r="B1952" t="inlineStr">
        <is>
          <t>VLO US Equity</t>
        </is>
      </c>
      <c r="C1952" s="1" t="inlineStr">
        <is>
          <t>VLO</t>
        </is>
      </c>
      <c r="D1952" t="inlineStr">
        <is>
          <t>Valero Energy Corp</t>
        </is>
      </c>
      <c r="E1952">
        <f>BDP($B1952,"LEGAL_ENTITY_IDENTIFIER")</f>
        <v/>
      </c>
      <c r="F1952" t="inlineStr">
        <is>
          <t>Valero Energy Corp</t>
        </is>
      </c>
      <c r="G1952">
        <f>custodian!D1952</f>
        <v/>
      </c>
      <c r="H1952">
        <f>BDP($B1952,"ID_ISIN")</f>
        <v/>
      </c>
      <c r="I1952" s="1" t="inlineStr">
        <is>
          <t>VLO</t>
        </is>
      </c>
      <c r="J1952">
        <f>BDP($B1952,"CNTRY_OF_DOMICILE")</f>
        <v/>
      </c>
      <c r="K1952" t="inlineStr">
        <is>
          <t>EC</t>
        </is>
      </c>
      <c r="L1952" t="inlineStr">
        <is>
          <t>CORP</t>
        </is>
      </c>
      <c r="M1952" t="inlineStr"/>
      <c r="N1952" t="inlineStr"/>
      <c r="O1952" s="1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s="1" t="inlineStr"/>
      <c r="AR1952" s="1" t="inlineStr"/>
      <c r="AS1952" s="1" t="inlineStr"/>
      <c r="AT1952" t="inlineStr"/>
      <c r="AU1952" t="inlineStr"/>
      <c r="AV1952" t="inlineStr"/>
      <c r="AW1952" t="inlineStr"/>
      <c r="AX1952" t="inlineStr"/>
      <c r="AY1952" t="inlineStr"/>
    </row>
    <row r="1953">
      <c r="A1953" t="inlineStr">
        <is>
          <t>WR</t>
        </is>
      </c>
      <c r="B1953" t="inlineStr">
        <is>
          <t>VVX US Equity</t>
        </is>
      </c>
      <c r="C1953" s="1" t="inlineStr">
        <is>
          <t>VVX</t>
        </is>
      </c>
      <c r="D1953" t="inlineStr">
        <is>
          <t>V2X Inc</t>
        </is>
      </c>
      <c r="E1953">
        <f>BDP($B1953,"LEGAL_ENTITY_IDENTIFIER")</f>
        <v/>
      </c>
      <c r="F1953" t="inlineStr">
        <is>
          <t>V2X Inc</t>
        </is>
      </c>
      <c r="G1953">
        <f>custodian!D1953</f>
        <v/>
      </c>
      <c r="H1953">
        <f>BDP($B1953,"ID_ISIN")</f>
        <v/>
      </c>
      <c r="I1953" s="1" t="inlineStr">
        <is>
          <t>VVX</t>
        </is>
      </c>
      <c r="J1953">
        <f>BDP($B1953,"CNTRY_OF_DOMICILE")</f>
        <v/>
      </c>
      <c r="K1953" t="inlineStr">
        <is>
          <t>EC</t>
        </is>
      </c>
      <c r="L1953" t="inlineStr">
        <is>
          <t>CORP</t>
        </is>
      </c>
      <c r="M1953" t="inlineStr"/>
      <c r="N1953" t="inlineStr"/>
      <c r="O1953" s="1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s="1" t="inlineStr"/>
      <c r="AR1953" s="1" t="inlineStr"/>
      <c r="AS1953" s="1" t="inlineStr"/>
      <c r="AT1953" t="inlineStr"/>
      <c r="AU1953" t="inlineStr"/>
      <c r="AV1953" t="inlineStr"/>
      <c r="AW1953" t="inlineStr"/>
      <c r="AX1953" t="inlineStr"/>
      <c r="AY1953" t="inlineStr"/>
    </row>
    <row r="1954">
      <c r="A1954" t="inlineStr">
        <is>
          <t>WR</t>
        </is>
      </c>
      <c r="B1954" t="inlineStr">
        <is>
          <t>WFRD US Equity</t>
        </is>
      </c>
      <c r="C1954" s="1" t="inlineStr">
        <is>
          <t>WFRD</t>
        </is>
      </c>
      <c r="D1954" t="inlineStr">
        <is>
          <t>Weatherford International PLC</t>
        </is>
      </c>
      <c r="E1954">
        <f>BDP($B1954,"LEGAL_ENTITY_IDENTIFIER")</f>
        <v/>
      </c>
      <c r="F1954" t="inlineStr">
        <is>
          <t>Weatherford International PLC</t>
        </is>
      </c>
      <c r="G1954">
        <f>custodian!D1954</f>
        <v/>
      </c>
      <c r="H1954">
        <f>BDP($B1954,"ID_ISIN")</f>
        <v/>
      </c>
      <c r="I1954" s="1" t="inlineStr">
        <is>
          <t>WFRD</t>
        </is>
      </c>
      <c r="J1954">
        <f>BDP($B1954,"CNTRY_OF_DOMICILE")</f>
        <v/>
      </c>
      <c r="K1954" t="inlineStr">
        <is>
          <t>EC</t>
        </is>
      </c>
      <c r="L1954" t="inlineStr">
        <is>
          <t>CORP</t>
        </is>
      </c>
      <c r="M1954" t="inlineStr"/>
      <c r="N1954" t="inlineStr"/>
      <c r="O1954" s="1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s="1" t="inlineStr"/>
      <c r="AR1954" s="1" t="inlineStr"/>
      <c r="AS1954" s="1" t="inlineStr"/>
      <c r="AT1954" t="inlineStr"/>
      <c r="AU1954" t="inlineStr"/>
      <c r="AV1954" t="inlineStr"/>
      <c r="AW1954" t="inlineStr"/>
      <c r="AX1954" t="inlineStr"/>
      <c r="AY1954" t="inlineStr"/>
    </row>
    <row r="1955">
      <c r="A1955" t="inlineStr">
        <is>
          <t>WR</t>
        </is>
      </c>
      <c r="B1955" t="inlineStr">
        <is>
          <t>WMB US Equity</t>
        </is>
      </c>
      <c r="C1955" s="1" t="inlineStr">
        <is>
          <t>WMB</t>
        </is>
      </c>
      <c r="D1955" t="inlineStr">
        <is>
          <t>Williams Cos Inc/The</t>
        </is>
      </c>
      <c r="E1955">
        <f>BDP($B1955,"LEGAL_ENTITY_IDENTIFIER")</f>
        <v/>
      </c>
      <c r="F1955" t="inlineStr">
        <is>
          <t>Williams Cos Inc/The</t>
        </is>
      </c>
      <c r="G1955">
        <f>custodian!D1955</f>
        <v/>
      </c>
      <c r="H1955">
        <f>BDP($B1955,"ID_ISIN")</f>
        <v/>
      </c>
      <c r="I1955" s="1" t="inlineStr">
        <is>
          <t>WMB</t>
        </is>
      </c>
      <c r="J1955">
        <f>BDP($B1955,"CNTRY_OF_DOMICILE")</f>
        <v/>
      </c>
      <c r="K1955" t="inlineStr">
        <is>
          <t>EC</t>
        </is>
      </c>
      <c r="L1955" t="inlineStr">
        <is>
          <t>CORP</t>
        </is>
      </c>
      <c r="M1955" t="inlineStr"/>
      <c r="N1955" t="inlineStr"/>
      <c r="O1955" s="1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s="1" t="inlineStr"/>
      <c r="AR1955" s="1" t="inlineStr"/>
      <c r="AS1955" s="1" t="inlineStr"/>
      <c r="AT1955" t="inlineStr"/>
      <c r="AU1955" t="inlineStr"/>
      <c r="AV1955" t="inlineStr"/>
      <c r="AW1955" t="inlineStr"/>
      <c r="AX1955" t="inlineStr"/>
      <c r="AY1955" t="inlineStr"/>
    </row>
    <row r="1956">
      <c r="A1956" t="inlineStr">
        <is>
          <t>WR</t>
        </is>
      </c>
      <c r="B1956" t="inlineStr">
        <is>
          <t>XOM US Equity</t>
        </is>
      </c>
      <c r="C1956" s="1" t="inlineStr">
        <is>
          <t>XOM</t>
        </is>
      </c>
      <c r="D1956" t="inlineStr">
        <is>
          <t>Exxon Mobil Corp</t>
        </is>
      </c>
      <c r="E1956">
        <f>BDP($B1956,"LEGAL_ENTITY_IDENTIFIER")</f>
        <v/>
      </c>
      <c r="F1956" t="inlineStr">
        <is>
          <t>Exxon Mobil Corp</t>
        </is>
      </c>
      <c r="G1956">
        <f>custodian!D1956</f>
        <v/>
      </c>
      <c r="H1956">
        <f>BDP($B1956,"ID_ISIN")</f>
        <v/>
      </c>
      <c r="I1956" s="1" t="inlineStr">
        <is>
          <t>XOM</t>
        </is>
      </c>
      <c r="J1956">
        <f>BDP($B1956,"CNTRY_OF_DOMICILE")</f>
        <v/>
      </c>
      <c r="K1956" t="inlineStr">
        <is>
          <t>EC</t>
        </is>
      </c>
      <c r="L1956" t="inlineStr">
        <is>
          <t>CORP</t>
        </is>
      </c>
      <c r="M1956" t="inlineStr"/>
      <c r="N1956" t="inlineStr"/>
      <c r="O1956" s="1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s="1" t="inlineStr"/>
      <c r="AR1956" s="1" t="inlineStr"/>
      <c r="AS1956" s="1" t="inlineStr"/>
      <c r="AT1956" t="inlineStr"/>
      <c r="AU1956" t="inlineStr"/>
      <c r="AV1956" t="inlineStr"/>
      <c r="AW1956" t="inlineStr"/>
      <c r="AX1956" t="inlineStr"/>
      <c r="AY1956" t="inlineStr"/>
    </row>
    <row r="1957">
      <c r="A1957" t="inlineStr">
        <is>
          <t>WR</t>
        </is>
      </c>
      <c r="B1957" t="inlineStr"/>
      <c r="C1957" s="1" t="inlineStr">
        <is>
          <t>Cash&amp;Other</t>
        </is>
      </c>
      <c r="D1957" t="inlineStr"/>
      <c r="E1957" s="1" t="inlineStr"/>
      <c r="F1957" t="inlineStr"/>
      <c r="G1957">
        <f>custodian!D1957</f>
        <v/>
      </c>
      <c r="H1957" s="1" t="inlineStr"/>
      <c r="I1957" s="1" t="inlineStr"/>
      <c r="J1957" t="inlineStr"/>
      <c r="K1957" t="inlineStr"/>
      <c r="L1957" t="inlineStr"/>
      <c r="M1957" t="inlineStr"/>
      <c r="N1957" t="inlineStr"/>
      <c r="O1957" s="1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s="1" t="inlineStr"/>
      <c r="AR1957" s="1" t="inlineStr"/>
      <c r="AS1957" s="1" t="inlineStr"/>
      <c r="AT1957" t="inlineStr"/>
      <c r="AU1957" t="inlineStr"/>
      <c r="AV1957" t="inlineStr"/>
      <c r="AW1957" t="inlineStr"/>
      <c r="AX1957" t="inlineStr"/>
      <c r="AY1957" t="inlineStr"/>
    </row>
    <row r="1958">
      <c r="A1958" t="inlineStr">
        <is>
          <t>WX</t>
        </is>
      </c>
      <c r="B1958" t="inlineStr">
        <is>
          <t>922042742 Equity</t>
        </is>
      </c>
      <c r="C1958" s="1" t="inlineStr">
        <is>
          <t>922042742-TRS-07/07/27-L-CLST</t>
        </is>
      </c>
      <c r="D1958" t="inlineStr">
        <is>
          <t>N/A</t>
        </is>
      </c>
      <c r="E1958" s="1" t="inlineStr">
        <is>
          <t>N/A</t>
        </is>
      </c>
      <c r="F1958" t="inlineStr">
        <is>
          <t>VANGUARD TOTAL WORLD STOCK INDEX FUND ETF SHARES-SWAP-CLST-L</t>
        </is>
      </c>
      <c r="G1958">
        <f>custodian!D1958</f>
        <v/>
      </c>
      <c r="H1958" s="1" t="inlineStr"/>
      <c r="I1958" s="1" t="inlineStr">
        <is>
          <t>922042742-TRS-07/07/27-L-CLST</t>
        </is>
      </c>
      <c r="J1958" t="inlineStr">
        <is>
          <t>US</t>
        </is>
      </c>
      <c r="K1958" t="inlineStr">
        <is>
          <t>DE</t>
        </is>
      </c>
      <c r="L1958" t="inlineStr">
        <is>
          <t>OTHER</t>
        </is>
      </c>
      <c r="M1958" t="inlineStr">
        <is>
          <t>SWP</t>
        </is>
      </c>
      <c r="N1958" t="inlineStr"/>
      <c r="O1958" s="1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otherRefInst</t>
        </is>
      </c>
      <c r="W1958" t="inlineStr"/>
      <c r="X1958" t="inlineStr"/>
      <c r="Y1958" t="inlineStr">
        <is>
          <t>Y</t>
        </is>
      </c>
      <c r="Z1958" t="inlineStr">
        <is>
          <t>2027-07-07</t>
        </is>
      </c>
      <c r="AA1958" t="inlineStr">
        <is>
          <t>701111.70</t>
        </is>
      </c>
      <c r="AB1958" t="inlineStr">
        <is>
          <t>USD</t>
        </is>
      </c>
      <c r="AC1958" t="inlineStr">
        <is>
          <t>-15706.41</t>
        </is>
      </c>
      <c r="AD1958" t="inlineStr">
        <is>
          <t>-15706.41</t>
        </is>
      </c>
      <c r="AE1958" t="inlineStr">
        <is>
          <t>-4.47</t>
        </is>
      </c>
      <c r="AF1958" t="inlineStr"/>
      <c r="AG1958" t="inlineStr"/>
      <c r="AH1958" t="inlineStr">
        <is>
          <t>Floating</t>
        </is>
      </c>
      <c r="AI1958" t="inlineStr"/>
      <c r="AJ1958" t="inlineStr"/>
      <c r="AK1958" t="inlineStr">
        <is>
          <t>701111.70</t>
        </is>
      </c>
      <c r="AL1958" t="inlineStr">
        <is>
          <t>USD</t>
        </is>
      </c>
      <c r="AM1958" t="inlineStr"/>
      <c r="AN1958" t="inlineStr"/>
      <c r="AO1958">
        <f>BDP($B1958,"ISSUER")</f>
        <v/>
      </c>
      <c r="AP1958">
        <f>BDP($B1958,"NAME")</f>
        <v/>
      </c>
      <c r="AQ1958" s="1" t="inlineStr">
        <is>
          <t>922042742</t>
        </is>
      </c>
      <c r="AR1958">
        <f>BDP($B1958,"ID_ISIN")</f>
        <v/>
      </c>
      <c r="AS1958">
        <f>BDP($B1958,"TICKER")</f>
        <v/>
      </c>
      <c r="AT1958" t="inlineStr"/>
      <c r="AU1958" t="inlineStr"/>
      <c r="AV1958" t="inlineStr"/>
      <c r="AW1958" t="inlineStr"/>
      <c r="AX1958" t="inlineStr"/>
      <c r="AY1958" t="inlineStr"/>
    </row>
    <row r="1959">
      <c r="A1959" t="inlineStr">
        <is>
          <t>WX</t>
        </is>
      </c>
      <c r="B1959" t="inlineStr">
        <is>
          <t>FGXXX US Equity</t>
        </is>
      </c>
      <c r="C1959" s="1" t="inlineStr">
        <is>
          <t>FGXXX</t>
        </is>
      </c>
      <c r="D1959" t="inlineStr">
        <is>
          <t>First American Government Obli</t>
        </is>
      </c>
      <c r="E1959">
        <f>BDP($B1959,"LEGAL_ENTITY_IDENTIFIER")</f>
        <v/>
      </c>
      <c r="F1959" t="inlineStr">
        <is>
          <t>First American Government Obligations Fund</t>
        </is>
      </c>
      <c r="G1959">
        <f>custodian!D1959</f>
        <v/>
      </c>
      <c r="H1959">
        <f>BDP($B1959,"ID_ISIN")</f>
        <v/>
      </c>
      <c r="I1959" s="1" t="inlineStr">
        <is>
          <t>FGXXX</t>
        </is>
      </c>
      <c r="J1959">
        <f>BDP($B1959,"CNTRY_OF_DOMICILE")</f>
        <v/>
      </c>
      <c r="K1959" t="inlineStr">
        <is>
          <t>STIV</t>
        </is>
      </c>
      <c r="L1959" t="inlineStr">
        <is>
          <t>RF</t>
        </is>
      </c>
      <c r="M1959" t="inlineStr"/>
      <c r="N1959" t="inlineStr"/>
      <c r="O1959" s="1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s="1" t="inlineStr"/>
      <c r="AR1959" s="1" t="inlineStr"/>
      <c r="AS1959" s="1" t="inlineStr"/>
      <c r="AT1959" t="inlineStr"/>
      <c r="AU1959" t="inlineStr"/>
      <c r="AV1959" t="inlineStr"/>
      <c r="AW1959" t="inlineStr"/>
      <c r="AX1959" t="inlineStr"/>
      <c r="AY1959" t="inlineStr"/>
    </row>
    <row r="1960">
      <c r="A1960" t="inlineStr">
        <is>
          <t>WX</t>
        </is>
      </c>
      <c r="B1960" t="inlineStr"/>
      <c r="C1960" s="1" t="inlineStr">
        <is>
          <t>Cash&amp;Other</t>
        </is>
      </c>
      <c r="D1960" t="inlineStr"/>
      <c r="E1960" s="1" t="inlineStr"/>
      <c r="F1960" t="inlineStr"/>
      <c r="G1960">
        <f>custodian!D1960</f>
        <v/>
      </c>
      <c r="H1960" s="1" t="inlineStr"/>
      <c r="I1960" s="1" t="inlineStr"/>
      <c r="J1960" t="inlineStr"/>
      <c r="K1960" t="inlineStr"/>
      <c r="L1960" t="inlineStr"/>
      <c r="M1960" t="inlineStr"/>
      <c r="N1960" t="inlineStr"/>
      <c r="O1960" s="1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s="1" t="inlineStr"/>
      <c r="AR1960" s="1" t="inlineStr"/>
      <c r="AS1960" s="1" t="inlineStr"/>
      <c r="AT1960" t="inlineStr"/>
      <c r="AU1960" t="inlineStr"/>
      <c r="AV1960" t="inlineStr"/>
      <c r="AW1960" t="inlineStr"/>
      <c r="AX1960" t="inlineStr"/>
      <c r="AY1960" t="inlineStr"/>
    </row>
    <row r="1961">
      <c r="A1961" t="inlineStr">
        <is>
          <t>XA</t>
        </is>
      </c>
      <c r="B1961" t="inlineStr">
        <is>
          <t>AKAM US Equity</t>
        </is>
      </c>
      <c r="C1961" s="1" t="inlineStr">
        <is>
          <t>AKAM</t>
        </is>
      </c>
      <c r="D1961" t="inlineStr">
        <is>
          <t>Akamai Technologies Inc</t>
        </is>
      </c>
      <c r="E1961">
        <f>BDP($B1961,"LEGAL_ENTITY_IDENTIFIER")</f>
        <v/>
      </c>
      <c r="F1961" t="inlineStr">
        <is>
          <t>Akamai Technologies Inc</t>
        </is>
      </c>
      <c r="G1961">
        <f>custodian!D1961</f>
        <v/>
      </c>
      <c r="H1961">
        <f>BDP($B1961,"ID_ISIN")</f>
        <v/>
      </c>
      <c r="I1961" s="1" t="inlineStr">
        <is>
          <t>AKAM</t>
        </is>
      </c>
      <c r="J1961">
        <f>BDP($B1961,"CNTRY_OF_DOMICILE")</f>
        <v/>
      </c>
      <c r="K1961" t="inlineStr">
        <is>
          <t>EC</t>
        </is>
      </c>
      <c r="L1961" t="inlineStr">
        <is>
          <t>CORP</t>
        </is>
      </c>
      <c r="M1961" t="inlineStr"/>
      <c r="N1961" t="inlineStr"/>
      <c r="O1961" s="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s="1" t="inlineStr"/>
      <c r="AR1961" s="1" t="inlineStr"/>
      <c r="AS1961" s="1" t="inlineStr"/>
      <c r="AT1961" t="inlineStr"/>
      <c r="AU1961" t="inlineStr"/>
      <c r="AV1961" t="inlineStr"/>
      <c r="AW1961" t="inlineStr"/>
      <c r="AX1961" t="inlineStr"/>
      <c r="AY1961" t="inlineStr"/>
    </row>
    <row r="1962">
      <c r="A1962" t="inlineStr">
        <is>
          <t>XA</t>
        </is>
      </c>
      <c r="B1962" t="inlineStr">
        <is>
          <t>ARQQ US Equity</t>
        </is>
      </c>
      <c r="C1962" s="1" t="inlineStr">
        <is>
          <t>ARQQ</t>
        </is>
      </c>
      <c r="D1962" t="inlineStr">
        <is>
          <t>Arqit Quantum Inc</t>
        </is>
      </c>
      <c r="E1962">
        <f>BDP($B1962,"LEGAL_ENTITY_IDENTIFIER")</f>
        <v/>
      </c>
      <c r="F1962" t="inlineStr">
        <is>
          <t>Arqit Quantum Inc</t>
        </is>
      </c>
      <c r="G1962">
        <f>custodian!D1962</f>
        <v/>
      </c>
      <c r="H1962">
        <f>BDP($B1962,"ID_ISIN")</f>
        <v/>
      </c>
      <c r="I1962" s="1" t="inlineStr">
        <is>
          <t>ARQQ</t>
        </is>
      </c>
      <c r="J1962">
        <f>BDP($B1962,"CNTRY_OF_DOMICILE")</f>
        <v/>
      </c>
      <c r="K1962" t="inlineStr">
        <is>
          <t>EC</t>
        </is>
      </c>
      <c r="L1962" t="inlineStr">
        <is>
          <t>CORP</t>
        </is>
      </c>
      <c r="M1962" t="inlineStr"/>
      <c r="N1962" t="inlineStr"/>
      <c r="O1962" s="1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s="1" t="inlineStr"/>
      <c r="AR1962" s="1" t="inlineStr"/>
      <c r="AS1962" s="1" t="inlineStr"/>
      <c r="AT1962" t="inlineStr"/>
      <c r="AU1962" t="inlineStr"/>
      <c r="AV1962" t="inlineStr"/>
      <c r="AW1962" t="inlineStr"/>
      <c r="AX1962" t="inlineStr"/>
      <c r="AY1962" t="inlineStr"/>
    </row>
    <row r="1963">
      <c r="A1963" t="inlineStr">
        <is>
          <t>XA</t>
        </is>
      </c>
      <c r="B1963" t="inlineStr">
        <is>
          <t>ATEN US Equity</t>
        </is>
      </c>
      <c r="C1963" s="1" t="inlineStr">
        <is>
          <t>ATEN</t>
        </is>
      </c>
      <c r="D1963" t="inlineStr">
        <is>
          <t>A10 Networks Inc</t>
        </is>
      </c>
      <c r="E1963">
        <f>BDP($B1963,"LEGAL_ENTITY_IDENTIFIER")</f>
        <v/>
      </c>
      <c r="F1963" t="inlineStr">
        <is>
          <t>A10 Networks Inc</t>
        </is>
      </c>
      <c r="G1963">
        <f>custodian!D1963</f>
        <v/>
      </c>
      <c r="H1963">
        <f>BDP($B1963,"ID_ISIN")</f>
        <v/>
      </c>
      <c r="I1963" s="1" t="inlineStr">
        <is>
          <t>ATEN</t>
        </is>
      </c>
      <c r="J1963">
        <f>BDP($B1963,"CNTRY_OF_DOMICILE")</f>
        <v/>
      </c>
      <c r="K1963" t="inlineStr">
        <is>
          <t>EC</t>
        </is>
      </c>
      <c r="L1963" t="inlineStr">
        <is>
          <t>CORP</t>
        </is>
      </c>
      <c r="M1963" t="inlineStr"/>
      <c r="N1963" t="inlineStr"/>
      <c r="O1963" s="1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s="1" t="inlineStr"/>
      <c r="AR1963" s="1" t="inlineStr"/>
      <c r="AS1963" s="1" t="inlineStr"/>
      <c r="AT1963" t="inlineStr"/>
      <c r="AU1963" t="inlineStr"/>
      <c r="AV1963" t="inlineStr"/>
      <c r="AW1963" t="inlineStr"/>
      <c r="AX1963" t="inlineStr"/>
      <c r="AY1963" t="inlineStr"/>
    </row>
    <row r="1964">
      <c r="A1964" t="inlineStr">
        <is>
          <t>XA</t>
        </is>
      </c>
      <c r="B1964" t="inlineStr">
        <is>
          <t>CACI US Equity</t>
        </is>
      </c>
      <c r="C1964" s="1" t="inlineStr">
        <is>
          <t>CACI</t>
        </is>
      </c>
      <c r="D1964" t="inlineStr">
        <is>
          <t>CACI International Inc</t>
        </is>
      </c>
      <c r="E1964">
        <f>BDP($B1964,"LEGAL_ENTITY_IDENTIFIER")</f>
        <v/>
      </c>
      <c r="F1964" t="inlineStr">
        <is>
          <t>CACI International Inc</t>
        </is>
      </c>
      <c r="G1964">
        <f>custodian!D1964</f>
        <v/>
      </c>
      <c r="H1964">
        <f>BDP($B1964,"ID_ISIN")</f>
        <v/>
      </c>
      <c r="I1964" s="1" t="inlineStr">
        <is>
          <t>CACI</t>
        </is>
      </c>
      <c r="J1964">
        <f>BDP($B1964,"CNTRY_OF_DOMICILE")</f>
        <v/>
      </c>
      <c r="K1964" t="inlineStr">
        <is>
          <t>EC</t>
        </is>
      </c>
      <c r="L1964" t="inlineStr">
        <is>
          <t>CORP</t>
        </is>
      </c>
      <c r="M1964" t="inlineStr"/>
      <c r="N1964" t="inlineStr"/>
      <c r="O1964" s="1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s="1" t="inlineStr"/>
      <c r="AR1964" s="1" t="inlineStr"/>
      <c r="AS1964" s="1" t="inlineStr"/>
      <c r="AT1964" t="inlineStr"/>
      <c r="AU1964" t="inlineStr"/>
      <c r="AV1964" t="inlineStr"/>
      <c r="AW1964" t="inlineStr"/>
      <c r="AX1964" t="inlineStr"/>
      <c r="AY1964" t="inlineStr"/>
    </row>
    <row r="1965">
      <c r="A1965" t="inlineStr">
        <is>
          <t>XA</t>
        </is>
      </c>
      <c r="B1965" t="inlineStr">
        <is>
          <t>CHKP US Equity</t>
        </is>
      </c>
      <c r="C1965" s="1" t="inlineStr">
        <is>
          <t>CHKP</t>
        </is>
      </c>
      <c r="D1965" t="inlineStr">
        <is>
          <t>Check Point Software Technolog</t>
        </is>
      </c>
      <c r="E1965">
        <f>BDP($B1965,"LEGAL_ENTITY_IDENTIFIER")</f>
        <v/>
      </c>
      <c r="F1965" t="inlineStr">
        <is>
          <t>Check Point Software Technologies Ltd</t>
        </is>
      </c>
      <c r="G1965">
        <f>custodian!D1965</f>
        <v/>
      </c>
      <c r="H1965">
        <f>BDP($B1965,"ID_ISIN")</f>
        <v/>
      </c>
      <c r="I1965" s="1" t="inlineStr">
        <is>
          <t>CHKP</t>
        </is>
      </c>
      <c r="J1965">
        <f>BDP($B1965,"CNTRY_OF_DOMICILE")</f>
        <v/>
      </c>
      <c r="K1965" t="inlineStr">
        <is>
          <t>EC</t>
        </is>
      </c>
      <c r="L1965" t="inlineStr">
        <is>
          <t>CORP</t>
        </is>
      </c>
      <c r="M1965" t="inlineStr"/>
      <c r="N1965" t="inlineStr"/>
      <c r="O1965" s="1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s="1" t="inlineStr"/>
      <c r="AR1965" s="1" t="inlineStr"/>
      <c r="AS1965" s="1" t="inlineStr"/>
      <c r="AT1965" t="inlineStr"/>
      <c r="AU1965" t="inlineStr"/>
      <c r="AV1965" t="inlineStr"/>
      <c r="AW1965" t="inlineStr"/>
      <c r="AX1965" t="inlineStr"/>
      <c r="AY1965" t="inlineStr"/>
    </row>
    <row r="1966">
      <c r="A1966" t="inlineStr">
        <is>
          <t>XA</t>
        </is>
      </c>
      <c r="B1966" t="inlineStr">
        <is>
          <t>CRWD US Equity</t>
        </is>
      </c>
      <c r="C1966" s="1" t="inlineStr">
        <is>
          <t>CRWD</t>
        </is>
      </c>
      <c r="D1966" t="inlineStr">
        <is>
          <t>Crowdstrike Holdings Inc</t>
        </is>
      </c>
      <c r="E1966">
        <f>BDP($B1966,"LEGAL_ENTITY_IDENTIFIER")</f>
        <v/>
      </c>
      <c r="F1966" t="inlineStr">
        <is>
          <t>Crowdstrike Holdings Inc</t>
        </is>
      </c>
      <c r="G1966">
        <f>custodian!D1966</f>
        <v/>
      </c>
      <c r="H1966">
        <f>BDP($B1966,"ID_ISIN")</f>
        <v/>
      </c>
      <c r="I1966" s="1" t="inlineStr">
        <is>
          <t>CRWD</t>
        </is>
      </c>
      <c r="J1966">
        <f>BDP($B1966,"CNTRY_OF_DOMICILE")</f>
        <v/>
      </c>
      <c r="K1966" t="inlineStr">
        <is>
          <t>EC</t>
        </is>
      </c>
      <c r="L1966" t="inlineStr">
        <is>
          <t>CORP</t>
        </is>
      </c>
      <c r="M1966" t="inlineStr"/>
      <c r="N1966" t="inlineStr"/>
      <c r="O1966" s="1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s="1" t="inlineStr"/>
      <c r="AR1966" s="1" t="inlineStr"/>
      <c r="AS1966" s="1" t="inlineStr"/>
      <c r="AT1966" t="inlineStr"/>
      <c r="AU1966" t="inlineStr"/>
      <c r="AV1966" t="inlineStr"/>
      <c r="AW1966" t="inlineStr"/>
      <c r="AX1966" t="inlineStr"/>
      <c r="AY1966" t="inlineStr"/>
    </row>
    <row r="1967">
      <c r="A1967" t="inlineStr">
        <is>
          <t>XA</t>
        </is>
      </c>
      <c r="B1967" t="inlineStr">
        <is>
          <t>DDOG US Equity</t>
        </is>
      </c>
      <c r="C1967" s="1" t="inlineStr">
        <is>
          <t>DDOG</t>
        </is>
      </c>
      <c r="D1967" t="inlineStr">
        <is>
          <t>Datadog Inc</t>
        </is>
      </c>
      <c r="E1967">
        <f>BDP($B1967,"LEGAL_ENTITY_IDENTIFIER")</f>
        <v/>
      </c>
      <c r="F1967" t="inlineStr">
        <is>
          <t>Datadog Inc</t>
        </is>
      </c>
      <c r="G1967">
        <f>custodian!D1967</f>
        <v/>
      </c>
      <c r="H1967">
        <f>BDP($B1967,"ID_ISIN")</f>
        <v/>
      </c>
      <c r="I1967" s="1" t="inlineStr">
        <is>
          <t>DDOG</t>
        </is>
      </c>
      <c r="J1967">
        <f>BDP($B1967,"CNTRY_OF_DOMICILE")</f>
        <v/>
      </c>
      <c r="K1967" t="inlineStr">
        <is>
          <t>EC</t>
        </is>
      </c>
      <c r="L1967" t="inlineStr">
        <is>
          <t>CORP</t>
        </is>
      </c>
      <c r="M1967" t="inlineStr"/>
      <c r="N1967" t="inlineStr"/>
      <c r="O1967" s="1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s="1" t="inlineStr"/>
      <c r="AR1967" s="1" t="inlineStr"/>
      <c r="AS1967" s="1" t="inlineStr"/>
      <c r="AT1967" t="inlineStr"/>
      <c r="AU1967" t="inlineStr"/>
      <c r="AV1967" t="inlineStr"/>
      <c r="AW1967" t="inlineStr"/>
      <c r="AX1967" t="inlineStr"/>
      <c r="AY1967" t="inlineStr"/>
    </row>
    <row r="1968">
      <c r="A1968" t="inlineStr">
        <is>
          <t>XA</t>
        </is>
      </c>
      <c r="B1968" t="inlineStr">
        <is>
          <t>ESTC US Equity</t>
        </is>
      </c>
      <c r="C1968" s="1" t="inlineStr">
        <is>
          <t>ESTC</t>
        </is>
      </c>
      <c r="D1968" t="inlineStr">
        <is>
          <t>Elastic NV</t>
        </is>
      </c>
      <c r="E1968">
        <f>BDP($B1968,"LEGAL_ENTITY_IDENTIFIER")</f>
        <v/>
      </c>
      <c r="F1968" t="inlineStr">
        <is>
          <t>Elastic NV</t>
        </is>
      </c>
      <c r="G1968">
        <f>custodian!D1968</f>
        <v/>
      </c>
      <c r="H1968">
        <f>BDP($B1968,"ID_ISIN")</f>
        <v/>
      </c>
      <c r="I1968" s="1" t="inlineStr">
        <is>
          <t>ESTC</t>
        </is>
      </c>
      <c r="J1968">
        <f>BDP($B1968,"CNTRY_OF_DOMICILE")</f>
        <v/>
      </c>
      <c r="K1968" t="inlineStr">
        <is>
          <t>EC</t>
        </is>
      </c>
      <c r="L1968" t="inlineStr">
        <is>
          <t>CORP</t>
        </is>
      </c>
      <c r="M1968" t="inlineStr"/>
      <c r="N1968" t="inlineStr"/>
      <c r="O1968" s="1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s="1" t="inlineStr"/>
      <c r="AR1968" s="1" t="inlineStr"/>
      <c r="AS1968" s="1" t="inlineStr"/>
      <c r="AT1968" t="inlineStr"/>
      <c r="AU1968" t="inlineStr"/>
      <c r="AV1968" t="inlineStr"/>
      <c r="AW1968" t="inlineStr"/>
      <c r="AX1968" t="inlineStr"/>
      <c r="AY1968" t="inlineStr"/>
    </row>
    <row r="1969">
      <c r="A1969" t="inlineStr">
        <is>
          <t>XA</t>
        </is>
      </c>
      <c r="B1969" t="inlineStr">
        <is>
          <t>FFIV US Equity</t>
        </is>
      </c>
      <c r="C1969" s="1" t="inlineStr">
        <is>
          <t>FFIV</t>
        </is>
      </c>
      <c r="D1969" t="inlineStr">
        <is>
          <t>F5 Inc</t>
        </is>
      </c>
      <c r="E1969">
        <f>BDP($B1969,"LEGAL_ENTITY_IDENTIFIER")</f>
        <v/>
      </c>
      <c r="F1969" t="inlineStr">
        <is>
          <t>F5 Inc</t>
        </is>
      </c>
      <c r="G1969">
        <f>custodian!D1969</f>
        <v/>
      </c>
      <c r="H1969">
        <f>BDP($B1969,"ID_ISIN")</f>
        <v/>
      </c>
      <c r="I1969" s="1" t="inlineStr">
        <is>
          <t>FFIV</t>
        </is>
      </c>
      <c r="J1969">
        <f>BDP($B1969,"CNTRY_OF_DOMICILE")</f>
        <v/>
      </c>
      <c r="K1969" t="inlineStr">
        <is>
          <t>EC</t>
        </is>
      </c>
      <c r="L1969" t="inlineStr">
        <is>
          <t>CORP</t>
        </is>
      </c>
      <c r="M1969" t="inlineStr"/>
      <c r="N1969" t="inlineStr"/>
      <c r="O1969" s="1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s="1" t="inlineStr"/>
      <c r="AR1969" s="1" t="inlineStr"/>
      <c r="AS1969" s="1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XA</t>
        </is>
      </c>
      <c r="B1970" t="inlineStr">
        <is>
          <t>FGXXX US Equity</t>
        </is>
      </c>
      <c r="C1970" s="1" t="inlineStr">
        <is>
          <t>FGXXX</t>
        </is>
      </c>
      <c r="D1970" t="inlineStr">
        <is>
          <t>First American Government Obli</t>
        </is>
      </c>
      <c r="E1970">
        <f>BDP($B1970,"LEGAL_ENTITY_IDENTIFIER")</f>
        <v/>
      </c>
      <c r="F1970" t="inlineStr">
        <is>
          <t>First American Government Obligations Fund</t>
        </is>
      </c>
      <c r="G1970">
        <f>custodian!D1970</f>
        <v/>
      </c>
      <c r="H1970">
        <f>BDP($B1970,"ID_ISIN")</f>
        <v/>
      </c>
      <c r="I1970" s="1" t="inlineStr">
        <is>
          <t>FGXXX</t>
        </is>
      </c>
      <c r="J1970">
        <f>BDP($B1970,"CNTRY_OF_DOMICILE")</f>
        <v/>
      </c>
      <c r="K1970" t="inlineStr">
        <is>
          <t>STIV</t>
        </is>
      </c>
      <c r="L1970" t="inlineStr">
        <is>
          <t>RF</t>
        </is>
      </c>
      <c r="M1970" t="inlineStr"/>
      <c r="N1970" t="inlineStr"/>
      <c r="O1970" s="1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s="1" t="inlineStr"/>
      <c r="AR1970" s="1" t="inlineStr"/>
      <c r="AS1970" s="1" t="inlineStr"/>
      <c r="AT1970" t="inlineStr"/>
      <c r="AU1970" t="inlineStr"/>
      <c r="AV1970" t="inlineStr"/>
      <c r="AW1970" t="inlineStr"/>
      <c r="AX1970" t="inlineStr"/>
      <c r="AY1970" t="inlineStr"/>
    </row>
    <row r="1971">
      <c r="A1971" t="inlineStr">
        <is>
          <t>XA</t>
        </is>
      </c>
      <c r="B1971" t="inlineStr">
        <is>
          <t>FTNT US Equity</t>
        </is>
      </c>
      <c r="C1971" s="1" t="inlineStr">
        <is>
          <t>FTNT</t>
        </is>
      </c>
      <c r="D1971" t="inlineStr">
        <is>
          <t>Fortinet Inc</t>
        </is>
      </c>
      <c r="E1971">
        <f>BDP($B1971,"LEGAL_ENTITY_IDENTIFIER")</f>
        <v/>
      </c>
      <c r="F1971" t="inlineStr">
        <is>
          <t>Fortinet Inc</t>
        </is>
      </c>
      <c r="G1971">
        <f>custodian!D1971</f>
        <v/>
      </c>
      <c r="H1971">
        <f>BDP($B1971,"ID_ISIN")</f>
        <v/>
      </c>
      <c r="I1971" s="1" t="inlineStr">
        <is>
          <t>FTNT</t>
        </is>
      </c>
      <c r="J1971">
        <f>BDP($B1971,"CNTRY_OF_DOMICILE")</f>
        <v/>
      </c>
      <c r="K1971" t="inlineStr">
        <is>
          <t>EC</t>
        </is>
      </c>
      <c r="L1971" t="inlineStr">
        <is>
          <t>CORP</t>
        </is>
      </c>
      <c r="M1971" t="inlineStr"/>
      <c r="N1971" t="inlineStr"/>
      <c r="O1971" s="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s="1" t="inlineStr"/>
      <c r="AR1971" s="1" t="inlineStr"/>
      <c r="AS1971" s="1" t="inlineStr"/>
      <c r="AT1971" t="inlineStr"/>
      <c r="AU1971" t="inlineStr"/>
      <c r="AV1971" t="inlineStr"/>
      <c r="AW1971" t="inlineStr"/>
      <c r="AX1971" t="inlineStr"/>
      <c r="AY1971" t="inlineStr"/>
    </row>
    <row r="1972">
      <c r="A1972" t="inlineStr">
        <is>
          <t>XA</t>
        </is>
      </c>
      <c r="B1972" t="inlineStr">
        <is>
          <t>GEN US Equity</t>
        </is>
      </c>
      <c r="C1972" s="1" t="inlineStr">
        <is>
          <t>GEN</t>
        </is>
      </c>
      <c r="D1972" t="inlineStr">
        <is>
          <t>GEN DIGITAL INC</t>
        </is>
      </c>
      <c r="E1972">
        <f>BDP($B1972,"LEGAL_ENTITY_IDENTIFIER")</f>
        <v/>
      </c>
      <c r="F1972" t="inlineStr">
        <is>
          <t>GEN DIGITAL INC</t>
        </is>
      </c>
      <c r="G1972">
        <f>custodian!D1972</f>
        <v/>
      </c>
      <c r="H1972">
        <f>BDP($B1972,"ID_ISIN")</f>
        <v/>
      </c>
      <c r="I1972" s="1" t="inlineStr">
        <is>
          <t>GEN</t>
        </is>
      </c>
      <c r="J1972">
        <f>BDP($B1972,"CNTRY_OF_DOMICILE")</f>
        <v/>
      </c>
      <c r="K1972" t="inlineStr">
        <is>
          <t>EC</t>
        </is>
      </c>
      <c r="L1972" t="inlineStr">
        <is>
          <t>CORP</t>
        </is>
      </c>
      <c r="M1972" t="inlineStr"/>
      <c r="N1972" t="inlineStr"/>
      <c r="O1972" s="1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s="1" t="inlineStr"/>
      <c r="AR1972" s="1" t="inlineStr"/>
      <c r="AS1972" s="1" t="inlineStr"/>
      <c r="AT1972" t="inlineStr"/>
      <c r="AU1972" t="inlineStr"/>
      <c r="AV1972" t="inlineStr"/>
      <c r="AW1972" t="inlineStr"/>
      <c r="AX1972" t="inlineStr"/>
      <c r="AY1972" t="inlineStr"/>
    </row>
    <row r="1973">
      <c r="A1973" t="inlineStr">
        <is>
          <t>XA</t>
        </is>
      </c>
      <c r="B1973" t="inlineStr">
        <is>
          <t>NET US Equity</t>
        </is>
      </c>
      <c r="C1973" s="1" t="inlineStr">
        <is>
          <t>NET</t>
        </is>
      </c>
      <c r="D1973" t="inlineStr">
        <is>
          <t>Cloudflare Inc</t>
        </is>
      </c>
      <c r="E1973">
        <f>BDP($B1973,"LEGAL_ENTITY_IDENTIFIER")</f>
        <v/>
      </c>
      <c r="F1973" t="inlineStr">
        <is>
          <t>Cloudflare Inc</t>
        </is>
      </c>
      <c r="G1973">
        <f>custodian!D1973</f>
        <v/>
      </c>
      <c r="H1973">
        <f>BDP($B1973,"ID_ISIN")</f>
        <v/>
      </c>
      <c r="I1973" s="1" t="inlineStr">
        <is>
          <t>NET</t>
        </is>
      </c>
      <c r="J1973">
        <f>BDP($B1973,"CNTRY_OF_DOMICILE")</f>
        <v/>
      </c>
      <c r="K1973" t="inlineStr">
        <is>
          <t>EC</t>
        </is>
      </c>
      <c r="L1973" t="inlineStr">
        <is>
          <t>CORP</t>
        </is>
      </c>
      <c r="M1973" t="inlineStr"/>
      <c r="N1973" t="inlineStr"/>
      <c r="O1973" s="1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s="1" t="inlineStr"/>
      <c r="AR1973" s="1" t="inlineStr"/>
      <c r="AS1973" s="1" t="inlineStr"/>
      <c r="AT1973" t="inlineStr"/>
      <c r="AU1973" t="inlineStr"/>
      <c r="AV1973" t="inlineStr"/>
      <c r="AW1973" t="inlineStr"/>
      <c r="AX1973" t="inlineStr"/>
      <c r="AY1973" t="inlineStr"/>
    </row>
    <row r="1974">
      <c r="A1974" t="inlineStr">
        <is>
          <t>XA</t>
        </is>
      </c>
      <c r="B1974" t="inlineStr">
        <is>
          <t>NTSK US Equity</t>
        </is>
      </c>
      <c r="C1974" s="1" t="inlineStr">
        <is>
          <t>NTSK</t>
        </is>
      </c>
      <c r="D1974" t="inlineStr">
        <is>
          <t>Netskope Inc</t>
        </is>
      </c>
      <c r="E1974">
        <f>BDP($B1974,"LEGAL_ENTITY_IDENTIFIER")</f>
        <v/>
      </c>
      <c r="F1974" t="inlineStr">
        <is>
          <t>Netskope Inc</t>
        </is>
      </c>
      <c r="G1974">
        <f>custodian!D1974</f>
        <v/>
      </c>
      <c r="H1974">
        <f>BDP($B1974,"ID_ISIN")</f>
        <v/>
      </c>
      <c r="I1974" s="1" t="inlineStr">
        <is>
          <t>NTSK</t>
        </is>
      </c>
      <c r="J1974">
        <f>BDP($B1974,"CNTRY_OF_DOMICILE")</f>
        <v/>
      </c>
      <c r="K1974" t="inlineStr">
        <is>
          <t>EC</t>
        </is>
      </c>
      <c r="L1974" t="inlineStr">
        <is>
          <t>CORP</t>
        </is>
      </c>
      <c r="M1974" t="inlineStr"/>
      <c r="N1974" t="inlineStr"/>
      <c r="O1974" s="1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s="1" t="inlineStr"/>
      <c r="AR1974" s="1" t="inlineStr"/>
      <c r="AS1974" s="1" t="inlineStr"/>
      <c r="AT1974" t="inlineStr"/>
      <c r="AU1974" t="inlineStr"/>
      <c r="AV1974" t="inlineStr"/>
      <c r="AW1974" t="inlineStr"/>
      <c r="AX1974" t="inlineStr"/>
      <c r="AY1974" t="inlineStr"/>
    </row>
    <row r="1975">
      <c r="A1975" t="inlineStr">
        <is>
          <t>XA</t>
        </is>
      </c>
      <c r="B1975" t="inlineStr">
        <is>
          <t>OKTA US Equity</t>
        </is>
      </c>
      <c r="C1975" s="1" t="inlineStr">
        <is>
          <t>OKTA</t>
        </is>
      </c>
      <c r="D1975" t="inlineStr">
        <is>
          <t>Okta Inc</t>
        </is>
      </c>
      <c r="E1975">
        <f>BDP($B1975,"LEGAL_ENTITY_IDENTIFIER")</f>
        <v/>
      </c>
      <c r="F1975" t="inlineStr">
        <is>
          <t>Okta Inc</t>
        </is>
      </c>
      <c r="G1975">
        <f>custodian!D1975</f>
        <v/>
      </c>
      <c r="H1975">
        <f>BDP($B1975,"ID_ISIN")</f>
        <v/>
      </c>
      <c r="I1975" s="1" t="inlineStr">
        <is>
          <t>OKTA</t>
        </is>
      </c>
      <c r="J1975">
        <f>BDP($B1975,"CNTRY_OF_DOMICILE")</f>
        <v/>
      </c>
      <c r="K1975" t="inlineStr">
        <is>
          <t>EC</t>
        </is>
      </c>
      <c r="L1975" t="inlineStr">
        <is>
          <t>CORP</t>
        </is>
      </c>
      <c r="M1975" t="inlineStr"/>
      <c r="N1975" t="inlineStr"/>
      <c r="O1975" s="1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s="1" t="inlineStr"/>
      <c r="AR1975" s="1" t="inlineStr"/>
      <c r="AS1975" s="1" t="inlineStr"/>
      <c r="AT1975" t="inlineStr"/>
      <c r="AU1975" t="inlineStr"/>
      <c r="AV1975" t="inlineStr"/>
      <c r="AW1975" t="inlineStr"/>
      <c r="AX1975" t="inlineStr"/>
      <c r="AY1975" t="inlineStr"/>
    </row>
    <row r="1976">
      <c r="A1976" t="inlineStr">
        <is>
          <t>XA</t>
        </is>
      </c>
      <c r="B1976" t="inlineStr">
        <is>
          <t>OSPN US Equity</t>
        </is>
      </c>
      <c r="C1976" s="1" t="inlineStr">
        <is>
          <t>OSPN</t>
        </is>
      </c>
      <c r="D1976" t="inlineStr">
        <is>
          <t>OneSpan Inc</t>
        </is>
      </c>
      <c r="E1976">
        <f>BDP($B1976,"LEGAL_ENTITY_IDENTIFIER")</f>
        <v/>
      </c>
      <c r="F1976" t="inlineStr">
        <is>
          <t>OneSpan Inc</t>
        </is>
      </c>
      <c r="G1976">
        <f>custodian!D1976</f>
        <v/>
      </c>
      <c r="H1976">
        <f>BDP($B1976,"ID_ISIN")</f>
        <v/>
      </c>
      <c r="I1976" s="1" t="inlineStr">
        <is>
          <t>OSPN</t>
        </is>
      </c>
      <c r="J1976">
        <f>BDP($B1976,"CNTRY_OF_DOMICILE")</f>
        <v/>
      </c>
      <c r="K1976" t="inlineStr">
        <is>
          <t>EC</t>
        </is>
      </c>
      <c r="L1976" t="inlineStr">
        <is>
          <t>CORP</t>
        </is>
      </c>
      <c r="M1976" t="inlineStr"/>
      <c r="N1976" t="inlineStr"/>
      <c r="O1976" s="1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s="1" t="inlineStr"/>
      <c r="AR1976" s="1" t="inlineStr"/>
      <c r="AS1976" s="1" t="inlineStr"/>
      <c r="AT1976" t="inlineStr"/>
      <c r="AU1976" t="inlineStr"/>
      <c r="AV1976" t="inlineStr"/>
      <c r="AW1976" t="inlineStr"/>
      <c r="AX1976" t="inlineStr"/>
      <c r="AY1976" t="inlineStr"/>
    </row>
    <row r="1977">
      <c r="A1977" t="inlineStr">
        <is>
          <t>XA</t>
        </is>
      </c>
      <c r="B1977" t="inlineStr">
        <is>
          <t>PANW US Equity</t>
        </is>
      </c>
      <c r="C1977" s="1" t="inlineStr">
        <is>
          <t>PANW</t>
        </is>
      </c>
      <c r="D1977" t="inlineStr">
        <is>
          <t>Palo Alto Networks Inc</t>
        </is>
      </c>
      <c r="E1977">
        <f>BDP($B1977,"LEGAL_ENTITY_IDENTIFIER")</f>
        <v/>
      </c>
      <c r="F1977" t="inlineStr">
        <is>
          <t>Palo Alto Networks Inc</t>
        </is>
      </c>
      <c r="G1977">
        <f>custodian!D1977</f>
        <v/>
      </c>
      <c r="H1977">
        <f>BDP($B1977,"ID_ISIN")</f>
        <v/>
      </c>
      <c r="I1977" s="1" t="inlineStr">
        <is>
          <t>PANW</t>
        </is>
      </c>
      <c r="J1977">
        <f>BDP($B1977,"CNTRY_OF_DOMICILE")</f>
        <v/>
      </c>
      <c r="K1977" t="inlineStr">
        <is>
          <t>EC</t>
        </is>
      </c>
      <c r="L1977" t="inlineStr">
        <is>
          <t>CORP</t>
        </is>
      </c>
      <c r="M1977" t="inlineStr"/>
      <c r="N1977" t="inlineStr"/>
      <c r="O1977" s="1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s="1" t="inlineStr"/>
      <c r="AR1977" s="1" t="inlineStr"/>
      <c r="AS1977" s="1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XA</t>
        </is>
      </c>
      <c r="B1978" t="inlineStr">
        <is>
          <t>QLYS US Equity</t>
        </is>
      </c>
      <c r="C1978" s="1" t="inlineStr">
        <is>
          <t>QLYS</t>
        </is>
      </c>
      <c r="D1978" t="inlineStr">
        <is>
          <t>Qualys Inc</t>
        </is>
      </c>
      <c r="E1978">
        <f>BDP($B1978,"LEGAL_ENTITY_IDENTIFIER")</f>
        <v/>
      </c>
      <c r="F1978" t="inlineStr">
        <is>
          <t>Qualys Inc</t>
        </is>
      </c>
      <c r="G1978">
        <f>custodian!D1978</f>
        <v/>
      </c>
      <c r="H1978">
        <f>BDP($B1978,"ID_ISIN")</f>
        <v/>
      </c>
      <c r="I1978" s="1" t="inlineStr">
        <is>
          <t>QLYS</t>
        </is>
      </c>
      <c r="J1978">
        <f>BDP($B1978,"CNTRY_OF_DOMICILE")</f>
        <v/>
      </c>
      <c r="K1978" t="inlineStr">
        <is>
          <t>EC</t>
        </is>
      </c>
      <c r="L1978" t="inlineStr">
        <is>
          <t>CORP</t>
        </is>
      </c>
      <c r="M1978" t="inlineStr"/>
      <c r="N1978" t="inlineStr"/>
      <c r="O1978" s="1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s="1" t="inlineStr"/>
      <c r="AR1978" s="1" t="inlineStr"/>
      <c r="AS1978" s="1" t="inlineStr"/>
      <c r="AT1978" t="inlineStr"/>
      <c r="AU1978" t="inlineStr"/>
      <c r="AV1978" t="inlineStr"/>
      <c r="AW1978" t="inlineStr"/>
      <c r="AX1978" t="inlineStr"/>
      <c r="AY1978" t="inlineStr"/>
    </row>
    <row r="1979">
      <c r="A1979" t="inlineStr">
        <is>
          <t>XA</t>
        </is>
      </c>
      <c r="B1979" t="inlineStr">
        <is>
          <t>RBRK US Equity</t>
        </is>
      </c>
      <c r="C1979" s="1" t="inlineStr">
        <is>
          <t>RBRK</t>
        </is>
      </c>
      <c r="D1979" t="inlineStr">
        <is>
          <t>Rubrik Inc</t>
        </is>
      </c>
      <c r="E1979">
        <f>BDP($B1979,"LEGAL_ENTITY_IDENTIFIER")</f>
        <v/>
      </c>
      <c r="F1979" t="inlineStr">
        <is>
          <t>Rubrik Inc</t>
        </is>
      </c>
      <c r="G1979">
        <f>custodian!D1979</f>
        <v/>
      </c>
      <c r="H1979">
        <f>BDP($B1979,"ID_ISIN")</f>
        <v/>
      </c>
      <c r="I1979" s="1" t="inlineStr">
        <is>
          <t>RBRK</t>
        </is>
      </c>
      <c r="J1979">
        <f>BDP($B1979,"CNTRY_OF_DOMICILE")</f>
        <v/>
      </c>
      <c r="K1979" t="inlineStr">
        <is>
          <t>EC</t>
        </is>
      </c>
      <c r="L1979" t="inlineStr">
        <is>
          <t>CORP</t>
        </is>
      </c>
      <c r="M1979" t="inlineStr"/>
      <c r="N1979" t="inlineStr"/>
      <c r="O1979" s="1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s="1" t="inlineStr"/>
      <c r="AR1979" s="1" t="inlineStr"/>
      <c r="AS1979" s="1" t="inlineStr"/>
      <c r="AT1979" t="inlineStr"/>
      <c r="AU1979" t="inlineStr"/>
      <c r="AV1979" t="inlineStr"/>
      <c r="AW1979" t="inlineStr"/>
      <c r="AX1979" t="inlineStr"/>
      <c r="AY1979" t="inlineStr"/>
    </row>
    <row r="1980">
      <c r="A1980" t="inlineStr">
        <is>
          <t>XA</t>
        </is>
      </c>
      <c r="B1980" t="inlineStr">
        <is>
          <t>RDWR US Equity</t>
        </is>
      </c>
      <c r="C1980" s="1" t="inlineStr">
        <is>
          <t>RDWR</t>
        </is>
      </c>
      <c r="D1980" t="inlineStr">
        <is>
          <t>Radware Ltd</t>
        </is>
      </c>
      <c r="E1980">
        <f>BDP($B1980,"LEGAL_ENTITY_IDENTIFIER")</f>
        <v/>
      </c>
      <c r="F1980" t="inlineStr">
        <is>
          <t>Radware Ltd</t>
        </is>
      </c>
      <c r="G1980">
        <f>custodian!D1980</f>
        <v/>
      </c>
      <c r="H1980">
        <f>BDP($B1980,"ID_ISIN")</f>
        <v/>
      </c>
      <c r="I1980" s="1" t="inlineStr">
        <is>
          <t>RDWR</t>
        </is>
      </c>
      <c r="J1980">
        <f>BDP($B1980,"CNTRY_OF_DOMICILE")</f>
        <v/>
      </c>
      <c r="K1980" t="inlineStr">
        <is>
          <t>EC</t>
        </is>
      </c>
      <c r="L1980" t="inlineStr">
        <is>
          <t>CORP</t>
        </is>
      </c>
      <c r="M1980" t="inlineStr"/>
      <c r="N1980" t="inlineStr"/>
      <c r="O1980" s="1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s="1" t="inlineStr"/>
      <c r="AR1980" s="1" t="inlineStr"/>
      <c r="AS1980" s="1" t="inlineStr"/>
      <c r="AT1980" t="inlineStr"/>
      <c r="AU1980" t="inlineStr"/>
      <c r="AV1980" t="inlineStr"/>
      <c r="AW1980" t="inlineStr"/>
      <c r="AX1980" t="inlineStr"/>
      <c r="AY1980" t="inlineStr"/>
    </row>
    <row r="1981">
      <c r="A1981" t="inlineStr">
        <is>
          <t>XA</t>
        </is>
      </c>
      <c r="B1981" t="inlineStr">
        <is>
          <t>RPD US Equity</t>
        </is>
      </c>
      <c r="C1981" s="1" t="inlineStr">
        <is>
          <t>RPD</t>
        </is>
      </c>
      <c r="D1981" t="inlineStr">
        <is>
          <t>Rapid7 Inc</t>
        </is>
      </c>
      <c r="E1981">
        <f>BDP($B1981,"LEGAL_ENTITY_IDENTIFIER")</f>
        <v/>
      </c>
      <c r="F1981" t="inlineStr">
        <is>
          <t>Rapid7 Inc</t>
        </is>
      </c>
      <c r="G1981">
        <f>custodian!D1981</f>
        <v/>
      </c>
      <c r="H1981">
        <f>BDP($B1981,"ID_ISIN")</f>
        <v/>
      </c>
      <c r="I1981" s="1" t="inlineStr">
        <is>
          <t>RPD</t>
        </is>
      </c>
      <c r="J1981">
        <f>BDP($B1981,"CNTRY_OF_DOMICILE")</f>
        <v/>
      </c>
      <c r="K1981" t="inlineStr">
        <is>
          <t>EC</t>
        </is>
      </c>
      <c r="L1981" t="inlineStr">
        <is>
          <t>CORP</t>
        </is>
      </c>
      <c r="M1981" t="inlineStr"/>
      <c r="N1981" t="inlineStr"/>
      <c r="O1981" s="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s="1" t="inlineStr"/>
      <c r="AR1981" s="1" t="inlineStr"/>
      <c r="AS1981" s="1" t="inlineStr"/>
      <c r="AT1981" t="inlineStr"/>
      <c r="AU1981" t="inlineStr"/>
      <c r="AV1981" t="inlineStr"/>
      <c r="AW1981" t="inlineStr"/>
      <c r="AX1981" t="inlineStr"/>
      <c r="AY1981" t="inlineStr"/>
    </row>
    <row r="1982">
      <c r="A1982" t="inlineStr">
        <is>
          <t>XA</t>
        </is>
      </c>
      <c r="B1982" t="inlineStr">
        <is>
          <t>SAIL US Equity</t>
        </is>
      </c>
      <c r="C1982" s="1" t="inlineStr">
        <is>
          <t>SAIL</t>
        </is>
      </c>
      <c r="D1982" t="inlineStr">
        <is>
          <t>SailPoint Inc</t>
        </is>
      </c>
      <c r="E1982">
        <f>BDP($B1982,"LEGAL_ENTITY_IDENTIFIER")</f>
        <v/>
      </c>
      <c r="F1982" t="inlineStr">
        <is>
          <t>SailPoint Inc</t>
        </is>
      </c>
      <c r="G1982">
        <f>custodian!D1982</f>
        <v/>
      </c>
      <c r="H1982">
        <f>BDP($B1982,"ID_ISIN")</f>
        <v/>
      </c>
      <c r="I1982" s="1" t="inlineStr">
        <is>
          <t>SAIL</t>
        </is>
      </c>
      <c r="J1982">
        <f>BDP($B1982,"CNTRY_OF_DOMICILE")</f>
        <v/>
      </c>
      <c r="K1982" t="inlineStr">
        <is>
          <t>EC</t>
        </is>
      </c>
      <c r="L1982" t="inlineStr">
        <is>
          <t>CORP</t>
        </is>
      </c>
      <c r="M1982" t="inlineStr"/>
      <c r="N1982" t="inlineStr"/>
      <c r="O1982" s="1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s="1" t="inlineStr"/>
      <c r="AR1982" s="1" t="inlineStr"/>
      <c r="AS1982" s="1" t="inlineStr"/>
      <c r="AT1982" t="inlineStr"/>
      <c r="AU1982" t="inlineStr"/>
      <c r="AV1982" t="inlineStr"/>
      <c r="AW1982" t="inlineStr"/>
      <c r="AX1982" t="inlineStr"/>
      <c r="AY1982" t="inlineStr"/>
    </row>
    <row r="1983">
      <c r="A1983" t="inlineStr">
        <is>
          <t>XA</t>
        </is>
      </c>
      <c r="B1983" t="inlineStr">
        <is>
          <t>TENB US Equity</t>
        </is>
      </c>
      <c r="C1983" s="1" t="inlineStr">
        <is>
          <t>TENB</t>
        </is>
      </c>
      <c r="D1983" t="inlineStr">
        <is>
          <t>Tenable Holdings Inc</t>
        </is>
      </c>
      <c r="E1983">
        <f>BDP($B1983,"LEGAL_ENTITY_IDENTIFIER")</f>
        <v/>
      </c>
      <c r="F1983" t="inlineStr">
        <is>
          <t>Tenable Holdings Inc</t>
        </is>
      </c>
      <c r="G1983">
        <f>custodian!D1983</f>
        <v/>
      </c>
      <c r="H1983">
        <f>BDP($B1983,"ID_ISIN")</f>
        <v/>
      </c>
      <c r="I1983" s="1" t="inlineStr">
        <is>
          <t>TENB</t>
        </is>
      </c>
      <c r="J1983">
        <f>BDP($B1983,"CNTRY_OF_DOMICILE")</f>
        <v/>
      </c>
      <c r="K1983" t="inlineStr">
        <is>
          <t>EC</t>
        </is>
      </c>
      <c r="L1983" t="inlineStr">
        <is>
          <t>CORP</t>
        </is>
      </c>
      <c r="M1983" t="inlineStr"/>
      <c r="N1983" t="inlineStr"/>
      <c r="O1983" s="1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s="1" t="inlineStr"/>
      <c r="AR1983" s="1" t="inlineStr"/>
      <c r="AS1983" s="1" t="inlineStr"/>
      <c r="AT1983" t="inlineStr"/>
      <c r="AU1983" t="inlineStr"/>
      <c r="AV1983" t="inlineStr"/>
      <c r="AW1983" t="inlineStr"/>
      <c r="AX1983" t="inlineStr"/>
      <c r="AY1983" t="inlineStr"/>
    </row>
    <row r="1984">
      <c r="A1984" t="inlineStr">
        <is>
          <t>XA</t>
        </is>
      </c>
      <c r="B1984" t="inlineStr">
        <is>
          <t>TLS US Equity</t>
        </is>
      </c>
      <c r="C1984" s="1" t="inlineStr">
        <is>
          <t>TLS</t>
        </is>
      </c>
      <c r="D1984" t="inlineStr">
        <is>
          <t>Telos Corp</t>
        </is>
      </c>
      <c r="E1984">
        <f>BDP($B1984,"LEGAL_ENTITY_IDENTIFIER")</f>
        <v/>
      </c>
      <c r="F1984" t="inlineStr">
        <is>
          <t>Telos Corp</t>
        </is>
      </c>
      <c r="G1984">
        <f>custodian!D1984</f>
        <v/>
      </c>
      <c r="H1984">
        <f>BDP($B1984,"ID_ISIN")</f>
        <v/>
      </c>
      <c r="I1984" s="1" t="inlineStr">
        <is>
          <t>TLS</t>
        </is>
      </c>
      <c r="J1984">
        <f>BDP($B1984,"CNTRY_OF_DOMICILE")</f>
        <v/>
      </c>
      <c r="K1984" t="inlineStr">
        <is>
          <t>EC</t>
        </is>
      </c>
      <c r="L1984" t="inlineStr">
        <is>
          <t>CORP</t>
        </is>
      </c>
      <c r="M1984" t="inlineStr"/>
      <c r="N1984" t="inlineStr"/>
      <c r="O1984" s="1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s="1" t="inlineStr"/>
      <c r="AR1984" s="1" t="inlineStr"/>
      <c r="AS1984" s="1" t="inlineStr"/>
      <c r="AT1984" t="inlineStr"/>
      <c r="AU1984" t="inlineStr"/>
      <c r="AV1984" t="inlineStr"/>
      <c r="AW1984" t="inlineStr"/>
      <c r="AX1984" t="inlineStr"/>
      <c r="AY1984" t="inlineStr"/>
    </row>
    <row r="1985">
      <c r="A1985" t="inlineStr">
        <is>
          <t>XA</t>
        </is>
      </c>
      <c r="B1985" t="inlineStr">
        <is>
          <t>VRNS US Equity</t>
        </is>
      </c>
      <c r="C1985" s="1" t="inlineStr">
        <is>
          <t>VRNS</t>
        </is>
      </c>
      <c r="D1985" t="inlineStr">
        <is>
          <t>Varonis Systems Inc</t>
        </is>
      </c>
      <c r="E1985">
        <f>BDP($B1985,"LEGAL_ENTITY_IDENTIFIER")</f>
        <v/>
      </c>
      <c r="F1985" t="inlineStr">
        <is>
          <t>Varonis Systems Inc</t>
        </is>
      </c>
      <c r="G1985">
        <f>custodian!D1985</f>
        <v/>
      </c>
      <c r="H1985">
        <f>BDP($B1985,"ID_ISIN")</f>
        <v/>
      </c>
      <c r="I1985" s="1" t="inlineStr">
        <is>
          <t>VRNS</t>
        </is>
      </c>
      <c r="J1985">
        <f>BDP($B1985,"CNTRY_OF_DOMICILE")</f>
        <v/>
      </c>
      <c r="K1985" t="inlineStr">
        <is>
          <t>EC</t>
        </is>
      </c>
      <c r="L1985" t="inlineStr">
        <is>
          <t>CORP</t>
        </is>
      </c>
      <c r="M1985" t="inlineStr"/>
      <c r="N1985" t="inlineStr"/>
      <c r="O1985" s="1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s="1" t="inlineStr"/>
      <c r="AR1985" s="1" t="inlineStr"/>
      <c r="AS1985" s="1" t="inlineStr"/>
      <c r="AT1985" t="inlineStr"/>
      <c r="AU1985" t="inlineStr"/>
      <c r="AV1985" t="inlineStr"/>
      <c r="AW1985" t="inlineStr"/>
      <c r="AX1985" t="inlineStr"/>
      <c r="AY1985" t="inlineStr"/>
    </row>
    <row r="1986">
      <c r="A1986" t="inlineStr">
        <is>
          <t>XA</t>
        </is>
      </c>
      <c r="B1986" t="inlineStr">
        <is>
          <t>ZS US Equity</t>
        </is>
      </c>
      <c r="C1986" s="1" t="inlineStr">
        <is>
          <t>ZS</t>
        </is>
      </c>
      <c r="D1986" t="inlineStr">
        <is>
          <t>Zscaler Inc</t>
        </is>
      </c>
      <c r="E1986">
        <f>BDP($B1986,"LEGAL_ENTITY_IDENTIFIER")</f>
        <v/>
      </c>
      <c r="F1986" t="inlineStr">
        <is>
          <t>Zscaler Inc</t>
        </is>
      </c>
      <c r="G1986">
        <f>custodian!D1986</f>
        <v/>
      </c>
      <c r="H1986">
        <f>BDP($B1986,"ID_ISIN")</f>
        <v/>
      </c>
      <c r="I1986" s="1" t="inlineStr">
        <is>
          <t>ZS</t>
        </is>
      </c>
      <c r="J1986">
        <f>BDP($B1986,"CNTRY_OF_DOMICILE")</f>
        <v/>
      </c>
      <c r="K1986" t="inlineStr">
        <is>
          <t>EC</t>
        </is>
      </c>
      <c r="L1986" t="inlineStr">
        <is>
          <t>CORP</t>
        </is>
      </c>
      <c r="M1986" t="inlineStr"/>
      <c r="N1986" t="inlineStr"/>
      <c r="O1986" s="1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s="1" t="inlineStr"/>
      <c r="AR1986" s="1" t="inlineStr"/>
      <c r="AS1986" s="1" t="inlineStr"/>
      <c r="AT1986" t="inlineStr"/>
      <c r="AU1986" t="inlineStr"/>
      <c r="AV1986" t="inlineStr"/>
      <c r="AW1986" t="inlineStr"/>
      <c r="AX1986" t="inlineStr"/>
      <c r="AY1986" t="inlineStr"/>
    </row>
    <row r="1987">
      <c r="A1987" t="inlineStr">
        <is>
          <t>XA</t>
        </is>
      </c>
      <c r="B1987" t="inlineStr"/>
      <c r="C1987" s="1" t="inlineStr">
        <is>
          <t>Cash&amp;Other</t>
        </is>
      </c>
      <c r="D1987" t="inlineStr"/>
      <c r="E1987" s="1" t="inlineStr"/>
      <c r="F1987" t="inlineStr"/>
      <c r="G1987">
        <f>custodian!D1987</f>
        <v/>
      </c>
      <c r="H1987" s="1" t="inlineStr"/>
      <c r="I1987" s="1" t="inlineStr"/>
      <c r="J1987" t="inlineStr"/>
      <c r="K1987" t="inlineStr"/>
      <c r="L1987" t="inlineStr"/>
      <c r="M1987" t="inlineStr"/>
      <c r="N1987" t="inlineStr"/>
      <c r="O1987" s="1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s="1" t="inlineStr"/>
      <c r="AR1987" s="1" t="inlineStr"/>
      <c r="AS1987" s="1" t="inlineStr"/>
      <c r="AT1987" t="inlineStr"/>
      <c r="AU1987" t="inlineStr"/>
      <c r="AV1987" t="inlineStr"/>
      <c r="AW1987" t="inlineStr"/>
      <c r="AX1987" t="inlineStr"/>
      <c r="AY1987" t="inlineStr"/>
    </row>
    <row r="1988">
      <c r="A1988" t="inlineStr">
        <is>
          <t>XAGI</t>
        </is>
      </c>
      <c r="B1988" t="inlineStr">
        <is>
          <t>500767363 Equity</t>
        </is>
      </c>
      <c r="C1988" s="1" t="inlineStr">
        <is>
          <t>500767363-TRS-07/05/27-L-MREX</t>
        </is>
      </c>
      <c r="D1988" t="inlineStr">
        <is>
          <t>N/A</t>
        </is>
      </c>
      <c r="E1988" s="1" t="inlineStr">
        <is>
          <t>N/A</t>
        </is>
      </c>
      <c r="F1988" t="inlineStr">
        <is>
          <t>KRANESHARES ARTIFICIAL INTELLIGENCE AND TECHNOLOGY PUBLIC AND PRIVATE ETF-SWAP-MREX-L</t>
        </is>
      </c>
      <c r="G1988">
        <f>custodian!D1988</f>
        <v/>
      </c>
      <c r="H1988" s="1" t="inlineStr"/>
      <c r="I1988" s="1" t="inlineStr">
        <is>
          <t>500767363-TRS-07/05/27-L-MREX</t>
        </is>
      </c>
      <c r="J1988" t="inlineStr">
        <is>
          <t>US</t>
        </is>
      </c>
      <c r="K1988" t="inlineStr">
        <is>
          <t>DE</t>
        </is>
      </c>
      <c r="L1988" t="inlineStr">
        <is>
          <t>OTHER</t>
        </is>
      </c>
      <c r="M1988" t="inlineStr">
        <is>
          <t>SWP</t>
        </is>
      </c>
      <c r="N1988" t="inlineStr"/>
      <c r="O1988" s="1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otherRefInst</t>
        </is>
      </c>
      <c r="W1988" t="inlineStr"/>
      <c r="X1988" t="inlineStr"/>
      <c r="Y1988" t="inlineStr">
        <is>
          <t>Y</t>
        </is>
      </c>
      <c r="Z1988" t="inlineStr">
        <is>
          <t>2027-07-05</t>
        </is>
      </c>
      <c r="AA1988" t="inlineStr">
        <is>
          <t>810765.13</t>
        </is>
      </c>
      <c r="AB1988" t="inlineStr">
        <is>
          <t>USD</t>
        </is>
      </c>
      <c r="AC1988" t="inlineStr">
        <is>
          <t>-37177.85</t>
        </is>
      </c>
      <c r="AD1988" t="inlineStr">
        <is>
          <t>-37177.85</t>
        </is>
      </c>
      <c r="AE1988" t="inlineStr">
        <is>
          <t>-9.13</t>
        </is>
      </c>
      <c r="AF1988" t="inlineStr"/>
      <c r="AG1988" t="inlineStr"/>
      <c r="AH1988" t="inlineStr">
        <is>
          <t>Floating</t>
        </is>
      </c>
      <c r="AI1988" t="inlineStr"/>
      <c r="AJ1988" t="inlineStr"/>
      <c r="AK1988" t="inlineStr">
        <is>
          <t>810765.13</t>
        </is>
      </c>
      <c r="AL1988" t="inlineStr">
        <is>
          <t>USD</t>
        </is>
      </c>
      <c r="AM1988" t="inlineStr"/>
      <c r="AN1988" t="inlineStr"/>
      <c r="AO1988">
        <f>BDP($B1988,"ISSUER")</f>
        <v/>
      </c>
      <c r="AP1988">
        <f>BDP($B1988,"NAME")</f>
        <v/>
      </c>
      <c r="AQ1988" s="1" t="inlineStr">
        <is>
          <t>500767363</t>
        </is>
      </c>
      <c r="AR1988">
        <f>BDP($B1988,"ID_ISIN")</f>
        <v/>
      </c>
      <c r="AS1988">
        <f>BDP($B1988,"TICKER")</f>
        <v/>
      </c>
      <c r="AT1988" t="inlineStr"/>
      <c r="AU1988" t="inlineStr"/>
      <c r="AV1988" t="inlineStr"/>
      <c r="AW1988" t="inlineStr"/>
      <c r="AX1988" t="inlineStr"/>
      <c r="AY1988" t="inlineStr"/>
    </row>
    <row r="1989">
      <c r="A1989" t="inlineStr">
        <is>
          <t>XAGI</t>
        </is>
      </c>
      <c r="B1989" t="inlineStr">
        <is>
          <t>FGXXX US Equity</t>
        </is>
      </c>
      <c r="C1989" s="1" t="inlineStr">
        <is>
          <t>FGXXX</t>
        </is>
      </c>
      <c r="D1989" t="inlineStr">
        <is>
          <t>First American Government Obli</t>
        </is>
      </c>
      <c r="E1989">
        <f>BDP($B1989,"LEGAL_ENTITY_IDENTIFIER")</f>
        <v/>
      </c>
      <c r="F1989" t="inlineStr">
        <is>
          <t>First American Government Obligations Fund</t>
        </is>
      </c>
      <c r="G1989">
        <f>custodian!D1989</f>
        <v/>
      </c>
      <c r="H1989">
        <f>BDP($B1989,"ID_ISIN")</f>
        <v/>
      </c>
      <c r="I1989" s="1" t="inlineStr">
        <is>
          <t>FGXXX</t>
        </is>
      </c>
      <c r="J1989">
        <f>BDP($B1989,"CNTRY_OF_DOMICILE")</f>
        <v/>
      </c>
      <c r="K1989" t="inlineStr">
        <is>
          <t>STIV</t>
        </is>
      </c>
      <c r="L1989" t="inlineStr">
        <is>
          <t>RF</t>
        </is>
      </c>
      <c r="M1989" t="inlineStr"/>
      <c r="N1989" t="inlineStr"/>
      <c r="O1989" s="1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s="1" t="inlineStr"/>
      <c r="AR1989" s="1" t="inlineStr"/>
      <c r="AS1989" s="1" t="inlineStr"/>
      <c r="AT1989" t="inlineStr"/>
      <c r="AU1989" t="inlineStr"/>
      <c r="AV1989" t="inlineStr"/>
      <c r="AW1989" t="inlineStr"/>
      <c r="AX1989" t="inlineStr"/>
      <c r="AY1989" t="inlineStr"/>
    </row>
    <row r="1990">
      <c r="A1990" t="inlineStr">
        <is>
          <t>XAGI</t>
        </is>
      </c>
      <c r="B1990" t="inlineStr"/>
      <c r="C1990" s="1" t="inlineStr">
        <is>
          <t>Cash&amp;Other</t>
        </is>
      </c>
      <c r="D1990" t="inlineStr"/>
      <c r="E1990" s="1" t="inlineStr"/>
      <c r="F1990" t="inlineStr"/>
      <c r="G1990">
        <f>custodian!D1990</f>
        <v/>
      </c>
      <c r="H1990" s="1" t="inlineStr"/>
      <c r="I1990" s="1" t="inlineStr"/>
      <c r="J1990" t="inlineStr"/>
      <c r="K1990" t="inlineStr"/>
      <c r="L1990" t="inlineStr"/>
      <c r="M1990" t="inlineStr"/>
      <c r="N1990" t="inlineStr"/>
      <c r="O1990" s="1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s="1" t="inlineStr"/>
      <c r="AR1990" s="1" t="inlineStr"/>
      <c r="AS1990" s="1" t="inlineStr"/>
      <c r="AT1990" t="inlineStr"/>
      <c r="AU1990" t="inlineStr"/>
      <c r="AV1990" t="inlineStr"/>
      <c r="AW1990" t="inlineStr"/>
      <c r="AX1990" t="inlineStr"/>
      <c r="AY1990" t="inlineStr"/>
    </row>
    <row r="1991">
      <c r="A1991" t="inlineStr">
        <is>
          <t>XBIX</t>
        </is>
      </c>
      <c r="B1991" t="inlineStr">
        <is>
          <t>78464A870 Equity</t>
        </is>
      </c>
      <c r="C1991" s="1" t="inlineStr">
        <is>
          <t>78464A870-TRS-12/01/27-L-CANT</t>
        </is>
      </c>
      <c r="D1991" t="inlineStr">
        <is>
          <t>N/A</t>
        </is>
      </c>
      <c r="E1991" s="1" t="inlineStr">
        <is>
          <t>N/A</t>
        </is>
      </c>
      <c r="F1991" t="inlineStr">
        <is>
          <t>STATE STREET SPDR S&amp;P BIOTECH ETF-SWAP-CANT-L</t>
        </is>
      </c>
      <c r="G1991">
        <f>custodian!D1991</f>
        <v/>
      </c>
      <c r="H1991" s="1" t="inlineStr"/>
      <c r="I1991" s="1" t="inlineStr">
        <is>
          <t>78464A870-TRS-12/01/27-L-CANT</t>
        </is>
      </c>
      <c r="J1991" t="inlineStr">
        <is>
          <t>US</t>
        </is>
      </c>
      <c r="K1991" t="inlineStr">
        <is>
          <t>DE</t>
        </is>
      </c>
      <c r="L1991" t="inlineStr">
        <is>
          <t>OTHER</t>
        </is>
      </c>
      <c r="M1991" t="inlineStr">
        <is>
          <t>SWP</t>
        </is>
      </c>
      <c r="N1991" t="inlineStr"/>
      <c r="O1991" s="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otherRefInst</t>
        </is>
      </c>
      <c r="W1991" t="inlineStr"/>
      <c r="X1991" t="inlineStr"/>
      <c r="Y1991" t="inlineStr">
        <is>
          <t>Y</t>
        </is>
      </c>
      <c r="Z1991" t="inlineStr">
        <is>
          <t>2027-12-01</t>
        </is>
      </c>
      <c r="AA1991" t="inlineStr">
        <is>
          <t>1016081.77</t>
        </is>
      </c>
      <c r="AB1991" t="inlineStr">
        <is>
          <t>USD</t>
        </is>
      </c>
      <c r="AC1991" t="inlineStr">
        <is>
          <t>206767.36</t>
        </is>
      </c>
      <c r="AD1991" t="inlineStr">
        <is>
          <t>206767.36</t>
        </is>
      </c>
      <c r="AE1991" t="inlineStr">
        <is>
          <t>40.65</t>
        </is>
      </c>
      <c r="AF1991" t="inlineStr"/>
      <c r="AG1991" t="inlineStr"/>
      <c r="AH1991" t="inlineStr">
        <is>
          <t>Floating</t>
        </is>
      </c>
      <c r="AI1991" t="inlineStr"/>
      <c r="AJ1991" t="inlineStr"/>
      <c r="AK1991" t="inlineStr">
        <is>
          <t>1016081.77</t>
        </is>
      </c>
      <c r="AL1991" t="inlineStr">
        <is>
          <t>USD</t>
        </is>
      </c>
      <c r="AM1991" t="inlineStr"/>
      <c r="AN1991" t="inlineStr"/>
      <c r="AO1991">
        <f>BDP($B1991,"ISSUER")</f>
        <v/>
      </c>
      <c r="AP1991">
        <f>BDP($B1991,"NAME")</f>
        <v/>
      </c>
      <c r="AQ1991" s="1" t="inlineStr">
        <is>
          <t>78464A870</t>
        </is>
      </c>
      <c r="AR1991">
        <f>BDP($B1991,"ID_ISIN")</f>
        <v/>
      </c>
      <c r="AS1991">
        <f>BDP($B1991,"TICKER")</f>
        <v/>
      </c>
      <c r="AT1991" t="inlineStr"/>
      <c r="AU1991" t="inlineStr"/>
      <c r="AV1991" t="inlineStr"/>
      <c r="AW1991" t="inlineStr"/>
      <c r="AX1991" t="inlineStr"/>
      <c r="AY1991" t="inlineStr"/>
    </row>
    <row r="1992">
      <c r="A1992" t="inlineStr">
        <is>
          <t>XBIX</t>
        </is>
      </c>
      <c r="B1992" t="inlineStr">
        <is>
          <t>FGXXX US Equity</t>
        </is>
      </c>
      <c r="C1992" s="1" t="inlineStr">
        <is>
          <t>FGXXX</t>
        </is>
      </c>
      <c r="D1992" t="inlineStr">
        <is>
          <t>First American Government Obli</t>
        </is>
      </c>
      <c r="E1992">
        <f>BDP($B1992,"LEGAL_ENTITY_IDENTIFIER")</f>
        <v/>
      </c>
      <c r="F1992" t="inlineStr">
        <is>
          <t>First American Government Obligations Fund</t>
        </is>
      </c>
      <c r="G1992">
        <f>custodian!D1992</f>
        <v/>
      </c>
      <c r="H1992">
        <f>BDP($B1992,"ID_ISIN")</f>
        <v/>
      </c>
      <c r="I1992" s="1" t="inlineStr">
        <is>
          <t>FGXXX</t>
        </is>
      </c>
      <c r="J1992">
        <f>BDP($B1992,"CNTRY_OF_DOMICILE")</f>
        <v/>
      </c>
      <c r="K1992" t="inlineStr">
        <is>
          <t>STIV</t>
        </is>
      </c>
      <c r="L1992" t="inlineStr">
        <is>
          <t>RF</t>
        </is>
      </c>
      <c r="M1992" t="inlineStr"/>
      <c r="N1992" t="inlineStr"/>
      <c r="O1992" s="1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s="1" t="inlineStr"/>
      <c r="AR1992" s="1" t="inlineStr"/>
      <c r="AS1992" s="1" t="inlineStr"/>
      <c r="AT1992" t="inlineStr"/>
      <c r="AU1992" t="inlineStr"/>
      <c r="AV1992" t="inlineStr"/>
      <c r="AW1992" t="inlineStr"/>
      <c r="AX1992" t="inlineStr"/>
      <c r="AY1992" t="inlineStr"/>
    </row>
    <row r="1993">
      <c r="A1993" t="inlineStr">
        <is>
          <t>XBIX</t>
        </is>
      </c>
      <c r="B1993" t="inlineStr"/>
      <c r="C1993" s="1" t="inlineStr">
        <is>
          <t>Cash&amp;Other</t>
        </is>
      </c>
      <c r="D1993" t="inlineStr"/>
      <c r="E1993" s="1" t="inlineStr"/>
      <c r="F1993" t="inlineStr"/>
      <c r="G1993">
        <f>custodian!D1993</f>
        <v/>
      </c>
      <c r="H1993" s="1" t="inlineStr"/>
      <c r="I1993" s="1" t="inlineStr"/>
      <c r="J1993" t="inlineStr"/>
      <c r="K1993" t="inlineStr"/>
      <c r="L1993" t="inlineStr"/>
      <c r="M1993" t="inlineStr"/>
      <c r="N1993" t="inlineStr"/>
      <c r="O1993" s="1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s="1" t="inlineStr"/>
      <c r="AR1993" s="1" t="inlineStr"/>
      <c r="AS1993" s="1" t="inlineStr"/>
      <c r="AT1993" t="inlineStr"/>
      <c r="AU1993" t="inlineStr"/>
      <c r="AV1993" t="inlineStr"/>
      <c r="AW1993" t="inlineStr"/>
      <c r="AX1993" t="inlineStr"/>
      <c r="AY1993" t="inlineStr"/>
    </row>
    <row r="1994">
      <c r="A1994" t="inlineStr">
        <is>
          <t>XCOM</t>
        </is>
      </c>
      <c r="B1994" t="inlineStr">
        <is>
          <t>46090F100 Equity</t>
        </is>
      </c>
      <c r="C1994" s="1" t="inlineStr">
        <is>
          <t>46090F100-TRS-07/05/27-L-MREX</t>
        </is>
      </c>
      <c r="D1994" t="inlineStr">
        <is>
          <t>N/A</t>
        </is>
      </c>
      <c r="E1994" s="1" t="inlineStr">
        <is>
          <t>N/A</t>
        </is>
      </c>
      <c r="F1994" t="inlineStr">
        <is>
          <t>INVESCO OPTIMUM YIELD DIVERSIFIED COMMODITY STRATEGY NO K-1 ETF-SWAP-MREX-L</t>
        </is>
      </c>
      <c r="G1994">
        <f>custodian!D1994</f>
        <v/>
      </c>
      <c r="H1994" s="1" t="inlineStr"/>
      <c r="I1994" s="1" t="inlineStr">
        <is>
          <t>46090F100-TRS-07/05/27-L-MREX</t>
        </is>
      </c>
      <c r="J1994" t="inlineStr">
        <is>
          <t>US</t>
        </is>
      </c>
      <c r="K1994" t="inlineStr">
        <is>
          <t>DE</t>
        </is>
      </c>
      <c r="L1994" t="inlineStr">
        <is>
          <t>OTHER</t>
        </is>
      </c>
      <c r="M1994" t="inlineStr">
        <is>
          <t>SWP</t>
        </is>
      </c>
      <c r="N1994" t="inlineStr"/>
      <c r="O1994" s="1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otherRefInst</t>
        </is>
      </c>
      <c r="W1994" t="inlineStr"/>
      <c r="X1994" t="inlineStr"/>
      <c r="Y1994" t="inlineStr">
        <is>
          <t>Y</t>
        </is>
      </c>
      <c r="Z1994" t="inlineStr">
        <is>
          <t>2027-07-05</t>
        </is>
      </c>
      <c r="AA1994" t="inlineStr">
        <is>
          <t>761905.74</t>
        </is>
      </c>
      <c r="AB1994" t="inlineStr">
        <is>
          <t>USD</t>
        </is>
      </c>
      <c r="AC1994" t="inlineStr">
        <is>
          <t>-143988.55</t>
        </is>
      </c>
      <c r="AD1994" t="inlineStr">
        <is>
          <t>-143988.55</t>
        </is>
      </c>
      <c r="AE1994" t="inlineStr">
        <is>
          <t>-37.83</t>
        </is>
      </c>
      <c r="AF1994" t="inlineStr"/>
      <c r="AG1994" t="inlineStr"/>
      <c r="AH1994" t="inlineStr">
        <is>
          <t>Floating</t>
        </is>
      </c>
      <c r="AI1994" t="inlineStr"/>
      <c r="AJ1994" t="inlineStr"/>
      <c r="AK1994" t="inlineStr">
        <is>
          <t>761905.74</t>
        </is>
      </c>
      <c r="AL1994" t="inlineStr">
        <is>
          <t>USD</t>
        </is>
      </c>
      <c r="AM1994" t="inlineStr"/>
      <c r="AN1994" t="inlineStr"/>
      <c r="AO1994">
        <f>BDP($B1994,"ISSUER")</f>
        <v/>
      </c>
      <c r="AP1994">
        <f>BDP($B1994,"NAME")</f>
        <v/>
      </c>
      <c r="AQ1994" s="1" t="inlineStr">
        <is>
          <t>46090F100</t>
        </is>
      </c>
      <c r="AR1994">
        <f>BDP($B1994,"ID_ISIN")</f>
        <v/>
      </c>
      <c r="AS1994">
        <f>BDP($B1994,"TICKER")</f>
        <v/>
      </c>
      <c r="AT1994" t="inlineStr"/>
      <c r="AU1994" t="inlineStr"/>
      <c r="AV1994" t="inlineStr"/>
      <c r="AW1994" t="inlineStr"/>
      <c r="AX1994" t="inlineStr"/>
      <c r="AY1994" t="inlineStr"/>
    </row>
    <row r="1995">
      <c r="A1995" t="inlineStr">
        <is>
          <t>XCOM</t>
        </is>
      </c>
      <c r="B1995" t="inlineStr">
        <is>
          <t>FGXXX US Equity</t>
        </is>
      </c>
      <c r="C1995" s="1" t="inlineStr">
        <is>
          <t>FGXXX</t>
        </is>
      </c>
      <c r="D1995" t="inlineStr">
        <is>
          <t>First American Government Obli</t>
        </is>
      </c>
      <c r="E1995">
        <f>BDP($B1995,"LEGAL_ENTITY_IDENTIFIER")</f>
        <v/>
      </c>
      <c r="F1995" t="inlineStr">
        <is>
          <t>First American Government Obligations Fund</t>
        </is>
      </c>
      <c r="G1995">
        <f>custodian!D1995</f>
        <v/>
      </c>
      <c r="H1995">
        <f>BDP($B1995,"ID_ISIN")</f>
        <v/>
      </c>
      <c r="I1995" s="1" t="inlineStr">
        <is>
          <t>FGXXX</t>
        </is>
      </c>
      <c r="J1995">
        <f>BDP($B1995,"CNTRY_OF_DOMICILE")</f>
        <v/>
      </c>
      <c r="K1995" t="inlineStr">
        <is>
          <t>STIV</t>
        </is>
      </c>
      <c r="L1995" t="inlineStr">
        <is>
          <t>RF</t>
        </is>
      </c>
      <c r="M1995" t="inlineStr"/>
      <c r="N1995" t="inlineStr"/>
      <c r="O1995" s="1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s="1" t="inlineStr"/>
      <c r="AR1995" s="1" t="inlineStr"/>
      <c r="AS1995" s="1" t="inlineStr"/>
      <c r="AT1995" t="inlineStr"/>
      <c r="AU1995" t="inlineStr"/>
      <c r="AV1995" t="inlineStr"/>
      <c r="AW1995" t="inlineStr"/>
      <c r="AX1995" t="inlineStr"/>
      <c r="AY1995" t="inlineStr"/>
    </row>
    <row r="1996">
      <c r="A1996" t="inlineStr">
        <is>
          <t>XCOM</t>
        </is>
      </c>
      <c r="B1996" t="inlineStr"/>
      <c r="C1996" s="1" t="inlineStr">
        <is>
          <t>Cash&amp;Other</t>
        </is>
      </c>
      <c r="D1996" t="inlineStr"/>
      <c r="E1996" s="1" t="inlineStr"/>
      <c r="F1996" t="inlineStr"/>
      <c r="G1996">
        <f>custodian!D1996</f>
        <v/>
      </c>
      <c r="H1996" s="1" t="inlineStr"/>
      <c r="I1996" s="1" t="inlineStr"/>
      <c r="J1996" t="inlineStr"/>
      <c r="K1996" t="inlineStr"/>
      <c r="L1996" t="inlineStr"/>
      <c r="M1996" t="inlineStr"/>
      <c r="N1996" t="inlineStr"/>
      <c r="O1996" s="1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s="1" t="inlineStr"/>
      <c r="AR1996" s="1" t="inlineStr"/>
      <c r="AS1996" s="1" t="inlineStr"/>
      <c r="AT1996" t="inlineStr"/>
      <c r="AU1996" t="inlineStr"/>
      <c r="AV1996" t="inlineStr"/>
      <c r="AW1996" t="inlineStr"/>
      <c r="AX1996" t="inlineStr"/>
      <c r="AY1996" t="inlineStr"/>
    </row>
    <row r="1997">
      <c r="A1997" t="inlineStr">
        <is>
          <t>XEUR</t>
        </is>
      </c>
      <c r="B1997" t="inlineStr">
        <is>
          <t>922042874 Equity</t>
        </is>
      </c>
      <c r="C1997" s="1" t="inlineStr">
        <is>
          <t>922042874-TRS-07/05/27-L-MREX</t>
        </is>
      </c>
      <c r="D1997" t="inlineStr">
        <is>
          <t>N/A</t>
        </is>
      </c>
      <c r="E1997" s="1" t="inlineStr">
        <is>
          <t>N/A</t>
        </is>
      </c>
      <c r="F1997" t="inlineStr">
        <is>
          <t>VANGUARD FTSE EUROPE ETF-SWAP-MREX-L</t>
        </is>
      </c>
      <c r="G1997">
        <f>custodian!D1997</f>
        <v/>
      </c>
      <c r="H1997" s="1" t="inlineStr"/>
      <c r="I1997" s="1" t="inlineStr">
        <is>
          <t>922042874-TRS-07/05/27-L-MREX</t>
        </is>
      </c>
      <c r="J1997" t="inlineStr">
        <is>
          <t>US</t>
        </is>
      </c>
      <c r="K1997" t="inlineStr">
        <is>
          <t>DE</t>
        </is>
      </c>
      <c r="L1997" t="inlineStr">
        <is>
          <t>OTHER</t>
        </is>
      </c>
      <c r="M1997" t="inlineStr">
        <is>
          <t>SWP</t>
        </is>
      </c>
      <c r="N1997" t="inlineStr"/>
      <c r="O1997" s="1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otherRefInst</t>
        </is>
      </c>
      <c r="W1997" t="inlineStr"/>
      <c r="X1997" t="inlineStr"/>
      <c r="Y1997" t="inlineStr">
        <is>
          <t>Y</t>
        </is>
      </c>
      <c r="Z1997" t="inlineStr">
        <is>
          <t>2027-07-05</t>
        </is>
      </c>
      <c r="AA1997" t="inlineStr">
        <is>
          <t>971753.20</t>
        </is>
      </c>
      <c r="AB1997" t="inlineStr">
        <is>
          <t>USD</t>
        </is>
      </c>
      <c r="AC1997" t="inlineStr">
        <is>
          <t>-25392.88</t>
        </is>
      </c>
      <c r="AD1997" t="inlineStr">
        <is>
          <t>-25392.88</t>
        </is>
      </c>
      <c r="AE1997" t="inlineStr">
        <is>
          <t>-5.22</t>
        </is>
      </c>
      <c r="AF1997" t="inlineStr"/>
      <c r="AG1997" t="inlineStr"/>
      <c r="AH1997" t="inlineStr">
        <is>
          <t>Floating</t>
        </is>
      </c>
      <c r="AI1997" t="inlineStr"/>
      <c r="AJ1997" t="inlineStr"/>
      <c r="AK1997" t="inlineStr">
        <is>
          <t>971753.20</t>
        </is>
      </c>
      <c r="AL1997" t="inlineStr">
        <is>
          <t>USD</t>
        </is>
      </c>
      <c r="AM1997" t="inlineStr"/>
      <c r="AN1997" t="inlineStr"/>
      <c r="AO1997">
        <f>BDP($B1997,"ISSUER")</f>
        <v/>
      </c>
      <c r="AP1997">
        <f>BDP($B1997,"NAME")</f>
        <v/>
      </c>
      <c r="AQ1997" s="1" t="inlineStr">
        <is>
          <t>922042874</t>
        </is>
      </c>
      <c r="AR1997">
        <f>BDP($B1997,"ID_ISIN")</f>
        <v/>
      </c>
      <c r="AS1997">
        <f>BDP($B1997,"TICKER")</f>
        <v/>
      </c>
      <c r="AT1997" t="inlineStr"/>
      <c r="AU1997" t="inlineStr"/>
      <c r="AV1997" t="inlineStr"/>
      <c r="AW1997" t="inlineStr"/>
      <c r="AX1997" t="inlineStr"/>
      <c r="AY1997" t="inlineStr"/>
    </row>
    <row r="1998">
      <c r="A1998" t="inlineStr">
        <is>
          <t>XEUR</t>
        </is>
      </c>
      <c r="B1998" t="inlineStr">
        <is>
          <t>FGXXX US Equity</t>
        </is>
      </c>
      <c r="C1998" s="1" t="inlineStr">
        <is>
          <t>FGXXX</t>
        </is>
      </c>
      <c r="D1998" t="inlineStr">
        <is>
          <t>First American Government Obli</t>
        </is>
      </c>
      <c r="E1998">
        <f>BDP($B1998,"LEGAL_ENTITY_IDENTIFIER")</f>
        <v/>
      </c>
      <c r="F1998" t="inlineStr">
        <is>
          <t>First American Government Obligations Fund</t>
        </is>
      </c>
      <c r="G1998">
        <f>custodian!D1998</f>
        <v/>
      </c>
      <c r="H1998">
        <f>BDP($B1998,"ID_ISIN")</f>
        <v/>
      </c>
      <c r="I1998" s="1" t="inlineStr">
        <is>
          <t>FGXXX</t>
        </is>
      </c>
      <c r="J1998">
        <f>BDP($B1998,"CNTRY_OF_DOMICILE")</f>
        <v/>
      </c>
      <c r="K1998" t="inlineStr">
        <is>
          <t>STIV</t>
        </is>
      </c>
      <c r="L1998" t="inlineStr">
        <is>
          <t>RF</t>
        </is>
      </c>
      <c r="M1998" t="inlineStr"/>
      <c r="N1998" t="inlineStr"/>
      <c r="O1998" s="1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s="1" t="inlineStr"/>
      <c r="AR1998" s="1" t="inlineStr"/>
      <c r="AS1998" s="1" t="inlineStr"/>
      <c r="AT1998" t="inlineStr"/>
      <c r="AU1998" t="inlineStr"/>
      <c r="AV1998" t="inlineStr"/>
      <c r="AW1998" t="inlineStr"/>
      <c r="AX1998" t="inlineStr"/>
      <c r="AY1998" t="inlineStr"/>
    </row>
    <row r="1999">
      <c r="A1999" t="inlineStr">
        <is>
          <t>XEUR</t>
        </is>
      </c>
      <c r="B1999" t="inlineStr"/>
      <c r="C1999" s="1" t="inlineStr">
        <is>
          <t>Cash&amp;Other</t>
        </is>
      </c>
      <c r="D1999" t="inlineStr"/>
      <c r="E1999" s="1" t="inlineStr"/>
      <c r="F1999" t="inlineStr"/>
      <c r="G1999">
        <f>custodian!D1999</f>
        <v/>
      </c>
      <c r="H1999" s="1" t="inlineStr"/>
      <c r="I1999" s="1" t="inlineStr"/>
      <c r="J1999" t="inlineStr"/>
      <c r="K1999" t="inlineStr"/>
      <c r="L1999" t="inlineStr"/>
      <c r="M1999" t="inlineStr"/>
      <c r="N1999" t="inlineStr"/>
      <c r="O1999" s="1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s="1" t="inlineStr"/>
      <c r="AR1999" s="1" t="inlineStr"/>
      <c r="AS1999" s="1" t="inlineStr"/>
      <c r="AT1999" t="inlineStr"/>
      <c r="AU1999" t="inlineStr"/>
      <c r="AV1999" t="inlineStr"/>
      <c r="AW1999" t="inlineStr"/>
      <c r="AX1999" t="inlineStr"/>
      <c r="AY1999" t="inlineStr"/>
    </row>
    <row r="2000">
      <c r="A2000" t="inlineStr">
        <is>
          <t>XHOA</t>
        </is>
      </c>
      <c r="B2000" t="inlineStr">
        <is>
          <t>81369Y860 Equity</t>
        </is>
      </c>
      <c r="C2000" s="1" t="inlineStr">
        <is>
          <t>81369Y860-TRS-07/05/27-L-MREX</t>
        </is>
      </c>
      <c r="D2000" t="inlineStr">
        <is>
          <t>N/A</t>
        </is>
      </c>
      <c r="E2000" s="1" t="inlineStr">
        <is>
          <t>N/A</t>
        </is>
      </c>
      <c r="F2000" t="inlineStr">
        <is>
          <t>STATE STREET REAL ESTATE SELECT SECTOR SPDR ETF-SWAP-MREX-L</t>
        </is>
      </c>
      <c r="G2000">
        <f>custodian!D2000</f>
        <v/>
      </c>
      <c r="H2000" s="1" t="inlineStr"/>
      <c r="I2000" s="1" t="inlineStr">
        <is>
          <t>81369Y860-TRS-07/05/27-L-MREX</t>
        </is>
      </c>
      <c r="J2000" t="inlineStr">
        <is>
          <t>US</t>
        </is>
      </c>
      <c r="K2000" t="inlineStr">
        <is>
          <t>DE</t>
        </is>
      </c>
      <c r="L2000" t="inlineStr">
        <is>
          <t>OTHER</t>
        </is>
      </c>
      <c r="M2000" t="inlineStr">
        <is>
          <t>SWP</t>
        </is>
      </c>
      <c r="N2000" t="inlineStr"/>
      <c r="O2000" s="1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otherRefInst</t>
        </is>
      </c>
      <c r="W2000" t="inlineStr"/>
      <c r="X2000" t="inlineStr"/>
      <c r="Y2000" t="inlineStr">
        <is>
          <t>Y</t>
        </is>
      </c>
      <c r="Z2000" t="inlineStr">
        <is>
          <t>2027-07-05</t>
        </is>
      </c>
      <c r="AA2000" t="inlineStr">
        <is>
          <t>527888.60</t>
        </is>
      </c>
      <c r="AB2000" t="inlineStr">
        <is>
          <t>USD</t>
        </is>
      </c>
      <c r="AC2000" t="inlineStr">
        <is>
          <t>11727.72</t>
        </is>
      </c>
      <c r="AD2000" t="inlineStr">
        <is>
          <t>11727.72</t>
        </is>
      </c>
      <c r="AE2000" t="inlineStr">
        <is>
          <t>4.44</t>
        </is>
      </c>
      <c r="AF2000" t="inlineStr"/>
      <c r="AG2000" t="inlineStr"/>
      <c r="AH2000" t="inlineStr">
        <is>
          <t>Floating</t>
        </is>
      </c>
      <c r="AI2000" t="inlineStr"/>
      <c r="AJ2000" t="inlineStr"/>
      <c r="AK2000" t="inlineStr">
        <is>
          <t>527888.60</t>
        </is>
      </c>
      <c r="AL2000" t="inlineStr">
        <is>
          <t>USD</t>
        </is>
      </c>
      <c r="AM2000" t="inlineStr"/>
      <c r="AN2000" t="inlineStr"/>
      <c r="AO2000">
        <f>BDP($B2000,"ISSUER")</f>
        <v/>
      </c>
      <c r="AP2000">
        <f>BDP($B2000,"NAME")</f>
        <v/>
      </c>
      <c r="AQ2000" s="1" t="inlineStr">
        <is>
          <t>81369Y860</t>
        </is>
      </c>
      <c r="AR2000">
        <f>BDP($B2000,"ID_ISIN")</f>
        <v/>
      </c>
      <c r="AS2000">
        <f>BDP($B2000,"TICKER")</f>
        <v/>
      </c>
      <c r="AT2000" t="inlineStr"/>
      <c r="AU2000" t="inlineStr"/>
      <c r="AV2000" t="inlineStr"/>
      <c r="AW2000" t="inlineStr"/>
      <c r="AX2000" t="inlineStr"/>
      <c r="AY2000" t="inlineStr"/>
    </row>
    <row r="2001">
      <c r="A2001" t="inlineStr">
        <is>
          <t>XHOA</t>
        </is>
      </c>
      <c r="B2001" t="inlineStr">
        <is>
          <t>FGXXX US Equity</t>
        </is>
      </c>
      <c r="C2001" s="1" t="inlineStr">
        <is>
          <t>FGXXX</t>
        </is>
      </c>
      <c r="D2001" t="inlineStr">
        <is>
          <t>First American Government Obli</t>
        </is>
      </c>
      <c r="E2001">
        <f>BDP($B2001,"LEGAL_ENTITY_IDENTIFIER")</f>
        <v/>
      </c>
      <c r="F2001" t="inlineStr">
        <is>
          <t>First American Government Obligations Fund</t>
        </is>
      </c>
      <c r="G2001">
        <f>custodian!D2001</f>
        <v/>
      </c>
      <c r="H2001">
        <f>BDP($B2001,"ID_ISIN")</f>
        <v/>
      </c>
      <c r="I2001" s="1" t="inlineStr">
        <is>
          <t>FGXXX</t>
        </is>
      </c>
      <c r="J2001">
        <f>BDP($B2001,"CNTRY_OF_DOMICILE")</f>
        <v/>
      </c>
      <c r="K2001" t="inlineStr">
        <is>
          <t>STIV</t>
        </is>
      </c>
      <c r="L2001" t="inlineStr">
        <is>
          <t>RF</t>
        </is>
      </c>
      <c r="M2001" t="inlineStr"/>
      <c r="N2001" t="inlineStr"/>
      <c r="O2001" s="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s="1" t="inlineStr"/>
      <c r="AR2001" s="1" t="inlineStr"/>
      <c r="AS2001" s="1" t="inlineStr"/>
      <c r="AT2001" t="inlineStr"/>
      <c r="AU2001" t="inlineStr"/>
      <c r="AV2001" t="inlineStr"/>
      <c r="AW2001" t="inlineStr"/>
      <c r="AX2001" t="inlineStr"/>
      <c r="AY2001" t="inlineStr"/>
    </row>
    <row r="2002">
      <c r="A2002" t="inlineStr">
        <is>
          <t>XHOA</t>
        </is>
      </c>
      <c r="B2002" t="inlineStr"/>
      <c r="C2002" s="1" t="inlineStr">
        <is>
          <t>Cash&amp;Other</t>
        </is>
      </c>
      <c r="D2002" t="inlineStr"/>
      <c r="E2002" s="1" t="inlineStr"/>
      <c r="F2002" t="inlineStr"/>
      <c r="G2002">
        <f>custodian!D2002</f>
        <v/>
      </c>
      <c r="H2002" s="1" t="inlineStr"/>
      <c r="I2002" s="1" t="inlineStr"/>
      <c r="J2002" t="inlineStr"/>
      <c r="K2002" t="inlineStr"/>
      <c r="L2002" t="inlineStr"/>
      <c r="M2002" t="inlineStr"/>
      <c r="N2002" t="inlineStr"/>
      <c r="O2002" s="1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s="1" t="inlineStr"/>
      <c r="AR2002" s="1" t="inlineStr"/>
      <c r="AS2002" s="1" t="inlineStr"/>
      <c r="AT2002" t="inlineStr"/>
      <c r="AU2002" t="inlineStr"/>
      <c r="AV2002" t="inlineStr"/>
      <c r="AW2002" t="inlineStr"/>
      <c r="AX2002" t="inlineStr"/>
      <c r="AY2002" t="inlineStr"/>
    </row>
    <row r="2003">
      <c r="A2003" t="inlineStr">
        <is>
          <t>XIWC</t>
        </is>
      </c>
      <c r="B2003" t="inlineStr">
        <is>
          <t>464288869 Equity</t>
        </is>
      </c>
      <c r="C2003" s="1" t="inlineStr">
        <is>
          <t>464288869-TRS-07/05/27-L-MREX</t>
        </is>
      </c>
      <c r="D2003" t="inlineStr">
        <is>
          <t>N/A</t>
        </is>
      </c>
      <c r="E2003" s="1" t="inlineStr">
        <is>
          <t>N/A</t>
        </is>
      </c>
      <c r="F2003" t="inlineStr">
        <is>
          <t>ISHARES MICRO-CAP ETF-SWAP-MREX-L</t>
        </is>
      </c>
      <c r="G2003">
        <f>custodian!D2003</f>
        <v/>
      </c>
      <c r="H2003" s="1" t="inlineStr"/>
      <c r="I2003" s="1" t="inlineStr">
        <is>
          <t>464288869-TRS-07/05/27-L-MREX</t>
        </is>
      </c>
      <c r="J2003" t="inlineStr">
        <is>
          <t>US</t>
        </is>
      </c>
      <c r="K2003" t="inlineStr">
        <is>
          <t>DE</t>
        </is>
      </c>
      <c r="L2003" t="inlineStr">
        <is>
          <t>OTHER</t>
        </is>
      </c>
      <c r="M2003" t="inlineStr">
        <is>
          <t>SWP</t>
        </is>
      </c>
      <c r="N2003" t="inlineStr"/>
      <c r="O2003" s="1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otherRefInst</t>
        </is>
      </c>
      <c r="W2003" t="inlineStr"/>
      <c r="X2003" t="inlineStr"/>
      <c r="Y2003" t="inlineStr">
        <is>
          <t>Y</t>
        </is>
      </c>
      <c r="Z2003" t="inlineStr">
        <is>
          <t>2027-07-05</t>
        </is>
      </c>
      <c r="AA2003" t="inlineStr">
        <is>
          <t>746003.94</t>
        </is>
      </c>
      <c r="AB2003" t="inlineStr">
        <is>
          <t>USD</t>
        </is>
      </c>
      <c r="AC2003" t="inlineStr">
        <is>
          <t>44658.31</t>
        </is>
      </c>
      <c r="AD2003" t="inlineStr">
        <is>
          <t>44658.31</t>
        </is>
      </c>
      <c r="AE2003" t="inlineStr">
        <is>
          <t>11.92</t>
        </is>
      </c>
      <c r="AF2003" t="inlineStr"/>
      <c r="AG2003" t="inlineStr"/>
      <c r="AH2003" t="inlineStr">
        <is>
          <t>Floating</t>
        </is>
      </c>
      <c r="AI2003" t="inlineStr"/>
      <c r="AJ2003" t="inlineStr"/>
      <c r="AK2003" t="inlineStr">
        <is>
          <t>746003.94</t>
        </is>
      </c>
      <c r="AL2003" t="inlineStr">
        <is>
          <t>USD</t>
        </is>
      </c>
      <c r="AM2003" t="inlineStr"/>
      <c r="AN2003" t="inlineStr"/>
      <c r="AO2003">
        <f>BDP($B2003,"ISSUER")</f>
        <v/>
      </c>
      <c r="AP2003">
        <f>BDP($B2003,"NAME")</f>
        <v/>
      </c>
      <c r="AQ2003" s="1" t="inlineStr">
        <is>
          <t>464288869</t>
        </is>
      </c>
      <c r="AR2003">
        <f>BDP($B2003,"ID_ISIN")</f>
        <v/>
      </c>
      <c r="AS2003">
        <f>BDP($B2003,"TICKER")</f>
        <v/>
      </c>
      <c r="AT2003" t="inlineStr"/>
      <c r="AU2003" t="inlineStr"/>
      <c r="AV2003" t="inlineStr"/>
      <c r="AW2003" t="inlineStr"/>
      <c r="AX2003" t="inlineStr"/>
      <c r="AY2003" t="inlineStr"/>
    </row>
    <row r="2004">
      <c r="A2004" t="inlineStr">
        <is>
          <t>XIWC</t>
        </is>
      </c>
      <c r="B2004" t="inlineStr">
        <is>
          <t>FGXXX US Equity</t>
        </is>
      </c>
      <c r="C2004" s="1" t="inlineStr">
        <is>
          <t>FGXXX</t>
        </is>
      </c>
      <c r="D2004" t="inlineStr">
        <is>
          <t>First American Government Obli</t>
        </is>
      </c>
      <c r="E2004">
        <f>BDP($B2004,"LEGAL_ENTITY_IDENTIFIER")</f>
        <v/>
      </c>
      <c r="F2004" t="inlineStr">
        <is>
          <t>First American Government Obligations Fund</t>
        </is>
      </c>
      <c r="G2004">
        <f>custodian!D2004</f>
        <v/>
      </c>
      <c r="H2004">
        <f>BDP($B2004,"ID_ISIN")</f>
        <v/>
      </c>
      <c r="I2004" s="1" t="inlineStr">
        <is>
          <t>FGXXX</t>
        </is>
      </c>
      <c r="J2004">
        <f>BDP($B2004,"CNTRY_OF_DOMICILE")</f>
        <v/>
      </c>
      <c r="K2004" t="inlineStr">
        <is>
          <t>STIV</t>
        </is>
      </c>
      <c r="L2004" t="inlineStr">
        <is>
          <t>RF</t>
        </is>
      </c>
      <c r="M2004" t="inlineStr"/>
      <c r="N2004" t="inlineStr"/>
      <c r="O2004" s="1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s="1" t="inlineStr"/>
      <c r="AR2004" s="1" t="inlineStr"/>
      <c r="AS2004" s="1" t="inlineStr"/>
      <c r="AT2004" t="inlineStr"/>
      <c r="AU2004" t="inlineStr"/>
      <c r="AV2004" t="inlineStr"/>
      <c r="AW2004" t="inlineStr"/>
      <c r="AX2004" t="inlineStr"/>
      <c r="AY2004" t="inlineStr"/>
    </row>
    <row r="2005">
      <c r="A2005" t="inlineStr">
        <is>
          <t>XIWC</t>
        </is>
      </c>
      <c r="B2005" t="inlineStr"/>
      <c r="C2005" s="1" t="inlineStr">
        <is>
          <t>Cash&amp;Other</t>
        </is>
      </c>
      <c r="D2005" t="inlineStr"/>
      <c r="E2005" s="1" t="inlineStr"/>
      <c r="F2005" t="inlineStr"/>
      <c r="G2005">
        <f>custodian!D2005</f>
        <v/>
      </c>
      <c r="H2005" s="1" t="inlineStr"/>
      <c r="I2005" s="1" t="inlineStr"/>
      <c r="J2005" t="inlineStr"/>
      <c r="K2005" t="inlineStr"/>
      <c r="L2005" t="inlineStr"/>
      <c r="M2005" t="inlineStr"/>
      <c r="N2005" t="inlineStr"/>
      <c r="O2005" s="1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s="1" t="inlineStr"/>
      <c r="AR2005" s="1" t="inlineStr"/>
      <c r="AS2005" s="1" t="inlineStr"/>
      <c r="AT2005" t="inlineStr"/>
      <c r="AU2005" t="inlineStr"/>
      <c r="AV2005" t="inlineStr"/>
      <c r="AW2005" t="inlineStr"/>
      <c r="AX2005" t="inlineStr"/>
      <c r="AY2005" t="inlineStr"/>
    </row>
    <row r="2006">
      <c r="A2006" t="inlineStr">
        <is>
          <t>XKRE</t>
        </is>
      </c>
      <c r="B2006" t="inlineStr">
        <is>
          <t>78464A698 Equity</t>
        </is>
      </c>
      <c r="C2006" s="1" t="inlineStr">
        <is>
          <t>78464A698-TRS-12/01/27-L-CANT</t>
        </is>
      </c>
      <c r="D2006" t="inlineStr">
        <is>
          <t>N/A</t>
        </is>
      </c>
      <c r="E2006" s="1" t="inlineStr">
        <is>
          <t>N/A</t>
        </is>
      </c>
      <c r="F2006" t="inlineStr">
        <is>
          <t>STATE STREET SPDR S&amp;P REGIONAL BANKING ETF-SWAP-CANT-L</t>
        </is>
      </c>
      <c r="G2006">
        <f>custodian!D2006</f>
        <v/>
      </c>
      <c r="H2006" s="1" t="inlineStr"/>
      <c r="I2006" s="1" t="inlineStr">
        <is>
          <t>78464A698-TRS-12/01/27-L-CANT</t>
        </is>
      </c>
      <c r="J2006" t="inlineStr">
        <is>
          <t>US</t>
        </is>
      </c>
      <c r="K2006" t="inlineStr">
        <is>
          <t>DE</t>
        </is>
      </c>
      <c r="L2006" t="inlineStr">
        <is>
          <t>OTHER</t>
        </is>
      </c>
      <c r="M2006" t="inlineStr">
        <is>
          <t>SWP</t>
        </is>
      </c>
      <c r="N2006" t="inlineStr"/>
      <c r="O2006" s="1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otherRefInst</t>
        </is>
      </c>
      <c r="W2006" t="inlineStr"/>
      <c r="X2006" t="inlineStr"/>
      <c r="Y2006" t="inlineStr">
        <is>
          <t>Y</t>
        </is>
      </c>
      <c r="Z2006" t="inlineStr">
        <is>
          <t>2027-12-01</t>
        </is>
      </c>
      <c r="AA2006" t="inlineStr">
        <is>
          <t>850359.12</t>
        </is>
      </c>
      <c r="AB2006" t="inlineStr">
        <is>
          <t>USD</t>
        </is>
      </c>
      <c r="AC2006" t="inlineStr">
        <is>
          <t>72400.15</t>
        </is>
      </c>
      <c r="AD2006" t="inlineStr">
        <is>
          <t>72400.15</t>
        </is>
      </c>
      <c r="AE2006" t="inlineStr">
        <is>
          <t>17.03</t>
        </is>
      </c>
      <c r="AF2006" t="inlineStr"/>
      <c r="AG2006" t="inlineStr"/>
      <c r="AH2006" t="inlineStr">
        <is>
          <t>Floating</t>
        </is>
      </c>
      <c r="AI2006" t="inlineStr"/>
      <c r="AJ2006" t="inlineStr"/>
      <c r="AK2006" t="inlineStr">
        <is>
          <t>850359.12</t>
        </is>
      </c>
      <c r="AL2006" t="inlineStr">
        <is>
          <t>USD</t>
        </is>
      </c>
      <c r="AM2006" t="inlineStr"/>
      <c r="AN2006" t="inlineStr"/>
      <c r="AO2006">
        <f>BDP($B2006,"ISSUER")</f>
        <v/>
      </c>
      <c r="AP2006">
        <f>BDP($B2006,"NAME")</f>
        <v/>
      </c>
      <c r="AQ2006" s="1" t="inlineStr">
        <is>
          <t>78464A698</t>
        </is>
      </c>
      <c r="AR2006">
        <f>BDP($B2006,"ID_ISIN")</f>
        <v/>
      </c>
      <c r="AS2006">
        <f>BDP($B2006,"TICKER")</f>
        <v/>
      </c>
      <c r="AT2006" t="inlineStr"/>
      <c r="AU2006" t="inlineStr"/>
      <c r="AV2006" t="inlineStr"/>
      <c r="AW2006" t="inlineStr"/>
      <c r="AX2006" t="inlineStr"/>
      <c r="AY2006" t="inlineStr"/>
    </row>
    <row r="2007">
      <c r="A2007" t="inlineStr">
        <is>
          <t>XKRE</t>
        </is>
      </c>
      <c r="B2007" t="inlineStr">
        <is>
          <t>FGXXX US Equity</t>
        </is>
      </c>
      <c r="C2007" s="1" t="inlineStr">
        <is>
          <t>FGXXX</t>
        </is>
      </c>
      <c r="D2007" t="inlineStr">
        <is>
          <t>First American Government Obli</t>
        </is>
      </c>
      <c r="E2007">
        <f>BDP($B2007,"LEGAL_ENTITY_IDENTIFIER")</f>
        <v/>
      </c>
      <c r="F2007" t="inlineStr">
        <is>
          <t>First American Government Obligations Fund</t>
        </is>
      </c>
      <c r="G2007">
        <f>custodian!D2007</f>
        <v/>
      </c>
      <c r="H2007">
        <f>BDP($B2007,"ID_ISIN")</f>
        <v/>
      </c>
      <c r="I2007" s="1" t="inlineStr">
        <is>
          <t>FGXXX</t>
        </is>
      </c>
      <c r="J2007">
        <f>BDP($B2007,"CNTRY_OF_DOMICILE")</f>
        <v/>
      </c>
      <c r="K2007" t="inlineStr">
        <is>
          <t>STIV</t>
        </is>
      </c>
      <c r="L2007" t="inlineStr">
        <is>
          <t>RF</t>
        </is>
      </c>
      <c r="M2007" t="inlineStr"/>
      <c r="N2007" t="inlineStr"/>
      <c r="O2007" s="1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s="1" t="inlineStr"/>
      <c r="AR2007" s="1" t="inlineStr"/>
      <c r="AS2007" s="1" t="inlineStr"/>
      <c r="AT2007" t="inlineStr"/>
      <c r="AU2007" t="inlineStr"/>
      <c r="AV2007" t="inlineStr"/>
      <c r="AW2007" t="inlineStr"/>
      <c r="AX2007" t="inlineStr"/>
      <c r="AY2007" t="inlineStr"/>
    </row>
    <row r="2008">
      <c r="A2008" t="inlineStr">
        <is>
          <t>XKRE</t>
        </is>
      </c>
      <c r="B2008" t="inlineStr"/>
      <c r="C2008" s="1" t="inlineStr">
        <is>
          <t>Cash&amp;Other</t>
        </is>
      </c>
      <c r="D2008" t="inlineStr"/>
      <c r="E2008" s="1" t="inlineStr"/>
      <c r="F2008" t="inlineStr"/>
      <c r="G2008">
        <f>custodian!D2008</f>
        <v/>
      </c>
      <c r="H2008" s="1" t="inlineStr"/>
      <c r="I2008" s="1" t="inlineStr"/>
      <c r="J2008" t="inlineStr"/>
      <c r="K2008" t="inlineStr"/>
      <c r="L2008" t="inlineStr"/>
      <c r="M2008" t="inlineStr"/>
      <c r="N2008" t="inlineStr"/>
      <c r="O2008" s="1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s="1" t="inlineStr"/>
      <c r="AR2008" s="1" t="inlineStr"/>
      <c r="AS2008" s="1" t="inlineStr"/>
      <c r="AT2008" t="inlineStr"/>
      <c r="AU2008" t="inlineStr"/>
      <c r="AV2008" t="inlineStr"/>
      <c r="AW2008" t="inlineStr"/>
      <c r="AX2008" t="inlineStr"/>
      <c r="AY2008" t="inlineStr"/>
    </row>
    <row r="2009">
      <c r="A2009" t="inlineStr">
        <is>
          <t>XLBX</t>
        </is>
      </c>
      <c r="B2009" t="inlineStr">
        <is>
          <t>81369Y100 Equity</t>
        </is>
      </c>
      <c r="C2009" s="1" t="inlineStr">
        <is>
          <t>81369Y100-TRS-12/01/27-L-CANT</t>
        </is>
      </c>
      <c r="D2009" t="inlineStr">
        <is>
          <t>N/A</t>
        </is>
      </c>
      <c r="E2009" s="1" t="inlineStr">
        <is>
          <t>N/A</t>
        </is>
      </c>
      <c r="F2009" t="inlineStr">
        <is>
          <t>STATE STREET MATERIALS SELECT SECTOR SPDR ETF-SWAP-CANT-L</t>
        </is>
      </c>
      <c r="G2009">
        <f>custodian!D2009</f>
        <v/>
      </c>
      <c r="H2009" s="1" t="inlineStr"/>
      <c r="I2009" s="1" t="inlineStr">
        <is>
          <t>81369Y100-TRS-12/01/27-L-CANT</t>
        </is>
      </c>
      <c r="J2009" t="inlineStr">
        <is>
          <t>US</t>
        </is>
      </c>
      <c r="K2009" t="inlineStr">
        <is>
          <t>DE</t>
        </is>
      </c>
      <c r="L2009" t="inlineStr">
        <is>
          <t>OTHER</t>
        </is>
      </c>
      <c r="M2009" t="inlineStr">
        <is>
          <t>SWP</t>
        </is>
      </c>
      <c r="N2009" t="inlineStr"/>
      <c r="O2009" s="1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otherRefInst</t>
        </is>
      </c>
      <c r="W2009" t="inlineStr"/>
      <c r="X2009" t="inlineStr"/>
      <c r="Y2009" t="inlineStr">
        <is>
          <t>Y</t>
        </is>
      </c>
      <c r="Z2009" t="inlineStr">
        <is>
          <t>2027-12-01</t>
        </is>
      </c>
      <c r="AA2009" t="inlineStr">
        <is>
          <t>1722250.24</t>
        </is>
      </c>
      <c r="AB2009" t="inlineStr">
        <is>
          <t>USD</t>
        </is>
      </c>
      <c r="AC2009" t="inlineStr">
        <is>
          <t>5752.54</t>
        </is>
      </c>
      <c r="AD2009" t="inlineStr">
        <is>
          <t>5752.54</t>
        </is>
      </c>
      <c r="AE2009" t="inlineStr">
        <is>
          <t>0.67</t>
        </is>
      </c>
      <c r="AF2009" t="inlineStr"/>
      <c r="AG2009" t="inlineStr"/>
      <c r="AH2009" t="inlineStr">
        <is>
          <t>Floating</t>
        </is>
      </c>
      <c r="AI2009" t="inlineStr"/>
      <c r="AJ2009" t="inlineStr"/>
      <c r="AK2009" t="inlineStr">
        <is>
          <t>1722250.24</t>
        </is>
      </c>
      <c r="AL2009" t="inlineStr">
        <is>
          <t>USD</t>
        </is>
      </c>
      <c r="AM2009" t="inlineStr"/>
      <c r="AN2009" t="inlineStr"/>
      <c r="AO2009">
        <f>BDP($B2009,"ISSUER")</f>
        <v/>
      </c>
      <c r="AP2009">
        <f>BDP($B2009,"NAME")</f>
        <v/>
      </c>
      <c r="AQ2009" s="1" t="inlineStr">
        <is>
          <t>81369Y100</t>
        </is>
      </c>
      <c r="AR2009">
        <f>BDP($B2009,"ID_ISIN")</f>
        <v/>
      </c>
      <c r="AS2009">
        <f>BDP($B2009,"TICKER")</f>
        <v/>
      </c>
      <c r="AT2009" t="inlineStr"/>
      <c r="AU2009" t="inlineStr"/>
      <c r="AV2009" t="inlineStr"/>
      <c r="AW2009" t="inlineStr"/>
      <c r="AX2009" t="inlineStr"/>
      <c r="AY2009" t="inlineStr"/>
    </row>
    <row r="2010">
      <c r="A2010" t="inlineStr">
        <is>
          <t>XLBX</t>
        </is>
      </c>
      <c r="B2010" t="inlineStr">
        <is>
          <t>FGXXX US Equity</t>
        </is>
      </c>
      <c r="C2010" s="1" t="inlineStr">
        <is>
          <t>FGXXX</t>
        </is>
      </c>
      <c r="D2010" t="inlineStr">
        <is>
          <t>First American Government Obli</t>
        </is>
      </c>
      <c r="E2010">
        <f>BDP($B2010,"LEGAL_ENTITY_IDENTIFIER")</f>
        <v/>
      </c>
      <c r="F2010" t="inlineStr">
        <is>
          <t>First American Government Obligations Fund</t>
        </is>
      </c>
      <c r="G2010">
        <f>custodian!D2010</f>
        <v/>
      </c>
      <c r="H2010">
        <f>BDP($B2010,"ID_ISIN")</f>
        <v/>
      </c>
      <c r="I2010" s="1" t="inlineStr">
        <is>
          <t>FGXXX</t>
        </is>
      </c>
      <c r="J2010">
        <f>BDP($B2010,"CNTRY_OF_DOMICILE")</f>
        <v/>
      </c>
      <c r="K2010" t="inlineStr">
        <is>
          <t>STIV</t>
        </is>
      </c>
      <c r="L2010" t="inlineStr">
        <is>
          <t>RF</t>
        </is>
      </c>
      <c r="M2010" t="inlineStr"/>
      <c r="N2010" t="inlineStr"/>
      <c r="O2010" s="1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s="1" t="inlineStr"/>
      <c r="AR2010" s="1" t="inlineStr"/>
      <c r="AS2010" s="1" t="inlineStr"/>
      <c r="AT2010" t="inlineStr"/>
      <c r="AU2010" t="inlineStr"/>
      <c r="AV2010" t="inlineStr"/>
      <c r="AW2010" t="inlineStr"/>
      <c r="AX2010" t="inlineStr"/>
      <c r="AY2010" t="inlineStr"/>
    </row>
    <row r="2011">
      <c r="A2011" t="inlineStr">
        <is>
          <t>XLBX</t>
        </is>
      </c>
      <c r="B2011" t="inlineStr"/>
      <c r="C2011" s="1" t="inlineStr">
        <is>
          <t>Cash&amp;Other</t>
        </is>
      </c>
      <c r="D2011" t="inlineStr"/>
      <c r="E2011" s="1" t="inlineStr"/>
      <c r="F2011" t="inlineStr"/>
      <c r="G2011">
        <f>custodian!D2011</f>
        <v/>
      </c>
      <c r="H2011" s="1" t="inlineStr"/>
      <c r="I2011" s="1" t="inlineStr"/>
      <c r="J2011" t="inlineStr"/>
      <c r="K2011" t="inlineStr"/>
      <c r="L2011" t="inlineStr"/>
      <c r="M2011" t="inlineStr"/>
      <c r="N2011" t="inlineStr"/>
      <c r="O2011" s="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s="1" t="inlineStr"/>
      <c r="AR2011" s="1" t="inlineStr"/>
      <c r="AS2011" s="1" t="inlineStr"/>
      <c r="AT2011" t="inlineStr"/>
      <c r="AU2011" t="inlineStr"/>
      <c r="AV2011" t="inlineStr"/>
      <c r="AW2011" t="inlineStr"/>
      <c r="AX2011" t="inlineStr"/>
      <c r="AY2011" t="inlineStr"/>
    </row>
    <row r="2012">
      <c r="A2012" t="inlineStr">
        <is>
          <t>XLEX</t>
        </is>
      </c>
      <c r="B2012" t="inlineStr">
        <is>
          <t>81369Y506 Equity</t>
        </is>
      </c>
      <c r="C2012" s="1" t="inlineStr">
        <is>
          <t>81369Y506-TRS-12/01/27-L-CANT</t>
        </is>
      </c>
      <c r="D2012" t="inlineStr">
        <is>
          <t>N/A</t>
        </is>
      </c>
      <c r="E2012" s="1" t="inlineStr">
        <is>
          <t>N/A</t>
        </is>
      </c>
      <c r="F2012" t="inlineStr">
        <is>
          <t>STATE STREET ENERGY SELECT SECTOR SPDR ETF-SWAP-CANT-L</t>
        </is>
      </c>
      <c r="G2012">
        <f>custodian!D2012</f>
        <v/>
      </c>
      <c r="H2012" s="1" t="inlineStr"/>
      <c r="I2012" s="1" t="inlineStr">
        <is>
          <t>81369Y506-TRS-12/01/27-L-CANT</t>
        </is>
      </c>
      <c r="J2012" t="inlineStr">
        <is>
          <t>US</t>
        </is>
      </c>
      <c r="K2012" t="inlineStr">
        <is>
          <t>DE</t>
        </is>
      </c>
      <c r="L2012" t="inlineStr">
        <is>
          <t>OTHER</t>
        </is>
      </c>
      <c r="M2012" t="inlineStr">
        <is>
          <t>SWP</t>
        </is>
      </c>
      <c r="N2012" t="inlineStr"/>
      <c r="O2012" s="1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otherRefInst</t>
        </is>
      </c>
      <c r="W2012" t="inlineStr"/>
      <c r="X2012" t="inlineStr"/>
      <c r="Y2012" t="inlineStr">
        <is>
          <t>Y</t>
        </is>
      </c>
      <c r="Z2012" t="inlineStr">
        <is>
          <t>2027-12-01</t>
        </is>
      </c>
      <c r="AA2012" t="inlineStr">
        <is>
          <t>642411.44</t>
        </is>
      </c>
      <c r="AB2012" t="inlineStr">
        <is>
          <t>USD</t>
        </is>
      </c>
      <c r="AC2012" t="inlineStr">
        <is>
          <t>-80116.92</t>
        </is>
      </c>
      <c r="AD2012" t="inlineStr">
        <is>
          <t>-80116.92</t>
        </is>
      </c>
      <c r="AE2012" t="inlineStr">
        <is>
          <t>-24.93</t>
        </is>
      </c>
      <c r="AF2012" t="inlineStr"/>
      <c r="AG2012" t="inlineStr"/>
      <c r="AH2012" t="inlineStr">
        <is>
          <t>Floating</t>
        </is>
      </c>
      <c r="AI2012" t="inlineStr"/>
      <c r="AJ2012" t="inlineStr"/>
      <c r="AK2012" t="inlineStr">
        <is>
          <t>642411.44</t>
        </is>
      </c>
      <c r="AL2012" t="inlineStr">
        <is>
          <t>USD</t>
        </is>
      </c>
      <c r="AM2012" t="inlineStr"/>
      <c r="AN2012" t="inlineStr"/>
      <c r="AO2012">
        <f>BDP($B2012,"ISSUER")</f>
        <v/>
      </c>
      <c r="AP2012">
        <f>BDP($B2012,"NAME")</f>
        <v/>
      </c>
      <c r="AQ2012" s="1" t="inlineStr">
        <is>
          <t>81369Y506</t>
        </is>
      </c>
      <c r="AR2012">
        <f>BDP($B2012,"ID_ISIN")</f>
        <v/>
      </c>
      <c r="AS2012">
        <f>BDP($B2012,"TICKER")</f>
        <v/>
      </c>
      <c r="AT2012" t="inlineStr"/>
      <c r="AU2012" t="inlineStr"/>
      <c r="AV2012" t="inlineStr"/>
      <c r="AW2012" t="inlineStr"/>
      <c r="AX2012" t="inlineStr"/>
      <c r="AY2012" t="inlineStr"/>
    </row>
    <row r="2013">
      <c r="A2013" t="inlineStr">
        <is>
          <t>XLEX</t>
        </is>
      </c>
      <c r="B2013" t="inlineStr">
        <is>
          <t>FGXXX US Equity</t>
        </is>
      </c>
      <c r="C2013" s="1" t="inlineStr">
        <is>
          <t>FGXXX</t>
        </is>
      </c>
      <c r="D2013" t="inlineStr">
        <is>
          <t>First American Government Obli</t>
        </is>
      </c>
      <c r="E2013">
        <f>BDP($B2013,"LEGAL_ENTITY_IDENTIFIER")</f>
        <v/>
      </c>
      <c r="F2013" t="inlineStr">
        <is>
          <t>First American Government Obligations Fund</t>
        </is>
      </c>
      <c r="G2013">
        <f>custodian!D2013</f>
        <v/>
      </c>
      <c r="H2013">
        <f>BDP($B2013,"ID_ISIN")</f>
        <v/>
      </c>
      <c r="I2013" s="1" t="inlineStr">
        <is>
          <t>FGXXX</t>
        </is>
      </c>
      <c r="J2013">
        <f>BDP($B2013,"CNTRY_OF_DOMICILE")</f>
        <v/>
      </c>
      <c r="K2013" t="inlineStr">
        <is>
          <t>STIV</t>
        </is>
      </c>
      <c r="L2013" t="inlineStr">
        <is>
          <t>RF</t>
        </is>
      </c>
      <c r="M2013" t="inlineStr"/>
      <c r="N2013" t="inlineStr"/>
      <c r="O2013" s="1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s="1" t="inlineStr"/>
      <c r="AR2013" s="1" t="inlineStr"/>
      <c r="AS2013" s="1" t="inlineStr"/>
      <c r="AT2013" t="inlineStr"/>
      <c r="AU2013" t="inlineStr"/>
      <c r="AV2013" t="inlineStr"/>
      <c r="AW2013" t="inlineStr"/>
      <c r="AX2013" t="inlineStr"/>
      <c r="AY2013" t="inlineStr"/>
    </row>
    <row r="2014">
      <c r="A2014" t="inlineStr">
        <is>
          <t>XLEX</t>
        </is>
      </c>
      <c r="B2014" t="inlineStr"/>
      <c r="C2014" s="1" t="inlineStr">
        <is>
          <t>Cash&amp;Other</t>
        </is>
      </c>
      <c r="D2014" t="inlineStr"/>
      <c r="E2014" s="1" t="inlineStr"/>
      <c r="F2014" t="inlineStr"/>
      <c r="G2014">
        <f>custodian!D2014</f>
        <v/>
      </c>
      <c r="H2014" s="1" t="inlineStr"/>
      <c r="I2014" s="1" t="inlineStr"/>
      <c r="J2014" t="inlineStr"/>
      <c r="K2014" t="inlineStr"/>
      <c r="L2014" t="inlineStr"/>
      <c r="M2014" t="inlineStr"/>
      <c r="N2014" t="inlineStr"/>
      <c r="O2014" s="1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s="1" t="inlineStr"/>
      <c r="AR2014" s="1" t="inlineStr"/>
      <c r="AS2014" s="1" t="inlineStr"/>
      <c r="AT2014" t="inlineStr"/>
      <c r="AU2014" t="inlineStr"/>
      <c r="AV2014" t="inlineStr"/>
      <c r="AW2014" t="inlineStr"/>
      <c r="AX2014" t="inlineStr"/>
      <c r="AY2014" t="inlineStr"/>
    </row>
    <row r="2015">
      <c r="A2015" t="inlineStr">
        <is>
          <t>XLFX</t>
        </is>
      </c>
      <c r="B2015" t="inlineStr">
        <is>
          <t>81369Y605 Equity</t>
        </is>
      </c>
      <c r="C2015" s="1" t="inlineStr">
        <is>
          <t>81369Y605-TRS-12/01/27-L-CANT</t>
        </is>
      </c>
      <c r="D2015" t="inlineStr">
        <is>
          <t>N/A</t>
        </is>
      </c>
      <c r="E2015" s="1" t="inlineStr">
        <is>
          <t>N/A</t>
        </is>
      </c>
      <c r="F2015" t="inlineStr">
        <is>
          <t>STATE STREET FINANCIAL SELECT SECTOR SPDR ETF-SWAP-CANT-L</t>
        </is>
      </c>
      <c r="G2015">
        <f>custodian!D2015</f>
        <v/>
      </c>
      <c r="H2015" s="1" t="inlineStr"/>
      <c r="I2015" s="1" t="inlineStr">
        <is>
          <t>81369Y605-TRS-12/01/27-L-CANT</t>
        </is>
      </c>
      <c r="J2015" t="inlineStr">
        <is>
          <t>US</t>
        </is>
      </c>
      <c r="K2015" t="inlineStr">
        <is>
          <t>DE</t>
        </is>
      </c>
      <c r="L2015" t="inlineStr">
        <is>
          <t>OTHER</t>
        </is>
      </c>
      <c r="M2015" t="inlineStr">
        <is>
          <t>SWP</t>
        </is>
      </c>
      <c r="N2015" t="inlineStr"/>
      <c r="O2015" s="1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otherRefInst</t>
        </is>
      </c>
      <c r="W2015" t="inlineStr"/>
      <c r="X2015" t="inlineStr"/>
      <c r="Y2015" t="inlineStr">
        <is>
          <t>Y</t>
        </is>
      </c>
      <c r="Z2015" t="inlineStr">
        <is>
          <t>2027-12-01</t>
        </is>
      </c>
      <c r="AA2015" t="inlineStr">
        <is>
          <t>1360620.16</t>
        </is>
      </c>
      <c r="AB2015" t="inlineStr">
        <is>
          <t>USD</t>
        </is>
      </c>
      <c r="AC2015" t="inlineStr">
        <is>
          <t>47882.05</t>
        </is>
      </c>
      <c r="AD2015" t="inlineStr">
        <is>
          <t>47882.05</t>
        </is>
      </c>
      <c r="AE2015" t="inlineStr">
        <is>
          <t>7.04</t>
        </is>
      </c>
      <c r="AF2015" t="inlineStr"/>
      <c r="AG2015" t="inlineStr"/>
      <c r="AH2015" t="inlineStr">
        <is>
          <t>Floating</t>
        </is>
      </c>
      <c r="AI2015" t="inlineStr"/>
      <c r="AJ2015" t="inlineStr"/>
      <c r="AK2015" t="inlineStr">
        <is>
          <t>1360620.16</t>
        </is>
      </c>
      <c r="AL2015" t="inlineStr">
        <is>
          <t>USD</t>
        </is>
      </c>
      <c r="AM2015" t="inlineStr"/>
      <c r="AN2015" t="inlineStr"/>
      <c r="AO2015">
        <f>BDP($B2015,"ISSUER")</f>
        <v/>
      </c>
      <c r="AP2015">
        <f>BDP($B2015,"NAME")</f>
        <v/>
      </c>
      <c r="AQ2015" s="1" t="inlineStr">
        <is>
          <t>81369Y605</t>
        </is>
      </c>
      <c r="AR2015">
        <f>BDP($B2015,"ID_ISIN")</f>
        <v/>
      </c>
      <c r="AS2015">
        <f>BDP($B2015,"TICKER")</f>
        <v/>
      </c>
      <c r="AT2015" t="inlineStr"/>
      <c r="AU2015" t="inlineStr"/>
      <c r="AV2015" t="inlineStr"/>
      <c r="AW2015" t="inlineStr"/>
      <c r="AX2015" t="inlineStr"/>
      <c r="AY2015" t="inlineStr"/>
    </row>
    <row r="2016">
      <c r="A2016" t="inlineStr">
        <is>
          <t>XLFX</t>
        </is>
      </c>
      <c r="B2016" t="inlineStr">
        <is>
          <t>FGXXX US Equity</t>
        </is>
      </c>
      <c r="C2016" s="1" t="inlineStr">
        <is>
          <t>FGXXX</t>
        </is>
      </c>
      <c r="D2016" t="inlineStr">
        <is>
          <t>First American Government Obli</t>
        </is>
      </c>
      <c r="E2016">
        <f>BDP($B2016,"LEGAL_ENTITY_IDENTIFIER")</f>
        <v/>
      </c>
      <c r="F2016" t="inlineStr">
        <is>
          <t>First American Government Obligations Fund</t>
        </is>
      </c>
      <c r="G2016">
        <f>custodian!D2016</f>
        <v/>
      </c>
      <c r="H2016">
        <f>BDP($B2016,"ID_ISIN")</f>
        <v/>
      </c>
      <c r="I2016" s="1" t="inlineStr">
        <is>
          <t>FGXXX</t>
        </is>
      </c>
      <c r="J2016">
        <f>BDP($B2016,"CNTRY_OF_DOMICILE")</f>
        <v/>
      </c>
      <c r="K2016" t="inlineStr">
        <is>
          <t>STIV</t>
        </is>
      </c>
      <c r="L2016" t="inlineStr">
        <is>
          <t>RF</t>
        </is>
      </c>
      <c r="M2016" t="inlineStr"/>
      <c r="N2016" t="inlineStr"/>
      <c r="O2016" s="1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s="1" t="inlineStr"/>
      <c r="AR2016" s="1" t="inlineStr"/>
      <c r="AS2016" s="1" t="inlineStr"/>
      <c r="AT2016" t="inlineStr"/>
      <c r="AU2016" t="inlineStr"/>
      <c r="AV2016" t="inlineStr"/>
      <c r="AW2016" t="inlineStr"/>
      <c r="AX2016" t="inlineStr"/>
      <c r="AY2016" t="inlineStr"/>
    </row>
    <row r="2017">
      <c r="A2017" t="inlineStr">
        <is>
          <t>XLFX</t>
        </is>
      </c>
      <c r="B2017" t="inlineStr"/>
      <c r="C2017" s="1" t="inlineStr">
        <is>
          <t>Cash&amp;Other</t>
        </is>
      </c>
      <c r="D2017" t="inlineStr"/>
      <c r="E2017" s="1" t="inlineStr"/>
      <c r="F2017" t="inlineStr"/>
      <c r="G2017">
        <f>custodian!D2017</f>
        <v/>
      </c>
      <c r="H2017" s="1" t="inlineStr"/>
      <c r="I2017" s="1" t="inlineStr"/>
      <c r="J2017" t="inlineStr"/>
      <c r="K2017" t="inlineStr"/>
      <c r="L2017" t="inlineStr"/>
      <c r="M2017" t="inlineStr"/>
      <c r="N2017" t="inlineStr"/>
      <c r="O2017" s="1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s="1" t="inlineStr"/>
      <c r="AR2017" s="1" t="inlineStr"/>
      <c r="AS2017" s="1" t="inlineStr"/>
      <c r="AT2017" t="inlineStr"/>
      <c r="AU2017" t="inlineStr"/>
      <c r="AV2017" t="inlineStr"/>
      <c r="AW2017" t="inlineStr"/>
      <c r="AX2017" t="inlineStr"/>
      <c r="AY2017" t="inlineStr"/>
    </row>
    <row r="2018">
      <c r="A2018" t="inlineStr">
        <is>
          <t>XLIX</t>
        </is>
      </c>
      <c r="B2018" t="inlineStr">
        <is>
          <t>81369Y704 Equity</t>
        </is>
      </c>
      <c r="C2018" s="1" t="inlineStr">
        <is>
          <t>81369Y704-TRS-12/01/27-L-CANT</t>
        </is>
      </c>
      <c r="D2018" t="inlineStr">
        <is>
          <t>N/A</t>
        </is>
      </c>
      <c r="E2018" s="1" t="inlineStr">
        <is>
          <t>N/A</t>
        </is>
      </c>
      <c r="F2018" t="inlineStr">
        <is>
          <t>STATE STREET INDUSTRIAL SELECT SECTOR SPDR ETF-SWAP-CANT-L</t>
        </is>
      </c>
      <c r="G2018">
        <f>custodian!D2018</f>
        <v/>
      </c>
      <c r="H2018" s="1" t="inlineStr"/>
      <c r="I2018" s="1" t="inlineStr">
        <is>
          <t>81369Y704-TRS-12/01/27-L-CANT</t>
        </is>
      </c>
      <c r="J2018" t="inlineStr">
        <is>
          <t>US</t>
        </is>
      </c>
      <c r="K2018" t="inlineStr">
        <is>
          <t>DE</t>
        </is>
      </c>
      <c r="L2018" t="inlineStr">
        <is>
          <t>OTHER</t>
        </is>
      </c>
      <c r="M2018" t="inlineStr">
        <is>
          <t>SWP</t>
        </is>
      </c>
      <c r="N2018" t="inlineStr"/>
      <c r="O2018" s="1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otherRefInst</t>
        </is>
      </c>
      <c r="W2018" t="inlineStr"/>
      <c r="X2018" t="inlineStr"/>
      <c r="Y2018" t="inlineStr">
        <is>
          <t>Y</t>
        </is>
      </c>
      <c r="Z2018" t="inlineStr">
        <is>
          <t>2027-12-01</t>
        </is>
      </c>
      <c r="AA2018" t="inlineStr">
        <is>
          <t>797969.88</t>
        </is>
      </c>
      <c r="AB2018" t="inlineStr">
        <is>
          <t>USD</t>
        </is>
      </c>
      <c r="AC2018" t="inlineStr">
        <is>
          <t>61652.81</t>
        </is>
      </c>
      <c r="AD2018" t="inlineStr">
        <is>
          <t>61652.81</t>
        </is>
      </c>
      <c r="AE2018" t="inlineStr">
        <is>
          <t>15.44</t>
        </is>
      </c>
      <c r="AF2018" t="inlineStr"/>
      <c r="AG2018" t="inlineStr"/>
      <c r="AH2018" t="inlineStr">
        <is>
          <t>Floating</t>
        </is>
      </c>
      <c r="AI2018" t="inlineStr"/>
      <c r="AJ2018" t="inlineStr"/>
      <c r="AK2018" t="inlineStr">
        <is>
          <t>797969.88</t>
        </is>
      </c>
      <c r="AL2018" t="inlineStr">
        <is>
          <t>USD</t>
        </is>
      </c>
      <c r="AM2018" t="inlineStr"/>
      <c r="AN2018" t="inlineStr"/>
      <c r="AO2018">
        <f>BDP($B2018,"ISSUER")</f>
        <v/>
      </c>
      <c r="AP2018">
        <f>BDP($B2018,"NAME")</f>
        <v/>
      </c>
      <c r="AQ2018" s="1" t="inlineStr">
        <is>
          <t>81369Y704</t>
        </is>
      </c>
      <c r="AR2018">
        <f>BDP($B2018,"ID_ISIN")</f>
        <v/>
      </c>
      <c r="AS2018">
        <f>BDP($B2018,"TICKER")</f>
        <v/>
      </c>
      <c r="AT2018" t="inlineStr"/>
      <c r="AU2018" t="inlineStr"/>
      <c r="AV2018" t="inlineStr"/>
      <c r="AW2018" t="inlineStr"/>
      <c r="AX2018" t="inlineStr"/>
      <c r="AY2018" t="inlineStr"/>
    </row>
    <row r="2019">
      <c r="A2019" t="inlineStr">
        <is>
          <t>XLIX</t>
        </is>
      </c>
      <c r="B2019" t="inlineStr">
        <is>
          <t>FGXXX US Equity</t>
        </is>
      </c>
      <c r="C2019" s="1" t="inlineStr">
        <is>
          <t>FGXXX</t>
        </is>
      </c>
      <c r="D2019" t="inlineStr">
        <is>
          <t>First American Government Obli</t>
        </is>
      </c>
      <c r="E2019">
        <f>BDP($B2019,"LEGAL_ENTITY_IDENTIFIER")</f>
        <v/>
      </c>
      <c r="F2019" t="inlineStr">
        <is>
          <t>First American Government Obligations Fund</t>
        </is>
      </c>
      <c r="G2019">
        <f>custodian!D2019</f>
        <v/>
      </c>
      <c r="H2019">
        <f>BDP($B2019,"ID_ISIN")</f>
        <v/>
      </c>
      <c r="I2019" s="1" t="inlineStr">
        <is>
          <t>FGXXX</t>
        </is>
      </c>
      <c r="J2019">
        <f>BDP($B2019,"CNTRY_OF_DOMICILE")</f>
        <v/>
      </c>
      <c r="K2019" t="inlineStr">
        <is>
          <t>STIV</t>
        </is>
      </c>
      <c r="L2019" t="inlineStr">
        <is>
          <t>RF</t>
        </is>
      </c>
      <c r="M2019" t="inlineStr"/>
      <c r="N2019" t="inlineStr"/>
      <c r="O2019" s="1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s="1" t="inlineStr"/>
      <c r="AR2019" s="1" t="inlineStr"/>
      <c r="AS2019" s="1" t="inlineStr"/>
      <c r="AT2019" t="inlineStr"/>
      <c r="AU2019" t="inlineStr"/>
      <c r="AV2019" t="inlineStr"/>
      <c r="AW2019" t="inlineStr"/>
      <c r="AX2019" t="inlineStr"/>
      <c r="AY2019" t="inlineStr"/>
    </row>
    <row r="2020">
      <c r="A2020" t="inlineStr">
        <is>
          <t>XLIX</t>
        </is>
      </c>
      <c r="B2020" t="inlineStr"/>
      <c r="C2020" s="1" t="inlineStr">
        <is>
          <t>Cash&amp;Other</t>
        </is>
      </c>
      <c r="D2020" t="inlineStr"/>
      <c r="E2020" s="1" t="inlineStr"/>
      <c r="F2020" t="inlineStr"/>
      <c r="G2020">
        <f>custodian!D2020</f>
        <v/>
      </c>
      <c r="H2020" s="1" t="inlineStr"/>
      <c r="I2020" s="1" t="inlineStr"/>
      <c r="J2020" t="inlineStr"/>
      <c r="K2020" t="inlineStr"/>
      <c r="L2020" t="inlineStr"/>
      <c r="M2020" t="inlineStr"/>
      <c r="N2020" t="inlineStr"/>
      <c r="O2020" s="1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s="1" t="inlineStr"/>
      <c r="AR2020" s="1" t="inlineStr"/>
      <c r="AS2020" s="1" t="inlineStr"/>
      <c r="AT2020" t="inlineStr"/>
      <c r="AU2020" t="inlineStr"/>
      <c r="AV2020" t="inlineStr"/>
      <c r="AW2020" t="inlineStr"/>
      <c r="AX2020" t="inlineStr"/>
      <c r="AY2020" t="inlineStr"/>
    </row>
    <row r="2021">
      <c r="A2021" t="inlineStr">
        <is>
          <t>XLKX</t>
        </is>
      </c>
      <c r="B2021" t="inlineStr">
        <is>
          <t>81369Y803 Equity</t>
        </is>
      </c>
      <c r="C2021" s="1" t="inlineStr">
        <is>
          <t>81369Y803-TRS-07/07/27-L-CLST</t>
        </is>
      </c>
      <c r="D2021" t="inlineStr">
        <is>
          <t>N/A</t>
        </is>
      </c>
      <c r="E2021" s="1" t="inlineStr">
        <is>
          <t>N/A</t>
        </is>
      </c>
      <c r="F2021" t="inlineStr">
        <is>
          <t>STATE STREET TECHNOLOGY SELECT SECTOR SPDR ETF-SWAP-CLST-L</t>
        </is>
      </c>
      <c r="G2021">
        <f>custodian!D2021</f>
        <v/>
      </c>
      <c r="H2021" s="1" t="inlineStr"/>
      <c r="I2021" s="1" t="inlineStr">
        <is>
          <t>81369Y803-TRS-07/07/27-L-CLST</t>
        </is>
      </c>
      <c r="J2021" t="inlineStr">
        <is>
          <t>US</t>
        </is>
      </c>
      <c r="K2021" t="inlineStr">
        <is>
          <t>DE</t>
        </is>
      </c>
      <c r="L2021" t="inlineStr">
        <is>
          <t>OTHER</t>
        </is>
      </c>
      <c r="M2021" t="inlineStr">
        <is>
          <t>SWP</t>
        </is>
      </c>
      <c r="N2021" t="inlineStr"/>
      <c r="O2021" s="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otherRefInst</t>
        </is>
      </c>
      <c r="W2021" t="inlineStr"/>
      <c r="X2021" t="inlineStr"/>
      <c r="Y2021" t="inlineStr">
        <is>
          <t>Y</t>
        </is>
      </c>
      <c r="Z2021" t="inlineStr">
        <is>
          <t>2027-07-07</t>
        </is>
      </c>
      <c r="AA2021" t="inlineStr">
        <is>
          <t>1255906.05</t>
        </is>
      </c>
      <c r="AB2021" t="inlineStr">
        <is>
          <t>USD</t>
        </is>
      </c>
      <c r="AC2021" t="inlineStr">
        <is>
          <t>-30365.19</t>
        </is>
      </c>
      <c r="AD2021" t="inlineStr">
        <is>
          <t>-30365.19</t>
        </is>
      </c>
      <c r="AE2021" t="inlineStr">
        <is>
          <t>-4.83</t>
        </is>
      </c>
      <c r="AF2021" t="inlineStr"/>
      <c r="AG2021" t="inlineStr"/>
      <c r="AH2021" t="inlineStr">
        <is>
          <t>Floating</t>
        </is>
      </c>
      <c r="AI2021" t="inlineStr"/>
      <c r="AJ2021" t="inlineStr"/>
      <c r="AK2021" t="inlineStr">
        <is>
          <t>1255906.05</t>
        </is>
      </c>
      <c r="AL2021" t="inlineStr">
        <is>
          <t>USD</t>
        </is>
      </c>
      <c r="AM2021" t="inlineStr"/>
      <c r="AN2021" t="inlineStr"/>
      <c r="AO2021">
        <f>BDP($B2021,"ISSUER")</f>
        <v/>
      </c>
      <c r="AP2021">
        <f>BDP($B2021,"NAME")</f>
        <v/>
      </c>
      <c r="AQ2021" s="1" t="inlineStr">
        <is>
          <t>81369Y803</t>
        </is>
      </c>
      <c r="AR2021">
        <f>BDP($B2021,"ID_ISIN")</f>
        <v/>
      </c>
      <c r="AS2021">
        <f>BDP($B2021,"TICKER")</f>
        <v/>
      </c>
      <c r="AT2021" t="inlineStr"/>
      <c r="AU2021" t="inlineStr"/>
      <c r="AV2021" t="inlineStr"/>
      <c r="AW2021" t="inlineStr"/>
      <c r="AX2021" t="inlineStr"/>
      <c r="AY2021" t="inlineStr"/>
    </row>
    <row r="2022">
      <c r="A2022" t="inlineStr">
        <is>
          <t>XLKX</t>
        </is>
      </c>
      <c r="B2022" t="inlineStr">
        <is>
          <t>FGXXX US Equity</t>
        </is>
      </c>
      <c r="C2022" s="1" t="inlineStr">
        <is>
          <t>FGXXX</t>
        </is>
      </c>
      <c r="D2022" t="inlineStr">
        <is>
          <t>First American Government Obli</t>
        </is>
      </c>
      <c r="E2022">
        <f>BDP($B2022,"LEGAL_ENTITY_IDENTIFIER")</f>
        <v/>
      </c>
      <c r="F2022" t="inlineStr">
        <is>
          <t>First American Government Obligations Fund</t>
        </is>
      </c>
      <c r="G2022">
        <f>custodian!D2022</f>
        <v/>
      </c>
      <c r="H2022">
        <f>BDP($B2022,"ID_ISIN")</f>
        <v/>
      </c>
      <c r="I2022" s="1" t="inlineStr">
        <is>
          <t>FGXXX</t>
        </is>
      </c>
      <c r="J2022">
        <f>BDP($B2022,"CNTRY_OF_DOMICILE")</f>
        <v/>
      </c>
      <c r="K2022" t="inlineStr">
        <is>
          <t>STIV</t>
        </is>
      </c>
      <c r="L2022" t="inlineStr">
        <is>
          <t>RF</t>
        </is>
      </c>
      <c r="M2022" t="inlineStr"/>
      <c r="N2022" t="inlineStr"/>
      <c r="O2022" s="1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s="1" t="inlineStr"/>
      <c r="AR2022" s="1" t="inlineStr"/>
      <c r="AS2022" s="1" t="inlineStr"/>
      <c r="AT2022" t="inlineStr"/>
      <c r="AU2022" t="inlineStr"/>
      <c r="AV2022" t="inlineStr"/>
      <c r="AW2022" t="inlineStr"/>
      <c r="AX2022" t="inlineStr"/>
      <c r="AY2022" t="inlineStr"/>
    </row>
    <row r="2023">
      <c r="A2023" t="inlineStr">
        <is>
          <t>XLKX</t>
        </is>
      </c>
      <c r="B2023" t="inlineStr"/>
      <c r="C2023" s="1" t="inlineStr">
        <is>
          <t>Cash&amp;Other</t>
        </is>
      </c>
      <c r="D2023" t="inlineStr"/>
      <c r="E2023" s="1" t="inlineStr"/>
      <c r="F2023" t="inlineStr"/>
      <c r="G2023">
        <f>custodian!D2023</f>
        <v/>
      </c>
      <c r="H2023" s="1" t="inlineStr"/>
      <c r="I2023" s="1" t="inlineStr"/>
      <c r="J2023" t="inlineStr"/>
      <c r="K2023" t="inlineStr"/>
      <c r="L2023" t="inlineStr"/>
      <c r="M2023" t="inlineStr"/>
      <c r="N2023" t="inlineStr"/>
      <c r="O2023" s="1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s="1" t="inlineStr"/>
      <c r="AR2023" s="1" t="inlineStr"/>
      <c r="AS2023" s="1" t="inlineStr"/>
      <c r="AT2023" t="inlineStr"/>
      <c r="AU2023" t="inlineStr"/>
      <c r="AV2023" t="inlineStr"/>
      <c r="AW2023" t="inlineStr"/>
      <c r="AX2023" t="inlineStr"/>
      <c r="AY2023" t="inlineStr"/>
    </row>
    <row r="2024">
      <c r="A2024" t="inlineStr">
        <is>
          <t>XLPX</t>
        </is>
      </c>
      <c r="B2024" t="inlineStr">
        <is>
          <t>81369Y308 Equity</t>
        </is>
      </c>
      <c r="C2024" s="1" t="inlineStr">
        <is>
          <t>81369Y308-TRS-07/07/27-L-CLST</t>
        </is>
      </c>
      <c r="D2024" t="inlineStr">
        <is>
          <t>N/A</t>
        </is>
      </c>
      <c r="E2024" s="1" t="inlineStr">
        <is>
          <t>N/A</t>
        </is>
      </c>
      <c r="F2024" t="inlineStr">
        <is>
          <t>STATE STREET CONSUMER STAPLES SELECT SECTOR SPDR ETF-SWAP-CLST-L</t>
        </is>
      </c>
      <c r="G2024">
        <f>custodian!D2024</f>
        <v/>
      </c>
      <c r="H2024" s="1" t="inlineStr"/>
      <c r="I2024" s="1" t="inlineStr">
        <is>
          <t>81369Y308-TRS-07/07/27-L-CLST</t>
        </is>
      </c>
      <c r="J2024" t="inlineStr">
        <is>
          <t>US</t>
        </is>
      </c>
      <c r="K2024" t="inlineStr">
        <is>
          <t>DE</t>
        </is>
      </c>
      <c r="L2024" t="inlineStr">
        <is>
          <t>OTHER</t>
        </is>
      </c>
      <c r="M2024" t="inlineStr">
        <is>
          <t>SWP</t>
        </is>
      </c>
      <c r="N2024" t="inlineStr"/>
      <c r="O2024" s="1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otherRefInst</t>
        </is>
      </c>
      <c r="W2024" t="inlineStr"/>
      <c r="X2024" t="inlineStr"/>
      <c r="Y2024" t="inlineStr">
        <is>
          <t>Y</t>
        </is>
      </c>
      <c r="Z2024" t="inlineStr">
        <is>
          <t>2027-07-07</t>
        </is>
      </c>
      <c r="AA2024" t="inlineStr">
        <is>
          <t>1338796.20</t>
        </is>
      </c>
      <c r="AB2024" t="inlineStr">
        <is>
          <t>USD</t>
        </is>
      </c>
      <c r="AC2024" t="inlineStr">
        <is>
          <t>8485.58</t>
        </is>
      </c>
      <c r="AD2024" t="inlineStr">
        <is>
          <t>8485.58</t>
        </is>
      </c>
      <c r="AE2024" t="inlineStr">
        <is>
          <t>1.27</t>
        </is>
      </c>
      <c r="AF2024" t="inlineStr"/>
      <c r="AG2024" t="inlineStr"/>
      <c r="AH2024" t="inlineStr">
        <is>
          <t>Floating</t>
        </is>
      </c>
      <c r="AI2024" t="inlineStr"/>
      <c r="AJ2024" t="inlineStr"/>
      <c r="AK2024" t="inlineStr">
        <is>
          <t>1338796.20</t>
        </is>
      </c>
      <c r="AL2024" t="inlineStr">
        <is>
          <t>USD</t>
        </is>
      </c>
      <c r="AM2024" t="inlineStr"/>
      <c r="AN2024" t="inlineStr"/>
      <c r="AO2024">
        <f>BDP($B2024,"ISSUER")</f>
        <v/>
      </c>
      <c r="AP2024">
        <f>BDP($B2024,"NAME")</f>
        <v/>
      </c>
      <c r="AQ2024" s="1" t="inlineStr">
        <is>
          <t>81369Y308</t>
        </is>
      </c>
      <c r="AR2024">
        <f>BDP($B2024,"ID_ISIN")</f>
        <v/>
      </c>
      <c r="AS2024">
        <f>BDP($B2024,"TICKER")</f>
        <v/>
      </c>
      <c r="AT2024" t="inlineStr"/>
      <c r="AU2024" t="inlineStr"/>
      <c r="AV2024" t="inlineStr"/>
      <c r="AW2024" t="inlineStr"/>
      <c r="AX2024" t="inlineStr"/>
      <c r="AY2024" t="inlineStr"/>
    </row>
    <row r="2025">
      <c r="A2025" t="inlineStr">
        <is>
          <t>XLPX</t>
        </is>
      </c>
      <c r="B2025" t="inlineStr">
        <is>
          <t>FGXXX US Equity</t>
        </is>
      </c>
      <c r="C2025" s="1" t="inlineStr">
        <is>
          <t>FGXXX</t>
        </is>
      </c>
      <c r="D2025" t="inlineStr">
        <is>
          <t>First American Government Obli</t>
        </is>
      </c>
      <c r="E2025">
        <f>BDP($B2025,"LEGAL_ENTITY_IDENTIFIER")</f>
        <v/>
      </c>
      <c r="F2025" t="inlineStr">
        <is>
          <t>First American Government Obligations Fund</t>
        </is>
      </c>
      <c r="G2025">
        <f>custodian!D2025</f>
        <v/>
      </c>
      <c r="H2025">
        <f>BDP($B2025,"ID_ISIN")</f>
        <v/>
      </c>
      <c r="I2025" s="1" t="inlineStr">
        <is>
          <t>FGXXX</t>
        </is>
      </c>
      <c r="J2025">
        <f>BDP($B2025,"CNTRY_OF_DOMICILE")</f>
        <v/>
      </c>
      <c r="K2025" t="inlineStr">
        <is>
          <t>STIV</t>
        </is>
      </c>
      <c r="L2025" t="inlineStr">
        <is>
          <t>RF</t>
        </is>
      </c>
      <c r="M2025" t="inlineStr"/>
      <c r="N2025" t="inlineStr"/>
      <c r="O2025" s="1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s="1" t="inlineStr"/>
      <c r="AR2025" s="1" t="inlineStr"/>
      <c r="AS2025" s="1" t="inlineStr"/>
      <c r="AT2025" t="inlineStr"/>
      <c r="AU2025" t="inlineStr"/>
      <c r="AV2025" t="inlineStr"/>
      <c r="AW2025" t="inlineStr"/>
      <c r="AX2025" t="inlineStr"/>
      <c r="AY2025" t="inlineStr"/>
    </row>
    <row r="2026">
      <c r="A2026" t="inlineStr">
        <is>
          <t>XLPX</t>
        </is>
      </c>
      <c r="B2026" t="inlineStr"/>
      <c r="C2026" s="1" t="inlineStr">
        <is>
          <t>Cash&amp;Other</t>
        </is>
      </c>
      <c r="D2026" t="inlineStr"/>
      <c r="E2026" s="1" t="inlineStr"/>
      <c r="F2026" t="inlineStr"/>
      <c r="G2026">
        <f>custodian!D2026</f>
        <v/>
      </c>
      <c r="H2026" s="1" t="inlineStr"/>
      <c r="I2026" s="1" t="inlineStr"/>
      <c r="J2026" t="inlineStr"/>
      <c r="K2026" t="inlineStr"/>
      <c r="L2026" t="inlineStr"/>
      <c r="M2026" t="inlineStr"/>
      <c r="N2026" t="inlineStr"/>
      <c r="O2026" s="1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s="1" t="inlineStr"/>
      <c r="AR2026" s="1" t="inlineStr"/>
      <c r="AS2026" s="1" t="inlineStr"/>
      <c r="AT2026" t="inlineStr"/>
      <c r="AU2026" t="inlineStr"/>
      <c r="AV2026" t="inlineStr"/>
      <c r="AW2026" t="inlineStr"/>
      <c r="AX2026" t="inlineStr"/>
      <c r="AY2026" t="inlineStr"/>
    </row>
    <row r="2027">
      <c r="A2027" t="inlineStr">
        <is>
          <t>XLUX</t>
        </is>
      </c>
      <c r="B2027" t="inlineStr">
        <is>
          <t>81369Y886 Equity</t>
        </is>
      </c>
      <c r="C2027" s="1" t="inlineStr">
        <is>
          <t>81369Y886-TRS-07/07/27-L-CLST</t>
        </is>
      </c>
      <c r="D2027" t="inlineStr">
        <is>
          <t>N/A</t>
        </is>
      </c>
      <c r="E2027" s="1" t="inlineStr">
        <is>
          <t>N/A</t>
        </is>
      </c>
      <c r="F2027" t="inlineStr">
        <is>
          <t>STATE STREET UTILITIES SELECT SECTOR SPDR ETF-SWAP-CLST-L</t>
        </is>
      </c>
      <c r="G2027">
        <f>custodian!D2027</f>
        <v/>
      </c>
      <c r="H2027" s="1" t="inlineStr"/>
      <c r="I2027" s="1" t="inlineStr">
        <is>
          <t>81369Y886-TRS-07/07/27-L-CLST</t>
        </is>
      </c>
      <c r="J2027" t="inlineStr">
        <is>
          <t>US</t>
        </is>
      </c>
      <c r="K2027" t="inlineStr">
        <is>
          <t>DE</t>
        </is>
      </c>
      <c r="L2027" t="inlineStr">
        <is>
          <t>OTHER</t>
        </is>
      </c>
      <c r="M2027" t="inlineStr">
        <is>
          <t>SWP</t>
        </is>
      </c>
      <c r="N2027" t="inlineStr"/>
      <c r="O2027" s="1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otherRefInst</t>
        </is>
      </c>
      <c r="W2027" t="inlineStr"/>
      <c r="X2027" t="inlineStr"/>
      <c r="Y2027" t="inlineStr">
        <is>
          <t>Y</t>
        </is>
      </c>
      <c r="Z2027" t="inlineStr">
        <is>
          <t>2027-07-07</t>
        </is>
      </c>
      <c r="AA2027" t="inlineStr">
        <is>
          <t>1081666.08</t>
        </is>
      </c>
      <c r="AB2027" t="inlineStr">
        <is>
          <t>USD</t>
        </is>
      </c>
      <c r="AC2027" t="inlineStr">
        <is>
          <t>28384.99</t>
        </is>
      </c>
      <c r="AD2027" t="inlineStr">
        <is>
          <t>28384.99</t>
        </is>
      </c>
      <c r="AE2027" t="inlineStr">
        <is>
          <t>5.24</t>
        </is>
      </c>
      <c r="AF2027" t="inlineStr"/>
      <c r="AG2027" t="inlineStr"/>
      <c r="AH2027" t="inlineStr">
        <is>
          <t>Floating</t>
        </is>
      </c>
      <c r="AI2027" t="inlineStr"/>
      <c r="AJ2027" t="inlineStr"/>
      <c r="AK2027" t="inlineStr">
        <is>
          <t>1081666.08</t>
        </is>
      </c>
      <c r="AL2027" t="inlineStr">
        <is>
          <t>USD</t>
        </is>
      </c>
      <c r="AM2027" t="inlineStr"/>
      <c r="AN2027" t="inlineStr"/>
      <c r="AO2027">
        <f>BDP($B2027,"ISSUER")</f>
        <v/>
      </c>
      <c r="AP2027">
        <f>BDP($B2027,"NAME")</f>
        <v/>
      </c>
      <c r="AQ2027" s="1" t="inlineStr">
        <is>
          <t>81369Y886</t>
        </is>
      </c>
      <c r="AR2027">
        <f>BDP($B2027,"ID_ISIN")</f>
        <v/>
      </c>
      <c r="AS2027">
        <f>BDP($B2027,"TICKER")</f>
        <v/>
      </c>
      <c r="AT2027" t="inlineStr"/>
      <c r="AU2027" t="inlineStr"/>
      <c r="AV2027" t="inlineStr"/>
      <c r="AW2027" t="inlineStr"/>
      <c r="AX2027" t="inlineStr"/>
      <c r="AY2027" t="inlineStr"/>
    </row>
    <row r="2028">
      <c r="A2028" t="inlineStr">
        <is>
          <t>XLUX</t>
        </is>
      </c>
      <c r="B2028" t="inlineStr">
        <is>
          <t>FGXXX US Equity</t>
        </is>
      </c>
      <c r="C2028" s="1" t="inlineStr">
        <is>
          <t>FGXXX</t>
        </is>
      </c>
      <c r="D2028" t="inlineStr">
        <is>
          <t>First American Government Obli</t>
        </is>
      </c>
      <c r="E2028">
        <f>BDP($B2028,"LEGAL_ENTITY_IDENTIFIER")</f>
        <v/>
      </c>
      <c r="F2028" t="inlineStr">
        <is>
          <t>First American Government Obligations Fund</t>
        </is>
      </c>
      <c r="G2028">
        <f>custodian!D2028</f>
        <v/>
      </c>
      <c r="H2028">
        <f>BDP($B2028,"ID_ISIN")</f>
        <v/>
      </c>
      <c r="I2028" s="1" t="inlineStr">
        <is>
          <t>FGXXX</t>
        </is>
      </c>
      <c r="J2028">
        <f>BDP($B2028,"CNTRY_OF_DOMICILE")</f>
        <v/>
      </c>
      <c r="K2028" t="inlineStr">
        <is>
          <t>STIV</t>
        </is>
      </c>
      <c r="L2028" t="inlineStr">
        <is>
          <t>RF</t>
        </is>
      </c>
      <c r="M2028" t="inlineStr"/>
      <c r="N2028" t="inlineStr"/>
      <c r="O2028" s="1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s="1" t="inlineStr"/>
      <c r="AR2028" s="1" t="inlineStr"/>
      <c r="AS2028" s="1" t="inlineStr"/>
      <c r="AT2028" t="inlineStr"/>
      <c r="AU2028" t="inlineStr"/>
      <c r="AV2028" t="inlineStr"/>
      <c r="AW2028" t="inlineStr"/>
      <c r="AX2028" t="inlineStr"/>
      <c r="AY2028" t="inlineStr"/>
    </row>
    <row r="2029">
      <c r="A2029" t="inlineStr">
        <is>
          <t>XLUX</t>
        </is>
      </c>
      <c r="B2029" t="inlineStr"/>
      <c r="C2029" s="1" t="inlineStr">
        <is>
          <t>Cash&amp;Other</t>
        </is>
      </c>
      <c r="D2029" t="inlineStr"/>
      <c r="E2029" s="1" t="inlineStr"/>
      <c r="F2029" t="inlineStr"/>
      <c r="G2029">
        <f>custodian!D2029</f>
        <v/>
      </c>
      <c r="H2029" s="1" t="inlineStr"/>
      <c r="I2029" s="1" t="inlineStr"/>
      <c r="J2029" t="inlineStr"/>
      <c r="K2029" t="inlineStr"/>
      <c r="L2029" t="inlineStr"/>
      <c r="M2029" t="inlineStr"/>
      <c r="N2029" t="inlineStr"/>
      <c r="O2029" s="1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s="1" t="inlineStr"/>
      <c r="AR2029" s="1" t="inlineStr"/>
      <c r="AS2029" s="1" t="inlineStr"/>
      <c r="AT2029" t="inlineStr"/>
      <c r="AU2029" t="inlineStr"/>
      <c r="AV2029" t="inlineStr"/>
      <c r="AW2029" t="inlineStr"/>
      <c r="AX2029" t="inlineStr"/>
      <c r="AY2029" t="inlineStr"/>
    </row>
    <row r="2030">
      <c r="A2030" t="inlineStr">
        <is>
          <t>XLVX</t>
        </is>
      </c>
      <c r="B2030" t="inlineStr">
        <is>
          <t>81369Y209 Equity</t>
        </is>
      </c>
      <c r="C2030" s="1" t="inlineStr">
        <is>
          <t>81369Y209-TRS-07/07/27-L-CLST</t>
        </is>
      </c>
      <c r="D2030" t="inlineStr">
        <is>
          <t>N/A</t>
        </is>
      </c>
      <c r="E2030" s="1" t="inlineStr">
        <is>
          <t>N/A</t>
        </is>
      </c>
      <c r="F2030" t="inlineStr">
        <is>
          <t>STATE STREET HEALTH CARE SELECT SECTOR SPDR ETF-SWAP-CLST-L</t>
        </is>
      </c>
      <c r="G2030">
        <f>custodian!D2030</f>
        <v/>
      </c>
      <c r="H2030" s="1" t="inlineStr"/>
      <c r="I2030" s="1" t="inlineStr">
        <is>
          <t>81369Y209-TRS-07/07/27-L-CLST</t>
        </is>
      </c>
      <c r="J2030" t="inlineStr">
        <is>
          <t>US</t>
        </is>
      </c>
      <c r="K2030" t="inlineStr">
        <is>
          <t>DE</t>
        </is>
      </c>
      <c r="L2030" t="inlineStr">
        <is>
          <t>OTHER</t>
        </is>
      </c>
      <c r="M2030" t="inlineStr">
        <is>
          <t>SWP</t>
        </is>
      </c>
      <c r="N2030" t="inlineStr"/>
      <c r="O2030" s="1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otherRefInst</t>
        </is>
      </c>
      <c r="W2030" t="inlineStr"/>
      <c r="X2030" t="inlineStr"/>
      <c r="Y2030" t="inlineStr">
        <is>
          <t>Y</t>
        </is>
      </c>
      <c r="Z2030" t="inlineStr">
        <is>
          <t>2027-07-07</t>
        </is>
      </c>
      <c r="AA2030" t="inlineStr">
        <is>
          <t>1097065.90</t>
        </is>
      </c>
      <c r="AB2030" t="inlineStr">
        <is>
          <t>USD</t>
        </is>
      </c>
      <c r="AC2030" t="inlineStr">
        <is>
          <t>15914.34</t>
        </is>
      </c>
      <c r="AD2030" t="inlineStr">
        <is>
          <t>15914.34</t>
        </is>
      </c>
      <c r="AE2030" t="inlineStr">
        <is>
          <t>2.90</t>
        </is>
      </c>
      <c r="AF2030" t="inlineStr"/>
      <c r="AG2030" t="inlineStr"/>
      <c r="AH2030" t="inlineStr">
        <is>
          <t>Floating</t>
        </is>
      </c>
      <c r="AI2030" t="inlineStr"/>
      <c r="AJ2030" t="inlineStr"/>
      <c r="AK2030" t="inlineStr">
        <is>
          <t>1097065.90</t>
        </is>
      </c>
      <c r="AL2030" t="inlineStr">
        <is>
          <t>USD</t>
        </is>
      </c>
      <c r="AM2030" t="inlineStr"/>
      <c r="AN2030" t="inlineStr"/>
      <c r="AO2030">
        <f>BDP($B2030,"ISSUER")</f>
        <v/>
      </c>
      <c r="AP2030">
        <f>BDP($B2030,"NAME")</f>
        <v/>
      </c>
      <c r="AQ2030" s="1" t="inlineStr">
        <is>
          <t>81369Y209</t>
        </is>
      </c>
      <c r="AR2030">
        <f>BDP($B2030,"ID_ISIN")</f>
        <v/>
      </c>
      <c r="AS2030">
        <f>BDP($B2030,"TICKER")</f>
        <v/>
      </c>
      <c r="AT2030" t="inlineStr"/>
      <c r="AU2030" t="inlineStr"/>
      <c r="AV2030" t="inlineStr"/>
      <c r="AW2030" t="inlineStr"/>
      <c r="AX2030" t="inlineStr"/>
      <c r="AY2030" t="inlineStr"/>
    </row>
    <row r="2031">
      <c r="A2031" t="inlineStr">
        <is>
          <t>XLVX</t>
        </is>
      </c>
      <c r="B2031" t="inlineStr">
        <is>
          <t>FGXXX US Equity</t>
        </is>
      </c>
      <c r="C2031" s="1" t="inlineStr">
        <is>
          <t>FGXXX</t>
        </is>
      </c>
      <c r="D2031" t="inlineStr">
        <is>
          <t>First American Government Obli</t>
        </is>
      </c>
      <c r="E2031">
        <f>BDP($B2031,"LEGAL_ENTITY_IDENTIFIER")</f>
        <v/>
      </c>
      <c r="F2031" t="inlineStr">
        <is>
          <t>First American Government Obligations Fund</t>
        </is>
      </c>
      <c r="G2031">
        <f>custodian!D2031</f>
        <v/>
      </c>
      <c r="H2031">
        <f>BDP($B2031,"ID_ISIN")</f>
        <v/>
      </c>
      <c r="I2031" s="1" t="inlineStr">
        <is>
          <t>FGXXX</t>
        </is>
      </c>
      <c r="J2031">
        <f>BDP($B2031,"CNTRY_OF_DOMICILE")</f>
        <v/>
      </c>
      <c r="K2031" t="inlineStr">
        <is>
          <t>STIV</t>
        </is>
      </c>
      <c r="L2031" t="inlineStr">
        <is>
          <t>RF</t>
        </is>
      </c>
      <c r="M2031" t="inlineStr"/>
      <c r="N2031" t="inlineStr"/>
      <c r="O2031" s="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s="1" t="inlineStr"/>
      <c r="AR2031" s="1" t="inlineStr"/>
      <c r="AS2031" s="1" t="inlineStr"/>
      <c r="AT2031" t="inlineStr"/>
      <c r="AU2031" t="inlineStr"/>
      <c r="AV2031" t="inlineStr"/>
      <c r="AW2031" t="inlineStr"/>
      <c r="AX2031" t="inlineStr"/>
      <c r="AY2031" t="inlineStr"/>
    </row>
    <row r="2032">
      <c r="A2032" t="inlineStr">
        <is>
          <t>XLVX</t>
        </is>
      </c>
      <c r="B2032" t="inlineStr"/>
      <c r="C2032" s="1" t="inlineStr">
        <is>
          <t>Cash&amp;Other</t>
        </is>
      </c>
      <c r="D2032" t="inlineStr"/>
      <c r="E2032" s="1" t="inlineStr"/>
      <c r="F2032" t="inlineStr"/>
      <c r="G2032">
        <f>custodian!D2032</f>
        <v/>
      </c>
      <c r="H2032" s="1" t="inlineStr"/>
      <c r="I2032" s="1" t="inlineStr"/>
      <c r="J2032" t="inlineStr"/>
      <c r="K2032" t="inlineStr"/>
      <c r="L2032" t="inlineStr"/>
      <c r="M2032" t="inlineStr"/>
      <c r="N2032" t="inlineStr"/>
      <c r="O2032" s="1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s="1" t="inlineStr"/>
      <c r="AR2032" s="1" t="inlineStr"/>
      <c r="AS2032" s="1" t="inlineStr"/>
      <c r="AT2032" t="inlineStr"/>
      <c r="AU2032" t="inlineStr"/>
      <c r="AV2032" t="inlineStr"/>
      <c r="AW2032" t="inlineStr"/>
      <c r="AX2032" t="inlineStr"/>
      <c r="AY2032" t="inlineStr"/>
    </row>
    <row r="2033">
      <c r="A2033" t="inlineStr">
        <is>
          <t>XLYX</t>
        </is>
      </c>
      <c r="B2033" t="inlineStr">
        <is>
          <t>81369Y407 Equity</t>
        </is>
      </c>
      <c r="C2033" s="1" t="inlineStr">
        <is>
          <t>81369Y407-TRS-07/07/27-L-CLST</t>
        </is>
      </c>
      <c r="D2033" t="inlineStr">
        <is>
          <t>N/A</t>
        </is>
      </c>
      <c r="E2033" s="1" t="inlineStr">
        <is>
          <t>N/A</t>
        </is>
      </c>
      <c r="F2033" t="inlineStr">
        <is>
          <t>STATE STREET CONSUMER DISCRETIONARY SELECT SECTOR SPDR ETF-SWAP-CLST-L</t>
        </is>
      </c>
      <c r="G2033">
        <f>custodian!D2033</f>
        <v/>
      </c>
      <c r="H2033" s="1" t="inlineStr"/>
      <c r="I2033" s="1" t="inlineStr">
        <is>
          <t>81369Y407-TRS-07/07/27-L-CLST</t>
        </is>
      </c>
      <c r="J2033" t="inlineStr">
        <is>
          <t>US</t>
        </is>
      </c>
      <c r="K2033" t="inlineStr">
        <is>
          <t>DE</t>
        </is>
      </c>
      <c r="L2033" t="inlineStr">
        <is>
          <t>OTHER</t>
        </is>
      </c>
      <c r="M2033" t="inlineStr">
        <is>
          <t>SWP</t>
        </is>
      </c>
      <c r="N2033" t="inlineStr"/>
      <c r="O2033" s="1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otherRefInst</t>
        </is>
      </c>
      <c r="W2033" t="inlineStr"/>
      <c r="X2033" t="inlineStr"/>
      <c r="Y2033" t="inlineStr">
        <is>
          <t>Y</t>
        </is>
      </c>
      <c r="Z2033" t="inlineStr">
        <is>
          <t>2027-07-07</t>
        </is>
      </c>
      <c r="AA2033" t="inlineStr">
        <is>
          <t>714124.42</t>
        </is>
      </c>
      <c r="AB2033" t="inlineStr">
        <is>
          <t>USD</t>
        </is>
      </c>
      <c r="AC2033" t="inlineStr">
        <is>
          <t>-10229.85</t>
        </is>
      </c>
      <c r="AD2033" t="inlineStr">
        <is>
          <t>-10229.85</t>
        </is>
      </c>
      <c r="AE2033" t="inlineStr">
        <is>
          <t>-2.86</t>
        </is>
      </c>
      <c r="AF2033" t="inlineStr"/>
      <c r="AG2033" t="inlineStr"/>
      <c r="AH2033" t="inlineStr">
        <is>
          <t>Floating</t>
        </is>
      </c>
      <c r="AI2033" t="inlineStr"/>
      <c r="AJ2033" t="inlineStr"/>
      <c r="AK2033" t="inlineStr">
        <is>
          <t>714124.42</t>
        </is>
      </c>
      <c r="AL2033" t="inlineStr">
        <is>
          <t>USD</t>
        </is>
      </c>
      <c r="AM2033" t="inlineStr"/>
      <c r="AN2033" t="inlineStr"/>
      <c r="AO2033">
        <f>BDP($B2033,"ISSUER")</f>
        <v/>
      </c>
      <c r="AP2033">
        <f>BDP($B2033,"NAME")</f>
        <v/>
      </c>
      <c r="AQ2033" s="1" t="inlineStr">
        <is>
          <t>81369Y407</t>
        </is>
      </c>
      <c r="AR2033">
        <f>BDP($B2033,"ID_ISIN")</f>
        <v/>
      </c>
      <c r="AS2033">
        <f>BDP($B2033,"TICKER")</f>
        <v/>
      </c>
      <c r="AT2033" t="inlineStr"/>
      <c r="AU2033" t="inlineStr"/>
      <c r="AV2033" t="inlineStr"/>
      <c r="AW2033" t="inlineStr"/>
      <c r="AX2033" t="inlineStr"/>
      <c r="AY2033" t="inlineStr"/>
    </row>
    <row r="2034">
      <c r="A2034" t="inlineStr">
        <is>
          <t>XLYX</t>
        </is>
      </c>
      <c r="B2034" t="inlineStr">
        <is>
          <t>FGXXX US Equity</t>
        </is>
      </c>
      <c r="C2034" s="1" t="inlineStr">
        <is>
          <t>FGXXX</t>
        </is>
      </c>
      <c r="D2034" t="inlineStr">
        <is>
          <t>First American Government Obli</t>
        </is>
      </c>
      <c r="E2034">
        <f>BDP($B2034,"LEGAL_ENTITY_IDENTIFIER")</f>
        <v/>
      </c>
      <c r="F2034" t="inlineStr">
        <is>
          <t>First American Government Obligations Fund</t>
        </is>
      </c>
      <c r="G2034">
        <f>custodian!D2034</f>
        <v/>
      </c>
      <c r="H2034">
        <f>BDP($B2034,"ID_ISIN")</f>
        <v/>
      </c>
      <c r="I2034" s="1" t="inlineStr">
        <is>
          <t>FGXXX</t>
        </is>
      </c>
      <c r="J2034">
        <f>BDP($B2034,"CNTRY_OF_DOMICILE")</f>
        <v/>
      </c>
      <c r="K2034" t="inlineStr">
        <is>
          <t>STIV</t>
        </is>
      </c>
      <c r="L2034" t="inlineStr">
        <is>
          <t>RF</t>
        </is>
      </c>
      <c r="M2034" t="inlineStr"/>
      <c r="N2034" t="inlineStr"/>
      <c r="O2034" s="1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s="1" t="inlineStr"/>
      <c r="AR2034" s="1" t="inlineStr"/>
      <c r="AS2034" s="1" t="inlineStr"/>
      <c r="AT2034" t="inlineStr"/>
      <c r="AU2034" t="inlineStr"/>
      <c r="AV2034" t="inlineStr"/>
      <c r="AW2034" t="inlineStr"/>
      <c r="AX2034" t="inlineStr"/>
      <c r="AY2034" t="inlineStr"/>
    </row>
    <row r="2035">
      <c r="A2035" t="inlineStr">
        <is>
          <t>XLYX</t>
        </is>
      </c>
      <c r="B2035" t="inlineStr"/>
      <c r="C2035" s="1" t="inlineStr">
        <is>
          <t>Cash&amp;Other</t>
        </is>
      </c>
      <c r="D2035" t="inlineStr"/>
      <c r="E2035" s="1" t="inlineStr"/>
      <c r="F2035" t="inlineStr"/>
      <c r="G2035">
        <f>custodian!D2035</f>
        <v/>
      </c>
      <c r="H2035" s="1" t="inlineStr"/>
      <c r="I2035" s="1" t="inlineStr"/>
      <c r="J2035" t="inlineStr"/>
      <c r="K2035" t="inlineStr"/>
      <c r="L2035" t="inlineStr"/>
      <c r="M2035" t="inlineStr"/>
      <c r="N2035" t="inlineStr"/>
      <c r="O2035" s="1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s="1" t="inlineStr"/>
      <c r="AR2035" s="1" t="inlineStr"/>
      <c r="AS2035" s="1" t="inlineStr"/>
      <c r="AT2035" t="inlineStr"/>
      <c r="AU2035" t="inlineStr"/>
      <c r="AV2035" t="inlineStr"/>
      <c r="AW2035" t="inlineStr"/>
      <c r="AX2035" t="inlineStr"/>
      <c r="AY2035" t="inlineStr"/>
    </row>
    <row r="2036">
      <c r="A2036" t="inlineStr">
        <is>
          <t>XPAV</t>
        </is>
      </c>
      <c r="B2036" t="inlineStr">
        <is>
          <t>37954Y673 Equity</t>
        </is>
      </c>
      <c r="C2036" s="1" t="inlineStr">
        <is>
          <t>37954Y673-TRS-07/07/27-L-CLST</t>
        </is>
      </c>
      <c r="D2036" t="inlineStr">
        <is>
          <t>N/A</t>
        </is>
      </c>
      <c r="E2036" s="1" t="inlineStr">
        <is>
          <t>N/A</t>
        </is>
      </c>
      <c r="F2036" t="inlineStr">
        <is>
          <t>GLOBAL X U.S. INFRASTRUCTURE DEVELOPMENT ETF-SWAP-CLST-L</t>
        </is>
      </c>
      <c r="G2036">
        <f>custodian!D2036</f>
        <v/>
      </c>
      <c r="H2036" s="1" t="inlineStr"/>
      <c r="I2036" s="1" t="inlineStr">
        <is>
          <t>37954Y673-TRS-07/07/27-L-CLST</t>
        </is>
      </c>
      <c r="J2036" t="inlineStr">
        <is>
          <t>US</t>
        </is>
      </c>
      <c r="K2036" t="inlineStr">
        <is>
          <t>DE</t>
        </is>
      </c>
      <c r="L2036" t="inlineStr">
        <is>
          <t>OTHER</t>
        </is>
      </c>
      <c r="M2036" t="inlineStr">
        <is>
          <t>SWP</t>
        </is>
      </c>
      <c r="N2036" t="inlineStr"/>
      <c r="O2036" s="1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otherRefInst</t>
        </is>
      </c>
      <c r="W2036" t="inlineStr"/>
      <c r="X2036" t="inlineStr"/>
      <c r="Y2036" t="inlineStr">
        <is>
          <t>Y</t>
        </is>
      </c>
      <c r="Z2036" t="inlineStr">
        <is>
          <t>2027-07-07</t>
        </is>
      </c>
      <c r="AA2036" t="inlineStr">
        <is>
          <t>521426.07</t>
        </is>
      </c>
      <c r="AB2036" t="inlineStr">
        <is>
          <t>USD</t>
        </is>
      </c>
      <c r="AC2036" t="inlineStr">
        <is>
          <t>13238.95</t>
        </is>
      </c>
      <c r="AD2036" t="inlineStr">
        <is>
          <t>13238.95</t>
        </is>
      </c>
      <c r="AE2036" t="inlineStr">
        <is>
          <t>5.07</t>
        </is>
      </c>
      <c r="AF2036" t="inlineStr"/>
      <c r="AG2036" t="inlineStr"/>
      <c r="AH2036" t="inlineStr">
        <is>
          <t>Floating</t>
        </is>
      </c>
      <c r="AI2036" t="inlineStr"/>
      <c r="AJ2036" t="inlineStr"/>
      <c r="AK2036" t="inlineStr">
        <is>
          <t>521426.07</t>
        </is>
      </c>
      <c r="AL2036" t="inlineStr">
        <is>
          <t>USD</t>
        </is>
      </c>
      <c r="AM2036" t="inlineStr"/>
      <c r="AN2036" t="inlineStr"/>
      <c r="AO2036">
        <f>BDP($B2036,"ISSUER")</f>
        <v/>
      </c>
      <c r="AP2036">
        <f>BDP($B2036,"NAME")</f>
        <v/>
      </c>
      <c r="AQ2036" s="1" t="inlineStr">
        <is>
          <t>37954Y673</t>
        </is>
      </c>
      <c r="AR2036">
        <f>BDP($B2036,"ID_ISIN")</f>
        <v/>
      </c>
      <c r="AS2036">
        <f>BDP($B2036,"TICKER")</f>
        <v/>
      </c>
      <c r="AT2036" t="inlineStr"/>
      <c r="AU2036" t="inlineStr"/>
      <c r="AV2036" t="inlineStr"/>
      <c r="AW2036" t="inlineStr"/>
      <c r="AX2036" t="inlineStr"/>
      <c r="AY2036" t="inlineStr"/>
    </row>
    <row r="2037">
      <c r="A2037" t="inlineStr">
        <is>
          <t>XPAV</t>
        </is>
      </c>
      <c r="B2037" t="inlineStr">
        <is>
          <t>FGXXX US Equity</t>
        </is>
      </c>
      <c r="C2037" s="1" t="inlineStr">
        <is>
          <t>FGXXX</t>
        </is>
      </c>
      <c r="D2037" t="inlineStr">
        <is>
          <t>First American Government Obli</t>
        </is>
      </c>
      <c r="E2037">
        <f>BDP($B2037,"LEGAL_ENTITY_IDENTIFIER")</f>
        <v/>
      </c>
      <c r="F2037" t="inlineStr">
        <is>
          <t>First American Government Obligations Fund</t>
        </is>
      </c>
      <c r="G2037">
        <f>custodian!D2037</f>
        <v/>
      </c>
      <c r="H2037">
        <f>BDP($B2037,"ID_ISIN")</f>
        <v/>
      </c>
      <c r="I2037" s="1" t="inlineStr">
        <is>
          <t>FGXXX</t>
        </is>
      </c>
      <c r="J2037">
        <f>BDP($B2037,"CNTRY_OF_DOMICILE")</f>
        <v/>
      </c>
      <c r="K2037" t="inlineStr">
        <is>
          <t>STIV</t>
        </is>
      </c>
      <c r="L2037" t="inlineStr">
        <is>
          <t>RF</t>
        </is>
      </c>
      <c r="M2037" t="inlineStr"/>
      <c r="N2037" t="inlineStr"/>
      <c r="O2037" s="1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s="1" t="inlineStr"/>
      <c r="AR2037" s="1" t="inlineStr"/>
      <c r="AS2037" s="1" t="inlineStr"/>
      <c r="AT2037" t="inlineStr"/>
      <c r="AU2037" t="inlineStr"/>
      <c r="AV2037" t="inlineStr"/>
      <c r="AW2037" t="inlineStr"/>
      <c r="AX2037" t="inlineStr"/>
      <c r="AY2037" t="inlineStr"/>
    </row>
    <row r="2038">
      <c r="A2038" t="inlineStr">
        <is>
          <t>XPAV</t>
        </is>
      </c>
      <c r="B2038" t="inlineStr"/>
      <c r="C2038" s="1" t="inlineStr">
        <is>
          <t>Cash&amp;Other</t>
        </is>
      </c>
      <c r="D2038" t="inlineStr"/>
      <c r="E2038" s="1" t="inlineStr"/>
      <c r="F2038" t="inlineStr"/>
      <c r="G2038">
        <f>custodian!D2038</f>
        <v/>
      </c>
      <c r="H2038" s="1" t="inlineStr"/>
      <c r="I2038" s="1" t="inlineStr"/>
      <c r="J2038" t="inlineStr"/>
      <c r="K2038" t="inlineStr"/>
      <c r="L2038" t="inlineStr"/>
      <c r="M2038" t="inlineStr"/>
      <c r="N2038" t="inlineStr"/>
      <c r="O2038" s="1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s="1" t="inlineStr"/>
      <c r="AR2038" s="1" t="inlineStr"/>
      <c r="AS2038" s="1" t="inlineStr"/>
      <c r="AT2038" t="inlineStr"/>
      <c r="AU2038" t="inlineStr"/>
      <c r="AV2038" t="inlineStr"/>
      <c r="AW2038" t="inlineStr"/>
      <c r="AX2038" t="inlineStr"/>
      <c r="AY2038" t="inlineStr"/>
    </row>
    <row r="2039">
      <c r="A2039" t="inlineStr">
        <is>
          <t>XSEM</t>
        </is>
      </c>
      <c r="B2039" t="inlineStr">
        <is>
          <t>92189F676 Equity</t>
        </is>
      </c>
      <c r="C2039" s="1" t="inlineStr">
        <is>
          <t>92189F676-TRS-07/07/27-L-CLST</t>
        </is>
      </c>
      <c r="D2039" t="inlineStr">
        <is>
          <t>N/A</t>
        </is>
      </c>
      <c r="E2039" s="1" t="inlineStr">
        <is>
          <t>N/A</t>
        </is>
      </c>
      <c r="F2039" t="inlineStr">
        <is>
          <t>VANECK SEMICONDUCTOR ETF-SWAP-CLST-L</t>
        </is>
      </c>
      <c r="G2039">
        <f>custodian!D2039</f>
        <v/>
      </c>
      <c r="H2039" s="1" t="inlineStr"/>
      <c r="I2039" s="1" t="inlineStr">
        <is>
          <t>92189F676-TRS-07/07/27-L-CLST</t>
        </is>
      </c>
      <c r="J2039" t="inlineStr">
        <is>
          <t>US</t>
        </is>
      </c>
      <c r="K2039" t="inlineStr">
        <is>
          <t>DE</t>
        </is>
      </c>
      <c r="L2039" t="inlineStr">
        <is>
          <t>OTHER</t>
        </is>
      </c>
      <c r="M2039" t="inlineStr">
        <is>
          <t>SWP</t>
        </is>
      </c>
      <c r="N2039" t="inlineStr"/>
      <c r="O2039" s="1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otherRefInst</t>
        </is>
      </c>
      <c r="W2039" t="inlineStr"/>
      <c r="X2039" t="inlineStr"/>
      <c r="Y2039" t="inlineStr">
        <is>
          <t>Y</t>
        </is>
      </c>
      <c r="Z2039" t="inlineStr">
        <is>
          <t>2027-07-07</t>
        </is>
      </c>
      <c r="AA2039" t="inlineStr">
        <is>
          <t>1151810.12</t>
        </is>
      </c>
      <c r="AB2039" t="inlineStr">
        <is>
          <t>USD</t>
        </is>
      </c>
      <c r="AC2039" t="inlineStr">
        <is>
          <t>3177.97</t>
        </is>
      </c>
      <c r="AD2039" t="inlineStr">
        <is>
          <t>3177.97</t>
        </is>
      </c>
      <c r="AE2039" t="inlineStr">
        <is>
          <t>0.55</t>
        </is>
      </c>
      <c r="AF2039" t="inlineStr"/>
      <c r="AG2039" t="inlineStr"/>
      <c r="AH2039" t="inlineStr">
        <is>
          <t>Floating</t>
        </is>
      </c>
      <c r="AI2039" t="inlineStr"/>
      <c r="AJ2039" t="inlineStr"/>
      <c r="AK2039" t="inlineStr">
        <is>
          <t>1151810.12</t>
        </is>
      </c>
      <c r="AL2039" t="inlineStr">
        <is>
          <t>USD</t>
        </is>
      </c>
      <c r="AM2039" t="inlineStr"/>
      <c r="AN2039" t="inlineStr"/>
      <c r="AO2039">
        <f>BDP($B2039,"ISSUER")</f>
        <v/>
      </c>
      <c r="AP2039">
        <f>BDP($B2039,"NAME")</f>
        <v/>
      </c>
      <c r="AQ2039" s="1" t="inlineStr">
        <is>
          <t>92189F676</t>
        </is>
      </c>
      <c r="AR2039">
        <f>BDP($B2039,"ID_ISIN")</f>
        <v/>
      </c>
      <c r="AS2039">
        <f>BDP($B2039,"TICKER")</f>
        <v/>
      </c>
      <c r="AT2039" t="inlineStr"/>
      <c r="AU2039" t="inlineStr"/>
      <c r="AV2039" t="inlineStr"/>
      <c r="AW2039" t="inlineStr"/>
      <c r="AX2039" t="inlineStr"/>
      <c r="AY2039" t="inlineStr"/>
    </row>
    <row r="2040">
      <c r="A2040" t="inlineStr">
        <is>
          <t>XSEM</t>
        </is>
      </c>
      <c r="B2040" t="inlineStr">
        <is>
          <t>FGXXX US Equity</t>
        </is>
      </c>
      <c r="C2040" s="1" t="inlineStr">
        <is>
          <t>FGXXX</t>
        </is>
      </c>
      <c r="D2040" t="inlineStr">
        <is>
          <t>First American Government Obli</t>
        </is>
      </c>
      <c r="E2040">
        <f>BDP($B2040,"LEGAL_ENTITY_IDENTIFIER")</f>
        <v/>
      </c>
      <c r="F2040" t="inlineStr">
        <is>
          <t>First American Government Obligations Fund</t>
        </is>
      </c>
      <c r="G2040">
        <f>custodian!D2040</f>
        <v/>
      </c>
      <c r="H2040">
        <f>BDP($B2040,"ID_ISIN")</f>
        <v/>
      </c>
      <c r="I2040" s="1" t="inlineStr">
        <is>
          <t>FGXXX</t>
        </is>
      </c>
      <c r="J2040">
        <f>BDP($B2040,"CNTRY_OF_DOMICILE")</f>
        <v/>
      </c>
      <c r="K2040" t="inlineStr">
        <is>
          <t>STIV</t>
        </is>
      </c>
      <c r="L2040" t="inlineStr">
        <is>
          <t>RF</t>
        </is>
      </c>
      <c r="M2040" t="inlineStr"/>
      <c r="N2040" t="inlineStr"/>
      <c r="O2040" s="1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s="1" t="inlineStr"/>
      <c r="AR2040" s="1" t="inlineStr"/>
      <c r="AS2040" s="1" t="inlineStr"/>
      <c r="AT2040" t="inlineStr"/>
      <c r="AU2040" t="inlineStr"/>
      <c r="AV2040" t="inlineStr"/>
      <c r="AW2040" t="inlineStr"/>
      <c r="AX2040" t="inlineStr"/>
      <c r="AY2040" t="inlineStr"/>
    </row>
    <row r="2041">
      <c r="A2041" t="inlineStr">
        <is>
          <t>XSEM</t>
        </is>
      </c>
      <c r="B2041" t="inlineStr"/>
      <c r="C2041" s="1" t="inlineStr">
        <is>
          <t>Cash&amp;Other</t>
        </is>
      </c>
      <c r="D2041" t="inlineStr"/>
      <c r="E2041" s="1" t="inlineStr"/>
      <c r="F2041" t="inlineStr"/>
      <c r="G2041">
        <f>custodian!D2041</f>
        <v/>
      </c>
      <c r="H2041" s="1" t="inlineStr"/>
      <c r="I2041" s="1" t="inlineStr"/>
      <c r="J2041" t="inlineStr"/>
      <c r="K2041" t="inlineStr"/>
      <c r="L2041" t="inlineStr"/>
      <c r="M2041" t="inlineStr"/>
      <c r="N2041" t="inlineStr"/>
      <c r="O2041" s="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s="1" t="inlineStr"/>
      <c r="AR2041" s="1" t="inlineStr"/>
      <c r="AS2041" s="1" t="inlineStr"/>
      <c r="AT2041" t="inlineStr"/>
      <c r="AU2041" t="inlineStr"/>
      <c r="AV2041" t="inlineStr"/>
      <c r="AW2041" t="inlineStr"/>
      <c r="AX2041" t="inlineStr"/>
      <c r="AY2041" t="inlineStr"/>
    </row>
    <row r="2042">
      <c r="A2042" t="inlineStr">
        <is>
          <t>XTAI</t>
        </is>
      </c>
      <c r="B2042" t="inlineStr">
        <is>
          <t>46434G772 Equity</t>
        </is>
      </c>
      <c r="C2042" s="1" t="inlineStr">
        <is>
          <t>46434G772-TRS-07/05/27-L-MREX</t>
        </is>
      </c>
      <c r="D2042" t="inlineStr">
        <is>
          <t>N/A</t>
        </is>
      </c>
      <c r="E2042" s="1" t="inlineStr">
        <is>
          <t>N/A</t>
        </is>
      </c>
      <c r="F2042" t="inlineStr">
        <is>
          <t>ISHARES MSCI TAIWAN ETF-SWAP-MREX-L</t>
        </is>
      </c>
      <c r="G2042">
        <f>custodian!D2042</f>
        <v/>
      </c>
      <c r="H2042" s="1" t="inlineStr"/>
      <c r="I2042" s="1" t="inlineStr">
        <is>
          <t>46434G772-TRS-07/05/27-L-MREX</t>
        </is>
      </c>
      <c r="J2042" t="inlineStr">
        <is>
          <t>US</t>
        </is>
      </c>
      <c r="K2042" t="inlineStr">
        <is>
          <t>DE</t>
        </is>
      </c>
      <c r="L2042" t="inlineStr">
        <is>
          <t>OTHER</t>
        </is>
      </c>
      <c r="M2042" t="inlineStr">
        <is>
          <t>SWP</t>
        </is>
      </c>
      <c r="N2042" t="inlineStr"/>
      <c r="O2042" s="1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otherRefInst</t>
        </is>
      </c>
      <c r="W2042" t="inlineStr"/>
      <c r="X2042" t="inlineStr"/>
      <c r="Y2042" t="inlineStr">
        <is>
          <t>Y</t>
        </is>
      </c>
      <c r="Z2042" t="inlineStr">
        <is>
          <t>2027-07-05</t>
        </is>
      </c>
      <c r="AA2042" t="inlineStr">
        <is>
          <t>1160297.60</t>
        </is>
      </c>
      <c r="AB2042" t="inlineStr">
        <is>
          <t>USD</t>
        </is>
      </c>
      <c r="AC2042" t="inlineStr">
        <is>
          <t>34044.50</t>
        </is>
      </c>
      <c r="AD2042" t="inlineStr">
        <is>
          <t>34044.50</t>
        </is>
      </c>
      <c r="AE2042" t="inlineStr">
        <is>
          <t>5.85</t>
        </is>
      </c>
      <c r="AF2042" t="inlineStr"/>
      <c r="AG2042" t="inlineStr"/>
      <c r="AH2042" t="inlineStr">
        <is>
          <t>Floating</t>
        </is>
      </c>
      <c r="AI2042" t="inlineStr"/>
      <c r="AJ2042" t="inlineStr"/>
      <c r="AK2042" t="inlineStr">
        <is>
          <t>1160297.60</t>
        </is>
      </c>
      <c r="AL2042" t="inlineStr">
        <is>
          <t>USD</t>
        </is>
      </c>
      <c r="AM2042" t="inlineStr"/>
      <c r="AN2042" t="inlineStr"/>
      <c r="AO2042">
        <f>BDP($B2042,"ISSUER")</f>
        <v/>
      </c>
      <c r="AP2042">
        <f>BDP($B2042,"NAME")</f>
        <v/>
      </c>
      <c r="AQ2042" s="1" t="inlineStr">
        <is>
          <t>46434G772</t>
        </is>
      </c>
      <c r="AR2042">
        <f>BDP($B2042,"ID_ISIN")</f>
        <v/>
      </c>
      <c r="AS2042">
        <f>BDP($B2042,"TICKER")</f>
        <v/>
      </c>
      <c r="AT2042" t="inlineStr"/>
      <c r="AU2042" t="inlineStr"/>
      <c r="AV2042" t="inlineStr"/>
      <c r="AW2042" t="inlineStr"/>
      <c r="AX2042" t="inlineStr"/>
      <c r="AY2042" t="inlineStr"/>
    </row>
    <row r="2043">
      <c r="A2043" t="inlineStr">
        <is>
          <t>XTAI</t>
        </is>
      </c>
      <c r="B2043" t="inlineStr">
        <is>
          <t>FGXXX US Equity</t>
        </is>
      </c>
      <c r="C2043" s="1" t="inlineStr">
        <is>
          <t>FGXXX</t>
        </is>
      </c>
      <c r="D2043" t="inlineStr">
        <is>
          <t>First American Government Obli</t>
        </is>
      </c>
      <c r="E2043">
        <f>BDP($B2043,"LEGAL_ENTITY_IDENTIFIER")</f>
        <v/>
      </c>
      <c r="F2043" t="inlineStr">
        <is>
          <t>First American Government Obligations Fund</t>
        </is>
      </c>
      <c r="G2043">
        <f>custodian!D2043</f>
        <v/>
      </c>
      <c r="H2043">
        <f>BDP($B2043,"ID_ISIN")</f>
        <v/>
      </c>
      <c r="I2043" s="1" t="inlineStr">
        <is>
          <t>FGXXX</t>
        </is>
      </c>
      <c r="J2043">
        <f>BDP($B2043,"CNTRY_OF_DOMICILE")</f>
        <v/>
      </c>
      <c r="K2043" t="inlineStr">
        <is>
          <t>STIV</t>
        </is>
      </c>
      <c r="L2043" t="inlineStr">
        <is>
          <t>RF</t>
        </is>
      </c>
      <c r="M2043" t="inlineStr"/>
      <c r="N2043" t="inlineStr"/>
      <c r="O2043" s="1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s="1" t="inlineStr"/>
      <c r="AR2043" s="1" t="inlineStr"/>
      <c r="AS2043" s="1" t="inlineStr"/>
      <c r="AT2043" t="inlineStr"/>
      <c r="AU2043" t="inlineStr"/>
      <c r="AV2043" t="inlineStr"/>
      <c r="AW2043" t="inlineStr"/>
      <c r="AX2043" t="inlineStr"/>
      <c r="AY2043" t="inlineStr"/>
    </row>
    <row r="2044">
      <c r="A2044" t="inlineStr">
        <is>
          <t>XTAI</t>
        </is>
      </c>
      <c r="B2044" t="inlineStr"/>
      <c r="C2044" s="1" t="inlineStr">
        <is>
          <t>Cash&amp;Other</t>
        </is>
      </c>
      <c r="D2044" t="inlineStr"/>
      <c r="E2044" s="1" t="inlineStr"/>
      <c r="F2044" t="inlineStr"/>
      <c r="G2044">
        <f>custodian!D2044</f>
        <v/>
      </c>
      <c r="H2044" s="1" t="inlineStr"/>
      <c r="I2044" s="1" t="inlineStr"/>
      <c r="J2044" t="inlineStr"/>
      <c r="K2044" t="inlineStr"/>
      <c r="L2044" t="inlineStr"/>
      <c r="M2044" t="inlineStr"/>
      <c r="N2044" t="inlineStr"/>
      <c r="O2044" s="1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s="1" t="inlineStr"/>
      <c r="AR2044" s="1" t="inlineStr"/>
      <c r="AS2044" s="1" t="inlineStr"/>
      <c r="AT2044" t="inlineStr"/>
      <c r="AU2044" t="inlineStr"/>
      <c r="AV2044" t="inlineStr"/>
      <c r="AW2044" t="inlineStr"/>
      <c r="AX2044" t="inlineStr"/>
      <c r="AY2044" t="inlineStr"/>
    </row>
    <row r="2045">
      <c r="A2045" t="inlineStr">
        <is>
          <t>XVO</t>
        </is>
      </c>
      <c r="B2045" t="inlineStr">
        <is>
          <t>922908629 Equity</t>
        </is>
      </c>
      <c r="C2045" s="1" t="inlineStr">
        <is>
          <t>922908629-TRS-07/07/27-L-CLST</t>
        </is>
      </c>
      <c r="D2045" t="inlineStr">
        <is>
          <t>N/A</t>
        </is>
      </c>
      <c r="E2045" s="1" t="inlineStr">
        <is>
          <t>N/A</t>
        </is>
      </c>
      <c r="F2045" t="inlineStr">
        <is>
          <t>VANGUARD MID-CAP INDEX FUND ETF SHARES-SWAP-CLST-L</t>
        </is>
      </c>
      <c r="G2045">
        <f>custodian!D2045</f>
        <v/>
      </c>
      <c r="H2045" s="1" t="inlineStr"/>
      <c r="I2045" s="1" t="inlineStr">
        <is>
          <t>922908629-TRS-07/07/27-L-CLST</t>
        </is>
      </c>
      <c r="J2045" t="inlineStr">
        <is>
          <t>US</t>
        </is>
      </c>
      <c r="K2045" t="inlineStr">
        <is>
          <t>DE</t>
        </is>
      </c>
      <c r="L2045" t="inlineStr">
        <is>
          <t>OTHER</t>
        </is>
      </c>
      <c r="M2045" t="inlineStr">
        <is>
          <t>SWP</t>
        </is>
      </c>
      <c r="N2045" t="inlineStr"/>
      <c r="O2045" s="1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otherRefInst</t>
        </is>
      </c>
      <c r="W2045" t="inlineStr"/>
      <c r="X2045" t="inlineStr"/>
      <c r="Y2045" t="inlineStr">
        <is>
          <t>Y</t>
        </is>
      </c>
      <c r="Z2045" t="inlineStr">
        <is>
          <t>2027-07-07</t>
        </is>
      </c>
      <c r="AA2045" t="inlineStr">
        <is>
          <t>996772.92</t>
        </is>
      </c>
      <c r="AB2045" t="inlineStr">
        <is>
          <t>USD</t>
        </is>
      </c>
      <c r="AC2045" t="inlineStr">
        <is>
          <t>7830.85</t>
        </is>
      </c>
      <c r="AD2045" t="inlineStr">
        <is>
          <t>7830.85</t>
        </is>
      </c>
      <c r="AE2045" t="inlineStr">
        <is>
          <t>1.57</t>
        </is>
      </c>
      <c r="AF2045" t="inlineStr"/>
      <c r="AG2045" t="inlineStr"/>
      <c r="AH2045" t="inlineStr">
        <is>
          <t>Floating</t>
        </is>
      </c>
      <c r="AI2045" t="inlineStr"/>
      <c r="AJ2045" t="inlineStr"/>
      <c r="AK2045" t="inlineStr">
        <is>
          <t>996772.92</t>
        </is>
      </c>
      <c r="AL2045" t="inlineStr">
        <is>
          <t>USD</t>
        </is>
      </c>
      <c r="AM2045" t="inlineStr"/>
      <c r="AN2045" t="inlineStr"/>
      <c r="AO2045">
        <f>BDP($B2045,"ISSUER")</f>
        <v/>
      </c>
      <c r="AP2045">
        <f>BDP($B2045,"NAME")</f>
        <v/>
      </c>
      <c r="AQ2045" s="1" t="inlineStr">
        <is>
          <t>922908629</t>
        </is>
      </c>
      <c r="AR2045">
        <f>BDP($B2045,"ID_ISIN")</f>
        <v/>
      </c>
      <c r="AS2045">
        <f>BDP($B2045,"TICKER")</f>
        <v/>
      </c>
      <c r="AT2045" t="inlineStr"/>
      <c r="AU2045" t="inlineStr"/>
      <c r="AV2045" t="inlineStr"/>
      <c r="AW2045" t="inlineStr"/>
      <c r="AX2045" t="inlineStr"/>
      <c r="AY2045" t="inlineStr"/>
    </row>
    <row r="2046">
      <c r="A2046" t="inlineStr">
        <is>
          <t>XVO</t>
        </is>
      </c>
      <c r="B2046" t="inlineStr">
        <is>
          <t>FGXXX US Equity</t>
        </is>
      </c>
      <c r="C2046" s="1" t="inlineStr">
        <is>
          <t>FGXXX</t>
        </is>
      </c>
      <c r="D2046" t="inlineStr">
        <is>
          <t>First American Government Obli</t>
        </is>
      </c>
      <c r="E2046">
        <f>BDP($B2046,"LEGAL_ENTITY_IDENTIFIER")</f>
        <v/>
      </c>
      <c r="F2046" t="inlineStr">
        <is>
          <t>First American Government Obligations Fund</t>
        </is>
      </c>
      <c r="G2046">
        <f>custodian!D2046</f>
        <v/>
      </c>
      <c r="H2046">
        <f>BDP($B2046,"ID_ISIN")</f>
        <v/>
      </c>
      <c r="I2046" s="1" t="inlineStr">
        <is>
          <t>FGXXX</t>
        </is>
      </c>
      <c r="J2046">
        <f>BDP($B2046,"CNTRY_OF_DOMICILE")</f>
        <v/>
      </c>
      <c r="K2046" t="inlineStr">
        <is>
          <t>STIV</t>
        </is>
      </c>
      <c r="L2046" t="inlineStr">
        <is>
          <t>RF</t>
        </is>
      </c>
      <c r="M2046" t="inlineStr"/>
      <c r="N2046" t="inlineStr"/>
      <c r="O2046" s="1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s="1" t="inlineStr"/>
      <c r="AR2046" s="1" t="inlineStr"/>
      <c r="AS2046" s="1" t="inlineStr"/>
      <c r="AT2046" t="inlineStr"/>
      <c r="AU2046" t="inlineStr"/>
      <c r="AV2046" t="inlineStr"/>
      <c r="AW2046" t="inlineStr"/>
      <c r="AX2046" t="inlineStr"/>
      <c r="AY2046" t="inlineStr"/>
    </row>
    <row r="2047">
      <c r="A2047" t="inlineStr">
        <is>
          <t>XVO</t>
        </is>
      </c>
      <c r="B2047" t="inlineStr"/>
      <c r="C2047" s="1" t="inlineStr">
        <is>
          <t>Cash&amp;Other</t>
        </is>
      </c>
      <c r="D2047" t="inlineStr"/>
      <c r="E2047" s="1" t="inlineStr"/>
      <c r="F2047" t="inlineStr"/>
      <c r="G2047">
        <f>custodian!D2047</f>
        <v/>
      </c>
      <c r="H2047" s="1" t="inlineStr"/>
      <c r="I2047" s="1" t="inlineStr"/>
      <c r="J2047" t="inlineStr"/>
      <c r="K2047" t="inlineStr"/>
      <c r="L2047" t="inlineStr"/>
      <c r="M2047" t="inlineStr"/>
      <c r="N2047" t="inlineStr"/>
      <c r="O2047" s="1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s="1" t="inlineStr"/>
      <c r="AR2047" s="1" t="inlineStr"/>
      <c r="AS2047" s="1" t="inlineStr"/>
      <c r="AT2047" t="inlineStr"/>
      <c r="AU2047" t="inlineStr"/>
      <c r="AV2047" t="inlineStr"/>
      <c r="AW2047" t="inlineStr"/>
      <c r="AX2047" t="inlineStr"/>
      <c r="AY2047" t="inlineStr"/>
    </row>
    <row r="2048">
      <c r="A2048" t="inlineStr">
        <is>
          <t>XVUG</t>
        </is>
      </c>
      <c r="B2048" t="inlineStr">
        <is>
          <t>922908736 Equity</t>
        </is>
      </c>
      <c r="C2048" s="1" t="inlineStr">
        <is>
          <t>922908736-TRS-07/07/27-L-CLST</t>
        </is>
      </c>
      <c r="D2048" t="inlineStr">
        <is>
          <t>N/A</t>
        </is>
      </c>
      <c r="E2048" s="1" t="inlineStr">
        <is>
          <t>N/A</t>
        </is>
      </c>
      <c r="F2048" t="inlineStr">
        <is>
          <t>VANGUARD GROWTH INDEX FUND ETF SHARES-SWAP-CLST-L</t>
        </is>
      </c>
      <c r="G2048">
        <f>custodian!D2048</f>
        <v/>
      </c>
      <c r="H2048" s="1" t="inlineStr"/>
      <c r="I2048" s="1" t="inlineStr">
        <is>
          <t>922908736-TRS-07/07/27-L-CLST</t>
        </is>
      </c>
      <c r="J2048" t="inlineStr">
        <is>
          <t>US</t>
        </is>
      </c>
      <c r="K2048" t="inlineStr">
        <is>
          <t>DE</t>
        </is>
      </c>
      <c r="L2048" t="inlineStr">
        <is>
          <t>OTHER</t>
        </is>
      </c>
      <c r="M2048" t="inlineStr">
        <is>
          <t>SWP</t>
        </is>
      </c>
      <c r="N2048" t="inlineStr"/>
      <c r="O2048" s="1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otherRefInst</t>
        </is>
      </c>
      <c r="W2048" t="inlineStr"/>
      <c r="X2048" t="inlineStr"/>
      <c r="Y2048" t="inlineStr">
        <is>
          <t>Y</t>
        </is>
      </c>
      <c r="Z2048" t="inlineStr">
        <is>
          <t>2027-07-07</t>
        </is>
      </c>
      <c r="AA2048" t="inlineStr">
        <is>
          <t>642556.95</t>
        </is>
      </c>
      <c r="AB2048" t="inlineStr">
        <is>
          <t>USD</t>
        </is>
      </c>
      <c r="AC2048" t="inlineStr">
        <is>
          <t>-47004.84</t>
        </is>
      </c>
      <c r="AD2048" t="inlineStr">
        <is>
          <t>-47004.84</t>
        </is>
      </c>
      <c r="AE2048" t="inlineStr">
        <is>
          <t>-14.60</t>
        </is>
      </c>
      <c r="AF2048" t="inlineStr"/>
      <c r="AG2048" t="inlineStr"/>
      <c r="AH2048" t="inlineStr">
        <is>
          <t>Floating</t>
        </is>
      </c>
      <c r="AI2048" t="inlineStr"/>
      <c r="AJ2048" t="inlineStr"/>
      <c r="AK2048" t="inlineStr">
        <is>
          <t>642556.95</t>
        </is>
      </c>
      <c r="AL2048" t="inlineStr">
        <is>
          <t>USD</t>
        </is>
      </c>
      <c r="AM2048" t="inlineStr"/>
      <c r="AN2048" t="inlineStr"/>
      <c r="AO2048">
        <f>BDP($B2048,"ISSUER")</f>
        <v/>
      </c>
      <c r="AP2048">
        <f>BDP($B2048,"NAME")</f>
        <v/>
      </c>
      <c r="AQ2048" s="1" t="inlineStr">
        <is>
          <t>922908736</t>
        </is>
      </c>
      <c r="AR2048">
        <f>BDP($B2048,"ID_ISIN")</f>
        <v/>
      </c>
      <c r="AS2048">
        <f>BDP($B2048,"TICKER")</f>
        <v/>
      </c>
      <c r="AT2048" t="inlineStr"/>
      <c r="AU2048" t="inlineStr"/>
      <c r="AV2048" t="inlineStr"/>
      <c r="AW2048" t="inlineStr"/>
      <c r="AX2048" t="inlineStr"/>
      <c r="AY2048" t="inlineStr"/>
    </row>
    <row r="2049">
      <c r="A2049" t="inlineStr">
        <is>
          <t>XVUG</t>
        </is>
      </c>
      <c r="B2049" t="inlineStr">
        <is>
          <t>FGXXX US Equity</t>
        </is>
      </c>
      <c r="C2049" s="1" t="inlineStr">
        <is>
          <t>FGXXX</t>
        </is>
      </c>
      <c r="D2049" t="inlineStr">
        <is>
          <t>First American Government Obli</t>
        </is>
      </c>
      <c r="E2049">
        <f>BDP($B2049,"LEGAL_ENTITY_IDENTIFIER")</f>
        <v/>
      </c>
      <c r="F2049" t="inlineStr">
        <is>
          <t>First American Government Obligations Fund</t>
        </is>
      </c>
      <c r="G2049">
        <f>custodian!D2049</f>
        <v/>
      </c>
      <c r="H2049">
        <f>BDP($B2049,"ID_ISIN")</f>
        <v/>
      </c>
      <c r="I2049" s="1" t="inlineStr">
        <is>
          <t>FGXXX</t>
        </is>
      </c>
      <c r="J2049">
        <f>BDP($B2049,"CNTRY_OF_DOMICILE")</f>
        <v/>
      </c>
      <c r="K2049" t="inlineStr">
        <is>
          <t>STIV</t>
        </is>
      </c>
      <c r="L2049" t="inlineStr">
        <is>
          <t>RF</t>
        </is>
      </c>
      <c r="M2049" t="inlineStr"/>
      <c r="N2049" t="inlineStr"/>
      <c r="O2049" s="1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s="1" t="inlineStr"/>
      <c r="AR2049" s="1" t="inlineStr"/>
      <c r="AS2049" s="1" t="inlineStr"/>
      <c r="AT2049" t="inlineStr"/>
      <c r="AU2049" t="inlineStr"/>
      <c r="AV2049" t="inlineStr"/>
      <c r="AW2049" t="inlineStr"/>
      <c r="AX2049" t="inlineStr"/>
      <c r="AY2049" t="inlineStr"/>
    </row>
    <row r="2050">
      <c r="A2050" t="inlineStr">
        <is>
          <t>XVUG</t>
        </is>
      </c>
      <c r="B2050" t="inlineStr"/>
      <c r="C2050" s="1" t="inlineStr">
        <is>
          <t>Cash&amp;Other</t>
        </is>
      </c>
      <c r="D2050" t="inlineStr"/>
      <c r="E2050" s="1" t="inlineStr"/>
      <c r="F2050" t="inlineStr"/>
      <c r="G2050">
        <f>custodian!D2050</f>
        <v/>
      </c>
      <c r="H2050" s="1" t="inlineStr"/>
      <c r="I2050" s="1" t="inlineStr"/>
      <c r="J2050" t="inlineStr"/>
      <c r="K2050" t="inlineStr"/>
      <c r="L2050" t="inlineStr"/>
      <c r="M2050" t="inlineStr"/>
      <c r="N2050" t="inlineStr"/>
      <c r="O2050" s="1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s="1" t="inlineStr"/>
      <c r="AR2050" s="1" t="inlineStr"/>
      <c r="AS2050" s="1" t="inlineStr"/>
      <c r="AT2050" t="inlineStr"/>
      <c r="AU2050" t="inlineStr"/>
      <c r="AV2050" t="inlineStr"/>
      <c r="AW2050" t="inlineStr"/>
      <c r="AX2050" t="inlineStr"/>
      <c r="AY2050" t="inlineStr"/>
    </row>
    <row r="2051">
      <c r="A2051" t="inlineStr">
        <is>
          <t>XW</t>
        </is>
      </c>
      <c r="B2051" t="inlineStr">
        <is>
          <t>921909768 Equity</t>
        </is>
      </c>
      <c r="C2051" s="1" t="inlineStr">
        <is>
          <t>921909768-TRS-07/05/27-L-MREX</t>
        </is>
      </c>
      <c r="D2051" t="inlineStr">
        <is>
          <t>N/A</t>
        </is>
      </c>
      <c r="E2051" s="1" t="inlineStr">
        <is>
          <t>N/A</t>
        </is>
      </c>
      <c r="F2051" t="inlineStr">
        <is>
          <t>VANGUARD TOTAL INTERNATIONAL STOCK INDEX FUND ETF SHARES-SWAP-MREX-L</t>
        </is>
      </c>
      <c r="G2051">
        <f>custodian!D2051</f>
        <v/>
      </c>
      <c r="H2051" s="1" t="inlineStr"/>
      <c r="I2051" s="1" t="inlineStr">
        <is>
          <t>921909768-TRS-07/05/27-L-MREX</t>
        </is>
      </c>
      <c r="J2051" t="inlineStr">
        <is>
          <t>US</t>
        </is>
      </c>
      <c r="K2051" t="inlineStr">
        <is>
          <t>DE</t>
        </is>
      </c>
      <c r="L2051" t="inlineStr">
        <is>
          <t>OTHER</t>
        </is>
      </c>
      <c r="M2051" t="inlineStr">
        <is>
          <t>SWP</t>
        </is>
      </c>
      <c r="N2051" t="inlineStr"/>
      <c r="O2051" s="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otherRefInst</t>
        </is>
      </c>
      <c r="W2051" t="inlineStr"/>
      <c r="X2051" t="inlineStr"/>
      <c r="Y2051" t="inlineStr">
        <is>
          <t>Y</t>
        </is>
      </c>
      <c r="Z2051" t="inlineStr">
        <is>
          <t>2027-07-05</t>
        </is>
      </c>
      <c r="AA2051" t="inlineStr">
        <is>
          <t>468508.70</t>
        </is>
      </c>
      <c r="AB2051" t="inlineStr">
        <is>
          <t>USD</t>
        </is>
      </c>
      <c r="AC2051" t="inlineStr">
        <is>
          <t>-14271.52</t>
        </is>
      </c>
      <c r="AD2051" t="inlineStr">
        <is>
          <t>-14271.52</t>
        </is>
      </c>
      <c r="AE2051" t="inlineStr">
        <is>
          <t>-6.09</t>
        </is>
      </c>
      <c r="AF2051" t="inlineStr"/>
      <c r="AG2051" t="inlineStr"/>
      <c r="AH2051" t="inlineStr">
        <is>
          <t>Floating</t>
        </is>
      </c>
      <c r="AI2051" t="inlineStr"/>
      <c r="AJ2051" t="inlineStr"/>
      <c r="AK2051" t="inlineStr">
        <is>
          <t>468508.70</t>
        </is>
      </c>
      <c r="AL2051" t="inlineStr">
        <is>
          <t>USD</t>
        </is>
      </c>
      <c r="AM2051" t="inlineStr"/>
      <c r="AN2051" t="inlineStr"/>
      <c r="AO2051">
        <f>BDP($B2051,"ISSUER")</f>
        <v/>
      </c>
      <c r="AP2051">
        <f>BDP($B2051,"NAME")</f>
        <v/>
      </c>
      <c r="AQ2051" s="1" t="inlineStr">
        <is>
          <t>921909768</t>
        </is>
      </c>
      <c r="AR2051">
        <f>BDP($B2051,"ID_ISIN")</f>
        <v/>
      </c>
      <c r="AS2051">
        <f>BDP($B2051,"TICKER")</f>
        <v/>
      </c>
      <c r="AT2051" t="inlineStr"/>
      <c r="AU2051" t="inlineStr"/>
      <c r="AV2051" t="inlineStr"/>
      <c r="AW2051" t="inlineStr"/>
      <c r="AX2051" t="inlineStr"/>
      <c r="AY2051" t="inlineStr"/>
    </row>
    <row r="2052">
      <c r="A2052" t="inlineStr">
        <is>
          <t>XW</t>
        </is>
      </c>
      <c r="B2052" t="inlineStr">
        <is>
          <t>FGXXX US Equity</t>
        </is>
      </c>
      <c r="C2052" s="1" t="inlineStr">
        <is>
          <t>FGXXX</t>
        </is>
      </c>
      <c r="D2052" t="inlineStr">
        <is>
          <t>First American Government Obli</t>
        </is>
      </c>
      <c r="E2052">
        <f>BDP($B2052,"LEGAL_ENTITY_IDENTIFIER")</f>
        <v/>
      </c>
      <c r="F2052" t="inlineStr">
        <is>
          <t>First American Government Obligations Fund</t>
        </is>
      </c>
      <c r="G2052">
        <f>custodian!D2052</f>
        <v/>
      </c>
      <c r="H2052">
        <f>BDP($B2052,"ID_ISIN")</f>
        <v/>
      </c>
      <c r="I2052" s="1" t="inlineStr">
        <is>
          <t>FGXXX</t>
        </is>
      </c>
      <c r="J2052">
        <f>BDP($B2052,"CNTRY_OF_DOMICILE")</f>
        <v/>
      </c>
      <c r="K2052" t="inlineStr">
        <is>
          <t>STIV</t>
        </is>
      </c>
      <c r="L2052" t="inlineStr">
        <is>
          <t>RF</t>
        </is>
      </c>
      <c r="M2052" t="inlineStr"/>
      <c r="N2052" t="inlineStr"/>
      <c r="O2052" s="1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s="1" t="inlineStr"/>
      <c r="AR2052" s="1" t="inlineStr"/>
      <c r="AS2052" s="1" t="inlineStr"/>
      <c r="AT2052" t="inlineStr"/>
      <c r="AU2052" t="inlineStr"/>
      <c r="AV2052" t="inlineStr"/>
      <c r="AW2052" t="inlineStr"/>
      <c r="AX2052" t="inlineStr"/>
      <c r="AY2052" t="inlineStr"/>
    </row>
    <row r="2053">
      <c r="A2053" t="inlineStr">
        <is>
          <t>XW</t>
        </is>
      </c>
      <c r="B2053" t="inlineStr"/>
      <c r="C2053" s="1" t="inlineStr">
        <is>
          <t>Cash&amp;Other</t>
        </is>
      </c>
      <c r="D2053" t="inlineStr"/>
      <c r="E2053" s="1" t="inlineStr"/>
      <c r="F2053" t="inlineStr"/>
      <c r="G2053">
        <f>custodian!D2053</f>
        <v/>
      </c>
      <c r="H2053" s="1" t="inlineStr"/>
      <c r="I2053" s="1" t="inlineStr"/>
      <c r="J2053" t="inlineStr"/>
      <c r="K2053" t="inlineStr"/>
      <c r="L2053" t="inlineStr"/>
      <c r="M2053" t="inlineStr"/>
      <c r="N2053" t="inlineStr"/>
      <c r="O2053" s="1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s="1" t="inlineStr"/>
      <c r="AR2053" s="1" t="inlineStr"/>
      <c r="AS2053" s="1" t="inlineStr"/>
      <c r="AT2053" t="inlineStr"/>
      <c r="AU2053" t="inlineStr"/>
      <c r="AV2053" t="inlineStr"/>
      <c r="AW2053" t="inlineStr"/>
      <c r="AX2053" t="inlineStr"/>
      <c r="AY2053" t="inlineStr"/>
    </row>
    <row r="2054">
      <c r="A2054" t="inlineStr">
        <is>
          <t>YUNG</t>
        </is>
      </c>
      <c r="B2054" t="inlineStr">
        <is>
          <t>ADUS US Equity</t>
        </is>
      </c>
      <c r="C2054" s="1" t="inlineStr">
        <is>
          <t>ADUS</t>
        </is>
      </c>
      <c r="D2054" t="inlineStr">
        <is>
          <t>Addus HomeCare Corp</t>
        </is>
      </c>
      <c r="E2054">
        <f>BDP($B2054,"LEGAL_ENTITY_IDENTIFIER")</f>
        <v/>
      </c>
      <c r="F2054" t="inlineStr">
        <is>
          <t>Addus HomeCare Corp</t>
        </is>
      </c>
      <c r="G2054">
        <f>custodian!D2054</f>
        <v/>
      </c>
      <c r="H2054">
        <f>BDP($B2054,"ID_ISIN")</f>
        <v/>
      </c>
      <c r="I2054" s="1" t="inlineStr">
        <is>
          <t>ADUS</t>
        </is>
      </c>
      <c r="J2054">
        <f>BDP($B2054,"CNTRY_OF_DOMICILE")</f>
        <v/>
      </c>
      <c r="K2054" t="inlineStr">
        <is>
          <t>EC</t>
        </is>
      </c>
      <c r="L2054" t="inlineStr">
        <is>
          <t>CORP</t>
        </is>
      </c>
      <c r="M2054" t="inlineStr"/>
      <c r="N2054" t="inlineStr"/>
      <c r="O2054" s="1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s="1" t="inlineStr"/>
      <c r="AR2054" s="1" t="inlineStr"/>
      <c r="AS2054" s="1" t="inlineStr"/>
      <c r="AT2054" t="inlineStr"/>
      <c r="AU2054" t="inlineStr"/>
      <c r="AV2054" t="inlineStr"/>
      <c r="AW2054" t="inlineStr"/>
      <c r="AX2054" t="inlineStr"/>
      <c r="AY2054" t="inlineStr"/>
    </row>
    <row r="2055">
      <c r="A2055" t="inlineStr">
        <is>
          <t>YUNG</t>
        </is>
      </c>
      <c r="B2055" t="inlineStr">
        <is>
          <t>AHR US Equity</t>
        </is>
      </c>
      <c r="C2055" s="1" t="inlineStr">
        <is>
          <t>AHR</t>
        </is>
      </c>
      <c r="D2055" t="inlineStr">
        <is>
          <t>American Healthcare REIT Inc</t>
        </is>
      </c>
      <c r="E2055">
        <f>BDP($B2055,"LEGAL_ENTITY_IDENTIFIER")</f>
        <v/>
      </c>
      <c r="F2055" t="inlineStr">
        <is>
          <t>American Healthcare REIT Inc</t>
        </is>
      </c>
      <c r="G2055">
        <f>custodian!D2055</f>
        <v/>
      </c>
      <c r="H2055">
        <f>BDP($B2055,"ID_ISIN")</f>
        <v/>
      </c>
      <c r="I2055" s="1" t="inlineStr">
        <is>
          <t>AHR</t>
        </is>
      </c>
      <c r="J2055">
        <f>BDP($B2055,"CNTRY_OF_DOMICILE")</f>
        <v/>
      </c>
      <c r="K2055" t="inlineStr">
        <is>
          <t>EC</t>
        </is>
      </c>
      <c r="L2055" t="inlineStr">
        <is>
          <t>CORP</t>
        </is>
      </c>
      <c r="M2055" t="inlineStr"/>
      <c r="N2055" t="inlineStr"/>
      <c r="O2055" s="1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s="1" t="inlineStr"/>
      <c r="AR2055" s="1" t="inlineStr"/>
      <c r="AS2055" s="1" t="inlineStr"/>
      <c r="AT2055" t="inlineStr"/>
      <c r="AU2055" t="inlineStr"/>
      <c r="AV2055" t="inlineStr"/>
      <c r="AW2055" t="inlineStr"/>
      <c r="AX2055" t="inlineStr"/>
      <c r="AY2055" t="inlineStr"/>
    </row>
    <row r="2056">
      <c r="A2056" t="inlineStr">
        <is>
          <t>YUNG</t>
        </is>
      </c>
      <c r="B2056" t="inlineStr">
        <is>
          <t>ALC US Equity</t>
        </is>
      </c>
      <c r="C2056" s="1" t="inlineStr">
        <is>
          <t>ALC</t>
        </is>
      </c>
      <c r="D2056" t="inlineStr">
        <is>
          <t>Alcon AG</t>
        </is>
      </c>
      <c r="E2056">
        <f>BDP($B2056,"LEGAL_ENTITY_IDENTIFIER")</f>
        <v/>
      </c>
      <c r="F2056" t="inlineStr">
        <is>
          <t>Alcon AG</t>
        </is>
      </c>
      <c r="G2056">
        <f>custodian!D2056</f>
        <v/>
      </c>
      <c r="H2056">
        <f>BDP($B2056,"ID_ISIN")</f>
        <v/>
      </c>
      <c r="I2056" s="1" t="inlineStr">
        <is>
          <t>ALC</t>
        </is>
      </c>
      <c r="J2056">
        <f>BDP($B2056,"CNTRY_OF_DOMICILE")</f>
        <v/>
      </c>
      <c r="K2056" t="inlineStr">
        <is>
          <t>EC</t>
        </is>
      </c>
      <c r="L2056" t="inlineStr">
        <is>
          <t>CORP</t>
        </is>
      </c>
      <c r="M2056" t="inlineStr"/>
      <c r="N2056" t="inlineStr"/>
      <c r="O2056" s="1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s="1" t="inlineStr"/>
      <c r="AR2056" s="1" t="inlineStr"/>
      <c r="AS2056" s="1" t="inlineStr"/>
      <c r="AT2056" t="inlineStr"/>
      <c r="AU2056" t="inlineStr"/>
      <c r="AV2056" t="inlineStr"/>
      <c r="AW2056" t="inlineStr"/>
      <c r="AX2056" t="inlineStr"/>
      <c r="AY2056" t="inlineStr"/>
    </row>
    <row r="2057">
      <c r="A2057" t="inlineStr">
        <is>
          <t>YUNG</t>
        </is>
      </c>
      <c r="B2057" t="inlineStr">
        <is>
          <t>BC US Equity</t>
        </is>
      </c>
      <c r="C2057" s="1" t="inlineStr">
        <is>
          <t>BC</t>
        </is>
      </c>
      <c r="D2057" t="inlineStr">
        <is>
          <t>Brunswick Corp/DE</t>
        </is>
      </c>
      <c r="E2057">
        <f>BDP($B2057,"LEGAL_ENTITY_IDENTIFIER")</f>
        <v/>
      </c>
      <c r="F2057" t="inlineStr">
        <is>
          <t>Brunswick Corp/DE</t>
        </is>
      </c>
      <c r="G2057">
        <f>custodian!D2057</f>
        <v/>
      </c>
      <c r="H2057">
        <f>BDP($B2057,"ID_ISIN")</f>
        <v/>
      </c>
      <c r="I2057" s="1" t="inlineStr">
        <is>
          <t>BC</t>
        </is>
      </c>
      <c r="J2057">
        <f>BDP($B2057,"CNTRY_OF_DOMICILE")</f>
        <v/>
      </c>
      <c r="K2057" t="inlineStr">
        <is>
          <t>EC</t>
        </is>
      </c>
      <c r="L2057" t="inlineStr">
        <is>
          <t>CORP</t>
        </is>
      </c>
      <c r="M2057" t="inlineStr"/>
      <c r="N2057" t="inlineStr"/>
      <c r="O2057" s="1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s="1" t="inlineStr"/>
      <c r="AR2057" s="1" t="inlineStr"/>
      <c r="AS2057" s="1" t="inlineStr"/>
      <c r="AT2057" t="inlineStr"/>
      <c r="AU2057" t="inlineStr"/>
      <c r="AV2057" t="inlineStr"/>
      <c r="AW2057" t="inlineStr"/>
      <c r="AX2057" t="inlineStr"/>
      <c r="AY2057" t="inlineStr"/>
    </row>
    <row r="2058">
      <c r="A2058" t="inlineStr">
        <is>
          <t>YUNG</t>
        </is>
      </c>
      <c r="B2058" t="inlineStr">
        <is>
          <t>BKD US Equity</t>
        </is>
      </c>
      <c r="C2058" s="1" t="inlineStr">
        <is>
          <t>BKD</t>
        </is>
      </c>
      <c r="D2058" t="inlineStr">
        <is>
          <t>Brookdale Senior Living Inc</t>
        </is>
      </c>
      <c r="E2058">
        <f>BDP($B2058,"LEGAL_ENTITY_IDENTIFIER")</f>
        <v/>
      </c>
      <c r="F2058" t="inlineStr">
        <is>
          <t>Brookdale Senior Living Inc</t>
        </is>
      </c>
      <c r="G2058">
        <f>custodian!D2058</f>
        <v/>
      </c>
      <c r="H2058">
        <f>BDP($B2058,"ID_ISIN")</f>
        <v/>
      </c>
      <c r="I2058" s="1" t="inlineStr">
        <is>
          <t>BKD</t>
        </is>
      </c>
      <c r="J2058">
        <f>BDP($B2058,"CNTRY_OF_DOMICILE")</f>
        <v/>
      </c>
      <c r="K2058" t="inlineStr">
        <is>
          <t>EC</t>
        </is>
      </c>
      <c r="L2058" t="inlineStr">
        <is>
          <t>CORP</t>
        </is>
      </c>
      <c r="M2058" t="inlineStr"/>
      <c r="N2058" t="inlineStr"/>
      <c r="O2058" s="1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s="1" t="inlineStr"/>
      <c r="AR2058" s="1" t="inlineStr"/>
      <c r="AS2058" s="1" t="inlineStr"/>
      <c r="AT2058" t="inlineStr"/>
      <c r="AU2058" t="inlineStr"/>
      <c r="AV2058" t="inlineStr"/>
      <c r="AW2058" t="inlineStr"/>
      <c r="AX2058" t="inlineStr"/>
      <c r="AY2058" t="inlineStr"/>
    </row>
    <row r="2059">
      <c r="A2059" t="inlineStr">
        <is>
          <t>YUNG</t>
        </is>
      </c>
      <c r="B2059" t="inlineStr">
        <is>
          <t>BKNG US Equity</t>
        </is>
      </c>
      <c r="C2059" s="1" t="inlineStr">
        <is>
          <t>BKNG</t>
        </is>
      </c>
      <c r="D2059" t="inlineStr">
        <is>
          <t>Booking Holdings Inc</t>
        </is>
      </c>
      <c r="E2059">
        <f>BDP($B2059,"LEGAL_ENTITY_IDENTIFIER")</f>
        <v/>
      </c>
      <c r="F2059" t="inlineStr">
        <is>
          <t>Booking Holdings Inc</t>
        </is>
      </c>
      <c r="G2059">
        <f>custodian!D2059</f>
        <v/>
      </c>
      <c r="H2059">
        <f>BDP($B2059,"ID_ISIN")</f>
        <v/>
      </c>
      <c r="I2059" s="1" t="inlineStr">
        <is>
          <t>BKNG</t>
        </is>
      </c>
      <c r="J2059">
        <f>BDP($B2059,"CNTRY_OF_DOMICILE")</f>
        <v/>
      </c>
      <c r="K2059" t="inlineStr">
        <is>
          <t>EC</t>
        </is>
      </c>
      <c r="L2059" t="inlineStr">
        <is>
          <t>CORP</t>
        </is>
      </c>
      <c r="M2059" t="inlineStr"/>
      <c r="N2059" t="inlineStr"/>
      <c r="O2059" s="1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s="1" t="inlineStr"/>
      <c r="AR2059" s="1" t="inlineStr"/>
      <c r="AS2059" s="1" t="inlineStr"/>
      <c r="AT2059" t="inlineStr"/>
      <c r="AU2059" t="inlineStr"/>
      <c r="AV2059" t="inlineStr"/>
      <c r="AW2059" t="inlineStr"/>
      <c r="AX2059" t="inlineStr"/>
      <c r="AY2059" t="inlineStr"/>
    </row>
    <row r="2060">
      <c r="A2060" t="inlineStr">
        <is>
          <t>YUNG</t>
        </is>
      </c>
      <c r="B2060" t="inlineStr">
        <is>
          <t>BTSG US Equity</t>
        </is>
      </c>
      <c r="C2060" s="1" t="inlineStr">
        <is>
          <t>BTSG</t>
        </is>
      </c>
      <c r="D2060" t="inlineStr">
        <is>
          <t>BrightSpring Health Services I</t>
        </is>
      </c>
      <c r="E2060">
        <f>BDP($B2060,"LEGAL_ENTITY_IDENTIFIER")</f>
        <v/>
      </c>
      <c r="F2060" t="inlineStr">
        <is>
          <t>BrightSpring Health Services Inc</t>
        </is>
      </c>
      <c r="G2060">
        <f>custodian!D2060</f>
        <v/>
      </c>
      <c r="H2060">
        <f>BDP($B2060,"ID_ISIN")</f>
        <v/>
      </c>
      <c r="I2060" s="1" t="inlineStr">
        <is>
          <t>BTSG</t>
        </is>
      </c>
      <c r="J2060">
        <f>BDP($B2060,"CNTRY_OF_DOMICILE")</f>
        <v/>
      </c>
      <c r="K2060" t="inlineStr">
        <is>
          <t>EC</t>
        </is>
      </c>
      <c r="L2060" t="inlineStr">
        <is>
          <t>CORP</t>
        </is>
      </c>
      <c r="M2060" t="inlineStr"/>
      <c r="N2060" t="inlineStr"/>
      <c r="O2060" s="1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s="1" t="inlineStr"/>
      <c r="AR2060" s="1" t="inlineStr"/>
      <c r="AS2060" s="1" t="inlineStr"/>
      <c r="AT2060" t="inlineStr"/>
      <c r="AU2060" t="inlineStr"/>
      <c r="AV2060" t="inlineStr"/>
      <c r="AW2060" t="inlineStr"/>
      <c r="AX2060" t="inlineStr"/>
      <c r="AY2060" t="inlineStr"/>
    </row>
    <row r="2061">
      <c r="A2061" t="inlineStr">
        <is>
          <t>YUNG</t>
        </is>
      </c>
      <c r="B2061" t="inlineStr">
        <is>
          <t>CALY US Equity</t>
        </is>
      </c>
      <c r="C2061" s="1" t="inlineStr">
        <is>
          <t>CALY</t>
        </is>
      </c>
      <c r="D2061" t="inlineStr">
        <is>
          <t>Callaway Golf Co</t>
        </is>
      </c>
      <c r="E2061">
        <f>BDP($B2061,"LEGAL_ENTITY_IDENTIFIER")</f>
        <v/>
      </c>
      <c r="F2061" t="inlineStr">
        <is>
          <t>Callaway Golf Co</t>
        </is>
      </c>
      <c r="G2061">
        <f>custodian!D2061</f>
        <v/>
      </c>
      <c r="H2061">
        <f>BDP($B2061,"ID_ISIN")</f>
        <v/>
      </c>
      <c r="I2061" s="1" t="inlineStr">
        <is>
          <t>CALY</t>
        </is>
      </c>
      <c r="J2061">
        <f>BDP($B2061,"CNTRY_OF_DOMICILE")</f>
        <v/>
      </c>
      <c r="K2061" t="inlineStr">
        <is>
          <t>EC</t>
        </is>
      </c>
      <c r="L2061" t="inlineStr">
        <is>
          <t>CORP</t>
        </is>
      </c>
      <c r="M2061" t="inlineStr"/>
      <c r="N2061" t="inlineStr"/>
      <c r="O2061" s="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s="1" t="inlineStr"/>
      <c r="AR2061" s="1" t="inlineStr"/>
      <c r="AS2061" s="1" t="inlineStr"/>
      <c r="AT2061" t="inlineStr"/>
      <c r="AU2061" t="inlineStr"/>
      <c r="AV2061" t="inlineStr"/>
      <c r="AW2061" t="inlineStr"/>
      <c r="AX2061" t="inlineStr"/>
      <c r="AY2061" t="inlineStr"/>
    </row>
    <row r="2062">
      <c r="A2062" t="inlineStr">
        <is>
          <t>YUNG</t>
        </is>
      </c>
      <c r="B2062" t="inlineStr">
        <is>
          <t>CCL US Equity</t>
        </is>
      </c>
      <c r="C2062" s="1" t="inlineStr">
        <is>
          <t>CCL</t>
        </is>
      </c>
      <c r="D2062" t="inlineStr">
        <is>
          <t>Carnival Corp Ltd</t>
        </is>
      </c>
      <c r="E2062">
        <f>BDP($B2062,"LEGAL_ENTITY_IDENTIFIER")</f>
        <v/>
      </c>
      <c r="F2062" t="inlineStr">
        <is>
          <t>Carnival Corp Ltd</t>
        </is>
      </c>
      <c r="G2062">
        <f>custodian!D2062</f>
        <v/>
      </c>
      <c r="H2062">
        <f>BDP($B2062,"ID_ISIN")</f>
        <v/>
      </c>
      <c r="I2062" s="1" t="inlineStr">
        <is>
          <t>CCL</t>
        </is>
      </c>
      <c r="J2062">
        <f>BDP($B2062,"CNTRY_OF_DOMICILE")</f>
        <v/>
      </c>
      <c r="K2062" t="inlineStr">
        <is>
          <t>EC</t>
        </is>
      </c>
      <c r="L2062" t="inlineStr">
        <is>
          <t>CORP</t>
        </is>
      </c>
      <c r="M2062" t="inlineStr"/>
      <c r="N2062" t="inlineStr"/>
      <c r="O2062" s="1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s="1" t="inlineStr"/>
      <c r="AR2062" s="1" t="inlineStr"/>
      <c r="AS2062" s="1" t="inlineStr"/>
      <c r="AT2062" t="inlineStr"/>
      <c r="AU2062" t="inlineStr"/>
      <c r="AV2062" t="inlineStr"/>
      <c r="AW2062" t="inlineStr"/>
      <c r="AX2062" t="inlineStr"/>
      <c r="AY2062" t="inlineStr"/>
    </row>
    <row r="2063">
      <c r="A2063" t="inlineStr">
        <is>
          <t>YUNG</t>
        </is>
      </c>
      <c r="B2063" t="inlineStr">
        <is>
          <t>COO US Equity</t>
        </is>
      </c>
      <c r="C2063" s="1" t="inlineStr">
        <is>
          <t>COO</t>
        </is>
      </c>
      <c r="D2063" t="inlineStr">
        <is>
          <t>Cooper Cos Inc/The</t>
        </is>
      </c>
      <c r="E2063">
        <f>BDP($B2063,"LEGAL_ENTITY_IDENTIFIER")</f>
        <v/>
      </c>
      <c r="F2063" t="inlineStr">
        <is>
          <t>Cooper Cos Inc/The</t>
        </is>
      </c>
      <c r="G2063">
        <f>custodian!D2063</f>
        <v/>
      </c>
      <c r="H2063">
        <f>BDP($B2063,"ID_ISIN")</f>
        <v/>
      </c>
      <c r="I2063" s="1" t="inlineStr">
        <is>
          <t>COO</t>
        </is>
      </c>
      <c r="J2063">
        <f>BDP($B2063,"CNTRY_OF_DOMICILE")</f>
        <v/>
      </c>
      <c r="K2063" t="inlineStr">
        <is>
          <t>EC</t>
        </is>
      </c>
      <c r="L2063" t="inlineStr">
        <is>
          <t>CORP</t>
        </is>
      </c>
      <c r="M2063" t="inlineStr"/>
      <c r="N2063" t="inlineStr"/>
      <c r="O2063" s="1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s="1" t="inlineStr"/>
      <c r="AR2063" s="1" t="inlineStr"/>
      <c r="AS2063" s="1" t="inlineStr"/>
      <c r="AT2063" t="inlineStr"/>
      <c r="AU2063" t="inlineStr"/>
      <c r="AV2063" t="inlineStr"/>
      <c r="AW2063" t="inlineStr"/>
      <c r="AX2063" t="inlineStr"/>
      <c r="AY2063" t="inlineStr"/>
    </row>
    <row r="2064">
      <c r="A2064" t="inlineStr">
        <is>
          <t>YUNG</t>
        </is>
      </c>
      <c r="B2064" t="inlineStr">
        <is>
          <t>DAL US Equity</t>
        </is>
      </c>
      <c r="C2064" s="1" t="inlineStr">
        <is>
          <t>DAL</t>
        </is>
      </c>
      <c r="D2064" t="inlineStr">
        <is>
          <t>Delta Air Lines Inc</t>
        </is>
      </c>
      <c r="E2064">
        <f>BDP($B2064,"LEGAL_ENTITY_IDENTIFIER")</f>
        <v/>
      </c>
      <c r="F2064" t="inlineStr">
        <is>
          <t>Delta Air Lines Inc</t>
        </is>
      </c>
      <c r="G2064">
        <f>custodian!D2064</f>
        <v/>
      </c>
      <c r="H2064">
        <f>BDP($B2064,"ID_ISIN")</f>
        <v/>
      </c>
      <c r="I2064" s="1" t="inlineStr">
        <is>
          <t>DAL</t>
        </is>
      </c>
      <c r="J2064">
        <f>BDP($B2064,"CNTRY_OF_DOMICILE")</f>
        <v/>
      </c>
      <c r="K2064" t="inlineStr">
        <is>
          <t>EC</t>
        </is>
      </c>
      <c r="L2064" t="inlineStr">
        <is>
          <t>CORP</t>
        </is>
      </c>
      <c r="M2064" t="inlineStr"/>
      <c r="N2064" t="inlineStr"/>
      <c r="O2064" s="1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s="1" t="inlineStr"/>
      <c r="AR2064" s="1" t="inlineStr"/>
      <c r="AS2064" s="1" t="inlineStr"/>
      <c r="AT2064" t="inlineStr"/>
      <c r="AU2064" t="inlineStr"/>
      <c r="AV2064" t="inlineStr"/>
      <c r="AW2064" t="inlineStr"/>
      <c r="AX2064" t="inlineStr"/>
      <c r="AY2064" t="inlineStr"/>
    </row>
    <row r="2065">
      <c r="A2065" t="inlineStr">
        <is>
          <t>YUNG</t>
        </is>
      </c>
      <c r="B2065" t="inlineStr">
        <is>
          <t>DVA US Equity</t>
        </is>
      </c>
      <c r="C2065" s="1" t="inlineStr">
        <is>
          <t>DVA</t>
        </is>
      </c>
      <c r="D2065" t="inlineStr">
        <is>
          <t>DAVITA INC</t>
        </is>
      </c>
      <c r="E2065">
        <f>BDP($B2065,"LEGAL_ENTITY_IDENTIFIER")</f>
        <v/>
      </c>
      <c r="F2065" t="inlineStr">
        <is>
          <t>DAVITA INC</t>
        </is>
      </c>
      <c r="G2065">
        <f>custodian!D2065</f>
        <v/>
      </c>
      <c r="H2065">
        <f>BDP($B2065,"ID_ISIN")</f>
        <v/>
      </c>
      <c r="I2065" s="1" t="inlineStr">
        <is>
          <t>DVA</t>
        </is>
      </c>
      <c r="J2065">
        <f>BDP($B2065,"CNTRY_OF_DOMICILE")</f>
        <v/>
      </c>
      <c r="K2065" t="inlineStr">
        <is>
          <t>EC</t>
        </is>
      </c>
      <c r="L2065" t="inlineStr">
        <is>
          <t>CORP</t>
        </is>
      </c>
      <c r="M2065" t="inlineStr"/>
      <c r="N2065" t="inlineStr"/>
      <c r="O2065" s="1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s="1" t="inlineStr"/>
      <c r="AR2065" s="1" t="inlineStr"/>
      <c r="AS2065" s="1" t="inlineStr"/>
      <c r="AT2065" t="inlineStr"/>
      <c r="AU2065" t="inlineStr"/>
      <c r="AV2065" t="inlineStr"/>
      <c r="AW2065" t="inlineStr"/>
      <c r="AX2065" t="inlineStr"/>
      <c r="AY2065" t="inlineStr"/>
    </row>
    <row r="2066">
      <c r="A2066" t="inlineStr">
        <is>
          <t>YUNG</t>
        </is>
      </c>
      <c r="B2066" t="inlineStr">
        <is>
          <t>EHC US Equity</t>
        </is>
      </c>
      <c r="C2066" s="1" t="inlineStr">
        <is>
          <t>EHC</t>
        </is>
      </c>
      <c r="D2066" t="inlineStr">
        <is>
          <t>ENCOMPASS HEALTH CORP</t>
        </is>
      </c>
      <c r="E2066">
        <f>BDP($B2066,"LEGAL_ENTITY_IDENTIFIER")</f>
        <v/>
      </c>
      <c r="F2066" t="inlineStr">
        <is>
          <t>ENCOMPASS HEALTH CORP</t>
        </is>
      </c>
      <c r="G2066">
        <f>custodian!D2066</f>
        <v/>
      </c>
      <c r="H2066">
        <f>BDP($B2066,"ID_ISIN")</f>
        <v/>
      </c>
      <c r="I2066" s="1" t="inlineStr">
        <is>
          <t>EHC</t>
        </is>
      </c>
      <c r="J2066">
        <f>BDP($B2066,"CNTRY_OF_DOMICILE")</f>
        <v/>
      </c>
      <c r="K2066" t="inlineStr">
        <is>
          <t>EC</t>
        </is>
      </c>
      <c r="L2066" t="inlineStr">
        <is>
          <t>CORP</t>
        </is>
      </c>
      <c r="M2066" t="inlineStr"/>
      <c r="N2066" t="inlineStr"/>
      <c r="O2066" s="1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s="1" t="inlineStr"/>
      <c r="AR2066" s="1" t="inlineStr"/>
      <c r="AS2066" s="1" t="inlineStr"/>
      <c r="AT2066" t="inlineStr"/>
      <c r="AU2066" t="inlineStr"/>
      <c r="AV2066" t="inlineStr"/>
      <c r="AW2066" t="inlineStr"/>
      <c r="AX2066" t="inlineStr"/>
      <c r="AY2066" t="inlineStr"/>
    </row>
    <row r="2067">
      <c r="A2067" t="inlineStr">
        <is>
          <t>YUNG</t>
        </is>
      </c>
      <c r="B2067" t="inlineStr">
        <is>
          <t>ENSG US Equity</t>
        </is>
      </c>
      <c r="C2067" s="1" t="inlineStr">
        <is>
          <t>ENSG</t>
        </is>
      </c>
      <c r="D2067" t="inlineStr">
        <is>
          <t>Ensign Group Inc/The</t>
        </is>
      </c>
      <c r="E2067">
        <f>BDP($B2067,"LEGAL_ENTITY_IDENTIFIER")</f>
        <v/>
      </c>
      <c r="F2067" t="inlineStr">
        <is>
          <t>Ensign Group Inc/The</t>
        </is>
      </c>
      <c r="G2067">
        <f>custodian!D2067</f>
        <v/>
      </c>
      <c r="H2067">
        <f>BDP($B2067,"ID_ISIN")</f>
        <v/>
      </c>
      <c r="I2067" s="1" t="inlineStr">
        <is>
          <t>ENSG</t>
        </is>
      </c>
      <c r="J2067">
        <f>BDP($B2067,"CNTRY_OF_DOMICILE")</f>
        <v/>
      </c>
      <c r="K2067" t="inlineStr">
        <is>
          <t>EC</t>
        </is>
      </c>
      <c r="L2067" t="inlineStr">
        <is>
          <t>CORP</t>
        </is>
      </c>
      <c r="M2067" t="inlineStr"/>
      <c r="N2067" t="inlineStr"/>
      <c r="O2067" s="1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s="1" t="inlineStr"/>
      <c r="AR2067" s="1" t="inlineStr"/>
      <c r="AS2067" s="1" t="inlineStr"/>
      <c r="AT2067" t="inlineStr"/>
      <c r="AU2067" t="inlineStr"/>
      <c r="AV2067" t="inlineStr"/>
      <c r="AW2067" t="inlineStr"/>
      <c r="AX2067" t="inlineStr"/>
      <c r="AY2067" t="inlineStr"/>
    </row>
    <row r="2068">
      <c r="A2068" t="inlineStr">
        <is>
          <t>YUNG</t>
        </is>
      </c>
      <c r="B2068" t="inlineStr">
        <is>
          <t>EYE US Equity</t>
        </is>
      </c>
      <c r="C2068" s="1" t="inlineStr">
        <is>
          <t>EYE</t>
        </is>
      </c>
      <c r="D2068" t="inlineStr">
        <is>
          <t>National Vision Holdings Inc</t>
        </is>
      </c>
      <c r="E2068">
        <f>BDP($B2068,"LEGAL_ENTITY_IDENTIFIER")</f>
        <v/>
      </c>
      <c r="F2068" t="inlineStr">
        <is>
          <t>National Vision Holdings Inc</t>
        </is>
      </c>
      <c r="G2068">
        <f>custodian!D2068</f>
        <v/>
      </c>
      <c r="H2068">
        <f>BDP($B2068,"ID_ISIN")</f>
        <v/>
      </c>
      <c r="I2068" s="1" t="inlineStr">
        <is>
          <t>EYE</t>
        </is>
      </c>
      <c r="J2068">
        <f>BDP($B2068,"CNTRY_OF_DOMICILE")</f>
        <v/>
      </c>
      <c r="K2068" t="inlineStr">
        <is>
          <t>EC</t>
        </is>
      </c>
      <c r="L2068" t="inlineStr">
        <is>
          <t>CORP</t>
        </is>
      </c>
      <c r="M2068" t="inlineStr"/>
      <c r="N2068" t="inlineStr"/>
      <c r="O2068" s="1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s="1" t="inlineStr"/>
      <c r="AR2068" s="1" t="inlineStr"/>
      <c r="AS2068" s="1" t="inlineStr"/>
      <c r="AT2068" t="inlineStr"/>
      <c r="AU2068" t="inlineStr"/>
      <c r="AV2068" t="inlineStr"/>
      <c r="AW2068" t="inlineStr"/>
      <c r="AX2068" t="inlineStr"/>
      <c r="AY2068" t="inlineStr"/>
    </row>
    <row r="2069">
      <c r="A2069" t="inlineStr">
        <is>
          <t>YUNG</t>
        </is>
      </c>
      <c r="B2069" t="inlineStr">
        <is>
          <t>FGXXX US Equity</t>
        </is>
      </c>
      <c r="C2069" s="1" t="inlineStr">
        <is>
          <t>FGXXX</t>
        </is>
      </c>
      <c r="D2069" t="inlineStr">
        <is>
          <t>First American Government Obli</t>
        </is>
      </c>
      <c r="E2069">
        <f>BDP($B2069,"LEGAL_ENTITY_IDENTIFIER")</f>
        <v/>
      </c>
      <c r="F2069" t="inlineStr">
        <is>
          <t>First American Government Obligations Fund</t>
        </is>
      </c>
      <c r="G2069">
        <f>custodian!D2069</f>
        <v/>
      </c>
      <c r="H2069">
        <f>BDP($B2069,"ID_ISIN")</f>
        <v/>
      </c>
      <c r="I2069" s="1" t="inlineStr">
        <is>
          <t>FGXXX</t>
        </is>
      </c>
      <c r="J2069">
        <f>BDP($B2069,"CNTRY_OF_DOMICILE")</f>
        <v/>
      </c>
      <c r="K2069" t="inlineStr">
        <is>
          <t>STIV</t>
        </is>
      </c>
      <c r="L2069" t="inlineStr">
        <is>
          <t>RF</t>
        </is>
      </c>
      <c r="M2069" t="inlineStr"/>
      <c r="N2069" t="inlineStr"/>
      <c r="O2069" s="1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s="1" t="inlineStr"/>
      <c r="AR2069" s="1" t="inlineStr"/>
      <c r="AS2069" s="1" t="inlineStr"/>
      <c r="AT2069" t="inlineStr"/>
      <c r="AU2069" t="inlineStr"/>
      <c r="AV2069" t="inlineStr"/>
      <c r="AW2069" t="inlineStr"/>
      <c r="AX2069" t="inlineStr"/>
      <c r="AY2069" t="inlineStr"/>
    </row>
    <row r="2070">
      <c r="A2070" t="inlineStr">
        <is>
          <t>YUNG</t>
        </is>
      </c>
      <c r="B2070" t="inlineStr">
        <is>
          <t>GOLF US Equity</t>
        </is>
      </c>
      <c r="C2070" s="1" t="inlineStr">
        <is>
          <t>GOLF</t>
        </is>
      </c>
      <c r="D2070" t="inlineStr">
        <is>
          <t>Acushnet Holdings Corp</t>
        </is>
      </c>
      <c r="E2070">
        <f>BDP($B2070,"LEGAL_ENTITY_IDENTIFIER")</f>
        <v/>
      </c>
      <c r="F2070" t="inlineStr">
        <is>
          <t>Acushnet Holdings Corp</t>
        </is>
      </c>
      <c r="G2070">
        <f>custodian!D2070</f>
        <v/>
      </c>
      <c r="H2070">
        <f>BDP($B2070,"ID_ISIN")</f>
        <v/>
      </c>
      <c r="I2070" s="1" t="inlineStr">
        <is>
          <t>GOLF</t>
        </is>
      </c>
      <c r="J2070">
        <f>BDP($B2070,"CNTRY_OF_DOMICILE")</f>
        <v/>
      </c>
      <c r="K2070" t="inlineStr">
        <is>
          <t>EC</t>
        </is>
      </c>
      <c r="L2070" t="inlineStr">
        <is>
          <t>CORP</t>
        </is>
      </c>
      <c r="M2070" t="inlineStr"/>
      <c r="N2070" t="inlineStr"/>
      <c r="O2070" s="1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s="1" t="inlineStr"/>
      <c r="AR2070" s="1" t="inlineStr"/>
      <c r="AS2070" s="1" t="inlineStr"/>
      <c r="AT2070" t="inlineStr"/>
      <c r="AU2070" t="inlineStr"/>
      <c r="AV2070" t="inlineStr"/>
      <c r="AW2070" t="inlineStr"/>
      <c r="AX2070" t="inlineStr"/>
      <c r="AY2070" t="inlineStr"/>
    </row>
    <row r="2071">
      <c r="A2071" t="inlineStr">
        <is>
          <t>YUNG</t>
        </is>
      </c>
      <c r="B2071" t="inlineStr">
        <is>
          <t>HGV US Equity</t>
        </is>
      </c>
      <c r="C2071" s="1" t="inlineStr">
        <is>
          <t>HGV</t>
        </is>
      </c>
      <c r="D2071" t="inlineStr">
        <is>
          <t>Hilton Grand Vacations Inc</t>
        </is>
      </c>
      <c r="E2071">
        <f>BDP($B2071,"LEGAL_ENTITY_IDENTIFIER")</f>
        <v/>
      </c>
      <c r="F2071" t="inlineStr">
        <is>
          <t>Hilton Grand Vacations Inc</t>
        </is>
      </c>
      <c r="G2071">
        <f>custodian!D2071</f>
        <v/>
      </c>
      <c r="H2071">
        <f>BDP($B2071,"ID_ISIN")</f>
        <v/>
      </c>
      <c r="I2071" s="1" t="inlineStr">
        <is>
          <t>HGV</t>
        </is>
      </c>
      <c r="J2071">
        <f>BDP($B2071,"CNTRY_OF_DOMICILE")</f>
        <v/>
      </c>
      <c r="K2071" t="inlineStr">
        <is>
          <t>EC</t>
        </is>
      </c>
      <c r="L2071" t="inlineStr">
        <is>
          <t>CORP</t>
        </is>
      </c>
      <c r="M2071" t="inlineStr"/>
      <c r="N2071" t="inlineStr"/>
      <c r="O2071" s="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s="1" t="inlineStr"/>
      <c r="AR2071" s="1" t="inlineStr"/>
      <c r="AS2071" s="1" t="inlineStr"/>
      <c r="AT2071" t="inlineStr"/>
      <c r="AU2071" t="inlineStr"/>
      <c r="AV2071" t="inlineStr"/>
      <c r="AW2071" t="inlineStr"/>
      <c r="AX2071" t="inlineStr"/>
      <c r="AY2071" t="inlineStr"/>
    </row>
    <row r="2072">
      <c r="A2072" t="inlineStr">
        <is>
          <t>YUNG</t>
        </is>
      </c>
      <c r="B2072" t="inlineStr">
        <is>
          <t>HIMS US Equity</t>
        </is>
      </c>
      <c r="C2072" s="1" t="inlineStr">
        <is>
          <t>HIMS</t>
        </is>
      </c>
      <c r="D2072" t="inlineStr">
        <is>
          <t>Hims &amp; Hers Health Inc</t>
        </is>
      </c>
      <c r="E2072">
        <f>BDP($B2072,"LEGAL_ENTITY_IDENTIFIER")</f>
        <v/>
      </c>
      <c r="F2072" t="inlineStr">
        <is>
          <t>Hims &amp; Hers Health Inc</t>
        </is>
      </c>
      <c r="G2072">
        <f>custodian!D2072</f>
        <v/>
      </c>
      <c r="H2072">
        <f>BDP($B2072,"ID_ISIN")</f>
        <v/>
      </c>
      <c r="I2072" s="1" t="inlineStr">
        <is>
          <t>HIMS</t>
        </is>
      </c>
      <c r="J2072">
        <f>BDP($B2072,"CNTRY_OF_DOMICILE")</f>
        <v/>
      </c>
      <c r="K2072" t="inlineStr">
        <is>
          <t>EC</t>
        </is>
      </c>
      <c r="L2072" t="inlineStr">
        <is>
          <t>CORP</t>
        </is>
      </c>
      <c r="M2072" t="inlineStr"/>
      <c r="N2072" t="inlineStr"/>
      <c r="O2072" s="1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s="1" t="inlineStr"/>
      <c r="AR2072" s="1" t="inlineStr"/>
      <c r="AS2072" s="1" t="inlineStr"/>
      <c r="AT2072" t="inlineStr"/>
      <c r="AU2072" t="inlineStr"/>
      <c r="AV2072" t="inlineStr"/>
      <c r="AW2072" t="inlineStr"/>
      <c r="AX2072" t="inlineStr"/>
      <c r="AY2072" t="inlineStr"/>
    </row>
    <row r="2073">
      <c r="A2073" t="inlineStr">
        <is>
          <t>YUNG</t>
        </is>
      </c>
      <c r="B2073" t="inlineStr">
        <is>
          <t>HLT US Equity</t>
        </is>
      </c>
      <c r="C2073" s="1" t="inlineStr">
        <is>
          <t>HLT</t>
        </is>
      </c>
      <c r="D2073" t="inlineStr">
        <is>
          <t>Hilton Worldwide Holdings Inc</t>
        </is>
      </c>
      <c r="E2073">
        <f>BDP($B2073,"LEGAL_ENTITY_IDENTIFIER")</f>
        <v/>
      </c>
      <c r="F2073" t="inlineStr">
        <is>
          <t>Hilton Worldwide Holdings Inc</t>
        </is>
      </c>
      <c r="G2073">
        <f>custodian!D2073</f>
        <v/>
      </c>
      <c r="H2073">
        <f>BDP($B2073,"ID_ISIN")</f>
        <v/>
      </c>
      <c r="I2073" s="1" t="inlineStr">
        <is>
          <t>HLT</t>
        </is>
      </c>
      <c r="J2073">
        <f>BDP($B2073,"CNTRY_OF_DOMICILE")</f>
        <v/>
      </c>
      <c r="K2073" t="inlineStr">
        <is>
          <t>EC</t>
        </is>
      </c>
      <c r="L2073" t="inlineStr">
        <is>
          <t>CORP</t>
        </is>
      </c>
      <c r="M2073" t="inlineStr"/>
      <c r="N2073" t="inlineStr"/>
      <c r="O2073" s="1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s="1" t="inlineStr"/>
      <c r="AR2073" s="1" t="inlineStr"/>
      <c r="AS2073" s="1" t="inlineStr"/>
      <c r="AT2073" t="inlineStr"/>
      <c r="AU2073" t="inlineStr"/>
      <c r="AV2073" t="inlineStr"/>
      <c r="AW2073" t="inlineStr"/>
      <c r="AX2073" t="inlineStr"/>
      <c r="AY2073" t="inlineStr"/>
    </row>
    <row r="2074">
      <c r="A2074" t="inlineStr">
        <is>
          <t>YUNG</t>
        </is>
      </c>
      <c r="B2074" t="inlineStr">
        <is>
          <t>HUM US Equity</t>
        </is>
      </c>
      <c r="C2074" s="1" t="inlineStr">
        <is>
          <t>HUM</t>
        </is>
      </c>
      <c r="D2074" t="inlineStr">
        <is>
          <t>Humana Inc</t>
        </is>
      </c>
      <c r="E2074">
        <f>BDP($B2074,"LEGAL_ENTITY_IDENTIFIER")</f>
        <v/>
      </c>
      <c r="F2074" t="inlineStr">
        <is>
          <t>Humana Inc</t>
        </is>
      </c>
      <c r="G2074">
        <f>custodian!D2074</f>
        <v/>
      </c>
      <c r="H2074">
        <f>BDP($B2074,"ID_ISIN")</f>
        <v/>
      </c>
      <c r="I2074" s="1" t="inlineStr">
        <is>
          <t>HUM</t>
        </is>
      </c>
      <c r="J2074">
        <f>BDP($B2074,"CNTRY_OF_DOMICILE")</f>
        <v/>
      </c>
      <c r="K2074" t="inlineStr">
        <is>
          <t>EC</t>
        </is>
      </c>
      <c r="L2074" t="inlineStr">
        <is>
          <t>CORP</t>
        </is>
      </c>
      <c r="M2074" t="inlineStr"/>
      <c r="N2074" t="inlineStr"/>
      <c r="O2074" s="1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s="1" t="inlineStr"/>
      <c r="AR2074" s="1" t="inlineStr"/>
      <c r="AS2074" s="1" t="inlineStr"/>
      <c r="AT2074" t="inlineStr"/>
      <c r="AU2074" t="inlineStr"/>
      <c r="AV2074" t="inlineStr"/>
      <c r="AW2074" t="inlineStr"/>
      <c r="AX2074" t="inlineStr"/>
      <c r="AY2074" t="inlineStr"/>
    </row>
    <row r="2075">
      <c r="A2075" t="inlineStr">
        <is>
          <t>YUNG</t>
        </is>
      </c>
      <c r="B2075" t="inlineStr">
        <is>
          <t>LIND US Equity</t>
        </is>
      </c>
      <c r="C2075" s="1" t="inlineStr">
        <is>
          <t>LIND</t>
        </is>
      </c>
      <c r="D2075" t="inlineStr">
        <is>
          <t xml:space="preserve">Lindblad Expeditions Holdings </t>
        </is>
      </c>
      <c r="E2075">
        <f>BDP($B2075,"LEGAL_ENTITY_IDENTIFIER")</f>
        <v/>
      </c>
      <c r="F2075" t="inlineStr">
        <is>
          <t>Lindblad Expeditions Holdings Inc</t>
        </is>
      </c>
      <c r="G2075">
        <f>custodian!D2075</f>
        <v/>
      </c>
      <c r="H2075">
        <f>BDP($B2075,"ID_ISIN")</f>
        <v/>
      </c>
      <c r="I2075" s="1" t="inlineStr">
        <is>
          <t>LIND</t>
        </is>
      </c>
      <c r="J2075">
        <f>BDP($B2075,"CNTRY_OF_DOMICILE")</f>
        <v/>
      </c>
      <c r="K2075" t="inlineStr">
        <is>
          <t>EC</t>
        </is>
      </c>
      <c r="L2075" t="inlineStr">
        <is>
          <t>CORP</t>
        </is>
      </c>
      <c r="M2075" t="inlineStr"/>
      <c r="N2075" t="inlineStr"/>
      <c r="O2075" s="1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s="1" t="inlineStr"/>
      <c r="AR2075" s="1" t="inlineStr"/>
      <c r="AS2075" s="1" t="inlineStr"/>
      <c r="AT2075" t="inlineStr"/>
      <c r="AU2075" t="inlineStr"/>
      <c r="AV2075" t="inlineStr"/>
      <c r="AW2075" t="inlineStr"/>
      <c r="AX2075" t="inlineStr"/>
      <c r="AY2075" t="inlineStr"/>
    </row>
    <row r="2076">
      <c r="A2076" t="inlineStr">
        <is>
          <t>YUNG</t>
        </is>
      </c>
      <c r="B2076" t="inlineStr">
        <is>
          <t>LLY US Equity</t>
        </is>
      </c>
      <c r="C2076" s="1" t="inlineStr">
        <is>
          <t>LLY</t>
        </is>
      </c>
      <c r="D2076" t="inlineStr">
        <is>
          <t>Eli Lilly &amp; Co</t>
        </is>
      </c>
      <c r="E2076">
        <f>BDP($B2076,"LEGAL_ENTITY_IDENTIFIER")</f>
        <v/>
      </c>
      <c r="F2076" t="inlineStr">
        <is>
          <t>Eli Lilly &amp; Co</t>
        </is>
      </c>
      <c r="G2076">
        <f>custodian!D2076</f>
        <v/>
      </c>
      <c r="H2076">
        <f>BDP($B2076,"ID_ISIN")</f>
        <v/>
      </c>
      <c r="I2076" s="1" t="inlineStr">
        <is>
          <t>LLY</t>
        </is>
      </c>
      <c r="J2076">
        <f>BDP($B2076,"CNTRY_OF_DOMICILE")</f>
        <v/>
      </c>
      <c r="K2076" t="inlineStr">
        <is>
          <t>EC</t>
        </is>
      </c>
      <c r="L2076" t="inlineStr">
        <is>
          <t>CORP</t>
        </is>
      </c>
      <c r="M2076" t="inlineStr"/>
      <c r="N2076" t="inlineStr"/>
      <c r="O2076" s="1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s="1" t="inlineStr"/>
      <c r="AR2076" s="1" t="inlineStr"/>
      <c r="AS2076" s="1" t="inlineStr"/>
      <c r="AT2076" t="inlineStr"/>
      <c r="AU2076" t="inlineStr"/>
      <c r="AV2076" t="inlineStr"/>
      <c r="AW2076" t="inlineStr"/>
      <c r="AX2076" t="inlineStr"/>
      <c r="AY2076" t="inlineStr"/>
    </row>
    <row r="2077">
      <c r="A2077" t="inlineStr">
        <is>
          <t>YUNG</t>
        </is>
      </c>
      <c r="B2077" t="inlineStr">
        <is>
          <t>LTC US Equity</t>
        </is>
      </c>
      <c r="C2077" s="1" t="inlineStr">
        <is>
          <t>LTC</t>
        </is>
      </c>
      <c r="D2077" t="inlineStr">
        <is>
          <t>LTC Properties Inc</t>
        </is>
      </c>
      <c r="E2077">
        <f>BDP($B2077,"LEGAL_ENTITY_IDENTIFIER")</f>
        <v/>
      </c>
      <c r="F2077" t="inlineStr">
        <is>
          <t>LTC Properties Inc</t>
        </is>
      </c>
      <c r="G2077">
        <f>custodian!D2077</f>
        <v/>
      </c>
      <c r="H2077">
        <f>BDP($B2077,"ID_ISIN")</f>
        <v/>
      </c>
      <c r="I2077" s="1" t="inlineStr">
        <is>
          <t>LTC</t>
        </is>
      </c>
      <c r="J2077">
        <f>BDP($B2077,"CNTRY_OF_DOMICILE")</f>
        <v/>
      </c>
      <c r="K2077" t="inlineStr">
        <is>
          <t>EC</t>
        </is>
      </c>
      <c r="L2077" t="inlineStr">
        <is>
          <t>CORP</t>
        </is>
      </c>
      <c r="M2077" t="inlineStr"/>
      <c r="N2077" t="inlineStr"/>
      <c r="O2077" s="1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s="1" t="inlineStr"/>
      <c r="AR2077" s="1" t="inlineStr"/>
      <c r="AS2077" s="1" t="inlineStr"/>
      <c r="AT2077" t="inlineStr"/>
      <c r="AU2077" t="inlineStr"/>
      <c r="AV2077" t="inlineStr"/>
      <c r="AW2077" t="inlineStr"/>
      <c r="AX2077" t="inlineStr"/>
      <c r="AY2077" t="inlineStr"/>
    </row>
    <row r="2078">
      <c r="A2078" t="inlineStr">
        <is>
          <t>YUNG</t>
        </is>
      </c>
      <c r="B2078" t="inlineStr">
        <is>
          <t>LTH US Equity</t>
        </is>
      </c>
      <c r="C2078" s="1" t="inlineStr">
        <is>
          <t>LTH</t>
        </is>
      </c>
      <c r="D2078" t="inlineStr">
        <is>
          <t>Life Time Group Holdings Inc</t>
        </is>
      </c>
      <c r="E2078">
        <f>BDP($B2078,"LEGAL_ENTITY_IDENTIFIER")</f>
        <v/>
      </c>
      <c r="F2078" t="inlineStr">
        <is>
          <t>Life Time Group Holdings Inc</t>
        </is>
      </c>
      <c r="G2078">
        <f>custodian!D2078</f>
        <v/>
      </c>
      <c r="H2078">
        <f>BDP($B2078,"ID_ISIN")</f>
        <v/>
      </c>
      <c r="I2078" s="1" t="inlineStr">
        <is>
          <t>LTH</t>
        </is>
      </c>
      <c r="J2078">
        <f>BDP($B2078,"CNTRY_OF_DOMICILE")</f>
        <v/>
      </c>
      <c r="K2078" t="inlineStr">
        <is>
          <t>EC</t>
        </is>
      </c>
      <c r="L2078" t="inlineStr">
        <is>
          <t>CORP</t>
        </is>
      </c>
      <c r="M2078" t="inlineStr"/>
      <c r="N2078" t="inlineStr"/>
      <c r="O2078" s="1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s="1" t="inlineStr"/>
      <c r="AR2078" s="1" t="inlineStr"/>
      <c r="AS2078" s="1" t="inlineStr"/>
      <c r="AT2078" t="inlineStr"/>
      <c r="AU2078" t="inlineStr"/>
      <c r="AV2078" t="inlineStr"/>
      <c r="AW2078" t="inlineStr"/>
      <c r="AX2078" t="inlineStr"/>
      <c r="AY2078" t="inlineStr"/>
    </row>
    <row r="2079">
      <c r="A2079" t="inlineStr">
        <is>
          <t>YUNG</t>
        </is>
      </c>
      <c r="B2079" t="inlineStr">
        <is>
          <t>LUV US Equity</t>
        </is>
      </c>
      <c r="C2079" s="1" t="inlineStr">
        <is>
          <t>LUV</t>
        </is>
      </c>
      <c r="D2079" t="inlineStr">
        <is>
          <t>Southwest Airlines Co</t>
        </is>
      </c>
      <c r="E2079">
        <f>BDP($B2079,"LEGAL_ENTITY_IDENTIFIER")</f>
        <v/>
      </c>
      <c r="F2079" t="inlineStr">
        <is>
          <t>Southwest Airlines Co</t>
        </is>
      </c>
      <c r="G2079">
        <f>custodian!D2079</f>
        <v/>
      </c>
      <c r="H2079">
        <f>BDP($B2079,"ID_ISIN")</f>
        <v/>
      </c>
      <c r="I2079" s="1" t="inlineStr">
        <is>
          <t>LUV</t>
        </is>
      </c>
      <c r="J2079">
        <f>BDP($B2079,"CNTRY_OF_DOMICILE")</f>
        <v/>
      </c>
      <c r="K2079" t="inlineStr">
        <is>
          <t>EC</t>
        </is>
      </c>
      <c r="L2079" t="inlineStr">
        <is>
          <t>CORP</t>
        </is>
      </c>
      <c r="M2079" t="inlineStr"/>
      <c r="N2079" t="inlineStr"/>
      <c r="O2079" s="1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s="1" t="inlineStr"/>
      <c r="AR2079" s="1" t="inlineStr"/>
      <c r="AS2079" s="1" t="inlineStr"/>
      <c r="AT2079" t="inlineStr"/>
      <c r="AU2079" t="inlineStr"/>
      <c r="AV2079" t="inlineStr"/>
      <c r="AW2079" t="inlineStr"/>
      <c r="AX2079" t="inlineStr"/>
      <c r="AY2079" t="inlineStr"/>
    </row>
    <row r="2080">
      <c r="A2080" t="inlineStr">
        <is>
          <t>YUNG</t>
        </is>
      </c>
      <c r="B2080" t="inlineStr">
        <is>
          <t>MAR US Equity</t>
        </is>
      </c>
      <c r="C2080" s="1" t="inlineStr">
        <is>
          <t>MAR</t>
        </is>
      </c>
      <c r="D2080" t="inlineStr">
        <is>
          <t>Marriott International Inc/MD</t>
        </is>
      </c>
      <c r="E2080">
        <f>BDP($B2080,"LEGAL_ENTITY_IDENTIFIER")</f>
        <v/>
      </c>
      <c r="F2080" t="inlineStr">
        <is>
          <t>Marriott International Inc/MD</t>
        </is>
      </c>
      <c r="G2080">
        <f>custodian!D2080</f>
        <v/>
      </c>
      <c r="H2080">
        <f>BDP($B2080,"ID_ISIN")</f>
        <v/>
      </c>
      <c r="I2080" s="1" t="inlineStr">
        <is>
          <t>MAR</t>
        </is>
      </c>
      <c r="J2080">
        <f>BDP($B2080,"CNTRY_OF_DOMICILE")</f>
        <v/>
      </c>
      <c r="K2080" t="inlineStr">
        <is>
          <t>EC</t>
        </is>
      </c>
      <c r="L2080" t="inlineStr">
        <is>
          <t>CORP</t>
        </is>
      </c>
      <c r="M2080" t="inlineStr"/>
      <c r="N2080" t="inlineStr"/>
      <c r="O2080" s="1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s="1" t="inlineStr"/>
      <c r="AR2080" s="1" t="inlineStr"/>
      <c r="AS2080" s="1" t="inlineStr"/>
      <c r="AT2080" t="inlineStr"/>
      <c r="AU2080" t="inlineStr"/>
      <c r="AV2080" t="inlineStr"/>
      <c r="AW2080" t="inlineStr"/>
      <c r="AX2080" t="inlineStr"/>
      <c r="AY2080" t="inlineStr"/>
    </row>
    <row r="2081">
      <c r="A2081" t="inlineStr">
        <is>
          <t>YUNG</t>
        </is>
      </c>
      <c r="B2081" t="inlineStr">
        <is>
          <t>MDLN US Equity</t>
        </is>
      </c>
      <c r="C2081" s="1" t="inlineStr">
        <is>
          <t>MDLN</t>
        </is>
      </c>
      <c r="D2081" t="inlineStr">
        <is>
          <t>Medline Inc</t>
        </is>
      </c>
      <c r="E2081">
        <f>BDP($B2081,"LEGAL_ENTITY_IDENTIFIER")</f>
        <v/>
      </c>
      <c r="F2081" t="inlineStr">
        <is>
          <t>Medline Inc</t>
        </is>
      </c>
      <c r="G2081">
        <f>custodian!D2081</f>
        <v/>
      </c>
      <c r="H2081">
        <f>BDP($B2081,"ID_ISIN")</f>
        <v/>
      </c>
      <c r="I2081" s="1" t="inlineStr">
        <is>
          <t>MDLN</t>
        </is>
      </c>
      <c r="J2081">
        <f>BDP($B2081,"CNTRY_OF_DOMICILE")</f>
        <v/>
      </c>
      <c r="K2081" t="inlineStr">
        <is>
          <t>EC</t>
        </is>
      </c>
      <c r="L2081" t="inlineStr">
        <is>
          <t>CORP</t>
        </is>
      </c>
      <c r="M2081" t="inlineStr"/>
      <c r="N2081" t="inlineStr"/>
      <c r="O2081" s="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s="1" t="inlineStr"/>
      <c r="AR2081" s="1" t="inlineStr"/>
      <c r="AS2081" s="1" t="inlineStr"/>
      <c r="AT2081" t="inlineStr"/>
      <c r="AU2081" t="inlineStr"/>
      <c r="AV2081" t="inlineStr"/>
      <c r="AW2081" t="inlineStr"/>
      <c r="AX2081" t="inlineStr"/>
      <c r="AY2081" t="inlineStr"/>
    </row>
    <row r="2082">
      <c r="A2082" t="inlineStr">
        <is>
          <t>YUNG</t>
        </is>
      </c>
      <c r="B2082" t="inlineStr">
        <is>
          <t>MDT US Equity</t>
        </is>
      </c>
      <c r="C2082" s="1" t="inlineStr">
        <is>
          <t>MDT</t>
        </is>
      </c>
      <c r="D2082" t="inlineStr">
        <is>
          <t>Medtronic PLC</t>
        </is>
      </c>
      <c r="E2082">
        <f>BDP($B2082,"LEGAL_ENTITY_IDENTIFIER")</f>
        <v/>
      </c>
      <c r="F2082" t="inlineStr">
        <is>
          <t>Medtronic PLC</t>
        </is>
      </c>
      <c r="G2082">
        <f>custodian!D2082</f>
        <v/>
      </c>
      <c r="H2082">
        <f>BDP($B2082,"ID_ISIN")</f>
        <v/>
      </c>
      <c r="I2082" s="1" t="inlineStr">
        <is>
          <t>MDT</t>
        </is>
      </c>
      <c r="J2082">
        <f>BDP($B2082,"CNTRY_OF_DOMICILE")</f>
        <v/>
      </c>
      <c r="K2082" t="inlineStr">
        <is>
          <t>EC</t>
        </is>
      </c>
      <c r="L2082" t="inlineStr">
        <is>
          <t>CORP</t>
        </is>
      </c>
      <c r="M2082" t="inlineStr"/>
      <c r="N2082" t="inlineStr"/>
      <c r="O2082" s="1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s="1" t="inlineStr"/>
      <c r="AR2082" s="1" t="inlineStr"/>
      <c r="AS2082" s="1" t="inlineStr"/>
      <c r="AT2082" t="inlineStr"/>
      <c r="AU2082" t="inlineStr"/>
      <c r="AV2082" t="inlineStr"/>
      <c r="AW2082" t="inlineStr"/>
      <c r="AX2082" t="inlineStr"/>
      <c r="AY2082" t="inlineStr"/>
    </row>
    <row r="2083">
      <c r="A2083" t="inlineStr">
        <is>
          <t>YUNG</t>
        </is>
      </c>
      <c r="B2083" t="inlineStr">
        <is>
          <t>NATR US Equity</t>
        </is>
      </c>
      <c r="C2083" s="1" t="inlineStr">
        <is>
          <t>NATR</t>
        </is>
      </c>
      <c r="D2083" t="inlineStr">
        <is>
          <t>Nature's Sunshine Products Inc</t>
        </is>
      </c>
      <c r="E2083">
        <f>BDP($B2083,"LEGAL_ENTITY_IDENTIFIER")</f>
        <v/>
      </c>
      <c r="F2083" t="inlineStr">
        <is>
          <t>Nature's Sunshine Products Inc</t>
        </is>
      </c>
      <c r="G2083">
        <f>custodian!D2083</f>
        <v/>
      </c>
      <c r="H2083">
        <f>BDP($B2083,"ID_ISIN")</f>
        <v/>
      </c>
      <c r="I2083" s="1" t="inlineStr">
        <is>
          <t>NATR</t>
        </is>
      </c>
      <c r="J2083">
        <f>BDP($B2083,"CNTRY_OF_DOMICILE")</f>
        <v/>
      </c>
      <c r="K2083" t="inlineStr">
        <is>
          <t>EC</t>
        </is>
      </c>
      <c r="L2083" t="inlineStr">
        <is>
          <t>CORP</t>
        </is>
      </c>
      <c r="M2083" t="inlineStr"/>
      <c r="N2083" t="inlineStr"/>
      <c r="O2083" s="1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s="1" t="inlineStr"/>
      <c r="AR2083" s="1" t="inlineStr"/>
      <c r="AS2083" s="1" t="inlineStr"/>
      <c r="AT2083" t="inlineStr"/>
      <c r="AU2083" t="inlineStr"/>
      <c r="AV2083" t="inlineStr"/>
      <c r="AW2083" t="inlineStr"/>
      <c r="AX2083" t="inlineStr"/>
      <c r="AY2083" t="inlineStr"/>
    </row>
    <row r="2084">
      <c r="A2084" t="inlineStr">
        <is>
          <t>YUNG</t>
        </is>
      </c>
      <c r="B2084" t="inlineStr">
        <is>
          <t>NCLH US Equity</t>
        </is>
      </c>
      <c r="C2084" s="1" t="inlineStr">
        <is>
          <t>NCLH</t>
        </is>
      </c>
      <c r="D2084" t="inlineStr">
        <is>
          <t>Norwegian Cruise Line Holdings</t>
        </is>
      </c>
      <c r="E2084">
        <f>BDP($B2084,"LEGAL_ENTITY_IDENTIFIER")</f>
        <v/>
      </c>
      <c r="F2084" t="inlineStr">
        <is>
          <t>Norwegian Cruise Line Holdings Ltd</t>
        </is>
      </c>
      <c r="G2084">
        <f>custodian!D2084</f>
        <v/>
      </c>
      <c r="H2084">
        <f>BDP($B2084,"ID_ISIN")</f>
        <v/>
      </c>
      <c r="I2084" s="1" t="inlineStr">
        <is>
          <t>NCLH</t>
        </is>
      </c>
      <c r="J2084">
        <f>BDP($B2084,"CNTRY_OF_DOMICILE")</f>
        <v/>
      </c>
      <c r="K2084" t="inlineStr">
        <is>
          <t>EC</t>
        </is>
      </c>
      <c r="L2084" t="inlineStr">
        <is>
          <t>CORP</t>
        </is>
      </c>
      <c r="M2084" t="inlineStr"/>
      <c r="N2084" t="inlineStr"/>
      <c r="O2084" s="1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s="1" t="inlineStr"/>
      <c r="AR2084" s="1" t="inlineStr"/>
      <c r="AS2084" s="1" t="inlineStr"/>
      <c r="AT2084" t="inlineStr"/>
      <c r="AU2084" t="inlineStr"/>
      <c r="AV2084" t="inlineStr"/>
      <c r="AW2084" t="inlineStr"/>
      <c r="AX2084" t="inlineStr"/>
      <c r="AY2084" t="inlineStr"/>
    </row>
    <row r="2085">
      <c r="A2085" t="inlineStr">
        <is>
          <t>YUNG</t>
        </is>
      </c>
      <c r="B2085" t="inlineStr">
        <is>
          <t>NHC US Equity</t>
        </is>
      </c>
      <c r="C2085" s="1" t="inlineStr">
        <is>
          <t>NHC</t>
        </is>
      </c>
      <c r="D2085" t="inlineStr">
        <is>
          <t>National HealthCare Corp</t>
        </is>
      </c>
      <c r="E2085">
        <f>BDP($B2085,"LEGAL_ENTITY_IDENTIFIER")</f>
        <v/>
      </c>
      <c r="F2085" t="inlineStr">
        <is>
          <t>National HealthCare Corp</t>
        </is>
      </c>
      <c r="G2085">
        <f>custodian!D2085</f>
        <v/>
      </c>
      <c r="H2085">
        <f>BDP($B2085,"ID_ISIN")</f>
        <v/>
      </c>
      <c r="I2085" s="1" t="inlineStr">
        <is>
          <t>NHC</t>
        </is>
      </c>
      <c r="J2085">
        <f>BDP($B2085,"CNTRY_OF_DOMICILE")</f>
        <v/>
      </c>
      <c r="K2085" t="inlineStr">
        <is>
          <t>EC</t>
        </is>
      </c>
      <c r="L2085" t="inlineStr">
        <is>
          <t>CORP</t>
        </is>
      </c>
      <c r="M2085" t="inlineStr"/>
      <c r="N2085" t="inlineStr"/>
      <c r="O2085" s="1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s="1" t="inlineStr"/>
      <c r="AR2085" s="1" t="inlineStr"/>
      <c r="AS2085" s="1" t="inlineStr"/>
      <c r="AT2085" t="inlineStr"/>
      <c r="AU2085" t="inlineStr"/>
      <c r="AV2085" t="inlineStr"/>
      <c r="AW2085" t="inlineStr"/>
      <c r="AX2085" t="inlineStr"/>
      <c r="AY2085" t="inlineStr"/>
    </row>
    <row r="2086">
      <c r="A2086" t="inlineStr">
        <is>
          <t>YUNG</t>
        </is>
      </c>
      <c r="B2086" t="inlineStr">
        <is>
          <t>NHI US Equity</t>
        </is>
      </c>
      <c r="C2086" s="1" t="inlineStr">
        <is>
          <t>NHI</t>
        </is>
      </c>
      <c r="D2086" t="inlineStr">
        <is>
          <t>National Health Investors Inc</t>
        </is>
      </c>
      <c r="E2086">
        <f>BDP($B2086,"LEGAL_ENTITY_IDENTIFIER")</f>
        <v/>
      </c>
      <c r="F2086" t="inlineStr">
        <is>
          <t>National Health Investors Inc</t>
        </is>
      </c>
      <c r="G2086">
        <f>custodian!D2086</f>
        <v/>
      </c>
      <c r="H2086">
        <f>BDP($B2086,"ID_ISIN")</f>
        <v/>
      </c>
      <c r="I2086" s="1" t="inlineStr">
        <is>
          <t>NHI</t>
        </is>
      </c>
      <c r="J2086">
        <f>BDP($B2086,"CNTRY_OF_DOMICILE")</f>
        <v/>
      </c>
      <c r="K2086" t="inlineStr">
        <is>
          <t>EC</t>
        </is>
      </c>
      <c r="L2086" t="inlineStr">
        <is>
          <t>CORP</t>
        </is>
      </c>
      <c r="M2086" t="inlineStr"/>
      <c r="N2086" t="inlineStr"/>
      <c r="O2086" s="1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s="1" t="inlineStr"/>
      <c r="AR2086" s="1" t="inlineStr"/>
      <c r="AS2086" s="1" t="inlineStr"/>
      <c r="AT2086" t="inlineStr"/>
      <c r="AU2086" t="inlineStr"/>
      <c r="AV2086" t="inlineStr"/>
      <c r="AW2086" t="inlineStr"/>
      <c r="AX2086" t="inlineStr"/>
      <c r="AY2086" t="inlineStr"/>
    </row>
    <row r="2087">
      <c r="A2087" t="inlineStr">
        <is>
          <t>YUNG</t>
        </is>
      </c>
      <c r="B2087" t="inlineStr">
        <is>
          <t>NVST US Equity</t>
        </is>
      </c>
      <c r="C2087" s="1" t="inlineStr">
        <is>
          <t>NVST</t>
        </is>
      </c>
      <c r="D2087" t="inlineStr">
        <is>
          <t>Envista Holdings Corp</t>
        </is>
      </c>
      <c r="E2087">
        <f>BDP($B2087,"LEGAL_ENTITY_IDENTIFIER")</f>
        <v/>
      </c>
      <c r="F2087" t="inlineStr">
        <is>
          <t>Envista Holdings Corp</t>
        </is>
      </c>
      <c r="G2087">
        <f>custodian!D2087</f>
        <v/>
      </c>
      <c r="H2087">
        <f>BDP($B2087,"ID_ISIN")</f>
        <v/>
      </c>
      <c r="I2087" s="1" t="inlineStr">
        <is>
          <t>NVST</t>
        </is>
      </c>
      <c r="J2087">
        <f>BDP($B2087,"CNTRY_OF_DOMICILE")</f>
        <v/>
      </c>
      <c r="K2087" t="inlineStr">
        <is>
          <t>EC</t>
        </is>
      </c>
      <c r="L2087" t="inlineStr">
        <is>
          <t>CORP</t>
        </is>
      </c>
      <c r="M2087" t="inlineStr"/>
      <c r="N2087" t="inlineStr"/>
      <c r="O2087" s="1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s="1" t="inlineStr"/>
      <c r="AR2087" s="1" t="inlineStr"/>
      <c r="AS2087" s="1" t="inlineStr"/>
      <c r="AT2087" t="inlineStr"/>
      <c r="AU2087" t="inlineStr"/>
      <c r="AV2087" t="inlineStr"/>
      <c r="AW2087" t="inlineStr"/>
      <c r="AX2087" t="inlineStr"/>
      <c r="AY2087" t="inlineStr"/>
    </row>
    <row r="2088">
      <c r="A2088" t="inlineStr">
        <is>
          <t>YUNG</t>
        </is>
      </c>
      <c r="B2088" t="inlineStr">
        <is>
          <t>OHI US Equity</t>
        </is>
      </c>
      <c r="C2088" s="1" t="inlineStr">
        <is>
          <t>OHI</t>
        </is>
      </c>
      <c r="D2088" t="inlineStr">
        <is>
          <t>Omega Healthcare Investors Inc</t>
        </is>
      </c>
      <c r="E2088">
        <f>BDP($B2088,"LEGAL_ENTITY_IDENTIFIER")</f>
        <v/>
      </c>
      <c r="F2088" t="inlineStr">
        <is>
          <t>Omega Healthcare Investors Inc</t>
        </is>
      </c>
      <c r="G2088">
        <f>custodian!D2088</f>
        <v/>
      </c>
      <c r="H2088">
        <f>BDP($B2088,"ID_ISIN")</f>
        <v/>
      </c>
      <c r="I2088" s="1" t="inlineStr">
        <is>
          <t>OHI</t>
        </is>
      </c>
      <c r="J2088">
        <f>BDP($B2088,"CNTRY_OF_DOMICILE")</f>
        <v/>
      </c>
      <c r="K2088" t="inlineStr">
        <is>
          <t>EC</t>
        </is>
      </c>
      <c r="L2088" t="inlineStr">
        <is>
          <t>CORP</t>
        </is>
      </c>
      <c r="M2088" t="inlineStr"/>
      <c r="N2088" t="inlineStr"/>
      <c r="O2088" s="1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s="1" t="inlineStr"/>
      <c r="AR2088" s="1" t="inlineStr"/>
      <c r="AS2088" s="1" t="inlineStr"/>
      <c r="AT2088" t="inlineStr"/>
      <c r="AU2088" t="inlineStr"/>
      <c r="AV2088" t="inlineStr"/>
      <c r="AW2088" t="inlineStr"/>
      <c r="AX2088" t="inlineStr"/>
      <c r="AY2088" t="inlineStr"/>
    </row>
    <row r="2089">
      <c r="A2089" t="inlineStr">
        <is>
          <t>YUNG</t>
        </is>
      </c>
      <c r="B2089" t="inlineStr">
        <is>
          <t>PNTG US Equity</t>
        </is>
      </c>
      <c r="C2089" s="1" t="inlineStr">
        <is>
          <t>PNTG</t>
        </is>
      </c>
      <c r="D2089" t="inlineStr">
        <is>
          <t>Pennant Group Inc/The</t>
        </is>
      </c>
      <c r="E2089">
        <f>BDP($B2089,"LEGAL_ENTITY_IDENTIFIER")</f>
        <v/>
      </c>
      <c r="F2089" t="inlineStr">
        <is>
          <t>Pennant Group Inc/The</t>
        </is>
      </c>
      <c r="G2089">
        <f>custodian!D2089</f>
        <v/>
      </c>
      <c r="H2089">
        <f>BDP($B2089,"ID_ISIN")</f>
        <v/>
      </c>
      <c r="I2089" s="1" t="inlineStr">
        <is>
          <t>PNTG</t>
        </is>
      </c>
      <c r="J2089">
        <f>BDP($B2089,"CNTRY_OF_DOMICILE")</f>
        <v/>
      </c>
      <c r="K2089" t="inlineStr">
        <is>
          <t>EC</t>
        </is>
      </c>
      <c r="L2089" t="inlineStr">
        <is>
          <t>CORP</t>
        </is>
      </c>
      <c r="M2089" t="inlineStr"/>
      <c r="N2089" t="inlineStr"/>
      <c r="O2089" s="1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s="1" t="inlineStr"/>
      <c r="AR2089" s="1" t="inlineStr"/>
      <c r="AS2089" s="1" t="inlineStr"/>
      <c r="AT2089" t="inlineStr"/>
      <c r="AU2089" t="inlineStr"/>
      <c r="AV2089" t="inlineStr"/>
      <c r="AW2089" t="inlineStr"/>
      <c r="AX2089" t="inlineStr"/>
      <c r="AY2089" t="inlineStr"/>
    </row>
    <row r="2090">
      <c r="A2090" t="inlineStr">
        <is>
          <t>YUNG</t>
        </is>
      </c>
      <c r="B2090" t="inlineStr">
        <is>
          <t>PTON US Equity</t>
        </is>
      </c>
      <c r="C2090" s="1" t="inlineStr">
        <is>
          <t>PTON</t>
        </is>
      </c>
      <c r="D2090" t="inlineStr">
        <is>
          <t>Peloton Interactive Inc</t>
        </is>
      </c>
      <c r="E2090">
        <f>BDP($B2090,"LEGAL_ENTITY_IDENTIFIER")</f>
        <v/>
      </c>
      <c r="F2090" t="inlineStr">
        <is>
          <t>Peloton Interactive Inc</t>
        </is>
      </c>
      <c r="G2090">
        <f>custodian!D2090</f>
        <v/>
      </c>
      <c r="H2090">
        <f>BDP($B2090,"ID_ISIN")</f>
        <v/>
      </c>
      <c r="I2090" s="1" t="inlineStr">
        <is>
          <t>PTON</t>
        </is>
      </c>
      <c r="J2090">
        <f>BDP($B2090,"CNTRY_OF_DOMICILE")</f>
        <v/>
      </c>
      <c r="K2090" t="inlineStr">
        <is>
          <t>EC</t>
        </is>
      </c>
      <c r="L2090" t="inlineStr">
        <is>
          <t>CORP</t>
        </is>
      </c>
      <c r="M2090" t="inlineStr"/>
      <c r="N2090" t="inlineStr"/>
      <c r="O2090" s="1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s="1" t="inlineStr"/>
      <c r="AR2090" s="1" t="inlineStr"/>
      <c r="AS2090" s="1" t="inlineStr"/>
      <c r="AT2090" t="inlineStr"/>
      <c r="AU2090" t="inlineStr"/>
      <c r="AV2090" t="inlineStr"/>
      <c r="AW2090" t="inlineStr"/>
      <c r="AX2090" t="inlineStr"/>
      <c r="AY2090" t="inlineStr"/>
    </row>
    <row r="2091">
      <c r="A2091" t="inlineStr">
        <is>
          <t>YUNG</t>
        </is>
      </c>
      <c r="B2091" t="inlineStr">
        <is>
          <t>RCL US Equity</t>
        </is>
      </c>
      <c r="C2091" s="1" t="inlineStr">
        <is>
          <t>RCL</t>
        </is>
      </c>
      <c r="D2091" t="inlineStr">
        <is>
          <t>Royal Caribbean Cruises Ltd</t>
        </is>
      </c>
      <c r="E2091">
        <f>BDP($B2091,"LEGAL_ENTITY_IDENTIFIER")</f>
        <v/>
      </c>
      <c r="F2091" t="inlineStr">
        <is>
          <t>Royal Caribbean Cruises Ltd</t>
        </is>
      </c>
      <c r="G2091">
        <f>custodian!D2091</f>
        <v/>
      </c>
      <c r="H2091">
        <f>BDP($B2091,"ID_ISIN")</f>
        <v/>
      </c>
      <c r="I2091" s="1" t="inlineStr">
        <is>
          <t>RCL</t>
        </is>
      </c>
      <c r="J2091">
        <f>BDP($B2091,"CNTRY_OF_DOMICILE")</f>
        <v/>
      </c>
      <c r="K2091" t="inlineStr">
        <is>
          <t>EC</t>
        </is>
      </c>
      <c r="L2091" t="inlineStr">
        <is>
          <t>CORP</t>
        </is>
      </c>
      <c r="M2091" t="inlineStr"/>
      <c r="N2091" t="inlineStr"/>
      <c r="O2091" s="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s="1" t="inlineStr"/>
      <c r="AR2091" s="1" t="inlineStr"/>
      <c r="AS2091" s="1" t="inlineStr"/>
      <c r="AT2091" t="inlineStr"/>
      <c r="AU2091" t="inlineStr"/>
      <c r="AV2091" t="inlineStr"/>
      <c r="AW2091" t="inlineStr"/>
      <c r="AX2091" t="inlineStr"/>
      <c r="AY2091" t="inlineStr"/>
    </row>
    <row r="2092">
      <c r="A2092" t="inlineStr">
        <is>
          <t>YUNG</t>
        </is>
      </c>
      <c r="B2092" t="inlineStr">
        <is>
          <t>SCI US Equity</t>
        </is>
      </c>
      <c r="C2092" s="1" t="inlineStr">
        <is>
          <t>SCI</t>
        </is>
      </c>
      <c r="D2092" t="inlineStr">
        <is>
          <t>Service Corp International/US</t>
        </is>
      </c>
      <c r="E2092">
        <f>BDP($B2092,"LEGAL_ENTITY_IDENTIFIER")</f>
        <v/>
      </c>
      <c r="F2092" t="inlineStr">
        <is>
          <t>Service Corp International/US</t>
        </is>
      </c>
      <c r="G2092">
        <f>custodian!D2092</f>
        <v/>
      </c>
      <c r="H2092">
        <f>BDP($B2092,"ID_ISIN")</f>
        <v/>
      </c>
      <c r="I2092" s="1" t="inlineStr">
        <is>
          <t>SCI</t>
        </is>
      </c>
      <c r="J2092">
        <f>BDP($B2092,"CNTRY_OF_DOMICILE")</f>
        <v/>
      </c>
      <c r="K2092" t="inlineStr">
        <is>
          <t>EC</t>
        </is>
      </c>
      <c r="L2092" t="inlineStr">
        <is>
          <t>CORP</t>
        </is>
      </c>
      <c r="M2092" t="inlineStr"/>
      <c r="N2092" t="inlineStr"/>
      <c r="O2092" s="1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s="1" t="inlineStr"/>
      <c r="AR2092" s="1" t="inlineStr"/>
      <c r="AS2092" s="1" t="inlineStr"/>
      <c r="AT2092" t="inlineStr"/>
      <c r="AU2092" t="inlineStr"/>
      <c r="AV2092" t="inlineStr"/>
      <c r="AW2092" t="inlineStr"/>
      <c r="AX2092" t="inlineStr"/>
      <c r="AY2092" t="inlineStr"/>
    </row>
    <row r="2093">
      <c r="A2093" t="inlineStr">
        <is>
          <t>YUNG</t>
        </is>
      </c>
      <c r="B2093" t="inlineStr">
        <is>
          <t>SNDA US Equity</t>
        </is>
      </c>
      <c r="C2093" s="1" t="inlineStr">
        <is>
          <t>SNDA</t>
        </is>
      </c>
      <c r="D2093" t="inlineStr">
        <is>
          <t>Sonida Senior Living Inc</t>
        </is>
      </c>
      <c r="E2093">
        <f>BDP($B2093,"LEGAL_ENTITY_IDENTIFIER")</f>
        <v/>
      </c>
      <c r="F2093" t="inlineStr">
        <is>
          <t>Sonida Senior Living Inc</t>
        </is>
      </c>
      <c r="G2093">
        <f>custodian!D2093</f>
        <v/>
      </c>
      <c r="H2093">
        <f>BDP($B2093,"ID_ISIN")</f>
        <v/>
      </c>
      <c r="I2093" s="1" t="inlineStr">
        <is>
          <t>SNDA</t>
        </is>
      </c>
      <c r="J2093">
        <f>BDP($B2093,"CNTRY_OF_DOMICILE")</f>
        <v/>
      </c>
      <c r="K2093" t="inlineStr">
        <is>
          <t>EC</t>
        </is>
      </c>
      <c r="L2093" t="inlineStr">
        <is>
          <t>CORP</t>
        </is>
      </c>
      <c r="M2093" t="inlineStr"/>
      <c r="N2093" t="inlineStr"/>
      <c r="O2093" s="1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s="1" t="inlineStr"/>
      <c r="AR2093" s="1" t="inlineStr"/>
      <c r="AS2093" s="1" t="inlineStr"/>
      <c r="AT2093" t="inlineStr"/>
      <c r="AU2093" t="inlineStr"/>
      <c r="AV2093" t="inlineStr"/>
      <c r="AW2093" t="inlineStr"/>
      <c r="AX2093" t="inlineStr"/>
      <c r="AY2093" t="inlineStr"/>
    </row>
    <row r="2094">
      <c r="A2094" t="inlineStr">
        <is>
          <t>YUNG</t>
        </is>
      </c>
      <c r="B2094" t="inlineStr">
        <is>
          <t>TDOC US Equity</t>
        </is>
      </c>
      <c r="C2094" s="1" t="inlineStr">
        <is>
          <t>TDOC</t>
        </is>
      </c>
      <c r="D2094" t="inlineStr">
        <is>
          <t>Teladoc Health Inc</t>
        </is>
      </c>
      <c r="E2094">
        <f>BDP($B2094,"LEGAL_ENTITY_IDENTIFIER")</f>
        <v/>
      </c>
      <c r="F2094" t="inlineStr">
        <is>
          <t>Teladoc Health Inc</t>
        </is>
      </c>
      <c r="G2094">
        <f>custodian!D2094</f>
        <v/>
      </c>
      <c r="H2094">
        <f>BDP($B2094,"ID_ISIN")</f>
        <v/>
      </c>
      <c r="I2094" s="1" t="inlineStr">
        <is>
          <t>TDOC</t>
        </is>
      </c>
      <c r="J2094">
        <f>BDP($B2094,"CNTRY_OF_DOMICILE")</f>
        <v/>
      </c>
      <c r="K2094" t="inlineStr">
        <is>
          <t>EC</t>
        </is>
      </c>
      <c r="L2094" t="inlineStr">
        <is>
          <t>CORP</t>
        </is>
      </c>
      <c r="M2094" t="inlineStr"/>
      <c r="N2094" t="inlineStr"/>
      <c r="O2094" s="1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s="1" t="inlineStr"/>
      <c r="AR2094" s="1" t="inlineStr"/>
      <c r="AS2094" s="1" t="inlineStr"/>
      <c r="AT2094" t="inlineStr"/>
      <c r="AU2094" t="inlineStr"/>
      <c r="AV2094" t="inlineStr"/>
      <c r="AW2094" t="inlineStr"/>
      <c r="AX2094" t="inlineStr"/>
      <c r="AY2094" t="inlineStr"/>
    </row>
    <row r="2095">
      <c r="A2095" t="inlineStr">
        <is>
          <t>YUNG</t>
        </is>
      </c>
      <c r="B2095" t="inlineStr">
        <is>
          <t>TNL US Equity</t>
        </is>
      </c>
      <c r="C2095" s="1" t="inlineStr">
        <is>
          <t>TNL</t>
        </is>
      </c>
      <c r="D2095" t="inlineStr">
        <is>
          <t>Travel + Leisure Co</t>
        </is>
      </c>
      <c r="E2095">
        <f>BDP($B2095,"LEGAL_ENTITY_IDENTIFIER")</f>
        <v/>
      </c>
      <c r="F2095" t="inlineStr">
        <is>
          <t>Travel + Leisure Co</t>
        </is>
      </c>
      <c r="G2095">
        <f>custodian!D2095</f>
        <v/>
      </c>
      <c r="H2095">
        <f>BDP($B2095,"ID_ISIN")</f>
        <v/>
      </c>
      <c r="I2095" s="1" t="inlineStr">
        <is>
          <t>TNL</t>
        </is>
      </c>
      <c r="J2095">
        <f>BDP($B2095,"CNTRY_OF_DOMICILE")</f>
        <v/>
      </c>
      <c r="K2095" t="inlineStr">
        <is>
          <t>EC</t>
        </is>
      </c>
      <c r="L2095" t="inlineStr">
        <is>
          <t>CORP</t>
        </is>
      </c>
      <c r="M2095" t="inlineStr"/>
      <c r="N2095" t="inlineStr"/>
      <c r="O2095" s="1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s="1" t="inlineStr"/>
      <c r="AR2095" s="1" t="inlineStr"/>
      <c r="AS2095" s="1" t="inlineStr"/>
      <c r="AT2095" t="inlineStr"/>
      <c r="AU2095" t="inlineStr"/>
      <c r="AV2095" t="inlineStr"/>
      <c r="AW2095" t="inlineStr"/>
      <c r="AX2095" t="inlineStr"/>
      <c r="AY2095" t="inlineStr"/>
    </row>
    <row r="2096">
      <c r="A2096" t="inlineStr">
        <is>
          <t>YUNG</t>
        </is>
      </c>
      <c r="B2096" t="inlineStr">
        <is>
          <t>UAL US Equity</t>
        </is>
      </c>
      <c r="C2096" s="1" t="inlineStr">
        <is>
          <t>UAL</t>
        </is>
      </c>
      <c r="D2096" t="inlineStr">
        <is>
          <t>United Airlines Holdings Inc</t>
        </is>
      </c>
      <c r="E2096">
        <f>BDP($B2096,"LEGAL_ENTITY_IDENTIFIER")</f>
        <v/>
      </c>
      <c r="F2096" t="inlineStr">
        <is>
          <t>United Airlines Holdings Inc</t>
        </is>
      </c>
      <c r="G2096">
        <f>custodian!D2096</f>
        <v/>
      </c>
      <c r="H2096">
        <f>BDP($B2096,"ID_ISIN")</f>
        <v/>
      </c>
      <c r="I2096" s="1" t="inlineStr">
        <is>
          <t>UAL</t>
        </is>
      </c>
      <c r="J2096">
        <f>BDP($B2096,"CNTRY_OF_DOMICILE")</f>
        <v/>
      </c>
      <c r="K2096" t="inlineStr">
        <is>
          <t>EC</t>
        </is>
      </c>
      <c r="L2096" t="inlineStr">
        <is>
          <t>CORP</t>
        </is>
      </c>
      <c r="M2096" t="inlineStr"/>
      <c r="N2096" t="inlineStr"/>
      <c r="O2096" s="1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s="1" t="inlineStr"/>
      <c r="AR2096" s="1" t="inlineStr"/>
      <c r="AS2096" s="1" t="inlineStr"/>
      <c r="AT2096" t="inlineStr"/>
      <c r="AU2096" t="inlineStr"/>
      <c r="AV2096" t="inlineStr"/>
      <c r="AW2096" t="inlineStr"/>
      <c r="AX2096" t="inlineStr"/>
      <c r="AY2096" t="inlineStr"/>
    </row>
    <row r="2097">
      <c r="A2097" t="inlineStr">
        <is>
          <t>YUNG</t>
        </is>
      </c>
      <c r="B2097" t="inlineStr">
        <is>
          <t>VIK US Equity</t>
        </is>
      </c>
      <c r="C2097" s="1" t="inlineStr">
        <is>
          <t>VIK</t>
        </is>
      </c>
      <c r="D2097" t="inlineStr">
        <is>
          <t>Viking Holdings Ltd</t>
        </is>
      </c>
      <c r="E2097">
        <f>BDP($B2097,"LEGAL_ENTITY_IDENTIFIER")</f>
        <v/>
      </c>
      <c r="F2097" t="inlineStr">
        <is>
          <t>Viking Holdings Ltd</t>
        </is>
      </c>
      <c r="G2097">
        <f>custodian!D2097</f>
        <v/>
      </c>
      <c r="H2097">
        <f>BDP($B2097,"ID_ISIN")</f>
        <v/>
      </c>
      <c r="I2097" s="1" t="inlineStr">
        <is>
          <t>VIK</t>
        </is>
      </c>
      <c r="J2097">
        <f>BDP($B2097,"CNTRY_OF_DOMICILE")</f>
        <v/>
      </c>
      <c r="K2097" t="inlineStr">
        <is>
          <t>EC</t>
        </is>
      </c>
      <c r="L2097" t="inlineStr">
        <is>
          <t>CORP</t>
        </is>
      </c>
      <c r="M2097" t="inlineStr"/>
      <c r="N2097" t="inlineStr"/>
      <c r="O2097" s="1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s="1" t="inlineStr"/>
      <c r="AR2097" s="1" t="inlineStr"/>
      <c r="AS2097" s="1" t="inlineStr"/>
      <c r="AT2097" t="inlineStr"/>
      <c r="AU2097" t="inlineStr"/>
      <c r="AV2097" t="inlineStr"/>
      <c r="AW2097" t="inlineStr"/>
      <c r="AX2097" t="inlineStr"/>
      <c r="AY2097" t="inlineStr"/>
    </row>
    <row r="2098">
      <c r="A2098" t="inlineStr">
        <is>
          <t>YUNG</t>
        </is>
      </c>
      <c r="B2098" t="inlineStr">
        <is>
          <t>VKTX US Equity</t>
        </is>
      </c>
      <c r="C2098" s="1" t="inlineStr">
        <is>
          <t>VKTX</t>
        </is>
      </c>
      <c r="D2098" t="inlineStr">
        <is>
          <t>Viking Therapeutics Inc</t>
        </is>
      </c>
      <c r="E2098">
        <f>BDP($B2098,"LEGAL_ENTITY_IDENTIFIER")</f>
        <v/>
      </c>
      <c r="F2098" t="inlineStr">
        <is>
          <t>Viking Therapeutics Inc</t>
        </is>
      </c>
      <c r="G2098">
        <f>custodian!D2098</f>
        <v/>
      </c>
      <c r="H2098">
        <f>BDP($B2098,"ID_ISIN")</f>
        <v/>
      </c>
      <c r="I2098" s="1" t="inlineStr">
        <is>
          <t>VKTX</t>
        </is>
      </c>
      <c r="J2098">
        <f>BDP($B2098,"CNTRY_OF_DOMICILE")</f>
        <v/>
      </c>
      <c r="K2098" t="inlineStr">
        <is>
          <t>EC</t>
        </is>
      </c>
      <c r="L2098" t="inlineStr">
        <is>
          <t>CORP</t>
        </is>
      </c>
      <c r="M2098" t="inlineStr"/>
      <c r="N2098" t="inlineStr"/>
      <c r="O2098" s="1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s="1" t="inlineStr"/>
      <c r="AR2098" s="1" t="inlineStr"/>
      <c r="AS2098" s="1" t="inlineStr"/>
      <c r="AT2098" t="inlineStr"/>
      <c r="AU2098" t="inlineStr"/>
      <c r="AV2098" t="inlineStr"/>
      <c r="AW2098" t="inlineStr"/>
      <c r="AX2098" t="inlineStr"/>
      <c r="AY2098" t="inlineStr"/>
    </row>
    <row r="2099">
      <c r="A2099" t="inlineStr">
        <is>
          <t>YUNG</t>
        </is>
      </c>
      <c r="B2099" t="inlineStr">
        <is>
          <t>VTR US Equity</t>
        </is>
      </c>
      <c r="C2099" s="1" t="inlineStr">
        <is>
          <t>VTR</t>
        </is>
      </c>
      <c r="D2099" t="inlineStr">
        <is>
          <t>Ventas Inc</t>
        </is>
      </c>
      <c r="E2099">
        <f>BDP($B2099,"LEGAL_ENTITY_IDENTIFIER")</f>
        <v/>
      </c>
      <c r="F2099" t="inlineStr">
        <is>
          <t>Ventas Inc</t>
        </is>
      </c>
      <c r="G2099">
        <f>custodian!D2099</f>
        <v/>
      </c>
      <c r="H2099">
        <f>BDP($B2099,"ID_ISIN")</f>
        <v/>
      </c>
      <c r="I2099" s="1" t="inlineStr">
        <is>
          <t>VTR</t>
        </is>
      </c>
      <c r="J2099">
        <f>BDP($B2099,"CNTRY_OF_DOMICILE")</f>
        <v/>
      </c>
      <c r="K2099" t="inlineStr">
        <is>
          <t>EC</t>
        </is>
      </c>
      <c r="L2099" t="inlineStr">
        <is>
          <t>CORP</t>
        </is>
      </c>
      <c r="M2099" t="inlineStr"/>
      <c r="N2099" t="inlineStr"/>
      <c r="O2099" s="1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s="1" t="inlineStr"/>
      <c r="AR2099" s="1" t="inlineStr"/>
      <c r="AS2099" s="1" t="inlineStr"/>
      <c r="AT2099" t="inlineStr"/>
      <c r="AU2099" t="inlineStr"/>
      <c r="AV2099" t="inlineStr"/>
      <c r="AW2099" t="inlineStr"/>
      <c r="AX2099" t="inlineStr"/>
      <c r="AY2099" t="inlineStr"/>
    </row>
    <row r="2100">
      <c r="A2100" t="inlineStr">
        <is>
          <t>YUNG</t>
        </is>
      </c>
      <c r="B2100" t="inlineStr">
        <is>
          <t>WELL US Equity</t>
        </is>
      </c>
      <c r="C2100" s="1" t="inlineStr">
        <is>
          <t>WELL</t>
        </is>
      </c>
      <c r="D2100" t="inlineStr">
        <is>
          <t>Welltower Inc</t>
        </is>
      </c>
      <c r="E2100">
        <f>BDP($B2100,"LEGAL_ENTITY_IDENTIFIER")</f>
        <v/>
      </c>
      <c r="F2100" t="inlineStr">
        <is>
          <t>Welltower Inc</t>
        </is>
      </c>
      <c r="G2100">
        <f>custodian!D2100</f>
        <v/>
      </c>
      <c r="H2100">
        <f>BDP($B2100,"ID_ISIN")</f>
        <v/>
      </c>
      <c r="I2100" s="1" t="inlineStr">
        <is>
          <t>WELL</t>
        </is>
      </c>
      <c r="J2100">
        <f>BDP($B2100,"CNTRY_OF_DOMICILE")</f>
        <v/>
      </c>
      <c r="K2100" t="inlineStr">
        <is>
          <t>EC</t>
        </is>
      </c>
      <c r="L2100" t="inlineStr">
        <is>
          <t>CORP</t>
        </is>
      </c>
      <c r="M2100" t="inlineStr"/>
      <c r="N2100" t="inlineStr"/>
      <c r="O2100" s="1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s="1" t="inlineStr"/>
      <c r="AR2100" s="1" t="inlineStr"/>
      <c r="AS2100" s="1" t="inlineStr"/>
      <c r="AT2100" t="inlineStr"/>
      <c r="AU2100" t="inlineStr"/>
      <c r="AV2100" t="inlineStr"/>
      <c r="AW2100" t="inlineStr"/>
      <c r="AX2100" t="inlineStr"/>
      <c r="AY2100" t="inlineStr"/>
    </row>
    <row r="2101">
      <c r="A2101" t="inlineStr">
        <is>
          <t>YUNG</t>
        </is>
      </c>
      <c r="B2101" t="inlineStr">
        <is>
          <t>XRAY US Equity</t>
        </is>
      </c>
      <c r="C2101" s="1" t="inlineStr">
        <is>
          <t>XRAY</t>
        </is>
      </c>
      <c r="D2101" t="inlineStr">
        <is>
          <t>DENTSPLY SIRONA Inc</t>
        </is>
      </c>
      <c r="E2101">
        <f>BDP($B2101,"LEGAL_ENTITY_IDENTIFIER")</f>
        <v/>
      </c>
      <c r="F2101" t="inlineStr">
        <is>
          <t>DENTSPLY SIRONA Inc</t>
        </is>
      </c>
      <c r="G2101">
        <f>custodian!D2101</f>
        <v/>
      </c>
      <c r="H2101">
        <f>BDP($B2101,"ID_ISIN")</f>
        <v/>
      </c>
      <c r="I2101" s="1" t="inlineStr">
        <is>
          <t>XRAY</t>
        </is>
      </c>
      <c r="J2101">
        <f>BDP($B2101,"CNTRY_OF_DOMICILE")</f>
        <v/>
      </c>
      <c r="K2101" t="inlineStr">
        <is>
          <t>EC</t>
        </is>
      </c>
      <c r="L2101" t="inlineStr">
        <is>
          <t>CORP</t>
        </is>
      </c>
      <c r="M2101" t="inlineStr"/>
      <c r="N2101" t="inlineStr"/>
      <c r="O2101" s="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s="1" t="inlineStr"/>
      <c r="AR2101" s="1" t="inlineStr"/>
      <c r="AS2101" s="1" t="inlineStr"/>
      <c r="AT2101" t="inlineStr"/>
      <c r="AU2101" t="inlineStr"/>
      <c r="AV2101" t="inlineStr"/>
      <c r="AW2101" t="inlineStr"/>
      <c r="AX2101" t="inlineStr"/>
      <c r="AY2101" t="inlineStr"/>
    </row>
    <row r="2102">
      <c r="A2102" t="inlineStr">
        <is>
          <t>YUNG</t>
        </is>
      </c>
      <c r="B2102" t="inlineStr"/>
      <c r="C2102" s="1" t="inlineStr">
        <is>
          <t>Cash&amp;Other</t>
        </is>
      </c>
      <c r="D2102" t="inlineStr"/>
      <c r="E2102" s="1" t="inlineStr"/>
      <c r="F2102" t="inlineStr"/>
      <c r="G2102">
        <f>custodian!D2102</f>
        <v/>
      </c>
      <c r="H2102" s="1" t="inlineStr"/>
      <c r="I2102" s="1" t="inlineStr"/>
      <c r="J2102" t="inlineStr"/>
      <c r="K2102" t="inlineStr"/>
      <c r="L2102" t="inlineStr"/>
      <c r="M2102" t="inlineStr"/>
      <c r="N2102" t="inlineStr"/>
      <c r="O2102" s="1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s="1" t="inlineStr"/>
      <c r="AR2102" s="1" t="inlineStr"/>
      <c r="AS2102" s="1" t="inlineStr"/>
      <c r="AT2102" t="inlineStr"/>
      <c r="AU2102" t="inlineStr"/>
      <c r="AV2102" t="inlineStr"/>
      <c r="AW2102" t="inlineStr"/>
      <c r="AX2102" t="inlineStr"/>
      <c r="AY2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StockTicker</t>
        </is>
      </c>
      <c r="D1" t="inlineStr">
        <is>
          <t>CUSIP</t>
        </is>
      </c>
      <c r="E1" t="inlineStr">
        <is>
          <t>SecurityName</t>
        </is>
      </c>
      <c r="F1" t="inlineStr">
        <is>
          <t>Shares</t>
        </is>
      </c>
      <c r="G1" t="inlineStr">
        <is>
          <t>Price</t>
        </is>
      </c>
      <c r="H1" t="inlineStr">
        <is>
          <t>MarketValue</t>
        </is>
      </c>
      <c r="I1" t="inlineStr">
        <is>
          <t>Weightings</t>
        </is>
      </c>
      <c r="J1" t="inlineStr">
        <is>
          <t>NetAssets</t>
        </is>
      </c>
      <c r="K1" t="inlineStr">
        <is>
          <t>SharesOutstanding</t>
        </is>
      </c>
      <c r="L1" t="inlineStr">
        <is>
          <t>CreationUnits</t>
        </is>
      </c>
      <c r="M1" t="inlineStr">
        <is>
          <t>MoneyMarketFlag</t>
        </is>
      </c>
    </row>
    <row r="2">
      <c r="A2" t="inlineStr">
        <is>
          <t>06/25/2026</t>
        </is>
      </c>
      <c r="B2" t="inlineStr">
        <is>
          <t>GPTZ</t>
        </is>
      </c>
      <c r="C2" s="1" t="inlineStr">
        <is>
          <t>Cash&amp;Other</t>
        </is>
      </c>
      <c r="D2" s="1" t="inlineStr">
        <is>
          <t>Cash&amp;Other</t>
        </is>
      </c>
      <c r="E2" t="inlineStr">
        <is>
          <t>Cash &amp; Other</t>
        </is>
      </c>
      <c r="F2" t="inlineStr">
        <is>
          <t>125000.00000000</t>
        </is>
      </c>
      <c r="G2" t="inlineStr">
        <is>
          <t>1.000000</t>
        </is>
      </c>
      <c r="H2" t="inlineStr">
        <is>
          <t>125000.00</t>
        </is>
      </c>
      <c r="I2" t="inlineStr">
        <is>
          <t>100.00%</t>
        </is>
      </c>
      <c r="J2" t="inlineStr">
        <is>
          <t>125000.00</t>
        </is>
      </c>
      <c r="K2" t="inlineStr">
        <is>
          <t>5000</t>
        </is>
      </c>
      <c r="L2" t="inlineStr">
        <is>
          <t>1.000000000000</t>
        </is>
      </c>
      <c r="M2" t="inlineStr">
        <is>
          <t>Y</t>
        </is>
      </c>
    </row>
    <row r="3">
      <c r="A3" t="inlineStr">
        <is>
          <t>06/25/2026</t>
        </is>
      </c>
      <c r="B3" t="inlineStr">
        <is>
          <t>ACLZ</t>
        </is>
      </c>
      <c r="C3" s="1" t="inlineStr">
        <is>
          <t>054540208-TRS-12/01/27-L-CANT</t>
        </is>
      </c>
      <c r="D3" s="1" t="inlineStr">
        <is>
          <t>054540208-TRS-12/01/27-L-CANT</t>
        </is>
      </c>
      <c r="E3" t="inlineStr">
        <is>
          <t>AXCELIS TECHNOLOGIES, INC.-SWAP-CANT-L</t>
        </is>
      </c>
      <c r="F3" t="inlineStr">
        <is>
          <t>2876.00000000</t>
        </is>
      </c>
      <c r="G3" t="inlineStr">
        <is>
          <t>168.910000</t>
        </is>
      </c>
      <c r="H3" t="inlineStr">
        <is>
          <t>485785.16</t>
        </is>
      </c>
      <c r="I3" t="inlineStr">
        <is>
          <t>199.21%</t>
        </is>
      </c>
      <c r="J3" t="inlineStr">
        <is>
          <t>243854.00</t>
        </is>
      </c>
      <c r="K3" t="inlineStr">
        <is>
          <t>10000</t>
        </is>
      </c>
      <c r="L3" t="inlineStr">
        <is>
          <t>2.000000000000</t>
        </is>
      </c>
      <c r="M3" t="inlineStr"/>
    </row>
    <row r="4">
      <c r="A4" t="inlineStr">
        <is>
          <t>06/25/2026</t>
        </is>
      </c>
      <c r="B4" t="inlineStr">
        <is>
          <t>ACLZ</t>
        </is>
      </c>
      <c r="C4" s="1" t="inlineStr">
        <is>
          <t>FGXXX</t>
        </is>
      </c>
      <c r="D4" s="1" t="inlineStr">
        <is>
          <t>31846V336</t>
        </is>
      </c>
      <c r="E4" t="inlineStr">
        <is>
          <t>First American Government Obligations Fund 12/01/2031</t>
        </is>
      </c>
      <c r="F4" t="inlineStr">
        <is>
          <t>27380.00000000</t>
        </is>
      </c>
      <c r="G4" t="inlineStr">
        <is>
          <t>100.000000</t>
        </is>
      </c>
      <c r="H4" t="inlineStr">
        <is>
          <t>27380.00</t>
        </is>
      </c>
      <c r="I4" t="inlineStr">
        <is>
          <t>11.23%</t>
        </is>
      </c>
      <c r="J4" t="inlineStr">
        <is>
          <t>243854.00</t>
        </is>
      </c>
      <c r="K4" t="inlineStr">
        <is>
          <t>10000</t>
        </is>
      </c>
      <c r="L4" t="inlineStr">
        <is>
          <t>2.000000000000</t>
        </is>
      </c>
      <c r="M4" t="inlineStr">
        <is>
          <t>Y</t>
        </is>
      </c>
    </row>
    <row r="5">
      <c r="A5" t="inlineStr">
        <is>
          <t>06/25/2026</t>
        </is>
      </c>
      <c r="B5" t="inlineStr">
        <is>
          <t>ACLZ</t>
        </is>
      </c>
      <c r="C5" s="1" t="inlineStr">
        <is>
          <t>Cash&amp;Other</t>
        </is>
      </c>
      <c r="D5" s="1" t="inlineStr">
        <is>
          <t>Cash&amp;Other</t>
        </is>
      </c>
      <c r="E5" t="inlineStr">
        <is>
          <t>Cash &amp; Other</t>
        </is>
      </c>
      <c r="F5" t="inlineStr">
        <is>
          <t>-269435.03000000</t>
        </is>
      </c>
      <c r="G5" t="inlineStr">
        <is>
          <t>1.000000</t>
        </is>
      </c>
      <c r="H5" t="inlineStr">
        <is>
          <t>-269435.03</t>
        </is>
      </c>
      <c r="I5" t="inlineStr">
        <is>
          <t>-110.49%</t>
        </is>
      </c>
      <c r="J5" t="inlineStr">
        <is>
          <t>243854.00</t>
        </is>
      </c>
      <c r="K5" t="inlineStr">
        <is>
          <t>10000</t>
        </is>
      </c>
      <c r="L5" t="inlineStr">
        <is>
          <t>2.000000000000</t>
        </is>
      </c>
      <c r="M5" t="inlineStr">
        <is>
          <t>Y</t>
        </is>
      </c>
    </row>
    <row r="6">
      <c r="A6" t="inlineStr">
        <is>
          <t>06/25/2026</t>
        </is>
      </c>
      <c r="B6" t="inlineStr">
        <is>
          <t>ACMM</t>
        </is>
      </c>
      <c r="C6" s="1" t="inlineStr">
        <is>
          <t>00108J109-TRS-07/26/27-L-MREX</t>
        </is>
      </c>
      <c r="D6" s="1" t="inlineStr">
        <is>
          <t>00108J109-TRS-07/26/27-L-MREX</t>
        </is>
      </c>
      <c r="E6" t="inlineStr">
        <is>
          <t>ACM RESEARCH, INC.-SWAP-MREX-L</t>
        </is>
      </c>
      <c r="F6" t="inlineStr">
        <is>
          <t>5110.00000000</t>
        </is>
      </c>
      <c r="G6" t="inlineStr">
        <is>
          <t>101.600000</t>
        </is>
      </c>
      <c r="H6" t="inlineStr">
        <is>
          <t>519176.00</t>
        </is>
      </c>
      <c r="I6" t="inlineStr">
        <is>
          <t>197.73%</t>
        </is>
      </c>
      <c r="J6" t="inlineStr">
        <is>
          <t>262568.00</t>
        </is>
      </c>
      <c r="K6" t="inlineStr">
        <is>
          <t>10000</t>
        </is>
      </c>
      <c r="L6" t="inlineStr">
        <is>
          <t>2.000000000000</t>
        </is>
      </c>
      <c r="M6" t="inlineStr"/>
    </row>
    <row r="7">
      <c r="A7" t="inlineStr">
        <is>
          <t>06/25/2026</t>
        </is>
      </c>
      <c r="B7" t="inlineStr">
        <is>
          <t>ACMM</t>
        </is>
      </c>
      <c r="C7" s="1" t="inlineStr">
        <is>
          <t>FGXXX</t>
        </is>
      </c>
      <c r="D7" s="1" t="inlineStr">
        <is>
          <t>31846V336</t>
        </is>
      </c>
      <c r="E7" t="inlineStr">
        <is>
          <t>First American Government Obligations Fund 12/01/2031</t>
        </is>
      </c>
      <c r="F7" t="inlineStr">
        <is>
          <t>250250.00000000</t>
        </is>
      </c>
      <c r="G7" t="inlineStr">
        <is>
          <t>100.000000</t>
        </is>
      </c>
      <c r="H7" t="inlineStr">
        <is>
          <t>250250.00</t>
        </is>
      </c>
      <c r="I7" t="inlineStr">
        <is>
          <t>95.31%</t>
        </is>
      </c>
      <c r="J7" t="inlineStr">
        <is>
          <t>262568.00</t>
        </is>
      </c>
      <c r="K7" t="inlineStr">
        <is>
          <t>10000</t>
        </is>
      </c>
      <c r="L7" t="inlineStr">
        <is>
          <t>2.000000000000</t>
        </is>
      </c>
      <c r="M7" t="inlineStr">
        <is>
          <t>Y</t>
        </is>
      </c>
    </row>
    <row r="8">
      <c r="A8" t="inlineStr">
        <is>
          <t>06/25/2026</t>
        </is>
      </c>
      <c r="B8" t="inlineStr">
        <is>
          <t>ACMM</t>
        </is>
      </c>
      <c r="C8" s="1" t="inlineStr">
        <is>
          <t>Cash&amp;Other</t>
        </is>
      </c>
      <c r="D8" s="1" t="inlineStr">
        <is>
          <t>Cash&amp;Other</t>
        </is>
      </c>
      <c r="E8" t="inlineStr">
        <is>
          <t>Cash &amp; Other</t>
        </is>
      </c>
      <c r="F8" t="inlineStr">
        <is>
          <t>-506928.75000000</t>
        </is>
      </c>
      <c r="G8" t="inlineStr">
        <is>
          <t>1.000000</t>
        </is>
      </c>
      <c r="H8" t="inlineStr">
        <is>
          <t>-506928.75</t>
        </is>
      </c>
      <c r="I8" t="inlineStr">
        <is>
          <t>-193.07%</t>
        </is>
      </c>
      <c r="J8" t="inlineStr">
        <is>
          <t>262568.00</t>
        </is>
      </c>
      <c r="K8" t="inlineStr">
        <is>
          <t>10000</t>
        </is>
      </c>
      <c r="L8" t="inlineStr">
        <is>
          <t>2.000000000000</t>
        </is>
      </c>
      <c r="M8" t="inlineStr">
        <is>
          <t>Y</t>
        </is>
      </c>
    </row>
    <row r="9">
      <c r="A9" t="inlineStr">
        <is>
          <t>06/25/2026</t>
        </is>
      </c>
      <c r="B9" t="inlineStr">
        <is>
          <t>AV</t>
        </is>
      </c>
      <c r="C9" s="1" t="inlineStr">
        <is>
          <t>AAL</t>
        </is>
      </c>
      <c r="D9" s="1" t="inlineStr">
        <is>
          <t>02376R102</t>
        </is>
      </c>
      <c r="E9" t="inlineStr">
        <is>
          <t>American Airlines Group Inc</t>
        </is>
      </c>
      <c r="F9" t="inlineStr">
        <is>
          <t>1230.00000000</t>
        </is>
      </c>
      <c r="G9" t="inlineStr">
        <is>
          <t>17.440000</t>
        </is>
      </c>
      <c r="H9" t="inlineStr">
        <is>
          <t>21451.20</t>
        </is>
      </c>
      <c r="I9" t="inlineStr">
        <is>
          <t>1.51%</t>
        </is>
      </c>
      <c r="J9" t="inlineStr">
        <is>
          <t>1423815.00</t>
        </is>
      </c>
      <c r="K9" t="inlineStr">
        <is>
          <t>50000</t>
        </is>
      </c>
      <c r="L9" t="inlineStr">
        <is>
          <t>10.000000000000</t>
        </is>
      </c>
      <c r="M9" t="inlineStr"/>
    </row>
    <row r="10">
      <c r="A10" t="inlineStr">
        <is>
          <t>06/25/2026</t>
        </is>
      </c>
      <c r="B10" t="inlineStr">
        <is>
          <t>AV</t>
        </is>
      </c>
      <c r="C10" s="1" t="inlineStr">
        <is>
          <t>AER</t>
        </is>
      </c>
      <c r="D10" s="1" t="inlineStr">
        <is>
          <t>N00985106</t>
        </is>
      </c>
      <c r="E10" t="inlineStr">
        <is>
          <t>AerCap Holdings NV</t>
        </is>
      </c>
      <c r="F10" t="inlineStr">
        <is>
          <t>200.00000000</t>
        </is>
      </c>
      <c r="G10" t="inlineStr">
        <is>
          <t>147.890000</t>
        </is>
      </c>
      <c r="H10" t="inlineStr">
        <is>
          <t>29578.00</t>
        </is>
      </c>
      <c r="I10" t="inlineStr">
        <is>
          <t>2.08%</t>
        </is>
      </c>
      <c r="J10" t="inlineStr">
        <is>
          <t>1423815.00</t>
        </is>
      </c>
      <c r="K10" t="inlineStr">
        <is>
          <t>50000</t>
        </is>
      </c>
      <c r="L10" t="inlineStr">
        <is>
          <t>10.000000000000</t>
        </is>
      </c>
      <c r="M10" t="inlineStr"/>
    </row>
    <row r="11">
      <c r="A11" t="inlineStr">
        <is>
          <t>06/25/2026</t>
        </is>
      </c>
      <c r="B11" t="inlineStr">
        <is>
          <t>AV</t>
        </is>
      </c>
      <c r="C11" s="1" t="inlineStr">
        <is>
          <t>AIR</t>
        </is>
      </c>
      <c r="D11" s="1" t="inlineStr">
        <is>
          <t>000361105</t>
        </is>
      </c>
      <c r="E11" t="inlineStr">
        <is>
          <t>AAR Corp</t>
        </is>
      </c>
      <c r="F11" t="inlineStr">
        <is>
          <t>100.00000000</t>
        </is>
      </c>
      <c r="G11" t="inlineStr">
        <is>
          <t>132.940000</t>
        </is>
      </c>
      <c r="H11" t="inlineStr">
        <is>
          <t>13294.00</t>
        </is>
      </c>
      <c r="I11" t="inlineStr">
        <is>
          <t>0.93%</t>
        </is>
      </c>
      <c r="J11" t="inlineStr">
        <is>
          <t>1423815.00</t>
        </is>
      </c>
      <c r="K11" t="inlineStr">
        <is>
          <t>50000</t>
        </is>
      </c>
      <c r="L11" t="inlineStr">
        <is>
          <t>10.000000000000</t>
        </is>
      </c>
      <c r="M11" t="inlineStr"/>
    </row>
    <row r="12">
      <c r="A12" t="inlineStr">
        <is>
          <t>06/25/2026</t>
        </is>
      </c>
      <c r="B12" t="inlineStr">
        <is>
          <t>AV</t>
        </is>
      </c>
      <c r="C12" s="1" t="inlineStr">
        <is>
          <t>ALGT</t>
        </is>
      </c>
      <c r="D12" s="1" t="inlineStr">
        <is>
          <t>01748X102</t>
        </is>
      </c>
      <c r="E12" t="inlineStr">
        <is>
          <t>Allegiant Travel Co</t>
        </is>
      </c>
      <c r="F12" t="inlineStr">
        <is>
          <t>80.00000000</t>
        </is>
      </c>
      <c r="G12" t="inlineStr">
        <is>
          <t>107.320000</t>
        </is>
      </c>
      <c r="H12" t="inlineStr">
        <is>
          <t>8585.60</t>
        </is>
      </c>
      <c r="I12" t="inlineStr">
        <is>
          <t>0.60%</t>
        </is>
      </c>
      <c r="J12" t="inlineStr">
        <is>
          <t>1423815.00</t>
        </is>
      </c>
      <c r="K12" t="inlineStr">
        <is>
          <t>50000</t>
        </is>
      </c>
      <c r="L12" t="inlineStr">
        <is>
          <t>10.000000000000</t>
        </is>
      </c>
      <c r="M12" t="inlineStr"/>
    </row>
    <row r="13">
      <c r="A13" t="inlineStr">
        <is>
          <t>06/25/2026</t>
        </is>
      </c>
      <c r="B13" t="inlineStr">
        <is>
          <t>AV</t>
        </is>
      </c>
      <c r="C13" s="1" t="inlineStr">
        <is>
          <t>ALK</t>
        </is>
      </c>
      <c r="D13" s="1" t="inlineStr">
        <is>
          <t>011659109</t>
        </is>
      </c>
      <c r="E13" t="inlineStr">
        <is>
          <t>Alaska Air Group Inc</t>
        </is>
      </c>
      <c r="F13" t="inlineStr">
        <is>
          <t>270.00000000</t>
        </is>
      </c>
      <c r="G13" t="inlineStr">
        <is>
          <t>51.560000</t>
        </is>
      </c>
      <c r="H13" t="inlineStr">
        <is>
          <t>13921.20</t>
        </is>
      </c>
      <c r="I13" t="inlineStr">
        <is>
          <t>0.98%</t>
        </is>
      </c>
      <c r="J13" t="inlineStr">
        <is>
          <t>1423815.00</t>
        </is>
      </c>
      <c r="K13" t="inlineStr">
        <is>
          <t>50000</t>
        </is>
      </c>
      <c r="L13" t="inlineStr">
        <is>
          <t>10.000000000000</t>
        </is>
      </c>
      <c r="M13" t="inlineStr"/>
    </row>
    <row r="14">
      <c r="A14" t="inlineStr">
        <is>
          <t>06/25/2026</t>
        </is>
      </c>
      <c r="B14" t="inlineStr">
        <is>
          <t>AV</t>
        </is>
      </c>
      <c r="C14" s="1" t="inlineStr">
        <is>
          <t>ASR</t>
        </is>
      </c>
      <c r="D14" s="1" t="inlineStr">
        <is>
          <t>40051E202</t>
        </is>
      </c>
      <c r="E14" t="inlineStr">
        <is>
          <t>Grupo Aeroportuario del Sureste SAB de CV</t>
        </is>
      </c>
      <c r="F14" t="inlineStr">
        <is>
          <t>60.00000000</t>
        </is>
      </c>
      <c r="G14" t="inlineStr">
        <is>
          <t>302.310000</t>
        </is>
      </c>
      <c r="H14" t="inlineStr">
        <is>
          <t>18138.60</t>
        </is>
      </c>
      <c r="I14" t="inlineStr">
        <is>
          <t>1.27%</t>
        </is>
      </c>
      <c r="J14" t="inlineStr">
        <is>
          <t>1423815.00</t>
        </is>
      </c>
      <c r="K14" t="inlineStr">
        <is>
          <t>50000</t>
        </is>
      </c>
      <c r="L14" t="inlineStr">
        <is>
          <t>10.000000000000</t>
        </is>
      </c>
      <c r="M14" t="inlineStr"/>
    </row>
    <row r="15">
      <c r="A15" t="inlineStr">
        <is>
          <t>06/25/2026</t>
        </is>
      </c>
      <c r="B15" t="inlineStr">
        <is>
          <t>AV</t>
        </is>
      </c>
      <c r="C15" s="1" t="inlineStr">
        <is>
          <t>ATI</t>
        </is>
      </c>
      <c r="D15" s="1" t="inlineStr">
        <is>
          <t>01741R102</t>
        </is>
      </c>
      <c r="E15" t="inlineStr">
        <is>
          <t>ATI Inc</t>
        </is>
      </c>
      <c r="F15" t="inlineStr">
        <is>
          <t>170.00000000</t>
        </is>
      </c>
      <c r="G15" t="inlineStr">
        <is>
          <t>197.590000</t>
        </is>
      </c>
      <c r="H15" t="inlineStr">
        <is>
          <t>33590.30</t>
        </is>
      </c>
      <c r="I15" t="inlineStr">
        <is>
          <t>2.36%</t>
        </is>
      </c>
      <c r="J15" t="inlineStr">
        <is>
          <t>1423815.00</t>
        </is>
      </c>
      <c r="K15" t="inlineStr">
        <is>
          <t>50000</t>
        </is>
      </c>
      <c r="L15" t="inlineStr">
        <is>
          <t>10.000000000000</t>
        </is>
      </c>
      <c r="M15" t="inlineStr"/>
    </row>
    <row r="16">
      <c r="A16" t="inlineStr">
        <is>
          <t>06/25/2026</t>
        </is>
      </c>
      <c r="B16" t="inlineStr">
        <is>
          <t>AV</t>
        </is>
      </c>
      <c r="C16" s="1" t="inlineStr">
        <is>
          <t>BA</t>
        </is>
      </c>
      <c r="D16" s="1" t="inlineStr">
        <is>
          <t>097023105</t>
        </is>
      </c>
      <c r="E16" t="inlineStr">
        <is>
          <t>Boeing Co/The</t>
        </is>
      </c>
      <c r="F16" t="inlineStr">
        <is>
          <t>260.00000000</t>
        </is>
      </c>
      <c r="G16" t="inlineStr">
        <is>
          <t>220.250000</t>
        </is>
      </c>
      <c r="H16" t="inlineStr">
        <is>
          <t>57265.00</t>
        </is>
      </c>
      <c r="I16" t="inlineStr">
        <is>
          <t>4.02%</t>
        </is>
      </c>
      <c r="J16" t="inlineStr">
        <is>
          <t>1423815.00</t>
        </is>
      </c>
      <c r="K16" t="inlineStr">
        <is>
          <t>50000</t>
        </is>
      </c>
      <c r="L16" t="inlineStr">
        <is>
          <t>10.000000000000</t>
        </is>
      </c>
      <c r="M16" t="inlineStr"/>
    </row>
    <row r="17">
      <c r="A17" t="inlineStr">
        <is>
          <t>06/25/2026</t>
        </is>
      </c>
      <c r="B17" t="inlineStr">
        <is>
          <t>AV</t>
        </is>
      </c>
      <c r="C17" s="1" t="inlineStr">
        <is>
          <t>CAE</t>
        </is>
      </c>
      <c r="D17" s="1" t="inlineStr">
        <is>
          <t>124765108</t>
        </is>
      </c>
      <c r="E17" t="inlineStr">
        <is>
          <t>CAE Inc</t>
        </is>
      </c>
      <c r="F17" t="inlineStr">
        <is>
          <t>460.00000000</t>
        </is>
      </c>
      <c r="G17" t="inlineStr">
        <is>
          <t>24.950000</t>
        </is>
      </c>
      <c r="H17" t="inlineStr">
        <is>
          <t>11477.00</t>
        </is>
      </c>
      <c r="I17" t="inlineStr">
        <is>
          <t>0.81%</t>
        </is>
      </c>
      <c r="J17" t="inlineStr">
        <is>
          <t>1423815.00</t>
        </is>
      </c>
      <c r="K17" t="inlineStr">
        <is>
          <t>50000</t>
        </is>
      </c>
      <c r="L17" t="inlineStr">
        <is>
          <t>10.000000000000</t>
        </is>
      </c>
      <c r="M17" t="inlineStr"/>
    </row>
    <row r="18">
      <c r="A18" t="inlineStr">
        <is>
          <t>06/25/2026</t>
        </is>
      </c>
      <c r="B18" t="inlineStr">
        <is>
          <t>AV</t>
        </is>
      </c>
      <c r="C18" s="1" t="inlineStr">
        <is>
          <t>CPA</t>
        </is>
      </c>
      <c r="D18" s="1" t="inlineStr">
        <is>
          <t>P31076105</t>
        </is>
      </c>
      <c r="E18" t="inlineStr">
        <is>
          <t>Copa Holdings SA</t>
        </is>
      </c>
      <c r="F18" t="inlineStr">
        <is>
          <t>80.00000000</t>
        </is>
      </c>
      <c r="G18" t="inlineStr">
        <is>
          <t>156.860000</t>
        </is>
      </c>
      <c r="H18" t="inlineStr">
        <is>
          <t>12548.80</t>
        </is>
      </c>
      <c r="I18" t="inlineStr">
        <is>
          <t>0.88%</t>
        </is>
      </c>
      <c r="J18" t="inlineStr">
        <is>
          <t>1423815.00</t>
        </is>
      </c>
      <c r="K18" t="inlineStr">
        <is>
          <t>50000</t>
        </is>
      </c>
      <c r="L18" t="inlineStr">
        <is>
          <t>10.000000000000</t>
        </is>
      </c>
      <c r="M18" t="inlineStr"/>
    </row>
    <row r="19">
      <c r="A19" t="inlineStr">
        <is>
          <t>06/25/2026</t>
        </is>
      </c>
      <c r="B19" t="inlineStr">
        <is>
          <t>AV</t>
        </is>
      </c>
      <c r="C19" s="1" t="inlineStr">
        <is>
          <t>CRS</t>
        </is>
      </c>
      <c r="D19" s="1" t="inlineStr">
        <is>
          <t>144285103</t>
        </is>
      </c>
      <c r="E19" t="inlineStr">
        <is>
          <t>Carpenter Technology Corp</t>
        </is>
      </c>
      <c r="F19" t="inlineStr">
        <is>
          <t>60.00000000</t>
        </is>
      </c>
      <c r="G19" t="inlineStr">
        <is>
          <t>580.950000</t>
        </is>
      </c>
      <c r="H19" t="inlineStr">
        <is>
          <t>34857.00</t>
        </is>
      </c>
      <c r="I19" t="inlineStr">
        <is>
          <t>2.45%</t>
        </is>
      </c>
      <c r="J19" t="inlineStr">
        <is>
          <t>1423815.00</t>
        </is>
      </c>
      <c r="K19" t="inlineStr">
        <is>
          <t>50000</t>
        </is>
      </c>
      <c r="L19" t="inlineStr">
        <is>
          <t>10.000000000000</t>
        </is>
      </c>
      <c r="M19" t="inlineStr"/>
    </row>
    <row r="20">
      <c r="A20" t="inlineStr">
        <is>
          <t>06/25/2026</t>
        </is>
      </c>
      <c r="B20" t="inlineStr">
        <is>
          <t>AV</t>
        </is>
      </c>
      <c r="C20" s="1" t="inlineStr">
        <is>
          <t>DAL</t>
        </is>
      </c>
      <c r="D20" s="1" t="inlineStr">
        <is>
          <t>247361702</t>
        </is>
      </c>
      <c r="E20" t="inlineStr">
        <is>
          <t>Delta Air Lines Inc</t>
        </is>
      </c>
      <c r="F20" t="inlineStr">
        <is>
          <t>600.00000000</t>
        </is>
      </c>
      <c r="G20" t="inlineStr">
        <is>
          <t>90.650000</t>
        </is>
      </c>
      <c r="H20" t="inlineStr">
        <is>
          <t>54390.00</t>
        </is>
      </c>
      <c r="I20" t="inlineStr">
        <is>
          <t>3.82%</t>
        </is>
      </c>
      <c r="J20" t="inlineStr">
        <is>
          <t>1423815.00</t>
        </is>
      </c>
      <c r="K20" t="inlineStr">
        <is>
          <t>50000</t>
        </is>
      </c>
      <c r="L20" t="inlineStr">
        <is>
          <t>10.000000000000</t>
        </is>
      </c>
      <c r="M20" t="inlineStr"/>
    </row>
    <row r="21">
      <c r="A21" t="inlineStr">
        <is>
          <t>06/25/2026</t>
        </is>
      </c>
      <c r="B21" t="inlineStr">
        <is>
          <t>AV</t>
        </is>
      </c>
      <c r="C21" s="1" t="inlineStr">
        <is>
          <t>DCO</t>
        </is>
      </c>
      <c r="D21" s="1" t="inlineStr">
        <is>
          <t>264147109</t>
        </is>
      </c>
      <c r="E21" t="inlineStr">
        <is>
          <t>Ducommun Inc</t>
        </is>
      </c>
      <c r="F21" t="inlineStr">
        <is>
          <t>50.00000000</t>
        </is>
      </c>
      <c r="G21" t="inlineStr">
        <is>
          <t>165.310000</t>
        </is>
      </c>
      <c r="H21" t="inlineStr">
        <is>
          <t>8265.50</t>
        </is>
      </c>
      <c r="I21" t="inlineStr">
        <is>
          <t>0.58%</t>
        </is>
      </c>
      <c r="J21" t="inlineStr">
        <is>
          <t>1423815.00</t>
        </is>
      </c>
      <c r="K21" t="inlineStr">
        <is>
          <t>50000</t>
        </is>
      </c>
      <c r="L21" t="inlineStr">
        <is>
          <t>10.000000000000</t>
        </is>
      </c>
      <c r="M21" t="inlineStr"/>
    </row>
    <row r="22">
      <c r="A22" t="inlineStr">
        <is>
          <t>06/25/2026</t>
        </is>
      </c>
      <c r="B22" t="inlineStr">
        <is>
          <t>AV</t>
        </is>
      </c>
      <c r="C22" s="1" t="inlineStr">
        <is>
          <t>EMBJ</t>
        </is>
      </c>
      <c r="D22" s="1" t="inlineStr">
        <is>
          <t>29082A107</t>
        </is>
      </c>
      <c r="E22" t="inlineStr">
        <is>
          <t>Embraer SA</t>
        </is>
      </c>
      <c r="F22" t="inlineStr">
        <is>
          <t>290.00000000</t>
        </is>
      </c>
      <c r="G22" t="inlineStr">
        <is>
          <t>61.670000</t>
        </is>
      </c>
      <c r="H22" t="inlineStr">
        <is>
          <t>17884.30</t>
        </is>
      </c>
      <c r="I22" t="inlineStr">
        <is>
          <t>1.26%</t>
        </is>
      </c>
      <c r="J22" t="inlineStr">
        <is>
          <t>1423815.00</t>
        </is>
      </c>
      <c r="K22" t="inlineStr">
        <is>
          <t>50000</t>
        </is>
      </c>
      <c r="L22" t="inlineStr">
        <is>
          <t>10.000000000000</t>
        </is>
      </c>
      <c r="M22" t="inlineStr"/>
    </row>
    <row r="23">
      <c r="A23" t="inlineStr">
        <is>
          <t>06/25/2026</t>
        </is>
      </c>
      <c r="B23" t="inlineStr">
        <is>
          <t>AV</t>
        </is>
      </c>
      <c r="C23" s="1" t="inlineStr">
        <is>
          <t>FDX</t>
        </is>
      </c>
      <c r="D23" s="1" t="inlineStr">
        <is>
          <t>31428X106</t>
        </is>
      </c>
      <c r="E23" t="inlineStr">
        <is>
          <t>FedEx Corp</t>
        </is>
      </c>
      <c r="F23" t="inlineStr">
        <is>
          <t>150.00000000</t>
        </is>
      </c>
      <c r="G23" t="inlineStr">
        <is>
          <t>316.830000</t>
        </is>
      </c>
      <c r="H23" t="inlineStr">
        <is>
          <t>47524.50</t>
        </is>
      </c>
      <c r="I23" t="inlineStr">
        <is>
          <t>3.34%</t>
        </is>
      </c>
      <c r="J23" t="inlineStr">
        <is>
          <t>1423815.00</t>
        </is>
      </c>
      <c r="K23" t="inlineStr">
        <is>
          <t>50000</t>
        </is>
      </c>
      <c r="L23" t="inlineStr">
        <is>
          <t>10.000000000000</t>
        </is>
      </c>
      <c r="M23" t="inlineStr"/>
    </row>
    <row r="24">
      <c r="A24" t="inlineStr">
        <is>
          <t>06/25/2026</t>
        </is>
      </c>
      <c r="B24" t="inlineStr">
        <is>
          <t>AV</t>
        </is>
      </c>
      <c r="C24" s="1" t="inlineStr">
        <is>
          <t>FDXF</t>
        </is>
      </c>
      <c r="D24" s="1" t="inlineStr">
        <is>
          <t>314352105</t>
        </is>
      </c>
      <c r="E24" t="inlineStr">
        <is>
          <t>Fedex Freight Holding Co Inc</t>
        </is>
      </c>
      <c r="F24" t="inlineStr">
        <is>
          <t>75.00000000</t>
        </is>
      </c>
      <c r="G24" t="inlineStr">
        <is>
          <t>160.450000</t>
        </is>
      </c>
      <c r="H24" t="inlineStr">
        <is>
          <t>12033.75</t>
        </is>
      </c>
      <c r="I24" t="inlineStr">
        <is>
          <t>0.85%</t>
        </is>
      </c>
      <c r="J24" t="inlineStr">
        <is>
          <t>1423815.00</t>
        </is>
      </c>
      <c r="K24" t="inlineStr">
        <is>
          <t>50000</t>
        </is>
      </c>
      <c r="L24" t="inlineStr">
        <is>
          <t>10.000000000000</t>
        </is>
      </c>
      <c r="M24" t="inlineStr"/>
    </row>
    <row r="25">
      <c r="A25" t="inlineStr">
        <is>
          <t>06/25/2026</t>
        </is>
      </c>
      <c r="B25" t="inlineStr">
        <is>
          <t>AV</t>
        </is>
      </c>
      <c r="C25" s="1" t="inlineStr">
        <is>
          <t>FGXXX</t>
        </is>
      </c>
      <c r="D25" s="1" t="inlineStr">
        <is>
          <t>31846V336</t>
        </is>
      </c>
      <c r="E25" t="inlineStr">
        <is>
          <t>First American Government Obligations Fund 12/01/2031</t>
        </is>
      </c>
      <c r="F25" t="inlineStr">
        <is>
          <t>43839.60000000</t>
        </is>
      </c>
      <c r="G25" t="inlineStr">
        <is>
          <t>100.000000</t>
        </is>
      </c>
      <c r="H25" t="inlineStr">
        <is>
          <t>43839.60</t>
        </is>
      </c>
      <c r="I25" t="inlineStr">
        <is>
          <t>3.08%</t>
        </is>
      </c>
      <c r="J25" t="inlineStr">
        <is>
          <t>1423815.00</t>
        </is>
      </c>
      <c r="K25" t="inlineStr">
        <is>
          <t>50000</t>
        </is>
      </c>
      <c r="L25" t="inlineStr">
        <is>
          <t>10.000000000000</t>
        </is>
      </c>
      <c r="M25" t="inlineStr">
        <is>
          <t>Y</t>
        </is>
      </c>
    </row>
    <row r="26">
      <c r="A26" t="inlineStr">
        <is>
          <t>06/25/2026</t>
        </is>
      </c>
      <c r="B26" t="inlineStr">
        <is>
          <t>AV</t>
        </is>
      </c>
      <c r="C26" s="1" t="inlineStr">
        <is>
          <t>FTAI</t>
        </is>
      </c>
      <c r="D26" s="1" t="inlineStr">
        <is>
          <t>G3730V105</t>
        </is>
      </c>
      <c r="E26" t="inlineStr">
        <is>
          <t>FTAI Aviation Ltd</t>
        </is>
      </c>
      <c r="F26" t="inlineStr">
        <is>
          <t>130.00000000</t>
        </is>
      </c>
      <c r="G26" t="inlineStr">
        <is>
          <t>272.140000</t>
        </is>
      </c>
      <c r="H26" t="inlineStr">
        <is>
          <t>35378.20</t>
        </is>
      </c>
      <c r="I26" t="inlineStr">
        <is>
          <t>2.48%</t>
        </is>
      </c>
      <c r="J26" t="inlineStr">
        <is>
          <t>1423815.00</t>
        </is>
      </c>
      <c r="K26" t="inlineStr">
        <is>
          <t>50000</t>
        </is>
      </c>
      <c r="L26" t="inlineStr">
        <is>
          <t>10.000000000000</t>
        </is>
      </c>
      <c r="M26" t="inlineStr"/>
    </row>
    <row r="27">
      <c r="A27" t="inlineStr">
        <is>
          <t>06/25/2026</t>
        </is>
      </c>
      <c r="B27" t="inlineStr">
        <is>
          <t>AV</t>
        </is>
      </c>
      <c r="C27" s="1" t="inlineStr">
        <is>
          <t>GD</t>
        </is>
      </c>
      <c r="D27" s="1" t="inlineStr">
        <is>
          <t>369550108</t>
        </is>
      </c>
      <c r="E27" t="inlineStr">
        <is>
          <t>General Dynamics Corp</t>
        </is>
      </c>
      <c r="F27" t="inlineStr">
        <is>
          <t>200.00000000</t>
        </is>
      </c>
      <c r="G27" t="inlineStr">
        <is>
          <t>344.320000</t>
        </is>
      </c>
      <c r="H27" t="inlineStr">
        <is>
          <t>68864.00</t>
        </is>
      </c>
      <c r="I27" t="inlineStr">
        <is>
          <t>4.84%</t>
        </is>
      </c>
      <c r="J27" t="inlineStr">
        <is>
          <t>1423815.00</t>
        </is>
      </c>
      <c r="K27" t="inlineStr">
        <is>
          <t>50000</t>
        </is>
      </c>
      <c r="L27" t="inlineStr">
        <is>
          <t>10.000000000000</t>
        </is>
      </c>
      <c r="M27" t="inlineStr"/>
    </row>
    <row r="28">
      <c r="A28" t="inlineStr">
        <is>
          <t>06/25/2026</t>
        </is>
      </c>
      <c r="B28" t="inlineStr">
        <is>
          <t>AV</t>
        </is>
      </c>
      <c r="C28" s="1" t="inlineStr">
        <is>
          <t>GE</t>
        </is>
      </c>
      <c r="D28" s="1" t="inlineStr">
        <is>
          <t>369604301</t>
        </is>
      </c>
      <c r="E28" t="inlineStr">
        <is>
          <t>GE AEROSPACE</t>
        </is>
      </c>
      <c r="F28" t="inlineStr">
        <is>
          <t>440.00000000</t>
        </is>
      </c>
      <c r="G28" t="inlineStr">
        <is>
          <t>365.880000</t>
        </is>
      </c>
      <c r="H28" t="inlineStr">
        <is>
          <t>160987.20</t>
        </is>
      </c>
      <c r="I28" t="inlineStr">
        <is>
          <t>11.31%</t>
        </is>
      </c>
      <c r="J28" t="inlineStr">
        <is>
          <t>1423815.00</t>
        </is>
      </c>
      <c r="K28" t="inlineStr">
        <is>
          <t>50000</t>
        </is>
      </c>
      <c r="L28" t="inlineStr">
        <is>
          <t>10.000000000000</t>
        </is>
      </c>
      <c r="M28" t="inlineStr"/>
    </row>
    <row r="29">
      <c r="A29" t="inlineStr">
        <is>
          <t>06/25/2026</t>
        </is>
      </c>
      <c r="B29" t="inlineStr">
        <is>
          <t>AV</t>
        </is>
      </c>
      <c r="C29" s="1" t="inlineStr">
        <is>
          <t>HEI</t>
        </is>
      </c>
      <c r="D29" s="1" t="inlineStr">
        <is>
          <t>422806109</t>
        </is>
      </c>
      <c r="E29" t="inlineStr">
        <is>
          <t>HEICO Corp</t>
        </is>
      </c>
      <c r="F29" t="inlineStr">
        <is>
          <t>70.00000000</t>
        </is>
      </c>
      <c r="G29" t="inlineStr">
        <is>
          <t>335.300000</t>
        </is>
      </c>
      <c r="H29" t="inlineStr">
        <is>
          <t>23471.00</t>
        </is>
      </c>
      <c r="I29" t="inlineStr">
        <is>
          <t>1.65%</t>
        </is>
      </c>
      <c r="J29" t="inlineStr">
        <is>
          <t>1423815.00</t>
        </is>
      </c>
      <c r="K29" t="inlineStr">
        <is>
          <t>50000</t>
        </is>
      </c>
      <c r="L29" t="inlineStr">
        <is>
          <t>10.000000000000</t>
        </is>
      </c>
      <c r="M29" t="inlineStr"/>
    </row>
    <row r="30">
      <c r="A30" t="inlineStr">
        <is>
          <t>06/25/2026</t>
        </is>
      </c>
      <c r="B30" t="inlineStr">
        <is>
          <t>AV</t>
        </is>
      </c>
      <c r="C30" s="1" t="inlineStr">
        <is>
          <t>HWM</t>
        </is>
      </c>
      <c r="D30" s="1" t="inlineStr">
        <is>
          <t>443201108</t>
        </is>
      </c>
      <c r="E30" t="inlineStr">
        <is>
          <t>Howmet Aerospace Inc</t>
        </is>
      </c>
      <c r="F30" t="inlineStr">
        <is>
          <t>260.00000000</t>
        </is>
      </c>
      <c r="G30" t="inlineStr">
        <is>
          <t>276.060000</t>
        </is>
      </c>
      <c r="H30" t="inlineStr">
        <is>
          <t>71775.60</t>
        </is>
      </c>
      <c r="I30" t="inlineStr">
        <is>
          <t>5.04%</t>
        </is>
      </c>
      <c r="J30" t="inlineStr">
        <is>
          <t>1423815.00</t>
        </is>
      </c>
      <c r="K30" t="inlineStr">
        <is>
          <t>50000</t>
        </is>
      </c>
      <c r="L30" t="inlineStr">
        <is>
          <t>10.000000000000</t>
        </is>
      </c>
      <c r="M30" t="inlineStr"/>
    </row>
    <row r="31">
      <c r="A31" t="inlineStr">
        <is>
          <t>06/25/2026</t>
        </is>
      </c>
      <c r="B31" t="inlineStr">
        <is>
          <t>AV</t>
        </is>
      </c>
      <c r="C31" s="1" t="inlineStr">
        <is>
          <t>HXL</t>
        </is>
      </c>
      <c r="D31" s="1" t="inlineStr">
        <is>
          <t>428291108</t>
        </is>
      </c>
      <c r="E31" t="inlineStr">
        <is>
          <t>Hexcel Corp</t>
        </is>
      </c>
      <c r="F31" t="inlineStr">
        <is>
          <t>160.00000000</t>
        </is>
      </c>
      <c r="G31" t="inlineStr">
        <is>
          <t>95.480000</t>
        </is>
      </c>
      <c r="H31" t="inlineStr">
        <is>
          <t>15276.80</t>
        </is>
      </c>
      <c r="I31" t="inlineStr">
        <is>
          <t>1.07%</t>
        </is>
      </c>
      <c r="J31" t="inlineStr">
        <is>
          <t>1423815.00</t>
        </is>
      </c>
      <c r="K31" t="inlineStr">
        <is>
          <t>50000</t>
        </is>
      </c>
      <c r="L31" t="inlineStr">
        <is>
          <t>10.000000000000</t>
        </is>
      </c>
      <c r="M31" t="inlineStr"/>
    </row>
    <row r="32">
      <c r="A32" t="inlineStr">
        <is>
          <t>06/25/2026</t>
        </is>
      </c>
      <c r="B32" t="inlineStr">
        <is>
          <t>AV</t>
        </is>
      </c>
      <c r="C32" s="1" t="inlineStr">
        <is>
          <t>JBLU</t>
        </is>
      </c>
      <c r="D32" s="1" t="inlineStr">
        <is>
          <t>477143101</t>
        </is>
      </c>
      <c r="E32" t="inlineStr">
        <is>
          <t>JetBlue Airways Corp</t>
        </is>
      </c>
      <c r="F32" t="inlineStr">
        <is>
          <t>1220.00000000</t>
        </is>
      </c>
      <c r="G32" t="inlineStr">
        <is>
          <t>5.790000</t>
        </is>
      </c>
      <c r="H32" t="inlineStr">
        <is>
          <t>7063.80</t>
        </is>
      </c>
      <c r="I32" t="inlineStr">
        <is>
          <t>0.50%</t>
        </is>
      </c>
      <c r="J32" t="inlineStr">
        <is>
          <t>1423815.00</t>
        </is>
      </c>
      <c r="K32" t="inlineStr">
        <is>
          <t>50000</t>
        </is>
      </c>
      <c r="L32" t="inlineStr">
        <is>
          <t>10.000000000000</t>
        </is>
      </c>
      <c r="M32" t="inlineStr"/>
    </row>
    <row r="33">
      <c r="A33" t="inlineStr">
        <is>
          <t>06/25/2026</t>
        </is>
      </c>
      <c r="B33" t="inlineStr">
        <is>
          <t>AV</t>
        </is>
      </c>
      <c r="C33" s="1" t="inlineStr">
        <is>
          <t>JOBY</t>
        </is>
      </c>
      <c r="D33" s="1" t="inlineStr">
        <is>
          <t>G65163100</t>
        </is>
      </c>
      <c r="E33" t="inlineStr">
        <is>
          <t>Joby Aviation Inc</t>
        </is>
      </c>
      <c r="F33" t="inlineStr">
        <is>
          <t>1470.00000000</t>
        </is>
      </c>
      <c r="G33" t="inlineStr">
        <is>
          <t>9.280000</t>
        </is>
      </c>
      <c r="H33" t="inlineStr">
        <is>
          <t>13641.60</t>
        </is>
      </c>
      <c r="I33" t="inlineStr">
        <is>
          <t>0.96%</t>
        </is>
      </c>
      <c r="J33" t="inlineStr">
        <is>
          <t>1423815.00</t>
        </is>
      </c>
      <c r="K33" t="inlineStr">
        <is>
          <t>50000</t>
        </is>
      </c>
      <c r="L33" t="inlineStr">
        <is>
          <t>10.000000000000</t>
        </is>
      </c>
      <c r="M33" t="inlineStr"/>
    </row>
    <row r="34">
      <c r="A34" t="inlineStr">
        <is>
          <t>06/25/2026</t>
        </is>
      </c>
      <c r="B34" t="inlineStr">
        <is>
          <t>AV</t>
        </is>
      </c>
      <c r="C34" s="1" t="inlineStr">
        <is>
          <t>LMT</t>
        </is>
      </c>
      <c r="D34" s="1" t="inlineStr">
        <is>
          <t>539830109</t>
        </is>
      </c>
      <c r="E34" t="inlineStr">
        <is>
          <t>Lockheed Martin Corp</t>
        </is>
      </c>
      <c r="F34" t="inlineStr">
        <is>
          <t>120.00000000</t>
        </is>
      </c>
      <c r="G34" t="inlineStr">
        <is>
          <t>491.640000</t>
        </is>
      </c>
      <c r="H34" t="inlineStr">
        <is>
          <t>58996.80</t>
        </is>
      </c>
      <c r="I34" t="inlineStr">
        <is>
          <t>4.14%</t>
        </is>
      </c>
      <c r="J34" t="inlineStr">
        <is>
          <t>1423815.00</t>
        </is>
      </c>
      <c r="K34" t="inlineStr">
        <is>
          <t>50000</t>
        </is>
      </c>
      <c r="L34" t="inlineStr">
        <is>
          <t>10.000000000000</t>
        </is>
      </c>
      <c r="M34" t="inlineStr"/>
    </row>
    <row r="35">
      <c r="A35" t="inlineStr">
        <is>
          <t>06/25/2026</t>
        </is>
      </c>
      <c r="B35" t="inlineStr">
        <is>
          <t>AV</t>
        </is>
      </c>
      <c r="C35" s="1" t="inlineStr">
        <is>
          <t>LOAR</t>
        </is>
      </c>
      <c r="D35" s="1" t="inlineStr">
        <is>
          <t>53947R105</t>
        </is>
      </c>
      <c r="E35" t="inlineStr">
        <is>
          <t>Loar Holdings Inc</t>
        </is>
      </c>
      <c r="F35" t="inlineStr">
        <is>
          <t>160.00000000</t>
        </is>
      </c>
      <c r="G35" t="inlineStr">
        <is>
          <t>73.800000</t>
        </is>
      </c>
      <c r="H35" t="inlineStr">
        <is>
          <t>11808.00</t>
        </is>
      </c>
      <c r="I35" t="inlineStr">
        <is>
          <t>0.83%</t>
        </is>
      </c>
      <c r="J35" t="inlineStr">
        <is>
          <t>1423815.00</t>
        </is>
      </c>
      <c r="K35" t="inlineStr">
        <is>
          <t>50000</t>
        </is>
      </c>
      <c r="L35" t="inlineStr">
        <is>
          <t>10.000000000000</t>
        </is>
      </c>
      <c r="M35" t="inlineStr"/>
    </row>
    <row r="36">
      <c r="A36" t="inlineStr">
        <is>
          <t>06/25/2026</t>
        </is>
      </c>
      <c r="B36" t="inlineStr">
        <is>
          <t>AV</t>
        </is>
      </c>
      <c r="C36" s="1" t="inlineStr">
        <is>
          <t>LUV</t>
        </is>
      </c>
      <c r="D36" s="1" t="inlineStr">
        <is>
          <t>844741108</t>
        </is>
      </c>
      <c r="E36" t="inlineStr">
        <is>
          <t>Southwest Airlines Co</t>
        </is>
      </c>
      <c r="F36" t="inlineStr">
        <is>
          <t>640.00000000</t>
        </is>
      </c>
      <c r="G36" t="inlineStr">
        <is>
          <t>50.940000</t>
        </is>
      </c>
      <c r="H36" t="inlineStr">
        <is>
          <t>32601.60</t>
        </is>
      </c>
      <c r="I36" t="inlineStr">
        <is>
          <t>2.29%</t>
        </is>
      </c>
      <c r="J36" t="inlineStr">
        <is>
          <t>1423815.00</t>
        </is>
      </c>
      <c r="K36" t="inlineStr">
        <is>
          <t>50000</t>
        </is>
      </c>
      <c r="L36" t="inlineStr">
        <is>
          <t>10.000000000000</t>
        </is>
      </c>
      <c r="M36" t="inlineStr"/>
    </row>
    <row r="37">
      <c r="A37" t="inlineStr">
        <is>
          <t>06/25/2026</t>
        </is>
      </c>
      <c r="B37" t="inlineStr">
        <is>
          <t>AV</t>
        </is>
      </c>
      <c r="C37" s="1" t="inlineStr">
        <is>
          <t>MOG/A</t>
        </is>
      </c>
      <c r="D37" s="1" t="inlineStr">
        <is>
          <t>615394202</t>
        </is>
      </c>
      <c r="E37" t="inlineStr">
        <is>
          <t>Moog Inc</t>
        </is>
      </c>
      <c r="F37" t="inlineStr">
        <is>
          <t>50.00000000</t>
        </is>
      </c>
      <c r="G37" t="inlineStr">
        <is>
          <t>404.900000</t>
        </is>
      </c>
      <c r="H37" t="inlineStr">
        <is>
          <t>20245.00</t>
        </is>
      </c>
      <c r="I37" t="inlineStr">
        <is>
          <t>1.42%</t>
        </is>
      </c>
      <c r="J37" t="inlineStr">
        <is>
          <t>1423815.00</t>
        </is>
      </c>
      <c r="K37" t="inlineStr">
        <is>
          <t>50000</t>
        </is>
      </c>
      <c r="L37" t="inlineStr">
        <is>
          <t>10.000000000000</t>
        </is>
      </c>
      <c r="M37" t="inlineStr"/>
    </row>
    <row r="38">
      <c r="A38" t="inlineStr">
        <is>
          <t>06/25/2026</t>
        </is>
      </c>
      <c r="B38" t="inlineStr">
        <is>
          <t>AV</t>
        </is>
      </c>
      <c r="C38" s="1" t="inlineStr">
        <is>
          <t>NOC</t>
        </is>
      </c>
      <c r="D38" s="1" t="inlineStr">
        <is>
          <t>666807102</t>
        </is>
      </c>
      <c r="E38" t="inlineStr">
        <is>
          <t>Northrop Grumman Corp</t>
        </is>
      </c>
      <c r="F38" t="inlineStr">
        <is>
          <t>110.00000000</t>
        </is>
      </c>
      <c r="G38" t="inlineStr">
        <is>
          <t>503.010000</t>
        </is>
      </c>
      <c r="H38" t="inlineStr">
        <is>
          <t>55331.10</t>
        </is>
      </c>
      <c r="I38" t="inlineStr">
        <is>
          <t>3.89%</t>
        </is>
      </c>
      <c r="J38" t="inlineStr">
        <is>
          <t>1423815.00</t>
        </is>
      </c>
      <c r="K38" t="inlineStr">
        <is>
          <t>50000</t>
        </is>
      </c>
      <c r="L38" t="inlineStr">
        <is>
          <t>10.000000000000</t>
        </is>
      </c>
      <c r="M38" t="inlineStr"/>
    </row>
    <row r="39">
      <c r="A39" t="inlineStr">
        <is>
          <t>06/25/2026</t>
        </is>
      </c>
      <c r="B39" t="inlineStr">
        <is>
          <t>AV</t>
        </is>
      </c>
      <c r="C39" s="1" t="inlineStr">
        <is>
          <t>PAC</t>
        </is>
      </c>
      <c r="D39" s="1" t="inlineStr">
        <is>
          <t>400506101</t>
        </is>
      </c>
      <c r="E39" t="inlineStr">
        <is>
          <t>Grupo Aeroportuario del Pacifico SAB de CV</t>
        </is>
      </c>
      <c r="F39" t="inlineStr">
        <is>
          <t>80.00000000</t>
        </is>
      </c>
      <c r="G39" t="inlineStr">
        <is>
          <t>245.580000</t>
        </is>
      </c>
      <c r="H39" t="inlineStr">
        <is>
          <t>19646.40</t>
        </is>
      </c>
      <c r="I39" t="inlineStr">
        <is>
          <t>1.38%</t>
        </is>
      </c>
      <c r="J39" t="inlineStr">
        <is>
          <t>1423815.00</t>
        </is>
      </c>
      <c r="K39" t="inlineStr">
        <is>
          <t>50000</t>
        </is>
      </c>
      <c r="L39" t="inlineStr">
        <is>
          <t>10.000000000000</t>
        </is>
      </c>
      <c r="M39" t="inlineStr"/>
    </row>
    <row r="40">
      <c r="A40" t="inlineStr">
        <is>
          <t>06/25/2026</t>
        </is>
      </c>
      <c r="B40" t="inlineStr">
        <is>
          <t>AV</t>
        </is>
      </c>
      <c r="C40" s="1" t="inlineStr">
        <is>
          <t>RTX</t>
        </is>
      </c>
      <c r="D40" s="1" t="inlineStr">
        <is>
          <t>75513E101</t>
        </is>
      </c>
      <c r="E40" t="inlineStr">
        <is>
          <t>RTX Corp</t>
        </is>
      </c>
      <c r="F40" t="inlineStr">
        <is>
          <t>660.00000000</t>
        </is>
      </c>
      <c r="G40" t="inlineStr">
        <is>
          <t>185.060000</t>
        </is>
      </c>
      <c r="H40" t="inlineStr">
        <is>
          <t>122139.60</t>
        </is>
      </c>
      <c r="I40" t="inlineStr">
        <is>
          <t>8.58%</t>
        </is>
      </c>
      <c r="J40" t="inlineStr">
        <is>
          <t>1423815.00</t>
        </is>
      </c>
      <c r="K40" t="inlineStr">
        <is>
          <t>50000</t>
        </is>
      </c>
      <c r="L40" t="inlineStr">
        <is>
          <t>10.000000000000</t>
        </is>
      </c>
      <c r="M40" t="inlineStr"/>
    </row>
    <row r="41">
      <c r="A41" t="inlineStr">
        <is>
          <t>06/25/2026</t>
        </is>
      </c>
      <c r="B41" t="inlineStr">
        <is>
          <t>AV</t>
        </is>
      </c>
      <c r="C41" s="1" t="inlineStr">
        <is>
          <t>RYAAY</t>
        </is>
      </c>
      <c r="D41" s="1" t="inlineStr">
        <is>
          <t>783513203</t>
        </is>
      </c>
      <c r="E41" t="inlineStr">
        <is>
          <t>Ryanair Holdings PLC</t>
        </is>
      </c>
      <c r="F41" t="inlineStr">
        <is>
          <t>590.00000000</t>
        </is>
      </c>
      <c r="G41" t="inlineStr">
        <is>
          <t>63.730000</t>
        </is>
      </c>
      <c r="H41" t="inlineStr">
        <is>
          <t>37600.70</t>
        </is>
      </c>
      <c r="I41" t="inlineStr">
        <is>
          <t>2.64%</t>
        </is>
      </c>
      <c r="J41" t="inlineStr">
        <is>
          <t>1423815.00</t>
        </is>
      </c>
      <c r="K41" t="inlineStr">
        <is>
          <t>50000</t>
        </is>
      </c>
      <c r="L41" t="inlineStr">
        <is>
          <t>10.000000000000</t>
        </is>
      </c>
      <c r="M41" t="inlineStr"/>
    </row>
    <row r="42">
      <c r="A42" t="inlineStr">
        <is>
          <t>06/25/2026</t>
        </is>
      </c>
      <c r="B42" t="inlineStr">
        <is>
          <t>AV</t>
        </is>
      </c>
      <c r="C42" s="1" t="inlineStr">
        <is>
          <t>SKYW</t>
        </is>
      </c>
      <c r="D42" s="1" t="inlineStr">
        <is>
          <t>830879102</t>
        </is>
      </c>
      <c r="E42" t="inlineStr">
        <is>
          <t>SkyWest Inc</t>
        </is>
      </c>
      <c r="F42" t="inlineStr">
        <is>
          <t>120.00000000</t>
        </is>
      </c>
      <c r="G42" t="inlineStr">
        <is>
          <t>96.700000</t>
        </is>
      </c>
      <c r="H42" t="inlineStr">
        <is>
          <t>11604.00</t>
        </is>
      </c>
      <c r="I42" t="inlineStr">
        <is>
          <t>0.81%</t>
        </is>
      </c>
      <c r="J42" t="inlineStr">
        <is>
          <t>1423815.00</t>
        </is>
      </c>
      <c r="K42" t="inlineStr">
        <is>
          <t>50000</t>
        </is>
      </c>
      <c r="L42" t="inlineStr">
        <is>
          <t>10.000000000000</t>
        </is>
      </c>
      <c r="M42" t="inlineStr"/>
    </row>
    <row r="43">
      <c r="A43" t="inlineStr">
        <is>
          <t>06/25/2026</t>
        </is>
      </c>
      <c r="B43" t="inlineStr">
        <is>
          <t>AV</t>
        </is>
      </c>
      <c r="C43" s="1" t="inlineStr">
        <is>
          <t>TDG</t>
        </is>
      </c>
      <c r="D43" s="1" t="inlineStr">
        <is>
          <t>893641100</t>
        </is>
      </c>
      <c r="E43" t="inlineStr">
        <is>
          <t>TransDigm Group Inc</t>
        </is>
      </c>
      <c r="F43" t="inlineStr">
        <is>
          <t>40.00000000</t>
        </is>
      </c>
      <c r="G43" t="inlineStr">
        <is>
          <t>1322.670000</t>
        </is>
      </c>
      <c r="H43" t="inlineStr">
        <is>
          <t>52906.80</t>
        </is>
      </c>
      <c r="I43" t="inlineStr">
        <is>
          <t>3.72%</t>
        </is>
      </c>
      <c r="J43" t="inlineStr">
        <is>
          <t>1423815.00</t>
        </is>
      </c>
      <c r="K43" t="inlineStr">
        <is>
          <t>50000</t>
        </is>
      </c>
      <c r="L43" t="inlineStr">
        <is>
          <t>10.000000000000</t>
        </is>
      </c>
      <c r="M43" t="inlineStr"/>
    </row>
    <row r="44">
      <c r="A44" t="inlineStr">
        <is>
          <t>06/25/2026</t>
        </is>
      </c>
      <c r="B44" t="inlineStr">
        <is>
          <t>AV</t>
        </is>
      </c>
      <c r="C44" s="1" t="inlineStr">
        <is>
          <t>TXT</t>
        </is>
      </c>
      <c r="D44" s="1" t="inlineStr">
        <is>
          <t>883203101</t>
        </is>
      </c>
      <c r="E44" t="inlineStr">
        <is>
          <t>Textron Inc</t>
        </is>
      </c>
      <c r="F44" t="inlineStr">
        <is>
          <t>260.00000000</t>
        </is>
      </c>
      <c r="G44" t="inlineStr">
        <is>
          <t>86.540000</t>
        </is>
      </c>
      <c r="H44" t="inlineStr">
        <is>
          <t>22500.40</t>
        </is>
      </c>
      <c r="I44" t="inlineStr">
        <is>
          <t>1.58%</t>
        </is>
      </c>
      <c r="J44" t="inlineStr">
        <is>
          <t>1423815.00</t>
        </is>
      </c>
      <c r="K44" t="inlineStr">
        <is>
          <t>50000</t>
        </is>
      </c>
      <c r="L44" t="inlineStr">
        <is>
          <t>10.000000000000</t>
        </is>
      </c>
      <c r="M44" t="inlineStr"/>
    </row>
    <row r="45">
      <c r="A45" t="inlineStr">
        <is>
          <t>06/25/2026</t>
        </is>
      </c>
      <c r="B45" t="inlineStr">
        <is>
          <t>AV</t>
        </is>
      </c>
      <c r="C45" s="1" t="inlineStr">
        <is>
          <t>UAL</t>
        </is>
      </c>
      <c r="D45" s="1" t="inlineStr">
        <is>
          <t>910047109</t>
        </is>
      </c>
      <c r="E45" t="inlineStr">
        <is>
          <t>United Airlines Holdings Inc</t>
        </is>
      </c>
      <c r="F45" t="inlineStr">
        <is>
          <t>360.00000000</t>
        </is>
      </c>
      <c r="G45" t="inlineStr">
        <is>
          <t>130.540000</t>
        </is>
      </c>
      <c r="H45" t="inlineStr">
        <is>
          <t>46994.40</t>
        </is>
      </c>
      <c r="I45" t="inlineStr">
        <is>
          <t>3.30%</t>
        </is>
      </c>
      <c r="J45" t="inlineStr">
        <is>
          <t>1423815.00</t>
        </is>
      </c>
      <c r="K45" t="inlineStr">
        <is>
          <t>50000</t>
        </is>
      </c>
      <c r="L45" t="inlineStr">
        <is>
          <t>10.000000000000</t>
        </is>
      </c>
      <c r="M45" t="inlineStr"/>
    </row>
    <row r="46">
      <c r="A46" t="inlineStr">
        <is>
          <t>06/25/2026</t>
        </is>
      </c>
      <c r="B46" t="inlineStr">
        <is>
          <t>AV</t>
        </is>
      </c>
      <c r="C46" s="1" t="inlineStr">
        <is>
          <t>ULCC</t>
        </is>
      </c>
      <c r="D46" s="1" t="inlineStr">
        <is>
          <t>35909R108</t>
        </is>
      </c>
      <c r="E46" t="inlineStr">
        <is>
          <t>Frontier Group Holdings Inc</t>
        </is>
      </c>
      <c r="F46" t="inlineStr">
        <is>
          <t>810.00000000</t>
        </is>
      </c>
      <c r="G46" t="inlineStr">
        <is>
          <t>7.430000</t>
        </is>
      </c>
      <c r="H46" t="inlineStr">
        <is>
          <t>6018.30</t>
        </is>
      </c>
      <c r="I46" t="inlineStr">
        <is>
          <t>0.42%</t>
        </is>
      </c>
      <c r="J46" t="inlineStr">
        <is>
          <t>1423815.00</t>
        </is>
      </c>
      <c r="K46" t="inlineStr">
        <is>
          <t>50000</t>
        </is>
      </c>
      <c r="L46" t="inlineStr">
        <is>
          <t>10.000000000000</t>
        </is>
      </c>
      <c r="M46" t="inlineStr"/>
    </row>
    <row r="47">
      <c r="A47" t="inlineStr">
        <is>
          <t>06/25/2026</t>
        </is>
      </c>
      <c r="B47" t="inlineStr">
        <is>
          <t>AV</t>
        </is>
      </c>
      <c r="C47" s="1" t="inlineStr">
        <is>
          <t>UPS</t>
        </is>
      </c>
      <c r="D47" s="1" t="inlineStr">
        <is>
          <t>911312106</t>
        </is>
      </c>
      <c r="E47" t="inlineStr">
        <is>
          <t>United Parcel Service Inc</t>
        </is>
      </c>
      <c r="F47" t="inlineStr">
        <is>
          <t>520.00000000</t>
        </is>
      </c>
      <c r="G47" t="inlineStr">
        <is>
          <t>106.140000</t>
        </is>
      </c>
      <c r="H47" t="inlineStr">
        <is>
          <t>55192.80</t>
        </is>
      </c>
      <c r="I47" t="inlineStr">
        <is>
          <t>3.88%</t>
        </is>
      </c>
      <c r="J47" t="inlineStr">
        <is>
          <t>1423815.00</t>
        </is>
      </c>
      <c r="K47" t="inlineStr">
        <is>
          <t>50000</t>
        </is>
      </c>
      <c r="L47" t="inlineStr">
        <is>
          <t>10.000000000000</t>
        </is>
      </c>
      <c r="M47" t="inlineStr"/>
    </row>
    <row r="48">
      <c r="A48" t="inlineStr">
        <is>
          <t>06/25/2026</t>
        </is>
      </c>
      <c r="B48" t="inlineStr">
        <is>
          <t>AV</t>
        </is>
      </c>
      <c r="C48" s="1" t="inlineStr">
        <is>
          <t>WWD</t>
        </is>
      </c>
      <c r="D48" s="1" t="inlineStr">
        <is>
          <t>980745103</t>
        </is>
      </c>
      <c r="E48" t="inlineStr">
        <is>
          <t>Woodward Inc</t>
        </is>
      </c>
      <c r="F48" t="inlineStr">
        <is>
          <t>80.00000000</t>
        </is>
      </c>
      <c r="G48" t="inlineStr">
        <is>
          <t>432.800000</t>
        </is>
      </c>
      <c r="H48" t="inlineStr">
        <is>
          <t>34624.00</t>
        </is>
      </c>
      <c r="I48" t="inlineStr">
        <is>
          <t>2.43%</t>
        </is>
      </c>
      <c r="J48" t="inlineStr">
        <is>
          <t>1423815.00</t>
        </is>
      </c>
      <c r="K48" t="inlineStr">
        <is>
          <t>50000</t>
        </is>
      </c>
      <c r="L48" t="inlineStr">
        <is>
          <t>10.000000000000</t>
        </is>
      </c>
      <c r="M48" t="inlineStr"/>
    </row>
    <row r="49">
      <c r="A49" t="inlineStr">
        <is>
          <t>06/25/2026</t>
        </is>
      </c>
      <c r="B49" t="inlineStr">
        <is>
          <t>AV</t>
        </is>
      </c>
      <c r="C49" s="1" t="inlineStr">
        <is>
          <t>Cash&amp;Other</t>
        </is>
      </c>
      <c r="D49" s="1" t="inlineStr">
        <is>
          <t>Cash&amp;Other</t>
        </is>
      </c>
      <c r="E49" t="inlineStr">
        <is>
          <t>Cash &amp; Other</t>
        </is>
      </c>
      <c r="F49" t="inlineStr">
        <is>
          <t>493.12000000</t>
        </is>
      </c>
      <c r="G49" t="inlineStr">
        <is>
          <t>1.000000</t>
        </is>
      </c>
      <c r="H49" t="inlineStr">
        <is>
          <t>493.12</t>
        </is>
      </c>
      <c r="I49" t="inlineStr">
        <is>
          <t>0.03%</t>
        </is>
      </c>
      <c r="J49" t="inlineStr">
        <is>
          <t>1423815.00</t>
        </is>
      </c>
      <c r="K49" t="inlineStr">
        <is>
          <t>50000</t>
        </is>
      </c>
      <c r="L49" t="inlineStr">
        <is>
          <t>10.000000000000</t>
        </is>
      </c>
      <c r="M49" t="inlineStr">
        <is>
          <t>Y</t>
        </is>
      </c>
    </row>
    <row r="50">
      <c r="A50" t="inlineStr">
        <is>
          <t>06/25/2026</t>
        </is>
      </c>
      <c r="B50" t="inlineStr">
        <is>
          <t>BAY</t>
        </is>
      </c>
      <c r="C50" s="1" t="inlineStr">
        <is>
          <t>AAPL</t>
        </is>
      </c>
      <c r="D50" s="1" t="inlineStr">
        <is>
          <t>037833100</t>
        </is>
      </c>
      <c r="E50" t="inlineStr">
        <is>
          <t>Apple Inc</t>
        </is>
      </c>
      <c r="F50" t="inlineStr">
        <is>
          <t>490.00000000</t>
        </is>
      </c>
      <c r="G50" t="inlineStr">
        <is>
          <t>293.080000</t>
        </is>
      </c>
      <c r="H50" t="inlineStr">
        <is>
          <t>143609.20</t>
        </is>
      </c>
      <c r="I50" t="inlineStr">
        <is>
          <t>7.29%</t>
        </is>
      </c>
      <c r="J50" t="inlineStr">
        <is>
          <t>1970766.00</t>
        </is>
      </c>
      <c r="K50" t="inlineStr">
        <is>
          <t>70000</t>
        </is>
      </c>
      <c r="L50" t="inlineStr">
        <is>
          <t>14.000000000000</t>
        </is>
      </c>
      <c r="M50" t="inlineStr"/>
    </row>
    <row r="51">
      <c r="A51" t="inlineStr">
        <is>
          <t>06/25/2026</t>
        </is>
      </c>
      <c r="B51" t="inlineStr">
        <is>
          <t>BAY</t>
        </is>
      </c>
      <c r="C51" s="1" t="inlineStr">
        <is>
          <t>ABNB</t>
        </is>
      </c>
      <c r="D51" s="1" t="inlineStr">
        <is>
          <t>009066101</t>
        </is>
      </c>
      <c r="E51" t="inlineStr">
        <is>
          <t>Airbnb Inc</t>
        </is>
      </c>
      <c r="F51" t="inlineStr">
        <is>
          <t>140.00000000</t>
        </is>
      </c>
      <c r="G51" t="inlineStr">
        <is>
          <t>144.400000</t>
        </is>
      </c>
      <c r="H51" t="inlineStr">
        <is>
          <t>20216.00</t>
        </is>
      </c>
      <c r="I51" t="inlineStr">
        <is>
          <t>1.03%</t>
        </is>
      </c>
      <c r="J51" t="inlineStr">
        <is>
          <t>1970766.00</t>
        </is>
      </c>
      <c r="K51" t="inlineStr">
        <is>
          <t>70000</t>
        </is>
      </c>
      <c r="L51" t="inlineStr">
        <is>
          <t>14.000000000000</t>
        </is>
      </c>
      <c r="M51" t="inlineStr"/>
    </row>
    <row r="52">
      <c r="A52" t="inlineStr">
        <is>
          <t>06/25/2026</t>
        </is>
      </c>
      <c r="B52" t="inlineStr">
        <is>
          <t>BAY</t>
        </is>
      </c>
      <c r="C52" s="1" t="inlineStr">
        <is>
          <t>ADBE</t>
        </is>
      </c>
      <c r="D52" s="1" t="inlineStr">
        <is>
          <t>00724F101</t>
        </is>
      </c>
      <c r="E52" t="inlineStr">
        <is>
          <t>Adobe Inc</t>
        </is>
      </c>
      <c r="F52" t="inlineStr">
        <is>
          <t>112.00000000</t>
        </is>
      </c>
      <c r="G52" t="inlineStr">
        <is>
          <t>196.570000</t>
        </is>
      </c>
      <c r="H52" t="inlineStr">
        <is>
          <t>22015.84</t>
        </is>
      </c>
      <c r="I52" t="inlineStr">
        <is>
          <t>1.12%</t>
        </is>
      </c>
      <c r="J52" t="inlineStr">
        <is>
          <t>1970766.00</t>
        </is>
      </c>
      <c r="K52" t="inlineStr">
        <is>
          <t>70000</t>
        </is>
      </c>
      <c r="L52" t="inlineStr">
        <is>
          <t>14.000000000000</t>
        </is>
      </c>
      <c r="M52" t="inlineStr"/>
    </row>
    <row r="53">
      <c r="A53" t="inlineStr">
        <is>
          <t>06/25/2026</t>
        </is>
      </c>
      <c r="B53" t="inlineStr">
        <is>
          <t>BAY</t>
        </is>
      </c>
      <c r="C53" s="1" t="inlineStr">
        <is>
          <t>ADSK</t>
        </is>
      </c>
      <c r="D53" s="1" t="inlineStr">
        <is>
          <t>052769106</t>
        </is>
      </c>
      <c r="E53" t="inlineStr">
        <is>
          <t>Autodesk Inc</t>
        </is>
      </c>
      <c r="F53" t="inlineStr">
        <is>
          <t>84.00000000</t>
        </is>
      </c>
      <c r="G53" t="inlineStr">
        <is>
          <t>192.610000</t>
        </is>
      </c>
      <c r="H53" t="inlineStr">
        <is>
          <t>16179.24</t>
        </is>
      </c>
      <c r="I53" t="inlineStr">
        <is>
          <t>0.82%</t>
        </is>
      </c>
      <c r="J53" t="inlineStr">
        <is>
          <t>1970766.00</t>
        </is>
      </c>
      <c r="K53" t="inlineStr">
        <is>
          <t>70000</t>
        </is>
      </c>
      <c r="L53" t="inlineStr">
        <is>
          <t>14.000000000000</t>
        </is>
      </c>
      <c r="M53" t="inlineStr"/>
    </row>
    <row r="54">
      <c r="A54" t="inlineStr">
        <is>
          <t>06/25/2026</t>
        </is>
      </c>
      <c r="B54" t="inlineStr">
        <is>
          <t>BAY</t>
        </is>
      </c>
      <c r="C54" s="1" t="inlineStr">
        <is>
          <t>AFRM</t>
        </is>
      </c>
      <c r="D54" s="1" t="inlineStr">
        <is>
          <t>00827B106</t>
        </is>
      </c>
      <c r="E54" t="inlineStr">
        <is>
          <t>Affirm Holdings Inc</t>
        </is>
      </c>
      <c r="F54" t="inlineStr">
        <is>
          <t>168.00000000</t>
        </is>
      </c>
      <c r="G54" t="inlineStr">
        <is>
          <t>77.660000</t>
        </is>
      </c>
      <c r="H54" t="inlineStr">
        <is>
          <t>13046.88</t>
        </is>
      </c>
      <c r="I54" t="inlineStr">
        <is>
          <t>0.66%</t>
        </is>
      </c>
      <c r="J54" t="inlineStr">
        <is>
          <t>1970766.00</t>
        </is>
      </c>
      <c r="K54" t="inlineStr">
        <is>
          <t>70000</t>
        </is>
      </c>
      <c r="L54" t="inlineStr">
        <is>
          <t>14.000000000000</t>
        </is>
      </c>
      <c r="M54" t="inlineStr"/>
    </row>
    <row r="55">
      <c r="A55" t="inlineStr">
        <is>
          <t>06/25/2026</t>
        </is>
      </c>
      <c r="B55" t="inlineStr">
        <is>
          <t>BAY</t>
        </is>
      </c>
      <c r="C55" s="1" t="inlineStr">
        <is>
          <t>ALAB</t>
        </is>
      </c>
      <c r="D55" s="1" t="inlineStr">
        <is>
          <t>04626A103</t>
        </is>
      </c>
      <c r="E55" t="inlineStr">
        <is>
          <t>Astera Labs Inc</t>
        </is>
      </c>
      <c r="F55" t="inlineStr">
        <is>
          <t>56.00000000</t>
        </is>
      </c>
      <c r="G55" t="inlineStr">
        <is>
          <t>399.920000</t>
        </is>
      </c>
      <c r="H55" t="inlineStr">
        <is>
          <t>22395.52</t>
        </is>
      </c>
      <c r="I55" t="inlineStr">
        <is>
          <t>1.14%</t>
        </is>
      </c>
      <c r="J55" t="inlineStr">
        <is>
          <t>1970766.00</t>
        </is>
      </c>
      <c r="K55" t="inlineStr">
        <is>
          <t>70000</t>
        </is>
      </c>
      <c r="L55" t="inlineStr">
        <is>
          <t>14.000000000000</t>
        </is>
      </c>
      <c r="M55" t="inlineStr"/>
    </row>
    <row r="56">
      <c r="A56" t="inlineStr">
        <is>
          <t>06/25/2026</t>
        </is>
      </c>
      <c r="B56" t="inlineStr">
        <is>
          <t>BAY</t>
        </is>
      </c>
      <c r="C56" s="1" t="inlineStr">
        <is>
          <t>AMAT</t>
        </is>
      </c>
      <c r="D56" s="1" t="inlineStr">
        <is>
          <t>038222105</t>
        </is>
      </c>
      <c r="E56" t="inlineStr">
        <is>
          <t>Applied Materials Inc</t>
        </is>
      </c>
      <c r="F56" t="inlineStr">
        <is>
          <t>98.00000000</t>
        </is>
      </c>
      <c r="G56" t="inlineStr">
        <is>
          <t>588.970000</t>
        </is>
      </c>
      <c r="H56" t="inlineStr">
        <is>
          <t>57719.06</t>
        </is>
      </c>
      <c r="I56" t="inlineStr">
        <is>
          <t>2.93%</t>
        </is>
      </c>
      <c r="J56" t="inlineStr">
        <is>
          <t>1970766.00</t>
        </is>
      </c>
      <c r="K56" t="inlineStr">
        <is>
          <t>70000</t>
        </is>
      </c>
      <c r="L56" t="inlineStr">
        <is>
          <t>14.000000000000</t>
        </is>
      </c>
      <c r="M56" t="inlineStr"/>
    </row>
    <row r="57">
      <c r="A57" t="inlineStr">
        <is>
          <t>06/25/2026</t>
        </is>
      </c>
      <c r="B57" t="inlineStr">
        <is>
          <t>BAY</t>
        </is>
      </c>
      <c r="C57" s="1" t="inlineStr">
        <is>
          <t>AMD</t>
        </is>
      </c>
      <c r="D57" s="1" t="inlineStr">
        <is>
          <t>007903107</t>
        </is>
      </c>
      <c r="E57" t="inlineStr">
        <is>
          <t>Advanced Micro Devices Inc</t>
        </is>
      </c>
      <c r="F57" t="inlineStr">
        <is>
          <t>168.00000000</t>
        </is>
      </c>
      <c r="G57" t="inlineStr">
        <is>
          <t>519.740000</t>
        </is>
      </c>
      <c r="H57" t="inlineStr">
        <is>
          <t>87316.32</t>
        </is>
      </c>
      <c r="I57" t="inlineStr">
        <is>
          <t>4.43%</t>
        </is>
      </c>
      <c r="J57" t="inlineStr">
        <is>
          <t>1970766.00</t>
        </is>
      </c>
      <c r="K57" t="inlineStr">
        <is>
          <t>70000</t>
        </is>
      </c>
      <c r="L57" t="inlineStr">
        <is>
          <t>14.000000000000</t>
        </is>
      </c>
      <c r="M57" t="inlineStr"/>
    </row>
    <row r="58">
      <c r="A58" t="inlineStr">
        <is>
          <t>06/25/2026</t>
        </is>
      </c>
      <c r="B58" t="inlineStr">
        <is>
          <t>BAY</t>
        </is>
      </c>
      <c r="C58" s="1" t="inlineStr">
        <is>
          <t>APP</t>
        </is>
      </c>
      <c r="D58" s="1" t="inlineStr">
        <is>
          <t>03831W108</t>
        </is>
      </c>
      <c r="E58" t="inlineStr">
        <is>
          <t>AppLovin Corp</t>
        </is>
      </c>
      <c r="F58" t="inlineStr">
        <is>
          <t>56.00000000</t>
        </is>
      </c>
      <c r="G58" t="inlineStr">
        <is>
          <t>464.960000</t>
        </is>
      </c>
      <c r="H58" t="inlineStr">
        <is>
          <t>26037.76</t>
        </is>
      </c>
      <c r="I58" t="inlineStr">
        <is>
          <t>1.32%</t>
        </is>
      </c>
      <c r="J58" t="inlineStr">
        <is>
          <t>1970766.00</t>
        </is>
      </c>
      <c r="K58" t="inlineStr">
        <is>
          <t>70000</t>
        </is>
      </c>
      <c r="L58" t="inlineStr">
        <is>
          <t>14.000000000000</t>
        </is>
      </c>
      <c r="M58" t="inlineStr"/>
    </row>
    <row r="59">
      <c r="A59" t="inlineStr">
        <is>
          <t>06/25/2026</t>
        </is>
      </c>
      <c r="B59" t="inlineStr">
        <is>
          <t>BAY</t>
        </is>
      </c>
      <c r="C59" s="1" t="inlineStr">
        <is>
          <t>AVGO</t>
        </is>
      </c>
      <c r="D59" s="1" t="inlineStr">
        <is>
          <t>11135F101</t>
        </is>
      </c>
      <c r="E59" t="inlineStr">
        <is>
          <t>Broadcom Inc</t>
        </is>
      </c>
      <c r="F59" t="inlineStr">
        <is>
          <t>210.00000000</t>
        </is>
      </c>
      <c r="G59" t="inlineStr">
        <is>
          <t>382.070000</t>
        </is>
      </c>
      <c r="H59" t="inlineStr">
        <is>
          <t>80234.70</t>
        </is>
      </c>
      <c r="I59" t="inlineStr">
        <is>
          <t>4.07%</t>
        </is>
      </c>
      <c r="J59" t="inlineStr">
        <is>
          <t>1970766.00</t>
        </is>
      </c>
      <c r="K59" t="inlineStr">
        <is>
          <t>70000</t>
        </is>
      </c>
      <c r="L59" t="inlineStr">
        <is>
          <t>14.000000000000</t>
        </is>
      </c>
      <c r="M59" t="inlineStr"/>
    </row>
    <row r="60">
      <c r="A60" t="inlineStr">
        <is>
          <t>06/25/2026</t>
        </is>
      </c>
      <c r="B60" t="inlineStr">
        <is>
          <t>BAY</t>
        </is>
      </c>
      <c r="C60" s="1" t="inlineStr">
        <is>
          <t>BBIO</t>
        </is>
      </c>
      <c r="D60" s="1" t="inlineStr">
        <is>
          <t>10806X102</t>
        </is>
      </c>
      <c r="E60" t="inlineStr">
        <is>
          <t>Bridgebio Pharma Inc</t>
        </is>
      </c>
      <c r="F60" t="inlineStr">
        <is>
          <t>140.00000000</t>
        </is>
      </c>
      <c r="G60" t="inlineStr">
        <is>
          <t>69.360000</t>
        </is>
      </c>
      <c r="H60" t="inlineStr">
        <is>
          <t>9710.40</t>
        </is>
      </c>
      <c r="I60" t="inlineStr">
        <is>
          <t>0.49%</t>
        </is>
      </c>
      <c r="J60" t="inlineStr">
        <is>
          <t>1970766.00</t>
        </is>
      </c>
      <c r="K60" t="inlineStr">
        <is>
          <t>70000</t>
        </is>
      </c>
      <c r="L60" t="inlineStr">
        <is>
          <t>14.000000000000</t>
        </is>
      </c>
      <c r="M60" t="inlineStr"/>
    </row>
    <row r="61">
      <c r="A61" t="inlineStr">
        <is>
          <t>06/25/2026</t>
        </is>
      </c>
      <c r="B61" t="inlineStr">
        <is>
          <t>BAY</t>
        </is>
      </c>
      <c r="C61" s="1" t="inlineStr">
        <is>
          <t>BE</t>
        </is>
      </c>
      <c r="D61" s="1" t="inlineStr">
        <is>
          <t>093712107</t>
        </is>
      </c>
      <c r="E61" t="inlineStr">
        <is>
          <t>Bloom Energy Corp</t>
        </is>
      </c>
      <c r="F61" t="inlineStr">
        <is>
          <t>84.00000000</t>
        </is>
      </c>
      <c r="G61" t="inlineStr">
        <is>
          <t>326.190000</t>
        </is>
      </c>
      <c r="H61" t="inlineStr">
        <is>
          <t>27399.96</t>
        </is>
      </c>
      <c r="I61" t="inlineStr">
        <is>
          <t>1.39%</t>
        </is>
      </c>
      <c r="J61" t="inlineStr">
        <is>
          <t>1970766.00</t>
        </is>
      </c>
      <c r="K61" t="inlineStr">
        <is>
          <t>70000</t>
        </is>
      </c>
      <c r="L61" t="inlineStr">
        <is>
          <t>14.000000000000</t>
        </is>
      </c>
      <c r="M61" t="inlineStr"/>
    </row>
    <row r="62">
      <c r="A62" t="inlineStr">
        <is>
          <t>06/25/2026</t>
        </is>
      </c>
      <c r="B62" t="inlineStr">
        <is>
          <t>BAY</t>
        </is>
      </c>
      <c r="C62" s="1" t="inlineStr">
        <is>
          <t>CLX</t>
        </is>
      </c>
      <c r="D62" s="1" t="inlineStr">
        <is>
          <t>189054109</t>
        </is>
      </c>
      <c r="E62" t="inlineStr">
        <is>
          <t>Clorox Co/The</t>
        </is>
      </c>
      <c r="F62" t="inlineStr">
        <is>
          <t>112.00000000</t>
        </is>
      </c>
      <c r="G62" t="inlineStr">
        <is>
          <t>95.380000</t>
        </is>
      </c>
      <c r="H62" t="inlineStr">
        <is>
          <t>10682.56</t>
        </is>
      </c>
      <c r="I62" t="inlineStr">
        <is>
          <t>0.54%</t>
        </is>
      </c>
      <c r="J62" t="inlineStr">
        <is>
          <t>1970766.00</t>
        </is>
      </c>
      <c r="K62" t="inlineStr">
        <is>
          <t>70000</t>
        </is>
      </c>
      <c r="L62" t="inlineStr">
        <is>
          <t>14.000000000000</t>
        </is>
      </c>
      <c r="M62" t="inlineStr"/>
    </row>
    <row r="63">
      <c r="A63" t="inlineStr">
        <is>
          <t>06/25/2026</t>
        </is>
      </c>
      <c r="B63" t="inlineStr">
        <is>
          <t>BAY</t>
        </is>
      </c>
      <c r="C63" s="1" t="inlineStr">
        <is>
          <t>COIN</t>
        </is>
      </c>
      <c r="D63" s="1" t="inlineStr">
        <is>
          <t>19260Q107</t>
        </is>
      </c>
      <c r="E63" t="inlineStr">
        <is>
          <t>Coinbase Global Inc</t>
        </is>
      </c>
      <c r="F63" t="inlineStr">
        <is>
          <t>84.00000000</t>
        </is>
      </c>
      <c r="G63" t="inlineStr">
        <is>
          <t>150.110000</t>
        </is>
      </c>
      <c r="H63" t="inlineStr">
        <is>
          <t>12609.24</t>
        </is>
      </c>
      <c r="I63" t="inlineStr">
        <is>
          <t>0.64%</t>
        </is>
      </c>
      <c r="J63" t="inlineStr">
        <is>
          <t>1970766.00</t>
        </is>
      </c>
      <c r="K63" t="inlineStr">
        <is>
          <t>70000</t>
        </is>
      </c>
      <c r="L63" t="inlineStr">
        <is>
          <t>14.000000000000</t>
        </is>
      </c>
      <c r="M63" t="inlineStr"/>
    </row>
    <row r="64">
      <c r="A64" t="inlineStr">
        <is>
          <t>06/25/2026</t>
        </is>
      </c>
      <c r="B64" t="inlineStr">
        <is>
          <t>BAY</t>
        </is>
      </c>
      <c r="C64" s="1" t="inlineStr">
        <is>
          <t>COO</t>
        </is>
      </c>
      <c r="D64" s="1" t="inlineStr">
        <is>
          <t>216648501</t>
        </is>
      </c>
      <c r="E64" t="inlineStr">
        <is>
          <t>Cooper Cos Inc/The</t>
        </is>
      </c>
      <c r="F64" t="inlineStr">
        <is>
          <t>168.00000000</t>
        </is>
      </c>
      <c r="G64" t="inlineStr">
        <is>
          <t>68.830000</t>
        </is>
      </c>
      <c r="H64" t="inlineStr">
        <is>
          <t>11563.44</t>
        </is>
      </c>
      <c r="I64" t="inlineStr">
        <is>
          <t>0.59%</t>
        </is>
      </c>
      <c r="J64" t="inlineStr">
        <is>
          <t>1970766.00</t>
        </is>
      </c>
      <c r="K64" t="inlineStr">
        <is>
          <t>70000</t>
        </is>
      </c>
      <c r="L64" t="inlineStr">
        <is>
          <t>14.000000000000</t>
        </is>
      </c>
      <c r="M64" t="inlineStr"/>
    </row>
    <row r="65">
      <c r="A65" t="inlineStr">
        <is>
          <t>06/25/2026</t>
        </is>
      </c>
      <c r="B65" t="inlineStr">
        <is>
          <t>BAY</t>
        </is>
      </c>
      <c r="C65" s="1" t="inlineStr">
        <is>
          <t>CRM</t>
        </is>
      </c>
      <c r="D65" s="1" t="inlineStr">
        <is>
          <t>79466L302</t>
        </is>
      </c>
      <c r="E65" t="inlineStr">
        <is>
          <t>Salesforce Inc</t>
        </is>
      </c>
      <c r="F65" t="inlineStr">
        <is>
          <t>182.00000000</t>
        </is>
      </c>
      <c r="G65" t="inlineStr">
        <is>
          <t>152.760000</t>
        </is>
      </c>
      <c r="H65" t="inlineStr">
        <is>
          <t>27802.32</t>
        </is>
      </c>
      <c r="I65" t="inlineStr">
        <is>
          <t>1.41%</t>
        </is>
      </c>
      <c r="J65" t="inlineStr">
        <is>
          <t>1970766.00</t>
        </is>
      </c>
      <c r="K65" t="inlineStr">
        <is>
          <t>70000</t>
        </is>
      </c>
      <c r="L65" t="inlineStr">
        <is>
          <t>14.000000000000</t>
        </is>
      </c>
      <c r="M65" t="inlineStr"/>
    </row>
    <row r="66">
      <c r="A66" t="inlineStr">
        <is>
          <t>06/25/2026</t>
        </is>
      </c>
      <c r="B66" t="inlineStr">
        <is>
          <t>BAY</t>
        </is>
      </c>
      <c r="C66" s="1" t="inlineStr">
        <is>
          <t>CSCO</t>
        </is>
      </c>
      <c r="D66" s="1" t="inlineStr">
        <is>
          <t>17275R102</t>
        </is>
      </c>
      <c r="E66" t="inlineStr">
        <is>
          <t>Cisco Systems Inc</t>
        </is>
      </c>
      <c r="F66" t="inlineStr">
        <is>
          <t>476.00000000</t>
        </is>
      </c>
      <c r="G66" t="inlineStr">
        <is>
          <t>119.730000</t>
        </is>
      </c>
      <c r="H66" t="inlineStr">
        <is>
          <t>56991.48</t>
        </is>
      </c>
      <c r="I66" t="inlineStr">
        <is>
          <t>2.89%</t>
        </is>
      </c>
      <c r="J66" t="inlineStr">
        <is>
          <t>1970766.00</t>
        </is>
      </c>
      <c r="K66" t="inlineStr">
        <is>
          <t>70000</t>
        </is>
      </c>
      <c r="L66" t="inlineStr">
        <is>
          <t>14.000000000000</t>
        </is>
      </c>
      <c r="M66" t="inlineStr"/>
    </row>
    <row r="67">
      <c r="A67" t="inlineStr">
        <is>
          <t>06/25/2026</t>
        </is>
      </c>
      <c r="B67" t="inlineStr">
        <is>
          <t>BAY</t>
        </is>
      </c>
      <c r="C67" s="1" t="inlineStr">
        <is>
          <t>DASH</t>
        </is>
      </c>
      <c r="D67" s="1" t="inlineStr">
        <is>
          <t>25809K105</t>
        </is>
      </c>
      <c r="E67" t="inlineStr">
        <is>
          <t>DoorDash Inc</t>
        </is>
      </c>
      <c r="F67" t="inlineStr">
        <is>
          <t>112.00000000</t>
        </is>
      </c>
      <c r="G67" t="inlineStr">
        <is>
          <t>177.930000</t>
        </is>
      </c>
      <c r="H67" t="inlineStr">
        <is>
          <t>19928.16</t>
        </is>
      </c>
      <c r="I67" t="inlineStr">
        <is>
          <t>1.01%</t>
        </is>
      </c>
      <c r="J67" t="inlineStr">
        <is>
          <t>1970766.00</t>
        </is>
      </c>
      <c r="K67" t="inlineStr">
        <is>
          <t>70000</t>
        </is>
      </c>
      <c r="L67" t="inlineStr">
        <is>
          <t>14.000000000000</t>
        </is>
      </c>
      <c r="M67" t="inlineStr"/>
    </row>
    <row r="68">
      <c r="A68" t="inlineStr">
        <is>
          <t>06/25/2026</t>
        </is>
      </c>
      <c r="B68" t="inlineStr">
        <is>
          <t>BAY</t>
        </is>
      </c>
      <c r="C68" s="1" t="inlineStr">
        <is>
          <t>EBAY</t>
        </is>
      </c>
      <c r="D68" s="1" t="inlineStr">
        <is>
          <t>278642103</t>
        </is>
      </c>
      <c r="E68" t="inlineStr">
        <is>
          <t>eBay Inc</t>
        </is>
      </c>
      <c r="F68" t="inlineStr">
        <is>
          <t>168.00000000</t>
        </is>
      </c>
      <c r="G68" t="inlineStr">
        <is>
          <t>109.450000</t>
        </is>
      </c>
      <c r="H68" t="inlineStr">
        <is>
          <t>18387.60</t>
        </is>
      </c>
      <c r="I68" t="inlineStr">
        <is>
          <t>0.93%</t>
        </is>
      </c>
      <c r="J68" t="inlineStr">
        <is>
          <t>1970766.00</t>
        </is>
      </c>
      <c r="K68" t="inlineStr">
        <is>
          <t>70000</t>
        </is>
      </c>
      <c r="L68" t="inlineStr">
        <is>
          <t>14.000000000000</t>
        </is>
      </c>
      <c r="M68" t="inlineStr"/>
    </row>
    <row r="69">
      <c r="A69" t="inlineStr">
        <is>
          <t>06/25/2026</t>
        </is>
      </c>
      <c r="B69" t="inlineStr">
        <is>
          <t>BAY</t>
        </is>
      </c>
      <c r="C69" s="1" t="inlineStr">
        <is>
          <t>ESS</t>
        </is>
      </c>
      <c r="D69" s="1" t="inlineStr">
        <is>
          <t>297178105</t>
        </is>
      </c>
      <c r="E69" t="inlineStr">
        <is>
          <t>Essex Property Trust Inc</t>
        </is>
      </c>
      <c r="F69" t="inlineStr">
        <is>
          <t>42.00000000</t>
        </is>
      </c>
      <c r="G69" t="inlineStr">
        <is>
          <t>281.650000</t>
        </is>
      </c>
      <c r="H69" t="inlineStr">
        <is>
          <t>11829.30</t>
        </is>
      </c>
      <c r="I69" t="inlineStr">
        <is>
          <t>0.60%</t>
        </is>
      </c>
      <c r="J69" t="inlineStr">
        <is>
          <t>1970766.00</t>
        </is>
      </c>
      <c r="K69" t="inlineStr">
        <is>
          <t>70000</t>
        </is>
      </c>
      <c r="L69" t="inlineStr">
        <is>
          <t>14.000000000000</t>
        </is>
      </c>
      <c r="M69" t="inlineStr"/>
    </row>
    <row r="70">
      <c r="A70" t="inlineStr">
        <is>
          <t>06/25/2026</t>
        </is>
      </c>
      <c r="B70" t="inlineStr">
        <is>
          <t>BAY</t>
        </is>
      </c>
      <c r="C70" s="1" t="inlineStr">
        <is>
          <t>FGXXX</t>
        </is>
      </c>
      <c r="D70" s="1" t="inlineStr">
        <is>
          <t>31846V336</t>
        </is>
      </c>
      <c r="E70" t="inlineStr">
        <is>
          <t>First American Government Obligations Fund 12/01/2031</t>
        </is>
      </c>
      <c r="F70" t="inlineStr">
        <is>
          <t>27291.07000000</t>
        </is>
      </c>
      <c r="G70" t="inlineStr">
        <is>
          <t>100.000000</t>
        </is>
      </c>
      <c r="H70" t="inlineStr">
        <is>
          <t>27291.07</t>
        </is>
      </c>
      <c r="I70" t="inlineStr">
        <is>
          <t>1.38%</t>
        </is>
      </c>
      <c r="J70" t="inlineStr">
        <is>
          <t>1970766.00</t>
        </is>
      </c>
      <c r="K70" t="inlineStr">
        <is>
          <t>70000</t>
        </is>
      </c>
      <c r="L70" t="inlineStr">
        <is>
          <t>14.000000000000</t>
        </is>
      </c>
      <c r="M70" t="inlineStr">
        <is>
          <t>Y</t>
        </is>
      </c>
    </row>
    <row r="71">
      <c r="A71" t="inlineStr">
        <is>
          <t>06/25/2026</t>
        </is>
      </c>
      <c r="B71" t="inlineStr">
        <is>
          <t>BAY</t>
        </is>
      </c>
      <c r="C71" s="1" t="inlineStr">
        <is>
          <t>FTNT</t>
        </is>
      </c>
      <c r="D71" s="1" t="inlineStr">
        <is>
          <t>34959E109</t>
        </is>
      </c>
      <c r="E71" t="inlineStr">
        <is>
          <t>Fortinet Inc</t>
        </is>
      </c>
      <c r="F71" t="inlineStr">
        <is>
          <t>238.00000000</t>
        </is>
      </c>
      <c r="G71" t="inlineStr">
        <is>
          <t>145.280000</t>
        </is>
      </c>
      <c r="H71" t="inlineStr">
        <is>
          <t>34576.64</t>
        </is>
      </c>
      <c r="I71" t="inlineStr">
        <is>
          <t>1.75%</t>
        </is>
      </c>
      <c r="J71" t="inlineStr">
        <is>
          <t>1970766.00</t>
        </is>
      </c>
      <c r="K71" t="inlineStr">
        <is>
          <t>70000</t>
        </is>
      </c>
      <c r="L71" t="inlineStr">
        <is>
          <t>14.000000000000</t>
        </is>
      </c>
      <c r="M71" t="inlineStr"/>
    </row>
    <row r="72">
      <c r="A72" t="inlineStr">
        <is>
          <t>06/25/2026</t>
        </is>
      </c>
      <c r="B72" t="inlineStr">
        <is>
          <t>BAY</t>
        </is>
      </c>
      <c r="C72" s="1" t="inlineStr">
        <is>
          <t>GILD</t>
        </is>
      </c>
      <c r="D72" s="1" t="inlineStr">
        <is>
          <t>375558103</t>
        </is>
      </c>
      <c r="E72" t="inlineStr">
        <is>
          <t>Gilead Sciences Inc</t>
        </is>
      </c>
      <c r="F72" t="inlineStr">
        <is>
          <t>252.00000000</t>
        </is>
      </c>
      <c r="G72" t="inlineStr">
        <is>
          <t>125.160000</t>
        </is>
      </c>
      <c r="H72" t="inlineStr">
        <is>
          <t>31540.32</t>
        </is>
      </c>
      <c r="I72" t="inlineStr">
        <is>
          <t>1.60%</t>
        </is>
      </c>
      <c r="J72" t="inlineStr">
        <is>
          <t>1970766.00</t>
        </is>
      </c>
      <c r="K72" t="inlineStr">
        <is>
          <t>70000</t>
        </is>
      </c>
      <c r="L72" t="inlineStr">
        <is>
          <t>14.000000000000</t>
        </is>
      </c>
      <c r="M72" t="inlineStr"/>
    </row>
    <row r="73">
      <c r="A73" t="inlineStr">
        <is>
          <t>06/25/2026</t>
        </is>
      </c>
      <c r="B73" t="inlineStr">
        <is>
          <t>BAY</t>
        </is>
      </c>
      <c r="C73" s="1" t="inlineStr">
        <is>
          <t>GOOGL</t>
        </is>
      </c>
      <c r="D73" s="1" t="inlineStr">
        <is>
          <t>02079K305</t>
        </is>
      </c>
      <c r="E73" t="inlineStr">
        <is>
          <t>Alphabet Inc</t>
        </is>
      </c>
      <c r="F73" t="inlineStr">
        <is>
          <t>252.00000000</t>
        </is>
      </c>
      <c r="G73" t="inlineStr">
        <is>
          <t>345.290000</t>
        </is>
      </c>
      <c r="H73" t="inlineStr">
        <is>
          <t>87013.08</t>
        </is>
      </c>
      <c r="I73" t="inlineStr">
        <is>
          <t>4.42%</t>
        </is>
      </c>
      <c r="J73" t="inlineStr">
        <is>
          <t>1970766.00</t>
        </is>
      </c>
      <c r="K73" t="inlineStr">
        <is>
          <t>70000</t>
        </is>
      </c>
      <c r="L73" t="inlineStr">
        <is>
          <t>14.000000000000</t>
        </is>
      </c>
      <c r="M73" t="inlineStr"/>
    </row>
    <row r="74">
      <c r="A74" t="inlineStr">
        <is>
          <t>06/25/2026</t>
        </is>
      </c>
      <c r="B74" t="inlineStr">
        <is>
          <t>BAY</t>
        </is>
      </c>
      <c r="C74" s="1" t="inlineStr">
        <is>
          <t>HOOD</t>
        </is>
      </c>
      <c r="D74" s="1" t="inlineStr">
        <is>
          <t>770700102</t>
        </is>
      </c>
      <c r="E74" t="inlineStr">
        <is>
          <t>Robinhood Markets Inc</t>
        </is>
      </c>
      <c r="F74" t="inlineStr">
        <is>
          <t>252.00000000</t>
        </is>
      </c>
      <c r="G74" t="inlineStr">
        <is>
          <t>97.190000</t>
        </is>
      </c>
      <c r="H74" t="inlineStr">
        <is>
          <t>24491.88</t>
        </is>
      </c>
      <c r="I74" t="inlineStr">
        <is>
          <t>1.24%</t>
        </is>
      </c>
      <c r="J74" t="inlineStr">
        <is>
          <t>1970766.00</t>
        </is>
      </c>
      <c r="K74" t="inlineStr">
        <is>
          <t>70000</t>
        </is>
      </c>
      <c r="L74" t="inlineStr">
        <is>
          <t>14.000000000000</t>
        </is>
      </c>
      <c r="M74" t="inlineStr"/>
    </row>
    <row r="75">
      <c r="A75" t="inlineStr">
        <is>
          <t>06/25/2026</t>
        </is>
      </c>
      <c r="B75" t="inlineStr">
        <is>
          <t>BAY</t>
        </is>
      </c>
      <c r="C75" s="1" t="inlineStr">
        <is>
          <t>HPQ</t>
        </is>
      </c>
      <c r="D75" s="1" t="inlineStr">
        <is>
          <t>40434L105</t>
        </is>
      </c>
      <c r="E75" t="inlineStr">
        <is>
          <t>HP Inc</t>
        </is>
      </c>
      <c r="F75" t="inlineStr">
        <is>
          <t>602.00000000</t>
        </is>
      </c>
      <c r="G75" t="inlineStr">
        <is>
          <t>23.290000</t>
        </is>
      </c>
      <c r="H75" t="inlineStr">
        <is>
          <t>14020.58</t>
        </is>
      </c>
      <c r="I75" t="inlineStr">
        <is>
          <t>0.71%</t>
        </is>
      </c>
      <c r="J75" t="inlineStr">
        <is>
          <t>1970766.00</t>
        </is>
      </c>
      <c r="K75" t="inlineStr">
        <is>
          <t>70000</t>
        </is>
      </c>
      <c r="L75" t="inlineStr">
        <is>
          <t>14.000000000000</t>
        </is>
      </c>
      <c r="M75" t="inlineStr"/>
    </row>
    <row r="76">
      <c r="A76" t="inlineStr">
        <is>
          <t>06/25/2026</t>
        </is>
      </c>
      <c r="B76" t="inlineStr">
        <is>
          <t>BAY</t>
        </is>
      </c>
      <c r="C76" s="1" t="inlineStr">
        <is>
          <t>INTC</t>
        </is>
      </c>
      <c r="D76" s="1" t="inlineStr">
        <is>
          <t>458140100</t>
        </is>
      </c>
      <c r="E76" t="inlineStr">
        <is>
          <t>Intel Corp</t>
        </is>
      </c>
      <c r="F76" t="inlineStr">
        <is>
          <t>532.00000000</t>
        </is>
      </c>
      <c r="G76" t="inlineStr">
        <is>
          <t>131.650000</t>
        </is>
      </c>
      <c r="H76" t="inlineStr">
        <is>
          <t>70037.80</t>
        </is>
      </c>
      <c r="I76" t="inlineStr">
        <is>
          <t>3.55%</t>
        </is>
      </c>
      <c r="J76" t="inlineStr">
        <is>
          <t>1970766.00</t>
        </is>
      </c>
      <c r="K76" t="inlineStr">
        <is>
          <t>70000</t>
        </is>
      </c>
      <c r="L76" t="inlineStr">
        <is>
          <t>14.000000000000</t>
        </is>
      </c>
      <c r="M76" t="inlineStr"/>
    </row>
    <row r="77">
      <c r="A77" t="inlineStr">
        <is>
          <t>06/25/2026</t>
        </is>
      </c>
      <c r="B77" t="inlineStr">
        <is>
          <t>BAY</t>
        </is>
      </c>
      <c r="C77" s="1" t="inlineStr">
        <is>
          <t>IOT</t>
        </is>
      </c>
      <c r="D77" s="1" t="inlineStr">
        <is>
          <t>79589L106</t>
        </is>
      </c>
      <c r="E77" t="inlineStr">
        <is>
          <t>Samsara Inc</t>
        </is>
      </c>
      <c r="F77" t="inlineStr">
        <is>
          <t>336.00000000</t>
        </is>
      </c>
      <c r="G77" t="inlineStr">
        <is>
          <t>31.240000</t>
        </is>
      </c>
      <c r="H77" t="inlineStr">
        <is>
          <t>10496.64</t>
        </is>
      </c>
      <c r="I77" t="inlineStr">
        <is>
          <t>0.53%</t>
        </is>
      </c>
      <c r="J77" t="inlineStr">
        <is>
          <t>1970766.00</t>
        </is>
      </c>
      <c r="K77" t="inlineStr">
        <is>
          <t>70000</t>
        </is>
      </c>
      <c r="L77" t="inlineStr">
        <is>
          <t>14.000000000000</t>
        </is>
      </c>
      <c r="M77" t="inlineStr"/>
    </row>
    <row r="78">
      <c r="A78" t="inlineStr">
        <is>
          <t>06/25/2026</t>
        </is>
      </c>
      <c r="B78" t="inlineStr">
        <is>
          <t>BAY</t>
        </is>
      </c>
      <c r="C78" s="1" t="inlineStr">
        <is>
          <t>ISRG</t>
        </is>
      </c>
      <c r="D78" s="1" t="inlineStr">
        <is>
          <t>46120E602</t>
        </is>
      </c>
      <c r="E78" t="inlineStr">
        <is>
          <t>Intuitive Surgical Inc</t>
        </is>
      </c>
      <c r="F78" t="inlineStr">
        <is>
          <t>70.00000000</t>
        </is>
      </c>
      <c r="G78" t="inlineStr">
        <is>
          <t>401.830000</t>
        </is>
      </c>
      <c r="H78" t="inlineStr">
        <is>
          <t>28128.10</t>
        </is>
      </c>
      <c r="I78" t="inlineStr">
        <is>
          <t>1.43%</t>
        </is>
      </c>
      <c r="J78" t="inlineStr">
        <is>
          <t>1970766.00</t>
        </is>
      </c>
      <c r="K78" t="inlineStr">
        <is>
          <t>70000</t>
        </is>
      </c>
      <c r="L78" t="inlineStr">
        <is>
          <t>14.000000000000</t>
        </is>
      </c>
      <c r="M78" t="inlineStr"/>
    </row>
    <row r="79">
      <c r="A79" t="inlineStr">
        <is>
          <t>06/25/2026</t>
        </is>
      </c>
      <c r="B79" t="inlineStr">
        <is>
          <t>BAY</t>
        </is>
      </c>
      <c r="C79" s="1" t="inlineStr">
        <is>
          <t>LITE</t>
        </is>
      </c>
      <c r="D79" s="1" t="inlineStr">
        <is>
          <t>55024U109</t>
        </is>
      </c>
      <c r="E79" t="inlineStr">
        <is>
          <t>Lumentum Holdings Inc</t>
        </is>
      </c>
      <c r="F79" t="inlineStr">
        <is>
          <t>28.00000000</t>
        </is>
      </c>
      <c r="G79" t="inlineStr">
        <is>
          <t>842.530000</t>
        </is>
      </c>
      <c r="H79" t="inlineStr">
        <is>
          <t>23590.84</t>
        </is>
      </c>
      <c r="I79" t="inlineStr">
        <is>
          <t>1.20%</t>
        </is>
      </c>
      <c r="J79" t="inlineStr">
        <is>
          <t>1970766.00</t>
        </is>
      </c>
      <c r="K79" t="inlineStr">
        <is>
          <t>70000</t>
        </is>
      </c>
      <c r="L79" t="inlineStr">
        <is>
          <t>14.000000000000</t>
        </is>
      </c>
      <c r="M79" t="inlineStr"/>
    </row>
    <row r="80">
      <c r="A80" t="inlineStr">
        <is>
          <t>06/25/2026</t>
        </is>
      </c>
      <c r="B80" t="inlineStr">
        <is>
          <t>BAY</t>
        </is>
      </c>
      <c r="C80" s="1" t="inlineStr">
        <is>
          <t>LRCX</t>
        </is>
      </c>
      <c r="D80" s="1" t="inlineStr">
        <is>
          <t>512807306</t>
        </is>
      </c>
      <c r="E80" t="inlineStr">
        <is>
          <t>Lam Research Corp</t>
        </is>
      </c>
      <c r="F80" t="inlineStr">
        <is>
          <t>154.00000000</t>
        </is>
      </c>
      <c r="G80" t="inlineStr">
        <is>
          <t>374.800000</t>
        </is>
      </c>
      <c r="H80" t="inlineStr">
        <is>
          <t>57719.20</t>
        </is>
      </c>
      <c r="I80" t="inlineStr">
        <is>
          <t>2.93%</t>
        </is>
      </c>
      <c r="J80" t="inlineStr">
        <is>
          <t>1970766.00</t>
        </is>
      </c>
      <c r="K80" t="inlineStr">
        <is>
          <t>70000</t>
        </is>
      </c>
      <c r="L80" t="inlineStr">
        <is>
          <t>14.000000000000</t>
        </is>
      </c>
      <c r="M80" t="inlineStr"/>
    </row>
    <row r="81">
      <c r="A81" t="inlineStr">
        <is>
          <t>06/25/2026</t>
        </is>
      </c>
      <c r="B81" t="inlineStr">
        <is>
          <t>BAY</t>
        </is>
      </c>
      <c r="C81" s="1" t="inlineStr">
        <is>
          <t>META</t>
        </is>
      </c>
      <c r="D81" s="1" t="inlineStr">
        <is>
          <t>30303M102</t>
        </is>
      </c>
      <c r="E81" t="inlineStr">
        <is>
          <t>Meta Platforms Inc</t>
        </is>
      </c>
      <c r="F81" t="inlineStr">
        <is>
          <t>126.00000000</t>
        </is>
      </c>
      <c r="G81" t="inlineStr">
        <is>
          <t>557.670000</t>
        </is>
      </c>
      <c r="H81" t="inlineStr">
        <is>
          <t>70266.42</t>
        </is>
      </c>
      <c r="I81" t="inlineStr">
        <is>
          <t>3.57%</t>
        </is>
      </c>
      <c r="J81" t="inlineStr">
        <is>
          <t>1970766.00</t>
        </is>
      </c>
      <c r="K81" t="inlineStr">
        <is>
          <t>70000</t>
        </is>
      </c>
      <c r="L81" t="inlineStr">
        <is>
          <t>14.000000000000</t>
        </is>
      </c>
      <c r="M81" t="inlineStr"/>
    </row>
    <row r="82">
      <c r="A82" t="inlineStr">
        <is>
          <t>06/25/2026</t>
        </is>
      </c>
      <c r="B82" t="inlineStr">
        <is>
          <t>BAY</t>
        </is>
      </c>
      <c r="C82" s="1" t="inlineStr">
        <is>
          <t>MRVL</t>
        </is>
      </c>
      <c r="D82" s="1" t="inlineStr">
        <is>
          <t>573874104</t>
        </is>
      </c>
      <c r="E82" t="inlineStr">
        <is>
          <t>MARVELL TECHNOLOGY INC</t>
        </is>
      </c>
      <c r="F82" t="inlineStr">
        <is>
          <t>154.00000000</t>
        </is>
      </c>
      <c r="G82" t="inlineStr">
        <is>
          <t>276.700000</t>
        </is>
      </c>
      <c r="H82" t="inlineStr">
        <is>
          <t>42611.80</t>
        </is>
      </c>
      <c r="I82" t="inlineStr">
        <is>
          <t>2.16%</t>
        </is>
      </c>
      <c r="J82" t="inlineStr">
        <is>
          <t>1970766.00</t>
        </is>
      </c>
      <c r="K82" t="inlineStr">
        <is>
          <t>70000</t>
        </is>
      </c>
      <c r="L82" t="inlineStr">
        <is>
          <t>14.000000000000</t>
        </is>
      </c>
      <c r="M82" t="inlineStr"/>
    </row>
    <row r="83">
      <c r="A83" t="inlineStr">
        <is>
          <t>06/25/2026</t>
        </is>
      </c>
      <c r="B83" t="inlineStr">
        <is>
          <t>BAY</t>
        </is>
      </c>
      <c r="C83" s="1" t="inlineStr">
        <is>
          <t>NET</t>
        </is>
      </c>
      <c r="D83" s="1" t="inlineStr">
        <is>
          <t>18915M107</t>
        </is>
      </c>
      <c r="E83" t="inlineStr">
        <is>
          <t>Cloudflare Inc</t>
        </is>
      </c>
      <c r="F83" t="inlineStr">
        <is>
          <t>112.00000000</t>
        </is>
      </c>
      <c r="G83" t="inlineStr">
        <is>
          <t>223.480000</t>
        </is>
      </c>
      <c r="H83" t="inlineStr">
        <is>
          <t>25029.76</t>
        </is>
      </c>
      <c r="I83" t="inlineStr">
        <is>
          <t>1.27%</t>
        </is>
      </c>
      <c r="J83" t="inlineStr">
        <is>
          <t>1970766.00</t>
        </is>
      </c>
      <c r="K83" t="inlineStr">
        <is>
          <t>70000</t>
        </is>
      </c>
      <c r="L83" t="inlineStr">
        <is>
          <t>14.000000000000</t>
        </is>
      </c>
      <c r="M83" t="inlineStr"/>
    </row>
    <row r="84">
      <c r="A84" t="inlineStr">
        <is>
          <t>06/25/2026</t>
        </is>
      </c>
      <c r="B84" t="inlineStr">
        <is>
          <t>BAY</t>
        </is>
      </c>
      <c r="C84" s="1" t="inlineStr">
        <is>
          <t>NFLX</t>
        </is>
      </c>
      <c r="D84" s="1" t="inlineStr">
        <is>
          <t>64110L106</t>
        </is>
      </c>
      <c r="E84" t="inlineStr">
        <is>
          <t>Netflix Inc</t>
        </is>
      </c>
      <c r="F84" t="inlineStr">
        <is>
          <t>532.00000000</t>
        </is>
      </c>
      <c r="G84" t="inlineStr">
        <is>
          <t>71.840000</t>
        </is>
      </c>
      <c r="H84" t="inlineStr">
        <is>
          <t>38218.88</t>
        </is>
      </c>
      <c r="I84" t="inlineStr">
        <is>
          <t>1.94%</t>
        </is>
      </c>
      <c r="J84" t="inlineStr">
        <is>
          <t>1970766.00</t>
        </is>
      </c>
      <c r="K84" t="inlineStr">
        <is>
          <t>70000</t>
        </is>
      </c>
      <c r="L84" t="inlineStr">
        <is>
          <t>14.000000000000</t>
        </is>
      </c>
      <c r="M84" t="inlineStr"/>
    </row>
    <row r="85">
      <c r="A85" t="inlineStr">
        <is>
          <t>06/25/2026</t>
        </is>
      </c>
      <c r="B85" t="inlineStr">
        <is>
          <t>BAY</t>
        </is>
      </c>
      <c r="C85" s="1" t="inlineStr">
        <is>
          <t>NOW</t>
        </is>
      </c>
      <c r="D85" s="1" t="inlineStr">
        <is>
          <t>81762P102</t>
        </is>
      </c>
      <c r="E85" t="inlineStr">
        <is>
          <t>ServiceNow Inc</t>
        </is>
      </c>
      <c r="F85" t="inlineStr">
        <is>
          <t>280.00000000</t>
        </is>
      </c>
      <c r="G85" t="inlineStr">
        <is>
          <t>93.800000</t>
        </is>
      </c>
      <c r="H85" t="inlineStr">
        <is>
          <t>26264.00</t>
        </is>
      </c>
      <c r="I85" t="inlineStr">
        <is>
          <t>1.33%</t>
        </is>
      </c>
      <c r="J85" t="inlineStr">
        <is>
          <t>1970766.00</t>
        </is>
      </c>
      <c r="K85" t="inlineStr">
        <is>
          <t>70000</t>
        </is>
      </c>
      <c r="L85" t="inlineStr">
        <is>
          <t>14.000000000000</t>
        </is>
      </c>
      <c r="M85" t="inlineStr"/>
    </row>
    <row r="86">
      <c r="A86" t="inlineStr">
        <is>
          <t>06/25/2026</t>
        </is>
      </c>
      <c r="B86" t="inlineStr">
        <is>
          <t>BAY</t>
        </is>
      </c>
      <c r="C86" s="1" t="inlineStr">
        <is>
          <t>NVDA</t>
        </is>
      </c>
      <c r="D86" s="1" t="inlineStr">
        <is>
          <t>67066G104</t>
        </is>
      </c>
      <c r="E86" t="inlineStr">
        <is>
          <t>NVIDIA Corp</t>
        </is>
      </c>
      <c r="F86" t="inlineStr">
        <is>
          <t>658.00000000</t>
        </is>
      </c>
      <c r="G86" t="inlineStr">
        <is>
          <t>199.000000</t>
        </is>
      </c>
      <c r="H86" t="inlineStr">
        <is>
          <t>130942.00</t>
        </is>
      </c>
      <c r="I86" t="inlineStr">
        <is>
          <t>6.64%</t>
        </is>
      </c>
      <c r="J86" t="inlineStr">
        <is>
          <t>1970766.00</t>
        </is>
      </c>
      <c r="K86" t="inlineStr">
        <is>
          <t>70000</t>
        </is>
      </c>
      <c r="L86" t="inlineStr">
        <is>
          <t>14.000000000000</t>
        </is>
      </c>
      <c r="M86" t="inlineStr"/>
    </row>
    <row r="87">
      <c r="A87" t="inlineStr">
        <is>
          <t>06/25/2026</t>
        </is>
      </c>
      <c r="B87" t="inlineStr">
        <is>
          <t>BAY</t>
        </is>
      </c>
      <c r="C87" s="1" t="inlineStr">
        <is>
          <t>OKTA</t>
        </is>
      </c>
      <c r="D87" s="1" t="inlineStr">
        <is>
          <t>679295105</t>
        </is>
      </c>
      <c r="E87" t="inlineStr">
        <is>
          <t>Okta Inc</t>
        </is>
      </c>
      <c r="F87" t="inlineStr">
        <is>
          <t>140.00000000</t>
        </is>
      </c>
      <c r="G87" t="inlineStr">
        <is>
          <t>118.580000</t>
        </is>
      </c>
      <c r="H87" t="inlineStr">
        <is>
          <t>16601.20</t>
        </is>
      </c>
      <c r="I87" t="inlineStr">
        <is>
          <t>0.84%</t>
        </is>
      </c>
      <c r="J87" t="inlineStr">
        <is>
          <t>1970766.00</t>
        </is>
      </c>
      <c r="K87" t="inlineStr">
        <is>
          <t>70000</t>
        </is>
      </c>
      <c r="L87" t="inlineStr">
        <is>
          <t>14.000000000000</t>
        </is>
      </c>
      <c r="M87" t="inlineStr"/>
    </row>
    <row r="88">
      <c r="A88" t="inlineStr">
        <is>
          <t>06/25/2026</t>
        </is>
      </c>
      <c r="B88" t="inlineStr">
        <is>
          <t>BAY</t>
        </is>
      </c>
      <c r="C88" s="1" t="inlineStr">
        <is>
          <t>PANW</t>
        </is>
      </c>
      <c r="D88" s="1" t="inlineStr">
        <is>
          <t>697435105</t>
        </is>
      </c>
      <c r="E88" t="inlineStr">
        <is>
          <t>Palo Alto Networks Inc</t>
        </is>
      </c>
      <c r="F88" t="inlineStr">
        <is>
          <t>168.00000000</t>
        </is>
      </c>
      <c r="G88" t="inlineStr">
        <is>
          <t>285.260000</t>
        </is>
      </c>
      <c r="H88" t="inlineStr">
        <is>
          <t>47923.68</t>
        </is>
      </c>
      <c r="I88" t="inlineStr">
        <is>
          <t>2.43%</t>
        </is>
      </c>
      <c r="J88" t="inlineStr">
        <is>
          <t>1970766.00</t>
        </is>
      </c>
      <c r="K88" t="inlineStr">
        <is>
          <t>70000</t>
        </is>
      </c>
      <c r="L88" t="inlineStr">
        <is>
          <t>14.000000000000</t>
        </is>
      </c>
      <c r="M88" t="inlineStr"/>
    </row>
    <row r="89">
      <c r="A89" t="inlineStr">
        <is>
          <t>06/25/2026</t>
        </is>
      </c>
      <c r="B89" t="inlineStr">
        <is>
          <t>BAY</t>
        </is>
      </c>
      <c r="C89" s="1" t="inlineStr">
        <is>
          <t>PCG</t>
        </is>
      </c>
      <c r="D89" s="1" t="inlineStr">
        <is>
          <t>69331C108</t>
        </is>
      </c>
      <c r="E89" t="inlineStr">
        <is>
          <t>PG&amp;E Corp</t>
        </is>
      </c>
      <c r="F89" t="inlineStr">
        <is>
          <t>1050.00000000</t>
        </is>
      </c>
      <c r="G89" t="inlineStr">
        <is>
          <t>17.120000</t>
        </is>
      </c>
      <c r="H89" t="inlineStr">
        <is>
          <t>17976.00</t>
        </is>
      </c>
      <c r="I89" t="inlineStr">
        <is>
          <t>0.91%</t>
        </is>
      </c>
      <c r="J89" t="inlineStr">
        <is>
          <t>1970766.00</t>
        </is>
      </c>
      <c r="K89" t="inlineStr">
        <is>
          <t>70000</t>
        </is>
      </c>
      <c r="L89" t="inlineStr">
        <is>
          <t>14.000000000000</t>
        </is>
      </c>
      <c r="M89" t="inlineStr"/>
    </row>
    <row r="90">
      <c r="A90" t="inlineStr">
        <is>
          <t>06/25/2026</t>
        </is>
      </c>
      <c r="B90" t="inlineStr">
        <is>
          <t>BAY</t>
        </is>
      </c>
      <c r="C90" s="1" t="inlineStr">
        <is>
          <t>RBLX</t>
        </is>
      </c>
      <c r="D90" s="1" t="inlineStr">
        <is>
          <t>771049103</t>
        </is>
      </c>
      <c r="E90" t="inlineStr">
        <is>
          <t>ROBLOX Corp</t>
        </is>
      </c>
      <c r="F90" t="inlineStr">
        <is>
          <t>280.00000000</t>
        </is>
      </c>
      <c r="G90" t="inlineStr">
        <is>
          <t>47.940000</t>
        </is>
      </c>
      <c r="H90" t="inlineStr">
        <is>
          <t>13423.20</t>
        </is>
      </c>
      <c r="I90" t="inlineStr">
        <is>
          <t>0.68%</t>
        </is>
      </c>
      <c r="J90" t="inlineStr">
        <is>
          <t>1970766.00</t>
        </is>
      </c>
      <c r="K90" t="inlineStr">
        <is>
          <t>70000</t>
        </is>
      </c>
      <c r="L90" t="inlineStr">
        <is>
          <t>14.000000000000</t>
        </is>
      </c>
      <c r="M90" t="inlineStr"/>
    </row>
    <row r="91">
      <c r="A91" t="inlineStr">
        <is>
          <t>06/25/2026</t>
        </is>
      </c>
      <c r="B91" t="inlineStr">
        <is>
          <t>BAY</t>
        </is>
      </c>
      <c r="C91" s="1" t="inlineStr">
        <is>
          <t>RDDT</t>
        </is>
      </c>
      <c r="D91" s="1" t="inlineStr">
        <is>
          <t>75734B100</t>
        </is>
      </c>
      <c r="E91" t="inlineStr">
        <is>
          <t>Reddit Inc</t>
        </is>
      </c>
      <c r="F91" t="inlineStr">
        <is>
          <t>84.00000000</t>
        </is>
      </c>
      <c r="G91" t="inlineStr">
        <is>
          <t>160.720000</t>
        </is>
      </c>
      <c r="H91" t="inlineStr">
        <is>
          <t>13500.48</t>
        </is>
      </c>
      <c r="I91" t="inlineStr">
        <is>
          <t>0.69%</t>
        </is>
      </c>
      <c r="J91" t="inlineStr">
        <is>
          <t>1970766.00</t>
        </is>
      </c>
      <c r="K91" t="inlineStr">
        <is>
          <t>70000</t>
        </is>
      </c>
      <c r="L91" t="inlineStr">
        <is>
          <t>14.000000000000</t>
        </is>
      </c>
      <c r="M91" t="inlineStr"/>
    </row>
    <row r="92">
      <c r="A92" t="inlineStr">
        <is>
          <t>06/25/2026</t>
        </is>
      </c>
      <c r="B92" t="inlineStr">
        <is>
          <t>BAY</t>
        </is>
      </c>
      <c r="C92" s="1" t="inlineStr">
        <is>
          <t>RIVN</t>
        </is>
      </c>
      <c r="D92" s="1" t="inlineStr">
        <is>
          <t>76954A103</t>
        </is>
      </c>
      <c r="E92" t="inlineStr">
        <is>
          <t>Rivian Automotive Inc</t>
        </is>
      </c>
      <c r="F92" t="inlineStr">
        <is>
          <t>658.00000000</t>
        </is>
      </c>
      <c r="G92" t="inlineStr">
        <is>
          <t>14.640000</t>
        </is>
      </c>
      <c r="H92" t="inlineStr">
        <is>
          <t>9633.12</t>
        </is>
      </c>
      <c r="I92" t="inlineStr">
        <is>
          <t>0.49%</t>
        </is>
      </c>
      <c r="J92" t="inlineStr">
        <is>
          <t>1970766.00</t>
        </is>
      </c>
      <c r="K92" t="inlineStr">
        <is>
          <t>70000</t>
        </is>
      </c>
      <c r="L92" t="inlineStr">
        <is>
          <t>14.000000000000</t>
        </is>
      </c>
      <c r="M92" t="inlineStr"/>
    </row>
    <row r="93">
      <c r="A93" t="inlineStr">
        <is>
          <t>06/25/2026</t>
        </is>
      </c>
      <c r="B93" t="inlineStr">
        <is>
          <t>BAY</t>
        </is>
      </c>
      <c r="C93" s="1" t="inlineStr">
        <is>
          <t>ROST</t>
        </is>
      </c>
      <c r="D93" s="1" t="inlineStr">
        <is>
          <t>778296103</t>
        </is>
      </c>
      <c r="E93" t="inlineStr">
        <is>
          <t>Ross Stores Inc</t>
        </is>
      </c>
      <c r="F93" t="inlineStr">
        <is>
          <t>98.00000000</t>
        </is>
      </c>
      <c r="G93" t="inlineStr">
        <is>
          <t>228.590000</t>
        </is>
      </c>
      <c r="H93" t="inlineStr">
        <is>
          <t>22401.82</t>
        </is>
      </c>
      <c r="I93" t="inlineStr">
        <is>
          <t>1.14%</t>
        </is>
      </c>
      <c r="J93" t="inlineStr">
        <is>
          <t>1970766.00</t>
        </is>
      </c>
      <c r="K93" t="inlineStr">
        <is>
          <t>70000</t>
        </is>
      </c>
      <c r="L93" t="inlineStr">
        <is>
          <t>14.000000000000</t>
        </is>
      </c>
      <c r="M93" t="inlineStr"/>
    </row>
    <row r="94">
      <c r="A94" t="inlineStr">
        <is>
          <t>06/25/2026</t>
        </is>
      </c>
      <c r="B94" t="inlineStr">
        <is>
          <t>BAY</t>
        </is>
      </c>
      <c r="C94" s="1" t="inlineStr">
        <is>
          <t>SMCI</t>
        </is>
      </c>
      <c r="D94" s="1" t="inlineStr">
        <is>
          <t>86800U302</t>
        </is>
      </c>
      <c r="E94" t="inlineStr">
        <is>
          <t>Super Micro Computer Inc</t>
        </is>
      </c>
      <c r="F94" t="inlineStr">
        <is>
          <t>378.00000000</t>
        </is>
      </c>
      <c r="G94" t="inlineStr">
        <is>
          <t>32.450000</t>
        </is>
      </c>
      <c r="H94" t="inlineStr">
        <is>
          <t>12266.10</t>
        </is>
      </c>
      <c r="I94" t="inlineStr">
        <is>
          <t>0.62%</t>
        </is>
      </c>
      <c r="J94" t="inlineStr">
        <is>
          <t>1970766.00</t>
        </is>
      </c>
      <c r="K94" t="inlineStr">
        <is>
          <t>70000</t>
        </is>
      </c>
      <c r="L94" t="inlineStr">
        <is>
          <t>14.000000000000</t>
        </is>
      </c>
      <c r="M94" t="inlineStr"/>
    </row>
    <row r="95">
      <c r="A95" t="inlineStr">
        <is>
          <t>06/25/2026</t>
        </is>
      </c>
      <c r="B95" t="inlineStr">
        <is>
          <t>BAY</t>
        </is>
      </c>
      <c r="C95" s="1" t="inlineStr">
        <is>
          <t>SNOW</t>
        </is>
      </c>
      <c r="D95" s="1" t="inlineStr">
        <is>
          <t>833445109</t>
        </is>
      </c>
      <c r="E95" t="inlineStr">
        <is>
          <t>Snowflake Inc</t>
        </is>
      </c>
      <c r="F95" t="inlineStr">
        <is>
          <t>140.00000000</t>
        </is>
      </c>
      <c r="G95" t="inlineStr">
        <is>
          <t>225.950000</t>
        </is>
      </c>
      <c r="H95" t="inlineStr">
        <is>
          <t>31633.00</t>
        </is>
      </c>
      <c r="I95" t="inlineStr">
        <is>
          <t>1.61%</t>
        </is>
      </c>
      <c r="J95" t="inlineStr">
        <is>
          <t>1970766.00</t>
        </is>
      </c>
      <c r="K95" t="inlineStr">
        <is>
          <t>70000</t>
        </is>
      </c>
      <c r="L95" t="inlineStr">
        <is>
          <t>14.000000000000</t>
        </is>
      </c>
      <c r="M95" t="inlineStr"/>
    </row>
    <row r="96">
      <c r="A96" t="inlineStr">
        <is>
          <t>06/25/2026</t>
        </is>
      </c>
      <c r="B96" t="inlineStr">
        <is>
          <t>BAY</t>
        </is>
      </c>
      <c r="C96" s="1" t="inlineStr">
        <is>
          <t>SNX</t>
        </is>
      </c>
      <c r="D96" s="1" t="inlineStr">
        <is>
          <t>87162W100</t>
        </is>
      </c>
      <c r="E96" t="inlineStr">
        <is>
          <t>TD SYNNEX Corp</t>
        </is>
      </c>
      <c r="F96" t="inlineStr">
        <is>
          <t>56.00000000</t>
        </is>
      </c>
      <c r="G96" t="inlineStr">
        <is>
          <t>283.220000</t>
        </is>
      </c>
      <c r="H96" t="inlineStr">
        <is>
          <t>15860.32</t>
        </is>
      </c>
      <c r="I96" t="inlineStr">
        <is>
          <t>0.80%</t>
        </is>
      </c>
      <c r="J96" t="inlineStr">
        <is>
          <t>1970766.00</t>
        </is>
      </c>
      <c r="K96" t="inlineStr">
        <is>
          <t>70000</t>
        </is>
      </c>
      <c r="L96" t="inlineStr">
        <is>
          <t>14.000000000000</t>
        </is>
      </c>
      <c r="M96" t="inlineStr"/>
    </row>
    <row r="97">
      <c r="A97" t="inlineStr">
        <is>
          <t>06/25/2026</t>
        </is>
      </c>
      <c r="B97" t="inlineStr">
        <is>
          <t>BAY</t>
        </is>
      </c>
      <c r="C97" s="1" t="inlineStr">
        <is>
          <t>SOFI</t>
        </is>
      </c>
      <c r="D97" s="1" t="inlineStr">
        <is>
          <t>83406F102</t>
        </is>
      </c>
      <c r="E97" t="inlineStr">
        <is>
          <t>SoFi Technologies Inc</t>
        </is>
      </c>
      <c r="F97" t="inlineStr">
        <is>
          <t>728.00000000</t>
        </is>
      </c>
      <c r="G97" t="inlineStr">
        <is>
          <t>17.310000</t>
        </is>
      </c>
      <c r="H97" t="inlineStr">
        <is>
          <t>12601.68</t>
        </is>
      </c>
      <c r="I97" t="inlineStr">
        <is>
          <t>0.64%</t>
        </is>
      </c>
      <c r="J97" t="inlineStr">
        <is>
          <t>1970766.00</t>
        </is>
      </c>
      <c r="K97" t="inlineStr">
        <is>
          <t>70000</t>
        </is>
      </c>
      <c r="L97" t="inlineStr">
        <is>
          <t>14.000000000000</t>
        </is>
      </c>
      <c r="M97" t="inlineStr"/>
    </row>
    <row r="98">
      <c r="A98" t="inlineStr">
        <is>
          <t>06/25/2026</t>
        </is>
      </c>
      <c r="B98" t="inlineStr">
        <is>
          <t>BAY</t>
        </is>
      </c>
      <c r="C98" s="1" t="inlineStr">
        <is>
          <t>STX</t>
        </is>
      </c>
      <c r="D98" s="1" t="inlineStr">
        <is>
          <t>G7997R103</t>
        </is>
      </c>
      <c r="E98" t="inlineStr">
        <is>
          <t>Seagate Technology Holdings PLC</t>
        </is>
      </c>
      <c r="F98" t="inlineStr">
        <is>
          <t>42.00000000</t>
        </is>
      </c>
      <c r="G98" t="inlineStr">
        <is>
          <t>993.250000</t>
        </is>
      </c>
      <c r="H98" t="inlineStr">
        <is>
          <t>41716.50</t>
        </is>
      </c>
      <c r="I98" t="inlineStr">
        <is>
          <t>2.12%</t>
        </is>
      </c>
      <c r="J98" t="inlineStr">
        <is>
          <t>1970766.00</t>
        </is>
      </c>
      <c r="K98" t="inlineStr">
        <is>
          <t>70000</t>
        </is>
      </c>
      <c r="L98" t="inlineStr">
        <is>
          <t>14.000000000000</t>
        </is>
      </c>
      <c r="M98" t="inlineStr"/>
    </row>
    <row r="99">
      <c r="A99" t="inlineStr">
        <is>
          <t>06/25/2026</t>
        </is>
      </c>
      <c r="B99" t="inlineStr">
        <is>
          <t>BAY</t>
        </is>
      </c>
      <c r="C99" s="1" t="inlineStr">
        <is>
          <t>TWLO</t>
        </is>
      </c>
      <c r="D99" s="1" t="inlineStr">
        <is>
          <t>90138F102</t>
        </is>
      </c>
      <c r="E99" t="inlineStr">
        <is>
          <t>Twilio Inc</t>
        </is>
      </c>
      <c r="F99" t="inlineStr">
        <is>
          <t>84.00000000</t>
        </is>
      </c>
      <c r="G99" t="inlineStr">
        <is>
          <t>188.340000</t>
        </is>
      </c>
      <c r="H99" t="inlineStr">
        <is>
          <t>15820.56</t>
        </is>
      </c>
      <c r="I99" t="inlineStr">
        <is>
          <t>0.80%</t>
        </is>
      </c>
      <c r="J99" t="inlineStr">
        <is>
          <t>1970766.00</t>
        </is>
      </c>
      <c r="K99" t="inlineStr">
        <is>
          <t>70000</t>
        </is>
      </c>
      <c r="L99" t="inlineStr">
        <is>
          <t>14.000000000000</t>
        </is>
      </c>
      <c r="M99" t="inlineStr"/>
    </row>
    <row r="100">
      <c r="A100" t="inlineStr">
        <is>
          <t>06/25/2026</t>
        </is>
      </c>
      <c r="B100" t="inlineStr">
        <is>
          <t>BAY</t>
        </is>
      </c>
      <c r="C100" s="1" t="inlineStr">
        <is>
          <t>UBER</t>
        </is>
      </c>
      <c r="D100" s="1" t="inlineStr">
        <is>
          <t>90353T100</t>
        </is>
      </c>
      <c r="E100" t="inlineStr">
        <is>
          <t>Uber Technologies Inc</t>
        </is>
      </c>
      <c r="F100" t="inlineStr">
        <is>
          <t>420.00000000</t>
        </is>
      </c>
      <c r="G100" t="inlineStr">
        <is>
          <t>73.850000</t>
        </is>
      </c>
      <c r="H100" t="inlineStr">
        <is>
          <t>31017.00</t>
        </is>
      </c>
      <c r="I100" t="inlineStr">
        <is>
          <t>1.57%</t>
        </is>
      </c>
      <c r="J100" t="inlineStr">
        <is>
          <t>1970766.00</t>
        </is>
      </c>
      <c r="K100" t="inlineStr">
        <is>
          <t>70000</t>
        </is>
      </c>
      <c r="L100" t="inlineStr">
        <is>
          <t>14.000000000000</t>
        </is>
      </c>
      <c r="M100" t="inlineStr"/>
    </row>
    <row r="101">
      <c r="A101" t="inlineStr">
        <is>
          <t>06/25/2026</t>
        </is>
      </c>
      <c r="B101" t="inlineStr">
        <is>
          <t>BAY</t>
        </is>
      </c>
      <c r="C101" s="1" t="inlineStr">
        <is>
          <t>V</t>
        </is>
      </c>
      <c r="D101" s="1" t="inlineStr">
        <is>
          <t>92826C839</t>
        </is>
      </c>
      <c r="E101" t="inlineStr">
        <is>
          <t>Visa Inc</t>
        </is>
      </c>
      <c r="F101" t="inlineStr">
        <is>
          <t>182.00000000</t>
        </is>
      </c>
      <c r="G101" t="inlineStr">
        <is>
          <t>332.230000</t>
        </is>
      </c>
      <c r="H101" t="inlineStr">
        <is>
          <t>60465.86</t>
        </is>
      </c>
      <c r="I101" t="inlineStr">
        <is>
          <t>3.07%</t>
        </is>
      </c>
      <c r="J101" t="inlineStr">
        <is>
          <t>1970766.00</t>
        </is>
      </c>
      <c r="K101" t="inlineStr">
        <is>
          <t>70000</t>
        </is>
      </c>
      <c r="L101" t="inlineStr">
        <is>
          <t>14.000000000000</t>
        </is>
      </c>
      <c r="M101" t="inlineStr"/>
    </row>
    <row r="102">
      <c r="A102" t="inlineStr">
        <is>
          <t>06/25/2026</t>
        </is>
      </c>
      <c r="B102" t="inlineStr">
        <is>
          <t>BAY</t>
        </is>
      </c>
      <c r="C102" s="1" t="inlineStr">
        <is>
          <t>VEEV</t>
        </is>
      </c>
      <c r="D102" s="1" t="inlineStr">
        <is>
          <t>922475108</t>
        </is>
      </c>
      <c r="E102" t="inlineStr">
        <is>
          <t>Veeva Systems Inc</t>
        </is>
      </c>
      <c r="F102" t="inlineStr">
        <is>
          <t>84.00000000</t>
        </is>
      </c>
      <c r="G102" t="inlineStr">
        <is>
          <t>161.350000</t>
        </is>
      </c>
      <c r="H102" t="inlineStr">
        <is>
          <t>13553.40</t>
        </is>
      </c>
      <c r="I102" t="inlineStr">
        <is>
          <t>0.69%</t>
        </is>
      </c>
      <c r="J102" t="inlineStr">
        <is>
          <t>1970766.00</t>
        </is>
      </c>
      <c r="K102" t="inlineStr">
        <is>
          <t>70000</t>
        </is>
      </c>
      <c r="L102" t="inlineStr">
        <is>
          <t>14.000000000000</t>
        </is>
      </c>
      <c r="M102" t="inlineStr"/>
    </row>
    <row r="103">
      <c r="A103" t="inlineStr">
        <is>
          <t>06/25/2026</t>
        </is>
      </c>
      <c r="B103" t="inlineStr">
        <is>
          <t>BAY</t>
        </is>
      </c>
      <c r="C103" s="1" t="inlineStr">
        <is>
          <t>WDAY</t>
        </is>
      </c>
      <c r="D103" s="1" t="inlineStr">
        <is>
          <t>98138H101</t>
        </is>
      </c>
      <c r="E103" t="inlineStr">
        <is>
          <t>Workday Inc</t>
        </is>
      </c>
      <c r="F103" t="inlineStr">
        <is>
          <t>112.00000000</t>
        </is>
      </c>
      <c r="G103" t="inlineStr">
        <is>
          <t>118.090000</t>
        </is>
      </c>
      <c r="H103" t="inlineStr">
        <is>
          <t>13226.08</t>
        </is>
      </c>
      <c r="I103" t="inlineStr">
        <is>
          <t>0.67%</t>
        </is>
      </c>
      <c r="J103" t="inlineStr">
        <is>
          <t>1970766.00</t>
        </is>
      </c>
      <c r="K103" t="inlineStr">
        <is>
          <t>70000</t>
        </is>
      </c>
      <c r="L103" t="inlineStr">
        <is>
          <t>14.000000000000</t>
        </is>
      </c>
      <c r="M103" t="inlineStr"/>
    </row>
    <row r="104">
      <c r="A104" t="inlineStr">
        <is>
          <t>06/25/2026</t>
        </is>
      </c>
      <c r="B104" t="inlineStr">
        <is>
          <t>BAY</t>
        </is>
      </c>
      <c r="C104" s="1" t="inlineStr">
        <is>
          <t>WDC</t>
        </is>
      </c>
      <c r="D104" s="1" t="inlineStr">
        <is>
          <t>958102105</t>
        </is>
      </c>
      <c r="E104" t="inlineStr">
        <is>
          <t>Western Digital Corp</t>
        </is>
      </c>
      <c r="F104" t="inlineStr">
        <is>
          <t>70.00000000</t>
        </is>
      </c>
      <c r="G104" t="inlineStr">
        <is>
          <t>643.830000</t>
        </is>
      </c>
      <c r="H104" t="inlineStr">
        <is>
          <t>45068.10</t>
        </is>
      </c>
      <c r="I104" t="inlineStr">
        <is>
          <t>2.29%</t>
        </is>
      </c>
      <c r="J104" t="inlineStr">
        <is>
          <t>1970766.00</t>
        </is>
      </c>
      <c r="K104" t="inlineStr">
        <is>
          <t>70000</t>
        </is>
      </c>
      <c r="L104" t="inlineStr">
        <is>
          <t>14.000000000000</t>
        </is>
      </c>
      <c r="M104" t="inlineStr"/>
    </row>
    <row r="105">
      <c r="A105" t="inlineStr">
        <is>
          <t>06/25/2026</t>
        </is>
      </c>
      <c r="B105" t="inlineStr">
        <is>
          <t>BAY</t>
        </is>
      </c>
      <c r="C105" s="1" t="inlineStr">
        <is>
          <t>WFC</t>
        </is>
      </c>
      <c r="D105" s="1" t="inlineStr">
        <is>
          <t>949746101</t>
        </is>
      </c>
      <c r="E105" t="inlineStr">
        <is>
          <t>Wells Fargo &amp; Co</t>
        </is>
      </c>
      <c r="F105" t="inlineStr">
        <is>
          <t>490.00000000</t>
        </is>
      </c>
      <c r="G105" t="inlineStr">
        <is>
          <t>84.300000</t>
        </is>
      </c>
      <c r="H105" t="inlineStr">
        <is>
          <t>41307.00</t>
        </is>
      </c>
      <c r="I105" t="inlineStr">
        <is>
          <t>2.10%</t>
        </is>
      </c>
      <c r="J105" t="inlineStr">
        <is>
          <t>1970766.00</t>
        </is>
      </c>
      <c r="K105" t="inlineStr">
        <is>
          <t>70000</t>
        </is>
      </c>
      <c r="L105" t="inlineStr">
        <is>
          <t>14.000000000000</t>
        </is>
      </c>
      <c r="M105" t="inlineStr"/>
    </row>
    <row r="106">
      <c r="A106" t="inlineStr">
        <is>
          <t>06/25/2026</t>
        </is>
      </c>
      <c r="B106" t="inlineStr">
        <is>
          <t>BAY</t>
        </is>
      </c>
      <c r="C106" s="1" t="inlineStr">
        <is>
          <t>WSM</t>
        </is>
      </c>
      <c r="D106" s="1" t="inlineStr">
        <is>
          <t>969904101</t>
        </is>
      </c>
      <c r="E106" t="inlineStr">
        <is>
          <t>Williams-Sonoma Inc</t>
        </is>
      </c>
      <c r="F106" t="inlineStr">
        <is>
          <t>70.00000000</t>
        </is>
      </c>
      <c r="G106" t="inlineStr">
        <is>
          <t>235.660000</t>
        </is>
      </c>
      <c r="H106" t="inlineStr">
        <is>
          <t>16496.20</t>
        </is>
      </c>
      <c r="I106" t="inlineStr">
        <is>
          <t>0.84%</t>
        </is>
      </c>
      <c r="J106" t="inlineStr">
        <is>
          <t>1970766.00</t>
        </is>
      </c>
      <c r="K106" t="inlineStr">
        <is>
          <t>70000</t>
        </is>
      </c>
      <c r="L106" t="inlineStr">
        <is>
          <t>14.000000000000</t>
        </is>
      </c>
      <c r="M106" t="inlineStr"/>
    </row>
    <row r="107">
      <c r="A107" t="inlineStr">
        <is>
          <t>06/25/2026</t>
        </is>
      </c>
      <c r="B107" t="inlineStr">
        <is>
          <t>BAY</t>
        </is>
      </c>
      <c r="C107" s="1" t="inlineStr">
        <is>
          <t>XYZ</t>
        </is>
      </c>
      <c r="D107" s="1" t="inlineStr">
        <is>
          <t>852234103</t>
        </is>
      </c>
      <c r="E107" t="inlineStr">
        <is>
          <t>Block Inc</t>
        </is>
      </c>
      <c r="F107" t="inlineStr">
        <is>
          <t>224.00000000</t>
        </is>
      </c>
      <c r="G107" t="inlineStr">
        <is>
          <t>75.680000</t>
        </is>
      </c>
      <c r="H107" t="inlineStr">
        <is>
          <t>16952.32</t>
        </is>
      </c>
      <c r="I107" t="inlineStr">
        <is>
          <t>0.86%</t>
        </is>
      </c>
      <c r="J107" t="inlineStr">
        <is>
          <t>1970766.00</t>
        </is>
      </c>
      <c r="K107" t="inlineStr">
        <is>
          <t>70000</t>
        </is>
      </c>
      <c r="L107" t="inlineStr">
        <is>
          <t>14.000000000000</t>
        </is>
      </c>
      <c r="M107" t="inlineStr"/>
    </row>
    <row r="108">
      <c r="A108" t="inlineStr">
        <is>
          <t>06/25/2026</t>
        </is>
      </c>
      <c r="B108" t="inlineStr">
        <is>
          <t>BAY</t>
        </is>
      </c>
      <c r="C108" s="1" t="inlineStr">
        <is>
          <t>ZM</t>
        </is>
      </c>
      <c r="D108" s="1" t="inlineStr">
        <is>
          <t>98980L101</t>
        </is>
      </c>
      <c r="E108" t="inlineStr">
        <is>
          <t>Zoom Communications Inc</t>
        </is>
      </c>
      <c r="F108" t="inlineStr">
        <is>
          <t>140.00000000</t>
        </is>
      </c>
      <c r="G108" t="inlineStr">
        <is>
          <t>85.470000</t>
        </is>
      </c>
      <c r="H108" t="inlineStr">
        <is>
          <t>11965.80</t>
        </is>
      </c>
      <c r="I108" t="inlineStr">
        <is>
          <t>0.61%</t>
        </is>
      </c>
      <c r="J108" t="inlineStr">
        <is>
          <t>1970766.00</t>
        </is>
      </c>
      <c r="K108" t="inlineStr">
        <is>
          <t>70000</t>
        </is>
      </c>
      <c r="L108" t="inlineStr">
        <is>
          <t>14.000000000000</t>
        </is>
      </c>
      <c r="M108" t="inlineStr"/>
    </row>
    <row r="109">
      <c r="A109" t="inlineStr">
        <is>
          <t>06/25/2026</t>
        </is>
      </c>
      <c r="B109" t="inlineStr">
        <is>
          <t>BAY</t>
        </is>
      </c>
      <c r="C109" s="1" t="inlineStr">
        <is>
          <t>ZS</t>
        </is>
      </c>
      <c r="D109" s="1" t="inlineStr">
        <is>
          <t>98980G102</t>
        </is>
      </c>
      <c r="E109" t="inlineStr">
        <is>
          <t>Zscaler Inc</t>
        </is>
      </c>
      <c r="F109" t="inlineStr">
        <is>
          <t>84.00000000</t>
        </is>
      </c>
      <c r="G109" t="inlineStr">
        <is>
          <t>127.270000</t>
        </is>
      </c>
      <c r="H109" t="inlineStr">
        <is>
          <t>10690.68</t>
        </is>
      </c>
      <c r="I109" t="inlineStr">
        <is>
          <t>0.54%</t>
        </is>
      </c>
      <c r="J109" t="inlineStr">
        <is>
          <t>1970766.00</t>
        </is>
      </c>
      <c r="K109" t="inlineStr">
        <is>
          <t>70000</t>
        </is>
      </c>
      <c r="L109" t="inlineStr">
        <is>
          <t>14.000000000000</t>
        </is>
      </c>
      <c r="M109" t="inlineStr"/>
    </row>
    <row r="110">
      <c r="A110" t="inlineStr">
        <is>
          <t>06/25/2026</t>
        </is>
      </c>
      <c r="B110" t="inlineStr">
        <is>
          <t>BAY</t>
        </is>
      </c>
      <c r="C110" s="1" t="inlineStr">
        <is>
          <t>Cash&amp;Other</t>
        </is>
      </c>
      <c r="D110" s="1" t="inlineStr">
        <is>
          <t>Cash&amp;Other</t>
        </is>
      </c>
      <c r="E110" t="inlineStr">
        <is>
          <t>Cash &amp; Other</t>
        </is>
      </c>
      <c r="F110" t="inlineStr">
        <is>
          <t>743.79000000</t>
        </is>
      </c>
      <c r="G110" t="inlineStr">
        <is>
          <t>1.000000</t>
        </is>
      </c>
      <c r="H110" t="inlineStr">
        <is>
          <t>743.79</t>
        </is>
      </c>
      <c r="I110" t="inlineStr">
        <is>
          <t>0.04%</t>
        </is>
      </c>
      <c r="J110" t="inlineStr">
        <is>
          <t>1970766.00</t>
        </is>
      </c>
      <c r="K110" t="inlineStr">
        <is>
          <t>70000</t>
        </is>
      </c>
      <c r="L110" t="inlineStr">
        <is>
          <t>14.000000000000</t>
        </is>
      </c>
      <c r="M110" t="inlineStr">
        <is>
          <t>Y</t>
        </is>
      </c>
    </row>
    <row r="111">
      <c r="A111" t="inlineStr">
        <is>
          <t>06/25/2026</t>
        </is>
      </c>
      <c r="B111" t="inlineStr">
        <is>
          <t>BLCK</t>
        </is>
      </c>
      <c r="C111" s="1" t="inlineStr">
        <is>
          <t>APLD</t>
        </is>
      </c>
      <c r="D111" s="1" t="inlineStr">
        <is>
          <t>038169207</t>
        </is>
      </c>
      <c r="E111" t="inlineStr">
        <is>
          <t>Applied Digital Corp</t>
        </is>
      </c>
      <c r="F111" t="inlineStr">
        <is>
          <t>70.00000000</t>
        </is>
      </c>
      <c r="G111" t="inlineStr">
        <is>
          <t>41.980000</t>
        </is>
      </c>
      <c r="H111" t="inlineStr">
        <is>
          <t>2938.60</t>
        </is>
      </c>
      <c r="I111" t="inlineStr">
        <is>
          <t>0.23%</t>
        </is>
      </c>
      <c r="J111" t="inlineStr">
        <is>
          <t>1260375.00</t>
        </is>
      </c>
      <c r="K111" t="inlineStr">
        <is>
          <t>50000</t>
        </is>
      </c>
      <c r="L111" t="inlineStr">
        <is>
          <t>10.000000000000</t>
        </is>
      </c>
      <c r="M111" t="inlineStr"/>
    </row>
    <row r="112">
      <c r="A112" t="inlineStr">
        <is>
          <t>06/25/2026</t>
        </is>
      </c>
      <c r="B112" t="inlineStr">
        <is>
          <t>BLCK</t>
        </is>
      </c>
      <c r="C112" s="1" t="inlineStr">
        <is>
          <t>BKKT</t>
        </is>
      </c>
      <c r="D112" s="1" t="inlineStr">
        <is>
          <t>05759B305</t>
        </is>
      </c>
      <c r="E112" t="inlineStr">
        <is>
          <t>Bakkt Inc</t>
        </is>
      </c>
      <c r="F112" t="inlineStr">
        <is>
          <t>2500.00000000</t>
        </is>
      </c>
      <c r="G112" t="inlineStr">
        <is>
          <t>8.290000</t>
        </is>
      </c>
      <c r="H112" t="inlineStr">
        <is>
          <t>20725.00</t>
        </is>
      </c>
      <c r="I112" t="inlineStr">
        <is>
          <t>1.64%</t>
        </is>
      </c>
      <c r="J112" t="inlineStr">
        <is>
          <t>1260375.00</t>
        </is>
      </c>
      <c r="K112" t="inlineStr">
        <is>
          <t>50000</t>
        </is>
      </c>
      <c r="L112" t="inlineStr">
        <is>
          <t>10.000000000000</t>
        </is>
      </c>
      <c r="M112" t="inlineStr"/>
    </row>
    <row r="113">
      <c r="A113" t="inlineStr">
        <is>
          <t>06/25/2026</t>
        </is>
      </c>
      <c r="B113" t="inlineStr">
        <is>
          <t>BLCK</t>
        </is>
      </c>
      <c r="C113" s="1" t="inlineStr">
        <is>
          <t>BLSH</t>
        </is>
      </c>
      <c r="D113" s="1" t="inlineStr">
        <is>
          <t>G16910120</t>
        </is>
      </c>
      <c r="E113" t="inlineStr">
        <is>
          <t>Bullish</t>
        </is>
      </c>
      <c r="F113" t="inlineStr">
        <is>
          <t>840.00000000</t>
        </is>
      </c>
      <c r="G113" t="inlineStr">
        <is>
          <t>23.470000</t>
        </is>
      </c>
      <c r="H113" t="inlineStr">
        <is>
          <t>19714.80</t>
        </is>
      </c>
      <c r="I113" t="inlineStr">
        <is>
          <t>1.56%</t>
        </is>
      </c>
      <c r="J113" t="inlineStr">
        <is>
          <t>1260375.00</t>
        </is>
      </c>
      <c r="K113" t="inlineStr">
        <is>
          <t>50000</t>
        </is>
      </c>
      <c r="L113" t="inlineStr">
        <is>
          <t>10.000000000000</t>
        </is>
      </c>
      <c r="M113" t="inlineStr"/>
    </row>
    <row r="114">
      <c r="A114" t="inlineStr">
        <is>
          <t>06/25/2026</t>
        </is>
      </c>
      <c r="B114" t="inlineStr">
        <is>
          <t>BLCK</t>
        </is>
      </c>
      <c r="C114" s="1" t="inlineStr">
        <is>
          <t>BMNR</t>
        </is>
      </c>
      <c r="D114" s="1" t="inlineStr">
        <is>
          <t>09175A206</t>
        </is>
      </c>
      <c r="E114" t="inlineStr">
        <is>
          <t>BitMine Immersion Technologies Inc</t>
        </is>
      </c>
      <c r="F114" t="inlineStr">
        <is>
          <t>2750.00000000</t>
        </is>
      </c>
      <c r="G114" t="inlineStr">
        <is>
          <t>14.020000</t>
        </is>
      </c>
      <c r="H114" t="inlineStr">
        <is>
          <t>38555.00</t>
        </is>
      </c>
      <c r="I114" t="inlineStr">
        <is>
          <t>3.06%</t>
        </is>
      </c>
      <c r="J114" t="inlineStr">
        <is>
          <t>1260375.00</t>
        </is>
      </c>
      <c r="K114" t="inlineStr">
        <is>
          <t>50000</t>
        </is>
      </c>
      <c r="L114" t="inlineStr">
        <is>
          <t>10.000000000000</t>
        </is>
      </c>
      <c r="M114" t="inlineStr"/>
    </row>
    <row r="115">
      <c r="A115" t="inlineStr">
        <is>
          <t>06/25/2026</t>
        </is>
      </c>
      <c r="B115" t="inlineStr">
        <is>
          <t>BLCK</t>
        </is>
      </c>
      <c r="C115" s="1" t="inlineStr">
        <is>
          <t>BTBT</t>
        </is>
      </c>
      <c r="D115" s="1" t="inlineStr">
        <is>
          <t>G1144A105</t>
        </is>
      </c>
      <c r="E115" t="inlineStr">
        <is>
          <t>Bit Digital Inc</t>
        </is>
      </c>
      <c r="F115" t="inlineStr">
        <is>
          <t>16180.00000000</t>
        </is>
      </c>
      <c r="G115" t="inlineStr">
        <is>
          <t>1.930000</t>
        </is>
      </c>
      <c r="H115" t="inlineStr">
        <is>
          <t>31227.40</t>
        </is>
      </c>
      <c r="I115" t="inlineStr">
        <is>
          <t>2.48%</t>
        </is>
      </c>
      <c r="J115" t="inlineStr">
        <is>
          <t>1260375.00</t>
        </is>
      </c>
      <c r="K115" t="inlineStr">
        <is>
          <t>50000</t>
        </is>
      </c>
      <c r="L115" t="inlineStr">
        <is>
          <t>10.000000000000</t>
        </is>
      </c>
      <c r="M115" t="inlineStr"/>
    </row>
    <row r="116">
      <c r="A116" t="inlineStr">
        <is>
          <t>06/25/2026</t>
        </is>
      </c>
      <c r="B116" t="inlineStr">
        <is>
          <t>BLCK</t>
        </is>
      </c>
      <c r="C116" s="1" t="inlineStr">
        <is>
          <t>BTDR</t>
        </is>
      </c>
      <c r="D116" s="1" t="inlineStr">
        <is>
          <t>G11448100</t>
        </is>
      </c>
      <c r="E116" t="inlineStr">
        <is>
          <t>Bitdeer Technologies Group</t>
        </is>
      </c>
      <c r="F116" t="inlineStr">
        <is>
          <t>2830.00000000</t>
        </is>
      </c>
      <c r="G116" t="inlineStr">
        <is>
          <t>17.520000</t>
        </is>
      </c>
      <c r="H116" t="inlineStr">
        <is>
          <t>49581.60</t>
        </is>
      </c>
      <c r="I116" t="inlineStr">
        <is>
          <t>3.93%</t>
        </is>
      </c>
      <c r="J116" t="inlineStr">
        <is>
          <t>1260375.00</t>
        </is>
      </c>
      <c r="K116" t="inlineStr">
        <is>
          <t>50000</t>
        </is>
      </c>
      <c r="L116" t="inlineStr">
        <is>
          <t>10.000000000000</t>
        </is>
      </c>
      <c r="M116" t="inlineStr"/>
    </row>
    <row r="117">
      <c r="A117" t="inlineStr">
        <is>
          <t>06/25/2026</t>
        </is>
      </c>
      <c r="B117" t="inlineStr">
        <is>
          <t>BLCK</t>
        </is>
      </c>
      <c r="C117" s="1" t="inlineStr">
        <is>
          <t>BTGO</t>
        </is>
      </c>
      <c r="D117" s="1" t="inlineStr">
        <is>
          <t>091947101</t>
        </is>
      </c>
      <c r="E117" t="inlineStr">
        <is>
          <t>Bitgo Holdings Inc</t>
        </is>
      </c>
      <c r="F117" t="inlineStr">
        <is>
          <t>1940.00000000</t>
        </is>
      </c>
      <c r="G117" t="inlineStr">
        <is>
          <t>5.040000</t>
        </is>
      </c>
      <c r="H117" t="inlineStr">
        <is>
          <t>9777.60</t>
        </is>
      </c>
      <c r="I117" t="inlineStr">
        <is>
          <t>0.78%</t>
        </is>
      </c>
      <c r="J117" t="inlineStr">
        <is>
          <t>1260375.00</t>
        </is>
      </c>
      <c r="K117" t="inlineStr">
        <is>
          <t>50000</t>
        </is>
      </c>
      <c r="L117" t="inlineStr">
        <is>
          <t>10.000000000000</t>
        </is>
      </c>
      <c r="M117" t="inlineStr"/>
    </row>
    <row r="118">
      <c r="A118" t="inlineStr">
        <is>
          <t>06/25/2026</t>
        </is>
      </c>
      <c r="B118" t="inlineStr">
        <is>
          <t>BLCK</t>
        </is>
      </c>
      <c r="C118" s="1" t="inlineStr">
        <is>
          <t>CANG</t>
        </is>
      </c>
      <c r="D118" s="1" t="inlineStr">
        <is>
          <t>G1820C102</t>
        </is>
      </c>
      <c r="E118" t="inlineStr">
        <is>
          <t>Cango Inc/KY</t>
        </is>
      </c>
      <c r="F118" t="inlineStr">
        <is>
          <t>48600.00000000</t>
        </is>
      </c>
      <c r="G118" t="inlineStr">
        <is>
          <t>0.228400</t>
        </is>
      </c>
      <c r="H118" t="inlineStr">
        <is>
          <t>11100.24</t>
        </is>
      </c>
      <c r="I118" t="inlineStr">
        <is>
          <t>0.88%</t>
        </is>
      </c>
      <c r="J118" t="inlineStr">
        <is>
          <t>1260375.00</t>
        </is>
      </c>
      <c r="K118" t="inlineStr">
        <is>
          <t>50000</t>
        </is>
      </c>
      <c r="L118" t="inlineStr">
        <is>
          <t>10.000000000000</t>
        </is>
      </c>
      <c r="M118" t="inlineStr"/>
    </row>
    <row r="119">
      <c r="A119" t="inlineStr">
        <is>
          <t>06/25/2026</t>
        </is>
      </c>
      <c r="B119" t="inlineStr">
        <is>
          <t>BLCK</t>
        </is>
      </c>
      <c r="C119" s="1" t="inlineStr">
        <is>
          <t>CBOE</t>
        </is>
      </c>
      <c r="D119" s="1" t="inlineStr">
        <is>
          <t>12503M108</t>
        </is>
      </c>
      <c r="E119" t="inlineStr">
        <is>
          <t>Cboe Global Markets Inc</t>
        </is>
      </c>
      <c r="F119" t="inlineStr">
        <is>
          <t>60.00000000</t>
        </is>
      </c>
      <c r="G119" t="inlineStr">
        <is>
          <t>249.590000</t>
        </is>
      </c>
      <c r="H119" t="inlineStr">
        <is>
          <t>14975.40</t>
        </is>
      </c>
      <c r="I119" t="inlineStr">
        <is>
          <t>1.19%</t>
        </is>
      </c>
      <c r="J119" t="inlineStr">
        <is>
          <t>1260375.00</t>
        </is>
      </c>
      <c r="K119" t="inlineStr">
        <is>
          <t>50000</t>
        </is>
      </c>
      <c r="L119" t="inlineStr">
        <is>
          <t>10.000000000000</t>
        </is>
      </c>
      <c r="M119" t="inlineStr"/>
    </row>
    <row r="120">
      <c r="A120" t="inlineStr">
        <is>
          <t>06/25/2026</t>
        </is>
      </c>
      <c r="B120" t="inlineStr">
        <is>
          <t>BLCK</t>
        </is>
      </c>
      <c r="C120" s="1" t="inlineStr">
        <is>
          <t>CIFR</t>
        </is>
      </c>
      <c r="D120" s="1" t="inlineStr">
        <is>
          <t>17253J106</t>
        </is>
      </c>
      <c r="E120" t="inlineStr">
        <is>
          <t>Cipher Digital Inc</t>
        </is>
      </c>
      <c r="F120" t="inlineStr">
        <is>
          <t>2760.00000000</t>
        </is>
      </c>
      <c r="G120" t="inlineStr">
        <is>
          <t>26.220000</t>
        </is>
      </c>
      <c r="H120" t="inlineStr">
        <is>
          <t>72367.20</t>
        </is>
      </c>
      <c r="I120" t="inlineStr">
        <is>
          <t>5.74%</t>
        </is>
      </c>
      <c r="J120" t="inlineStr">
        <is>
          <t>1260375.00</t>
        </is>
      </c>
      <c r="K120" t="inlineStr">
        <is>
          <t>50000</t>
        </is>
      </c>
      <c r="L120" t="inlineStr">
        <is>
          <t>10.000000000000</t>
        </is>
      </c>
      <c r="M120" t="inlineStr"/>
    </row>
    <row r="121">
      <c r="A121" t="inlineStr">
        <is>
          <t>06/25/2026</t>
        </is>
      </c>
      <c r="B121" t="inlineStr">
        <is>
          <t>BLCK</t>
        </is>
      </c>
      <c r="C121" s="1" t="inlineStr">
        <is>
          <t>CLSK</t>
        </is>
      </c>
      <c r="D121" s="1" t="inlineStr">
        <is>
          <t>18452B209</t>
        </is>
      </c>
      <c r="E121" t="inlineStr">
        <is>
          <t>Cleanspark Inc</t>
        </is>
      </c>
      <c r="F121" t="inlineStr">
        <is>
          <t>3020.00000000</t>
        </is>
      </c>
      <c r="G121" t="inlineStr">
        <is>
          <t>16.230000</t>
        </is>
      </c>
      <c r="H121" t="inlineStr">
        <is>
          <t>49014.60</t>
        </is>
      </c>
      <c r="I121" t="inlineStr">
        <is>
          <t>3.89%</t>
        </is>
      </c>
      <c r="J121" t="inlineStr">
        <is>
          <t>1260375.00</t>
        </is>
      </c>
      <c r="K121" t="inlineStr">
        <is>
          <t>50000</t>
        </is>
      </c>
      <c r="L121" t="inlineStr">
        <is>
          <t>10.000000000000</t>
        </is>
      </c>
      <c r="M121" t="inlineStr"/>
    </row>
    <row r="122">
      <c r="A122" t="inlineStr">
        <is>
          <t>06/25/2026</t>
        </is>
      </c>
      <c r="B122" t="inlineStr">
        <is>
          <t>BLCK</t>
        </is>
      </c>
      <c r="C122" s="1" t="inlineStr">
        <is>
          <t>CME</t>
        </is>
      </c>
      <c r="D122" s="1" t="inlineStr">
        <is>
          <t>12572Q105</t>
        </is>
      </c>
      <c r="E122" t="inlineStr">
        <is>
          <t>CME Group Inc</t>
        </is>
      </c>
      <c r="F122" t="inlineStr">
        <is>
          <t>220.00000000</t>
        </is>
      </c>
      <c r="G122" t="inlineStr">
        <is>
          <t>231.680000</t>
        </is>
      </c>
      <c r="H122" t="inlineStr">
        <is>
          <t>50969.60</t>
        </is>
      </c>
      <c r="I122" t="inlineStr">
        <is>
          <t>4.04%</t>
        </is>
      </c>
      <c r="J122" t="inlineStr">
        <is>
          <t>1260375.00</t>
        </is>
      </c>
      <c r="K122" t="inlineStr">
        <is>
          <t>50000</t>
        </is>
      </c>
      <c r="L122" t="inlineStr">
        <is>
          <t>10.000000000000</t>
        </is>
      </c>
      <c r="M122" t="inlineStr"/>
    </row>
    <row r="123">
      <c r="A123" t="inlineStr">
        <is>
          <t>06/25/2026</t>
        </is>
      </c>
      <c r="B123" t="inlineStr">
        <is>
          <t>BLCK</t>
        </is>
      </c>
      <c r="C123" s="1" t="inlineStr">
        <is>
          <t>CNCK</t>
        </is>
      </c>
      <c r="D123" s="1" t="inlineStr">
        <is>
          <t>N20967118</t>
        </is>
      </c>
      <c r="E123" t="inlineStr">
        <is>
          <t>Coincheck Group NV</t>
        </is>
      </c>
      <c r="F123" t="inlineStr">
        <is>
          <t>10710.00000000</t>
        </is>
      </c>
      <c r="G123" t="inlineStr">
        <is>
          <t>2.180000</t>
        </is>
      </c>
      <c r="H123" t="inlineStr">
        <is>
          <t>23347.80</t>
        </is>
      </c>
      <c r="I123" t="inlineStr">
        <is>
          <t>1.85%</t>
        </is>
      </c>
      <c r="J123" t="inlineStr">
        <is>
          <t>1260375.00</t>
        </is>
      </c>
      <c r="K123" t="inlineStr">
        <is>
          <t>50000</t>
        </is>
      </c>
      <c r="L123" t="inlineStr">
        <is>
          <t>10.000000000000</t>
        </is>
      </c>
      <c r="M123" t="inlineStr"/>
    </row>
    <row r="124">
      <c r="A124" t="inlineStr">
        <is>
          <t>06/25/2026</t>
        </is>
      </c>
      <c r="B124" t="inlineStr">
        <is>
          <t>BLCK</t>
        </is>
      </c>
      <c r="C124" s="1" t="inlineStr">
        <is>
          <t>COIN</t>
        </is>
      </c>
      <c r="D124" s="1" t="inlineStr">
        <is>
          <t>19260Q107</t>
        </is>
      </c>
      <c r="E124" t="inlineStr">
        <is>
          <t>Coinbase Global Inc</t>
        </is>
      </c>
      <c r="F124" t="inlineStr">
        <is>
          <t>520.00000000</t>
        </is>
      </c>
      <c r="G124" t="inlineStr">
        <is>
          <t>150.110000</t>
        </is>
      </c>
      <c r="H124" t="inlineStr">
        <is>
          <t>78057.20</t>
        </is>
      </c>
      <c r="I124" t="inlineStr">
        <is>
          <t>6.19%</t>
        </is>
      </c>
      <c r="J124" t="inlineStr">
        <is>
          <t>1260375.00</t>
        </is>
      </c>
      <c r="K124" t="inlineStr">
        <is>
          <t>50000</t>
        </is>
      </c>
      <c r="L124" t="inlineStr">
        <is>
          <t>10.000000000000</t>
        </is>
      </c>
      <c r="M124" t="inlineStr"/>
    </row>
    <row r="125">
      <c r="A125" t="inlineStr">
        <is>
          <t>06/25/2026</t>
        </is>
      </c>
      <c r="B125" t="inlineStr">
        <is>
          <t>BLCK</t>
        </is>
      </c>
      <c r="C125" s="1" t="inlineStr">
        <is>
          <t>CORZ</t>
        </is>
      </c>
      <c r="D125" s="1" t="inlineStr">
        <is>
          <t>21874A106</t>
        </is>
      </c>
      <c r="E125" t="inlineStr">
        <is>
          <t>Core Scientific Inc</t>
        </is>
      </c>
      <c r="F125" t="inlineStr">
        <is>
          <t>120.00000000</t>
        </is>
      </c>
      <c r="G125" t="inlineStr">
        <is>
          <t>27.790000</t>
        </is>
      </c>
      <c r="H125" t="inlineStr">
        <is>
          <t>3334.80</t>
        </is>
      </c>
      <c r="I125" t="inlineStr">
        <is>
          <t>0.26%</t>
        </is>
      </c>
      <c r="J125" t="inlineStr">
        <is>
          <t>1260375.00</t>
        </is>
      </c>
      <c r="K125" t="inlineStr">
        <is>
          <t>50000</t>
        </is>
      </c>
      <c r="L125" t="inlineStr">
        <is>
          <t>10.000000000000</t>
        </is>
      </c>
      <c r="M125" t="inlineStr"/>
    </row>
    <row r="126">
      <c r="A126" t="inlineStr">
        <is>
          <t>06/25/2026</t>
        </is>
      </c>
      <c r="B126" t="inlineStr">
        <is>
          <t>BLCK</t>
        </is>
      </c>
      <c r="C126" s="1" t="inlineStr">
        <is>
          <t>CRCL</t>
        </is>
      </c>
      <c r="D126" s="1" t="inlineStr">
        <is>
          <t>172573107</t>
        </is>
      </c>
      <c r="E126" t="inlineStr">
        <is>
          <t>Circle Internet Group Inc</t>
        </is>
      </c>
      <c r="F126" t="inlineStr">
        <is>
          <t>830.00000000</t>
        </is>
      </c>
      <c r="G126" t="inlineStr">
        <is>
          <t>70.980000</t>
        </is>
      </c>
      <c r="H126" t="inlineStr">
        <is>
          <t>58913.40</t>
        </is>
      </c>
      <c r="I126" t="inlineStr">
        <is>
          <t>4.67%</t>
        </is>
      </c>
      <c r="J126" t="inlineStr">
        <is>
          <t>1260375.00</t>
        </is>
      </c>
      <c r="K126" t="inlineStr">
        <is>
          <t>50000</t>
        </is>
      </c>
      <c r="L126" t="inlineStr">
        <is>
          <t>10.000000000000</t>
        </is>
      </c>
      <c r="M126" t="inlineStr"/>
    </row>
    <row r="127">
      <c r="A127" t="inlineStr">
        <is>
          <t>06/25/2026</t>
        </is>
      </c>
      <c r="B127" t="inlineStr">
        <is>
          <t>BLCK</t>
        </is>
      </c>
      <c r="C127" s="1" t="inlineStr">
        <is>
          <t>CSHR</t>
        </is>
      </c>
      <c r="D127" s="1" t="inlineStr">
        <is>
          <t>G670AQ104</t>
        </is>
      </c>
      <c r="E127" t="inlineStr">
        <is>
          <t>CoinShares PLC</t>
        </is>
      </c>
      <c r="F127" t="inlineStr">
        <is>
          <t>4340.00000000</t>
        </is>
      </c>
      <c r="G127" t="inlineStr">
        <is>
          <t>3.580000</t>
        </is>
      </c>
      <c r="H127" t="inlineStr">
        <is>
          <t>15537.20</t>
        </is>
      </c>
      <c r="I127" t="inlineStr">
        <is>
          <t>1.23%</t>
        </is>
      </c>
      <c r="J127" t="inlineStr">
        <is>
          <t>1260375.00</t>
        </is>
      </c>
      <c r="K127" t="inlineStr">
        <is>
          <t>50000</t>
        </is>
      </c>
      <c r="L127" t="inlineStr">
        <is>
          <t>10.000000000000</t>
        </is>
      </c>
      <c r="M127" t="inlineStr"/>
    </row>
    <row r="128">
      <c r="A128" t="inlineStr">
        <is>
          <t>06/25/2026</t>
        </is>
      </c>
      <c r="B128" t="inlineStr">
        <is>
          <t>BLCK</t>
        </is>
      </c>
      <c r="C128" s="1" t="inlineStr">
        <is>
          <t>ETOR</t>
        </is>
      </c>
      <c r="D128" s="1" t="inlineStr">
        <is>
          <t>G32089107</t>
        </is>
      </c>
      <c r="E128" t="inlineStr">
        <is>
          <t>Etoro Group Ltd</t>
        </is>
      </c>
      <c r="F128" t="inlineStr">
        <is>
          <t>980.00000000</t>
        </is>
      </c>
      <c r="G128" t="inlineStr">
        <is>
          <t>36.530000</t>
        </is>
      </c>
      <c r="H128" t="inlineStr">
        <is>
          <t>35799.40</t>
        </is>
      </c>
      <c r="I128" t="inlineStr">
        <is>
          <t>2.84%</t>
        </is>
      </c>
      <c r="J128" t="inlineStr">
        <is>
          <t>1260375.00</t>
        </is>
      </c>
      <c r="K128" t="inlineStr">
        <is>
          <t>50000</t>
        </is>
      </c>
      <c r="L128" t="inlineStr">
        <is>
          <t>10.000000000000</t>
        </is>
      </c>
      <c r="M128" t="inlineStr"/>
    </row>
    <row r="129">
      <c r="A129" t="inlineStr">
        <is>
          <t>06/25/2026</t>
        </is>
      </c>
      <c r="B129" t="inlineStr">
        <is>
          <t>BLCK</t>
        </is>
      </c>
      <c r="C129" s="1" t="inlineStr">
        <is>
          <t>FGXXX</t>
        </is>
      </c>
      <c r="D129" s="1" t="inlineStr">
        <is>
          <t>31846V336</t>
        </is>
      </c>
      <c r="E129" t="inlineStr">
        <is>
          <t>First American Government Obligations Fund 12/01/2031</t>
        </is>
      </c>
      <c r="F129" t="inlineStr">
        <is>
          <t>19633.07000000</t>
        </is>
      </c>
      <c r="G129" t="inlineStr">
        <is>
          <t>100.000000</t>
        </is>
      </c>
      <c r="H129" t="inlineStr">
        <is>
          <t>19633.07</t>
        </is>
      </c>
      <c r="I129" t="inlineStr">
        <is>
          <t>1.56%</t>
        </is>
      </c>
      <c r="J129" t="inlineStr">
        <is>
          <t>1260375.00</t>
        </is>
      </c>
      <c r="K129" t="inlineStr">
        <is>
          <t>50000</t>
        </is>
      </c>
      <c r="L129" t="inlineStr">
        <is>
          <t>10.000000000000</t>
        </is>
      </c>
      <c r="M129" t="inlineStr">
        <is>
          <t>Y</t>
        </is>
      </c>
    </row>
    <row r="130">
      <c r="A130" t="inlineStr">
        <is>
          <t>06/25/2026</t>
        </is>
      </c>
      <c r="B130" t="inlineStr">
        <is>
          <t>BLCK</t>
        </is>
      </c>
      <c r="C130" s="1" t="inlineStr">
        <is>
          <t>FIGR</t>
        </is>
      </c>
      <c r="D130" s="1" t="inlineStr">
        <is>
          <t>349381103</t>
        </is>
      </c>
      <c r="E130" t="inlineStr">
        <is>
          <t>Figure Technology Solutions Inc</t>
        </is>
      </c>
      <c r="F130" t="inlineStr">
        <is>
          <t>1520.00000000</t>
        </is>
      </c>
      <c r="G130" t="inlineStr">
        <is>
          <t>27.400000</t>
        </is>
      </c>
      <c r="H130" t="inlineStr">
        <is>
          <t>41648.00</t>
        </is>
      </c>
      <c r="I130" t="inlineStr">
        <is>
          <t>3.30%</t>
        </is>
      </c>
      <c r="J130" t="inlineStr">
        <is>
          <t>1260375.00</t>
        </is>
      </c>
      <c r="K130" t="inlineStr">
        <is>
          <t>50000</t>
        </is>
      </c>
      <c r="L130" t="inlineStr">
        <is>
          <t>10.000000000000</t>
        </is>
      </c>
      <c r="M130" t="inlineStr"/>
    </row>
    <row r="131">
      <c r="A131" t="inlineStr">
        <is>
          <t>06/25/2026</t>
        </is>
      </c>
      <c r="B131" t="inlineStr">
        <is>
          <t>BLCK</t>
        </is>
      </c>
      <c r="C131" s="1" t="inlineStr">
        <is>
          <t>FUFU</t>
        </is>
      </c>
      <c r="D131" s="1" t="inlineStr">
        <is>
          <t>G1152A104</t>
        </is>
      </c>
      <c r="E131" t="inlineStr">
        <is>
          <t>BitFuFu Inc</t>
        </is>
      </c>
      <c r="F131" t="inlineStr">
        <is>
          <t>8680.00000000</t>
        </is>
      </c>
      <c r="G131" t="inlineStr">
        <is>
          <t>1.520000</t>
        </is>
      </c>
      <c r="H131" t="inlineStr">
        <is>
          <t>13193.60</t>
        </is>
      </c>
      <c r="I131" t="inlineStr">
        <is>
          <t>1.05%</t>
        </is>
      </c>
      <c r="J131" t="inlineStr">
        <is>
          <t>1260375.00</t>
        </is>
      </c>
      <c r="K131" t="inlineStr">
        <is>
          <t>50000</t>
        </is>
      </c>
      <c r="L131" t="inlineStr">
        <is>
          <t>10.000000000000</t>
        </is>
      </c>
      <c r="M131" t="inlineStr"/>
    </row>
    <row r="132">
      <c r="A132" t="inlineStr">
        <is>
          <t>06/25/2026</t>
        </is>
      </c>
      <c r="B132" t="inlineStr">
        <is>
          <t>BLCK</t>
        </is>
      </c>
      <c r="C132" s="1" t="inlineStr">
        <is>
          <t>GEMI</t>
        </is>
      </c>
      <c r="D132" s="1" t="inlineStr">
        <is>
          <t>36866J105</t>
        </is>
      </c>
      <c r="E132" t="inlineStr">
        <is>
          <t>Gemini Space Station Inc</t>
        </is>
      </c>
      <c r="F132" t="inlineStr">
        <is>
          <t>5120.00000000</t>
        </is>
      </c>
      <c r="G132" t="inlineStr">
        <is>
          <t>4.180000</t>
        </is>
      </c>
      <c r="H132" t="inlineStr">
        <is>
          <t>21401.60</t>
        </is>
      </c>
      <c r="I132" t="inlineStr">
        <is>
          <t>1.70%</t>
        </is>
      </c>
      <c r="J132" t="inlineStr">
        <is>
          <t>1260375.00</t>
        </is>
      </c>
      <c r="K132" t="inlineStr">
        <is>
          <t>50000</t>
        </is>
      </c>
      <c r="L132" t="inlineStr">
        <is>
          <t>10.000000000000</t>
        </is>
      </c>
      <c r="M132" t="inlineStr"/>
    </row>
    <row r="133">
      <c r="A133" t="inlineStr">
        <is>
          <t>06/25/2026</t>
        </is>
      </c>
      <c r="B133" t="inlineStr">
        <is>
          <t>BLCK</t>
        </is>
      </c>
      <c r="C133" s="1" t="inlineStr">
        <is>
          <t>GLXY</t>
        </is>
      </c>
      <c r="D133" s="1" t="inlineStr">
        <is>
          <t>36317J209</t>
        </is>
      </c>
      <c r="E133" t="inlineStr">
        <is>
          <t>Galaxy Digital Inc</t>
        </is>
      </c>
      <c r="F133" t="inlineStr">
        <is>
          <t>1700.00000000</t>
        </is>
      </c>
      <c r="G133" t="inlineStr">
        <is>
          <t>28.580000</t>
        </is>
      </c>
      <c r="H133" t="inlineStr">
        <is>
          <t>48586.00</t>
        </is>
      </c>
      <c r="I133" t="inlineStr">
        <is>
          <t>3.85%</t>
        </is>
      </c>
      <c r="J133" t="inlineStr">
        <is>
          <t>1260375.00</t>
        </is>
      </c>
      <c r="K133" t="inlineStr">
        <is>
          <t>50000</t>
        </is>
      </c>
      <c r="L133" t="inlineStr">
        <is>
          <t>10.000000000000</t>
        </is>
      </c>
      <c r="M133" t="inlineStr"/>
    </row>
    <row r="134">
      <c r="A134" t="inlineStr">
        <is>
          <t>06/25/2026</t>
        </is>
      </c>
      <c r="B134" t="inlineStr">
        <is>
          <t>BLCK</t>
        </is>
      </c>
      <c r="C134" s="1" t="inlineStr">
        <is>
          <t>GPGI</t>
        </is>
      </c>
      <c r="D134" s="1" t="inlineStr">
        <is>
          <t>20459V105</t>
        </is>
      </c>
      <c r="E134" t="inlineStr">
        <is>
          <t>GPGI Inc</t>
        </is>
      </c>
      <c r="F134" t="inlineStr">
        <is>
          <t>2650.00000000</t>
        </is>
      </c>
      <c r="G134" t="inlineStr">
        <is>
          <t>14.240000</t>
        </is>
      </c>
      <c r="H134" t="inlineStr">
        <is>
          <t>37736.00</t>
        </is>
      </c>
      <c r="I134" t="inlineStr">
        <is>
          <t>2.99%</t>
        </is>
      </c>
      <c r="J134" t="inlineStr">
        <is>
          <t>1260375.00</t>
        </is>
      </c>
      <c r="K134" t="inlineStr">
        <is>
          <t>50000</t>
        </is>
      </c>
      <c r="L134" t="inlineStr">
        <is>
          <t>10.000000000000</t>
        </is>
      </c>
      <c r="M134" t="inlineStr"/>
    </row>
    <row r="135">
      <c r="A135" t="inlineStr">
        <is>
          <t>06/25/2026</t>
        </is>
      </c>
      <c r="B135" t="inlineStr">
        <is>
          <t>BLCK</t>
        </is>
      </c>
      <c r="C135" s="1" t="inlineStr">
        <is>
          <t>HIVE</t>
        </is>
      </c>
      <c r="D135" s="1" t="inlineStr">
        <is>
          <t>433921103</t>
        </is>
      </c>
      <c r="E135" t="inlineStr">
        <is>
          <t>Hive Digital Technologies Ltd</t>
        </is>
      </c>
      <c r="F135" t="inlineStr">
        <is>
          <t>10690.00000000</t>
        </is>
      </c>
      <c r="G135" t="inlineStr">
        <is>
          <t>4.140000</t>
        </is>
      </c>
      <c r="H135" t="inlineStr">
        <is>
          <t>44256.60</t>
        </is>
      </c>
      <c r="I135" t="inlineStr">
        <is>
          <t>3.51%</t>
        </is>
      </c>
      <c r="J135" t="inlineStr">
        <is>
          <t>1260375.00</t>
        </is>
      </c>
      <c r="K135" t="inlineStr">
        <is>
          <t>50000</t>
        </is>
      </c>
      <c r="L135" t="inlineStr">
        <is>
          <t>10.000000000000</t>
        </is>
      </c>
      <c r="M135" t="inlineStr"/>
    </row>
    <row r="136">
      <c r="A136" t="inlineStr">
        <is>
          <t>06/25/2026</t>
        </is>
      </c>
      <c r="B136" t="inlineStr">
        <is>
          <t>BLCK</t>
        </is>
      </c>
      <c r="C136" s="1" t="inlineStr">
        <is>
          <t>HOOD</t>
        </is>
      </c>
      <c r="D136" s="1" t="inlineStr">
        <is>
          <t>770700102</t>
        </is>
      </c>
      <c r="E136" t="inlineStr">
        <is>
          <t>Robinhood Markets Inc</t>
        </is>
      </c>
      <c r="F136" t="inlineStr">
        <is>
          <t>530.00000000</t>
        </is>
      </c>
      <c r="G136" t="inlineStr">
        <is>
          <t>97.190000</t>
        </is>
      </c>
      <c r="H136" t="inlineStr">
        <is>
          <t>51510.70</t>
        </is>
      </c>
      <c r="I136" t="inlineStr">
        <is>
          <t>4.09%</t>
        </is>
      </c>
      <c r="J136" t="inlineStr">
        <is>
          <t>1260375.00</t>
        </is>
      </c>
      <c r="K136" t="inlineStr">
        <is>
          <t>50000</t>
        </is>
      </c>
      <c r="L136" t="inlineStr">
        <is>
          <t>10.000000000000</t>
        </is>
      </c>
      <c r="M136" t="inlineStr"/>
    </row>
    <row r="137">
      <c r="A137" t="inlineStr">
        <is>
          <t>06/25/2026</t>
        </is>
      </c>
      <c r="B137" t="inlineStr">
        <is>
          <t>BLCK</t>
        </is>
      </c>
      <c r="C137" s="1" t="inlineStr">
        <is>
          <t>HUT</t>
        </is>
      </c>
      <c r="D137" s="1" t="inlineStr">
        <is>
          <t>44812J104</t>
        </is>
      </c>
      <c r="E137" t="inlineStr">
        <is>
          <t>HUT 8 CORP</t>
        </is>
      </c>
      <c r="F137" t="inlineStr">
        <is>
          <t>640.00000000</t>
        </is>
      </c>
      <c r="G137" t="inlineStr">
        <is>
          <t>116.100000</t>
        </is>
      </c>
      <c r="H137" t="inlineStr">
        <is>
          <t>74304.00</t>
        </is>
      </c>
      <c r="I137" t="inlineStr">
        <is>
          <t>5.90%</t>
        </is>
      </c>
      <c r="J137" t="inlineStr">
        <is>
          <t>1260375.00</t>
        </is>
      </c>
      <c r="K137" t="inlineStr">
        <is>
          <t>50000</t>
        </is>
      </c>
      <c r="L137" t="inlineStr">
        <is>
          <t>10.000000000000</t>
        </is>
      </c>
      <c r="M137" t="inlineStr"/>
    </row>
    <row r="138">
      <c r="A138" t="inlineStr">
        <is>
          <t>06/25/2026</t>
        </is>
      </c>
      <c r="B138" t="inlineStr">
        <is>
          <t>BLCK</t>
        </is>
      </c>
      <c r="C138" s="1" t="inlineStr">
        <is>
          <t>IREN</t>
        </is>
      </c>
      <c r="D138" s="1" t="inlineStr">
        <is>
          <t>Q4982L109</t>
        </is>
      </c>
      <c r="E138" t="inlineStr">
        <is>
          <t>IREN Ltd</t>
        </is>
      </c>
      <c r="F138" t="inlineStr">
        <is>
          <t>1220.00000000</t>
        </is>
      </c>
      <c r="G138" t="inlineStr">
        <is>
          <t>50.300000</t>
        </is>
      </c>
      <c r="H138" t="inlineStr">
        <is>
          <t>61366.00</t>
        </is>
      </c>
      <c r="I138" t="inlineStr">
        <is>
          <t>4.87%</t>
        </is>
      </c>
      <c r="J138" t="inlineStr">
        <is>
          <t>1260375.00</t>
        </is>
      </c>
      <c r="K138" t="inlineStr">
        <is>
          <t>50000</t>
        </is>
      </c>
      <c r="L138" t="inlineStr">
        <is>
          <t>10.000000000000</t>
        </is>
      </c>
      <c r="M138" t="inlineStr"/>
    </row>
    <row r="139">
      <c r="A139" t="inlineStr">
        <is>
          <t>06/25/2026</t>
        </is>
      </c>
      <c r="B139" t="inlineStr">
        <is>
          <t>BLCK</t>
        </is>
      </c>
      <c r="C139" s="1" t="inlineStr">
        <is>
          <t>MARA</t>
        </is>
      </c>
      <c r="D139" s="1" t="inlineStr">
        <is>
          <t>565788106</t>
        </is>
      </c>
      <c r="E139" t="inlineStr">
        <is>
          <t>MARA Holdings Inc</t>
        </is>
      </c>
      <c r="F139" t="inlineStr">
        <is>
          <t>3680.00000000</t>
        </is>
      </c>
      <c r="G139" t="inlineStr">
        <is>
          <t>14.000000</t>
        </is>
      </c>
      <c r="H139" t="inlineStr">
        <is>
          <t>51520.00</t>
        </is>
      </c>
      <c r="I139" t="inlineStr">
        <is>
          <t>4.09%</t>
        </is>
      </c>
      <c r="J139" t="inlineStr">
        <is>
          <t>1260375.00</t>
        </is>
      </c>
      <c r="K139" t="inlineStr">
        <is>
          <t>50000</t>
        </is>
      </c>
      <c r="L139" t="inlineStr">
        <is>
          <t>10.000000000000</t>
        </is>
      </c>
      <c r="M139" t="inlineStr"/>
    </row>
    <row r="140">
      <c r="A140" t="inlineStr">
        <is>
          <t>06/25/2026</t>
        </is>
      </c>
      <c r="B140" t="inlineStr">
        <is>
          <t>BLCK</t>
        </is>
      </c>
      <c r="C140" s="1" t="inlineStr">
        <is>
          <t>PYPL</t>
        </is>
      </c>
      <c r="D140" s="1" t="inlineStr">
        <is>
          <t>70450Y103</t>
        </is>
      </c>
      <c r="E140" t="inlineStr">
        <is>
          <t>PayPal Holdings Inc</t>
        </is>
      </c>
      <c r="F140" t="inlineStr">
        <is>
          <t>640.00000000</t>
        </is>
      </c>
      <c r="G140" t="inlineStr">
        <is>
          <t>42.480000</t>
        </is>
      </c>
      <c r="H140" t="inlineStr">
        <is>
          <t>27187.20</t>
        </is>
      </c>
      <c r="I140" t="inlineStr">
        <is>
          <t>2.16%</t>
        </is>
      </c>
      <c r="J140" t="inlineStr">
        <is>
          <t>1260375.00</t>
        </is>
      </c>
      <c r="K140" t="inlineStr">
        <is>
          <t>50000</t>
        </is>
      </c>
      <c r="L140" t="inlineStr">
        <is>
          <t>10.000000000000</t>
        </is>
      </c>
      <c r="M140" t="inlineStr"/>
    </row>
    <row r="141">
      <c r="A141" t="inlineStr">
        <is>
          <t>06/25/2026</t>
        </is>
      </c>
      <c r="B141" t="inlineStr">
        <is>
          <t>BLCK</t>
        </is>
      </c>
      <c r="C141" s="1" t="inlineStr">
        <is>
          <t>RIOT</t>
        </is>
      </c>
      <c r="D141" s="1" t="inlineStr">
        <is>
          <t>767292105</t>
        </is>
      </c>
      <c r="E141" t="inlineStr">
        <is>
          <t>Riot Platforms Inc</t>
        </is>
      </c>
      <c r="F141" t="inlineStr">
        <is>
          <t>2560.00000000</t>
        </is>
      </c>
      <c r="G141" t="inlineStr">
        <is>
          <t>27.420000</t>
        </is>
      </c>
      <c r="H141" t="inlineStr">
        <is>
          <t>70195.20</t>
        </is>
      </c>
      <c r="I141" t="inlineStr">
        <is>
          <t>5.57%</t>
        </is>
      </c>
      <c r="J141" t="inlineStr">
        <is>
          <t>1260375.00</t>
        </is>
      </c>
      <c r="K141" t="inlineStr">
        <is>
          <t>50000</t>
        </is>
      </c>
      <c r="L141" t="inlineStr">
        <is>
          <t>10.000000000000</t>
        </is>
      </c>
      <c r="M141" t="inlineStr"/>
    </row>
    <row r="142">
      <c r="A142" t="inlineStr">
        <is>
          <t>06/25/2026</t>
        </is>
      </c>
      <c r="B142" t="inlineStr">
        <is>
          <t>BLCK</t>
        </is>
      </c>
      <c r="C142" s="1" t="inlineStr">
        <is>
          <t>SLNH</t>
        </is>
      </c>
      <c r="D142" s="1" t="inlineStr">
        <is>
          <t>583543301</t>
        </is>
      </c>
      <c r="E142" t="inlineStr">
        <is>
          <t>Soluna Holdings Inc</t>
        </is>
      </c>
      <c r="F142" t="inlineStr">
        <is>
          <t>16240.00000000</t>
        </is>
      </c>
      <c r="G142" t="inlineStr">
        <is>
          <t>1.370000</t>
        </is>
      </c>
      <c r="H142" t="inlineStr">
        <is>
          <t>22248.80</t>
        </is>
      </c>
      <c r="I142" t="inlineStr">
        <is>
          <t>1.77%</t>
        </is>
      </c>
      <c r="J142" t="inlineStr">
        <is>
          <t>1260375.00</t>
        </is>
      </c>
      <c r="K142" t="inlineStr">
        <is>
          <t>50000</t>
        </is>
      </c>
      <c r="L142" t="inlineStr">
        <is>
          <t>10.000000000000</t>
        </is>
      </c>
      <c r="M142" t="inlineStr"/>
    </row>
    <row r="143">
      <c r="A143" t="inlineStr">
        <is>
          <t>06/25/2026</t>
        </is>
      </c>
      <c r="B143" t="inlineStr">
        <is>
          <t>BLCK</t>
        </is>
      </c>
      <c r="C143" s="1" t="inlineStr">
        <is>
          <t>WULF</t>
        </is>
      </c>
      <c r="D143" s="1" t="inlineStr">
        <is>
          <t>88080T104</t>
        </is>
      </c>
      <c r="E143" t="inlineStr">
        <is>
          <t>Terawulf Inc</t>
        </is>
      </c>
      <c r="F143" t="inlineStr">
        <is>
          <t>2450.00000000</t>
        </is>
      </c>
      <c r="G143" t="inlineStr">
        <is>
          <t>26.970000</t>
        </is>
      </c>
      <c r="H143" t="inlineStr">
        <is>
          <t>66076.50</t>
        </is>
      </c>
      <c r="I143" t="inlineStr">
        <is>
          <t>5.24%</t>
        </is>
      </c>
      <c r="J143" t="inlineStr">
        <is>
          <t>1260375.00</t>
        </is>
      </c>
      <c r="K143" t="inlineStr">
        <is>
          <t>50000</t>
        </is>
      </c>
      <c r="L143" t="inlineStr">
        <is>
          <t>10.000000000000</t>
        </is>
      </c>
      <c r="M143" t="inlineStr"/>
    </row>
    <row r="144">
      <c r="A144" t="inlineStr">
        <is>
          <t>06/25/2026</t>
        </is>
      </c>
      <c r="B144" t="inlineStr">
        <is>
          <t>BLCK</t>
        </is>
      </c>
      <c r="C144" s="1" t="inlineStr">
        <is>
          <t>XYZ</t>
        </is>
      </c>
      <c r="D144" s="1" t="inlineStr">
        <is>
          <t>852234103</t>
        </is>
      </c>
      <c r="E144" t="inlineStr">
        <is>
          <t>Block Inc</t>
        </is>
      </c>
      <c r="F144" t="inlineStr">
        <is>
          <t>310.00000000</t>
        </is>
      </c>
      <c r="G144" t="inlineStr">
        <is>
          <t>75.680000</t>
        </is>
      </c>
      <c r="H144" t="inlineStr">
        <is>
          <t>23460.80</t>
        </is>
      </c>
      <c r="I144" t="inlineStr">
        <is>
          <t>1.86%</t>
        </is>
      </c>
      <c r="J144" t="inlineStr">
        <is>
          <t>1260375.00</t>
        </is>
      </c>
      <c r="K144" t="inlineStr">
        <is>
          <t>50000</t>
        </is>
      </c>
      <c r="L144" t="inlineStr">
        <is>
          <t>10.000000000000</t>
        </is>
      </c>
      <c r="M144" t="inlineStr"/>
    </row>
    <row r="145">
      <c r="A145" t="inlineStr">
        <is>
          <t>06/25/2026</t>
        </is>
      </c>
      <c r="B145" t="inlineStr">
        <is>
          <t>BLCK</t>
        </is>
      </c>
      <c r="C145" s="1" t="inlineStr">
        <is>
          <t>Cash&amp;Other</t>
        </is>
      </c>
      <c r="D145" s="1" t="inlineStr">
        <is>
          <t>Cash&amp;Other</t>
        </is>
      </c>
      <c r="E145" t="inlineStr">
        <is>
          <t>Cash &amp; Other</t>
        </is>
      </c>
      <c r="F145" t="inlineStr">
        <is>
          <t>103.90000000</t>
        </is>
      </c>
      <c r="G145" t="inlineStr">
        <is>
          <t>1.000000</t>
        </is>
      </c>
      <c r="H145" t="inlineStr">
        <is>
          <t>103.90</t>
        </is>
      </c>
      <c r="I145" t="inlineStr">
        <is>
          <t>0.01%</t>
        </is>
      </c>
      <c r="J145" t="inlineStr">
        <is>
          <t>1260375.00</t>
        </is>
      </c>
      <c r="K145" t="inlineStr">
        <is>
          <t>50000</t>
        </is>
      </c>
      <c r="L145" t="inlineStr">
        <is>
          <t>10.000000000000</t>
        </is>
      </c>
      <c r="M145" t="inlineStr">
        <is>
          <t>Y</t>
        </is>
      </c>
    </row>
    <row r="146">
      <c r="A146" t="inlineStr">
        <is>
          <t>06/25/2026</t>
        </is>
      </c>
      <c r="B146" t="inlineStr">
        <is>
          <t>BREW</t>
        </is>
      </c>
      <c r="C146" s="1" t="inlineStr">
        <is>
          <t>BRCC</t>
        </is>
      </c>
      <c r="D146" s="1" t="inlineStr">
        <is>
          <t>05601U105</t>
        </is>
      </c>
      <c r="E146" t="inlineStr">
        <is>
          <t>BRC Inc</t>
        </is>
      </c>
      <c r="F146" t="inlineStr">
        <is>
          <t>67776.00000000</t>
        </is>
      </c>
      <c r="G146" t="inlineStr">
        <is>
          <t>1.250000</t>
        </is>
      </c>
      <c r="H146" t="inlineStr">
        <is>
          <t>84720.00</t>
        </is>
      </c>
      <c r="I146" t="inlineStr">
        <is>
          <t>5.26%</t>
        </is>
      </c>
      <c r="J146" t="inlineStr">
        <is>
          <t>1611138.00</t>
        </is>
      </c>
      <c r="K146" t="inlineStr">
        <is>
          <t>60000</t>
        </is>
      </c>
      <c r="L146" t="inlineStr">
        <is>
          <t>12.000000000000</t>
        </is>
      </c>
      <c r="M146" t="inlineStr"/>
    </row>
    <row r="147">
      <c r="A147" t="inlineStr">
        <is>
          <t>06/25/2026</t>
        </is>
      </c>
      <c r="B147" t="inlineStr">
        <is>
          <t>BREW</t>
        </is>
      </c>
      <c r="C147" s="1" t="inlineStr">
        <is>
          <t>BROS</t>
        </is>
      </c>
      <c r="D147" s="1" t="inlineStr">
        <is>
          <t>26701L100</t>
        </is>
      </c>
      <c r="E147" t="inlineStr">
        <is>
          <t>Dutch Bros Inc</t>
        </is>
      </c>
      <c r="F147" t="inlineStr">
        <is>
          <t>1284.00000000</t>
        </is>
      </c>
      <c r="G147" t="inlineStr">
        <is>
          <t>67.150000</t>
        </is>
      </c>
      <c r="H147" t="inlineStr">
        <is>
          <t>86220.60</t>
        </is>
      </c>
      <c r="I147" t="inlineStr">
        <is>
          <t>5.35%</t>
        </is>
      </c>
      <c r="J147" t="inlineStr">
        <is>
          <t>1611138.00</t>
        </is>
      </c>
      <c r="K147" t="inlineStr">
        <is>
          <t>60000</t>
        </is>
      </c>
      <c r="L147" t="inlineStr">
        <is>
          <t>12.000000000000</t>
        </is>
      </c>
      <c r="M147" t="inlineStr"/>
    </row>
    <row r="148">
      <c r="A148" t="inlineStr">
        <is>
          <t>06/25/2026</t>
        </is>
      </c>
      <c r="B148" t="inlineStr">
        <is>
          <t>BREW</t>
        </is>
      </c>
      <c r="C148" s="1" t="inlineStr">
        <is>
          <t>CELH</t>
        </is>
      </c>
      <c r="D148" s="1" t="inlineStr">
        <is>
          <t>15118V207</t>
        </is>
      </c>
      <c r="E148" t="inlineStr">
        <is>
          <t>Celsius Holdings Inc</t>
        </is>
      </c>
      <c r="F148" t="inlineStr">
        <is>
          <t>2136.00000000</t>
        </is>
      </c>
      <c r="G148" t="inlineStr">
        <is>
          <t>28.520000</t>
        </is>
      </c>
      <c r="H148" t="inlineStr">
        <is>
          <t>60918.72</t>
        </is>
      </c>
      <c r="I148" t="inlineStr">
        <is>
          <t>3.78%</t>
        </is>
      </c>
      <c r="J148" t="inlineStr">
        <is>
          <t>1611138.00</t>
        </is>
      </c>
      <c r="K148" t="inlineStr">
        <is>
          <t>60000</t>
        </is>
      </c>
      <c r="L148" t="inlineStr">
        <is>
          <t>12.000000000000</t>
        </is>
      </c>
      <c r="M148" t="inlineStr"/>
    </row>
    <row r="149">
      <c r="A149" t="inlineStr">
        <is>
          <t>06/25/2026</t>
        </is>
      </c>
      <c r="B149" t="inlineStr">
        <is>
          <t>BREW</t>
        </is>
      </c>
      <c r="C149" s="1" t="inlineStr">
        <is>
          <t>DNUT</t>
        </is>
      </c>
      <c r="D149" s="1" t="inlineStr">
        <is>
          <t>50101L106</t>
        </is>
      </c>
      <c r="E149" t="inlineStr">
        <is>
          <t>Krispy Kreme Inc</t>
        </is>
      </c>
      <c r="F149" t="inlineStr">
        <is>
          <t>756.00000000</t>
        </is>
      </c>
      <c r="G149" t="inlineStr">
        <is>
          <t>3.730000</t>
        </is>
      </c>
      <c r="H149" t="inlineStr">
        <is>
          <t>2819.88</t>
        </is>
      </c>
      <c r="I149" t="inlineStr">
        <is>
          <t>0.18%</t>
        </is>
      </c>
      <c r="J149" t="inlineStr">
        <is>
          <t>1611138.00</t>
        </is>
      </c>
      <c r="K149" t="inlineStr">
        <is>
          <t>60000</t>
        </is>
      </c>
      <c r="L149" t="inlineStr">
        <is>
          <t>12.000000000000</t>
        </is>
      </c>
      <c r="M149" t="inlineStr"/>
    </row>
    <row r="150">
      <c r="A150" t="inlineStr">
        <is>
          <t>06/25/2026</t>
        </is>
      </c>
      <c r="B150" t="inlineStr">
        <is>
          <t>BREW</t>
        </is>
      </c>
      <c r="C150" s="1" t="inlineStr">
        <is>
          <t>FGXXX</t>
        </is>
      </c>
      <c r="D150" s="1" t="inlineStr">
        <is>
          <t>31846V336</t>
        </is>
      </c>
      <c r="E150" t="inlineStr">
        <is>
          <t>First American Government Obligations Fund 12/01/2031</t>
        </is>
      </c>
      <c r="F150" t="inlineStr">
        <is>
          <t>11041.90000000</t>
        </is>
      </c>
      <c r="G150" t="inlineStr">
        <is>
          <t>100.000000</t>
        </is>
      </c>
      <c r="H150" t="inlineStr">
        <is>
          <t>11041.90</t>
        </is>
      </c>
      <c r="I150" t="inlineStr">
        <is>
          <t>0.69%</t>
        </is>
      </c>
      <c r="J150" t="inlineStr">
        <is>
          <t>1611138.00</t>
        </is>
      </c>
      <c r="K150" t="inlineStr">
        <is>
          <t>60000</t>
        </is>
      </c>
      <c r="L150" t="inlineStr">
        <is>
          <t>12.000000000000</t>
        </is>
      </c>
      <c r="M150" t="inlineStr">
        <is>
          <t>Y</t>
        </is>
      </c>
    </row>
    <row r="151">
      <c r="A151" t="inlineStr">
        <is>
          <t>06/25/2026</t>
        </is>
      </c>
      <c r="B151" t="inlineStr">
        <is>
          <t>BREW</t>
        </is>
      </c>
      <c r="C151" s="1" t="inlineStr">
        <is>
          <t>IFF</t>
        </is>
      </c>
      <c r="D151" s="1" t="inlineStr">
        <is>
          <t>459506101</t>
        </is>
      </c>
      <c r="E151" t="inlineStr">
        <is>
          <t>International Flavors &amp; Fragrances Inc</t>
        </is>
      </c>
      <c r="F151" t="inlineStr">
        <is>
          <t>960.00000000</t>
        </is>
      </c>
      <c r="G151" t="inlineStr">
        <is>
          <t>75.830000</t>
        </is>
      </c>
      <c r="H151" t="inlineStr">
        <is>
          <t>72796.80</t>
        </is>
      </c>
      <c r="I151" t="inlineStr">
        <is>
          <t>4.52%</t>
        </is>
      </c>
      <c r="J151" t="inlineStr">
        <is>
          <t>1611138.00</t>
        </is>
      </c>
      <c r="K151" t="inlineStr">
        <is>
          <t>60000</t>
        </is>
      </c>
      <c r="L151" t="inlineStr">
        <is>
          <t>12.000000000000</t>
        </is>
      </c>
      <c r="M151" t="inlineStr"/>
    </row>
    <row r="152">
      <c r="A152" t="inlineStr">
        <is>
          <t>06/25/2026</t>
        </is>
      </c>
      <c r="B152" t="inlineStr">
        <is>
          <t>BREW</t>
        </is>
      </c>
      <c r="C152" s="1" t="inlineStr">
        <is>
          <t>INGR</t>
        </is>
      </c>
      <c r="D152" s="1" t="inlineStr">
        <is>
          <t>457187102</t>
        </is>
      </c>
      <c r="E152" t="inlineStr">
        <is>
          <t>Ingredion Inc</t>
        </is>
      </c>
      <c r="F152" t="inlineStr">
        <is>
          <t>396.00000000</t>
        </is>
      </c>
      <c r="G152" t="inlineStr">
        <is>
          <t>98.110000</t>
        </is>
      </c>
      <c r="H152" t="inlineStr">
        <is>
          <t>38851.56</t>
        </is>
      </c>
      <c r="I152" t="inlineStr">
        <is>
          <t>2.41%</t>
        </is>
      </c>
      <c r="J152" t="inlineStr">
        <is>
          <t>1611138.00</t>
        </is>
      </c>
      <c r="K152" t="inlineStr">
        <is>
          <t>60000</t>
        </is>
      </c>
      <c r="L152" t="inlineStr">
        <is>
          <t>12.000000000000</t>
        </is>
      </c>
      <c r="M152" t="inlineStr"/>
    </row>
    <row r="153">
      <c r="A153" t="inlineStr">
        <is>
          <t>06/25/2026</t>
        </is>
      </c>
      <c r="B153" t="inlineStr">
        <is>
          <t>BREW</t>
        </is>
      </c>
      <c r="C153" s="1" t="inlineStr">
        <is>
          <t>KDP</t>
        </is>
      </c>
      <c r="D153" s="1" t="inlineStr">
        <is>
          <t>49271V100</t>
        </is>
      </c>
      <c r="E153" t="inlineStr">
        <is>
          <t>Keurig Dr Pepper Inc</t>
        </is>
      </c>
      <c r="F153" t="inlineStr">
        <is>
          <t>2532.00000000</t>
        </is>
      </c>
      <c r="G153" t="inlineStr">
        <is>
          <t>31.400000</t>
        </is>
      </c>
      <c r="H153" t="inlineStr">
        <is>
          <t>79504.80</t>
        </is>
      </c>
      <c r="I153" t="inlineStr">
        <is>
          <t>4.93%</t>
        </is>
      </c>
      <c r="J153" t="inlineStr">
        <is>
          <t>1611138.00</t>
        </is>
      </c>
      <c r="K153" t="inlineStr">
        <is>
          <t>60000</t>
        </is>
      </c>
      <c r="L153" t="inlineStr">
        <is>
          <t>12.000000000000</t>
        </is>
      </c>
      <c r="M153" t="inlineStr"/>
    </row>
    <row r="154">
      <c r="A154" t="inlineStr">
        <is>
          <t>06/25/2026</t>
        </is>
      </c>
      <c r="B154" t="inlineStr">
        <is>
          <t>BREW</t>
        </is>
      </c>
      <c r="C154" s="1" t="inlineStr">
        <is>
          <t>KO</t>
        </is>
      </c>
      <c r="D154" s="1" t="inlineStr">
        <is>
          <t>191216100</t>
        </is>
      </c>
      <c r="E154" t="inlineStr">
        <is>
          <t>Coca-Cola Co/The</t>
        </is>
      </c>
      <c r="F154" t="inlineStr">
        <is>
          <t>3852.00000000</t>
        </is>
      </c>
      <c r="G154" t="inlineStr">
        <is>
          <t>80.600000</t>
        </is>
      </c>
      <c r="H154" t="inlineStr">
        <is>
          <t>310471.20</t>
        </is>
      </c>
      <c r="I154" t="inlineStr">
        <is>
          <t>19.27%</t>
        </is>
      </c>
      <c r="J154" t="inlineStr">
        <is>
          <t>1611138.00</t>
        </is>
      </c>
      <c r="K154" t="inlineStr">
        <is>
          <t>60000</t>
        </is>
      </c>
      <c r="L154" t="inlineStr">
        <is>
          <t>12.000000000000</t>
        </is>
      </c>
      <c r="M154" t="inlineStr"/>
    </row>
    <row r="155">
      <c r="A155" t="inlineStr">
        <is>
          <t>06/25/2026</t>
        </is>
      </c>
      <c r="B155" t="inlineStr">
        <is>
          <t>BREW</t>
        </is>
      </c>
      <c r="C155" s="1" t="inlineStr">
        <is>
          <t>MNST</t>
        </is>
      </c>
      <c r="D155" s="1" t="inlineStr">
        <is>
          <t>61174X109</t>
        </is>
      </c>
      <c r="E155" t="inlineStr">
        <is>
          <t>Monster Beverage Corp</t>
        </is>
      </c>
      <c r="F155" t="inlineStr">
        <is>
          <t>948.00000000</t>
        </is>
      </c>
      <c r="G155" t="inlineStr">
        <is>
          <t>94.700000</t>
        </is>
      </c>
      <c r="H155" t="inlineStr">
        <is>
          <t>89775.60</t>
        </is>
      </c>
      <c r="I155" t="inlineStr">
        <is>
          <t>5.57%</t>
        </is>
      </c>
      <c r="J155" t="inlineStr">
        <is>
          <t>1611138.00</t>
        </is>
      </c>
      <c r="K155" t="inlineStr">
        <is>
          <t>60000</t>
        </is>
      </c>
      <c r="L155" t="inlineStr">
        <is>
          <t>12.000000000000</t>
        </is>
      </c>
      <c r="M155" t="inlineStr"/>
    </row>
    <row r="156">
      <c r="A156" t="inlineStr">
        <is>
          <t>06/25/2026</t>
        </is>
      </c>
      <c r="B156" t="inlineStr">
        <is>
          <t>BREW</t>
        </is>
      </c>
      <c r="C156" s="1" t="inlineStr">
        <is>
          <t>PEP</t>
        </is>
      </c>
      <c r="D156" s="1" t="inlineStr">
        <is>
          <t>713448108</t>
        </is>
      </c>
      <c r="E156" t="inlineStr">
        <is>
          <t>PepsiCo Inc</t>
        </is>
      </c>
      <c r="F156" t="inlineStr">
        <is>
          <t>480.00000000</t>
        </is>
      </c>
      <c r="G156" t="inlineStr">
        <is>
          <t>142.270000</t>
        </is>
      </c>
      <c r="H156" t="inlineStr">
        <is>
          <t>68289.60</t>
        </is>
      </c>
      <c r="I156" t="inlineStr">
        <is>
          <t>4.24%</t>
        </is>
      </c>
      <c r="J156" t="inlineStr">
        <is>
          <t>1611138.00</t>
        </is>
      </c>
      <c r="K156" t="inlineStr">
        <is>
          <t>60000</t>
        </is>
      </c>
      <c r="L156" t="inlineStr">
        <is>
          <t>12.000000000000</t>
        </is>
      </c>
      <c r="M156" t="inlineStr"/>
    </row>
    <row r="157">
      <c r="A157" t="inlineStr">
        <is>
          <t>06/25/2026</t>
        </is>
      </c>
      <c r="B157" t="inlineStr">
        <is>
          <t>BREW</t>
        </is>
      </c>
      <c r="C157" s="1" t="inlineStr">
        <is>
          <t>QSR</t>
        </is>
      </c>
      <c r="D157" s="1" t="inlineStr">
        <is>
          <t>76131D103</t>
        </is>
      </c>
      <c r="E157" t="inlineStr">
        <is>
          <t>Restaurant Brands International Inc</t>
        </is>
      </c>
      <c r="F157" t="inlineStr">
        <is>
          <t>912.00000000</t>
        </is>
      </c>
      <c r="G157" t="inlineStr">
        <is>
          <t>72.760000</t>
        </is>
      </c>
      <c r="H157" t="inlineStr">
        <is>
          <t>66357.12</t>
        </is>
      </c>
      <c r="I157" t="inlineStr">
        <is>
          <t>4.12%</t>
        </is>
      </c>
      <c r="J157" t="inlineStr">
        <is>
          <t>1611138.00</t>
        </is>
      </c>
      <c r="K157" t="inlineStr">
        <is>
          <t>60000</t>
        </is>
      </c>
      <c r="L157" t="inlineStr">
        <is>
          <t>12.000000000000</t>
        </is>
      </c>
      <c r="M157" t="inlineStr"/>
    </row>
    <row r="158">
      <c r="A158" t="inlineStr">
        <is>
          <t>06/25/2026</t>
        </is>
      </c>
      <c r="B158" t="inlineStr">
        <is>
          <t>BREW</t>
        </is>
      </c>
      <c r="C158" s="1" t="inlineStr">
        <is>
          <t>SBUX</t>
        </is>
      </c>
      <c r="D158" s="1" t="inlineStr">
        <is>
          <t>855244109</t>
        </is>
      </c>
      <c r="E158" t="inlineStr">
        <is>
          <t>Starbucks Corp</t>
        </is>
      </c>
      <c r="F158" t="inlineStr">
        <is>
          <t>3000.00000000</t>
        </is>
      </c>
      <c r="G158" t="inlineStr">
        <is>
          <t>103.530000</t>
        </is>
      </c>
      <c r="H158" t="inlineStr">
        <is>
          <t>310590.00</t>
        </is>
      </c>
      <c r="I158" t="inlineStr">
        <is>
          <t>19.28%</t>
        </is>
      </c>
      <c r="J158" t="inlineStr">
        <is>
          <t>1611138.00</t>
        </is>
      </c>
      <c r="K158" t="inlineStr">
        <is>
          <t>60000</t>
        </is>
      </c>
      <c r="L158" t="inlineStr">
        <is>
          <t>12.000000000000</t>
        </is>
      </c>
      <c r="M158" t="inlineStr"/>
    </row>
    <row r="159">
      <c r="A159" t="inlineStr">
        <is>
          <t>06/25/2026</t>
        </is>
      </c>
      <c r="B159" t="inlineStr">
        <is>
          <t>BREW</t>
        </is>
      </c>
      <c r="C159" s="1" t="inlineStr">
        <is>
          <t>SJM</t>
        </is>
      </c>
      <c r="D159" s="1" t="inlineStr">
        <is>
          <t>832696405</t>
        </is>
      </c>
      <c r="E159" t="inlineStr">
        <is>
          <t>J M Smucker Co/The</t>
        </is>
      </c>
      <c r="F159" t="inlineStr">
        <is>
          <t>768.00000000</t>
        </is>
      </c>
      <c r="G159" t="inlineStr">
        <is>
          <t>111.630000</t>
        </is>
      </c>
      <c r="H159" t="inlineStr">
        <is>
          <t>85731.84</t>
        </is>
      </c>
      <c r="I159" t="inlineStr">
        <is>
          <t>5.32%</t>
        </is>
      </c>
      <c r="J159" t="inlineStr">
        <is>
          <t>1611138.00</t>
        </is>
      </c>
      <c r="K159" t="inlineStr">
        <is>
          <t>60000</t>
        </is>
      </c>
      <c r="L159" t="inlineStr">
        <is>
          <t>12.000000000000</t>
        </is>
      </c>
      <c r="M159" t="inlineStr"/>
    </row>
    <row r="160">
      <c r="A160" t="inlineStr">
        <is>
          <t>06/25/2026</t>
        </is>
      </c>
      <c r="B160" t="inlineStr">
        <is>
          <t>BREW</t>
        </is>
      </c>
      <c r="C160" s="1" t="inlineStr">
        <is>
          <t>SXT</t>
        </is>
      </c>
      <c r="D160" s="1" t="inlineStr">
        <is>
          <t>81725T100</t>
        </is>
      </c>
      <c r="E160" t="inlineStr">
        <is>
          <t>Sensient Technologies Corp</t>
        </is>
      </c>
      <c r="F160" t="inlineStr">
        <is>
          <t>252.00000000</t>
        </is>
      </c>
      <c r="G160" t="inlineStr">
        <is>
          <t>120.900000</t>
        </is>
      </c>
      <c r="H160" t="inlineStr">
        <is>
          <t>30466.80</t>
        </is>
      </c>
      <c r="I160" t="inlineStr">
        <is>
          <t>1.89%</t>
        </is>
      </c>
      <c r="J160" t="inlineStr">
        <is>
          <t>1611138.00</t>
        </is>
      </c>
      <c r="K160" t="inlineStr">
        <is>
          <t>60000</t>
        </is>
      </c>
      <c r="L160" t="inlineStr">
        <is>
          <t>12.000000000000</t>
        </is>
      </c>
      <c r="M160" t="inlineStr"/>
    </row>
    <row r="161">
      <c r="A161" t="inlineStr">
        <is>
          <t>06/25/2026</t>
        </is>
      </c>
      <c r="B161" t="inlineStr">
        <is>
          <t>BREW</t>
        </is>
      </c>
      <c r="C161" s="1" t="inlineStr">
        <is>
          <t>WEST</t>
        </is>
      </c>
      <c r="D161" s="1" t="inlineStr">
        <is>
          <t>96145W103</t>
        </is>
      </c>
      <c r="E161" t="inlineStr">
        <is>
          <t>Westrock Coffee Co</t>
        </is>
      </c>
      <c r="F161" t="inlineStr">
        <is>
          <t>12864.00000000</t>
        </is>
      </c>
      <c r="G161" t="inlineStr">
        <is>
          <t>9.680000</t>
        </is>
      </c>
      <c r="H161" t="inlineStr">
        <is>
          <t>124523.52</t>
        </is>
      </c>
      <c r="I161" t="inlineStr">
        <is>
          <t>7.73%</t>
        </is>
      </c>
      <c r="J161" t="inlineStr">
        <is>
          <t>1611138.00</t>
        </is>
      </c>
      <c r="K161" t="inlineStr">
        <is>
          <t>60000</t>
        </is>
      </c>
      <c r="L161" t="inlineStr">
        <is>
          <t>12.000000000000</t>
        </is>
      </c>
      <c r="M161" t="inlineStr"/>
    </row>
    <row r="162">
      <c r="A162" t="inlineStr">
        <is>
          <t>06/25/2026</t>
        </is>
      </c>
      <c r="B162" t="inlineStr">
        <is>
          <t>BREW</t>
        </is>
      </c>
      <c r="C162" s="1" t="inlineStr">
        <is>
          <t>ZVIA</t>
        </is>
      </c>
      <c r="D162" s="1" t="inlineStr">
        <is>
          <t>98955K104</t>
        </is>
      </c>
      <c r="E162" t="inlineStr">
        <is>
          <t>Zevia PBC</t>
        </is>
      </c>
      <c r="F162" t="inlineStr">
        <is>
          <t>57264.00000000</t>
        </is>
      </c>
      <c r="G162" t="inlineStr">
        <is>
          <t>1.480000</t>
        </is>
      </c>
      <c r="H162" t="inlineStr">
        <is>
          <t>84750.72</t>
        </is>
      </c>
      <c r="I162" t="inlineStr">
        <is>
          <t>5.26%</t>
        </is>
      </c>
      <c r="J162" t="inlineStr">
        <is>
          <t>1611138.00</t>
        </is>
      </c>
      <c r="K162" t="inlineStr">
        <is>
          <t>60000</t>
        </is>
      </c>
      <c r="L162" t="inlineStr">
        <is>
          <t>12.000000000000</t>
        </is>
      </c>
      <c r="M162" t="inlineStr"/>
    </row>
    <row r="163">
      <c r="A163" t="inlineStr">
        <is>
          <t>06/25/2026</t>
        </is>
      </c>
      <c r="B163" t="inlineStr">
        <is>
          <t>BREW</t>
        </is>
      </c>
      <c r="C163" s="1" t="inlineStr">
        <is>
          <t>Cash&amp;Other</t>
        </is>
      </c>
      <c r="D163" s="1" t="inlineStr">
        <is>
          <t>Cash&amp;Other</t>
        </is>
      </c>
      <c r="E163" t="inlineStr">
        <is>
          <t>Cash &amp; Other</t>
        </is>
      </c>
      <c r="F163" t="inlineStr">
        <is>
          <t>3292.94000000</t>
        </is>
      </c>
      <c r="G163" t="inlineStr">
        <is>
          <t>1.000000</t>
        </is>
      </c>
      <c r="H163" t="inlineStr">
        <is>
          <t>3292.94</t>
        </is>
      </c>
      <c r="I163" t="inlineStr">
        <is>
          <t>0.20%</t>
        </is>
      </c>
      <c r="J163" t="inlineStr">
        <is>
          <t>1611138.00</t>
        </is>
      </c>
      <c r="K163" t="inlineStr">
        <is>
          <t>60000</t>
        </is>
      </c>
      <c r="L163" t="inlineStr">
        <is>
          <t>12.000000000000</t>
        </is>
      </c>
      <c r="M163" t="inlineStr">
        <is>
          <t>Y</t>
        </is>
      </c>
    </row>
    <row r="164">
      <c r="A164" t="inlineStr">
        <is>
          <t>06/25/2026</t>
        </is>
      </c>
      <c r="B164" t="inlineStr">
        <is>
          <t>BRZX</t>
        </is>
      </c>
      <c r="C164" s="1" t="inlineStr">
        <is>
          <t>464286400-TRS-12/01/27-L-CANT</t>
        </is>
      </c>
      <c r="D164" s="1" t="inlineStr">
        <is>
          <t>464286400-TRS-12/01/27-L-CANT</t>
        </is>
      </c>
      <c r="E164" t="inlineStr">
        <is>
          <t>ISHARES MSCI BRAZIL ETF-SWAP-CANT-L</t>
        </is>
      </c>
      <c r="F164" t="inlineStr">
        <is>
          <t>20008.00000000</t>
        </is>
      </c>
      <c r="G164" t="inlineStr">
        <is>
          <t>33.850000</t>
        </is>
      </c>
      <c r="H164" t="inlineStr">
        <is>
          <t>677270.80</t>
        </is>
      </c>
      <c r="I164" t="inlineStr">
        <is>
          <t>199.96%</t>
        </is>
      </c>
      <c r="J164" t="inlineStr">
        <is>
          <t>338695.50</t>
        </is>
      </c>
      <c r="K164" t="inlineStr">
        <is>
          <t>15000</t>
        </is>
      </c>
      <c r="L164" t="inlineStr">
        <is>
          <t>3.000000000000</t>
        </is>
      </c>
      <c r="M164" t="inlineStr"/>
    </row>
    <row r="165">
      <c r="A165" t="inlineStr">
        <is>
          <t>06/25/2026</t>
        </is>
      </c>
      <c r="B165" t="inlineStr">
        <is>
          <t>BRZX</t>
        </is>
      </c>
      <c r="C165" s="1" t="inlineStr">
        <is>
          <t>FGXXX</t>
        </is>
      </c>
      <c r="D165" s="1" t="inlineStr">
        <is>
          <t>31846V336</t>
        </is>
      </c>
      <c r="E165" t="inlineStr">
        <is>
          <t>First American Government Obligations Fund 12/01/2031</t>
        </is>
      </c>
      <c r="F165" t="inlineStr">
        <is>
          <t>45267.01000000</t>
        </is>
      </c>
      <c r="G165" t="inlineStr">
        <is>
          <t>100.000000</t>
        </is>
      </c>
      <c r="H165" t="inlineStr">
        <is>
          <t>45267.01</t>
        </is>
      </c>
      <c r="I165" t="inlineStr">
        <is>
          <t>13.37%</t>
        </is>
      </c>
      <c r="J165" t="inlineStr">
        <is>
          <t>338695.50</t>
        </is>
      </c>
      <c r="K165" t="inlineStr">
        <is>
          <t>15000</t>
        </is>
      </c>
      <c r="L165" t="inlineStr">
        <is>
          <t>3.000000000000</t>
        </is>
      </c>
      <c r="M165" t="inlineStr">
        <is>
          <t>Y</t>
        </is>
      </c>
    </row>
    <row r="166">
      <c r="A166" t="inlineStr">
        <is>
          <t>06/25/2026</t>
        </is>
      </c>
      <c r="B166" t="inlineStr">
        <is>
          <t>BRZX</t>
        </is>
      </c>
      <c r="C166" s="1" t="inlineStr">
        <is>
          <t>Cash&amp;Other</t>
        </is>
      </c>
      <c r="D166" s="1" t="inlineStr">
        <is>
          <t>Cash&amp;Other</t>
        </is>
      </c>
      <c r="E166" t="inlineStr">
        <is>
          <t>Cash &amp; Other</t>
        </is>
      </c>
      <c r="F166" t="inlineStr">
        <is>
          <t>-383886.68000000</t>
        </is>
      </c>
      <c r="G166" t="inlineStr">
        <is>
          <t>1.000000</t>
        </is>
      </c>
      <c r="H166" t="inlineStr">
        <is>
          <t>-383886.68</t>
        </is>
      </c>
      <c r="I166" t="inlineStr">
        <is>
          <t>-113.34%</t>
        </is>
      </c>
      <c r="J166" t="inlineStr">
        <is>
          <t>338695.50</t>
        </is>
      </c>
      <c r="K166" t="inlineStr">
        <is>
          <t>15000</t>
        </is>
      </c>
      <c r="L166" t="inlineStr">
        <is>
          <t>3.000000000000</t>
        </is>
      </c>
      <c r="M166" t="inlineStr">
        <is>
          <t>Y</t>
        </is>
      </c>
    </row>
    <row r="167">
      <c r="A167" t="inlineStr">
        <is>
          <t>06/25/2026</t>
        </is>
      </c>
      <c r="B167" t="inlineStr">
        <is>
          <t>BZZ</t>
        </is>
      </c>
      <c r="C167" s="1" t="inlineStr">
        <is>
          <t>ACHR</t>
        </is>
      </c>
      <c r="D167" s="1" t="inlineStr">
        <is>
          <t>03945R102</t>
        </is>
      </c>
      <c r="E167" t="inlineStr">
        <is>
          <t>Archer Aviation Inc</t>
        </is>
      </c>
      <c r="F167" t="inlineStr">
        <is>
          <t>35070.00000000</t>
        </is>
      </c>
      <c r="G167" t="inlineStr">
        <is>
          <t>5.050000</t>
        </is>
      </c>
      <c r="H167" t="inlineStr">
        <is>
          <t>177103.50</t>
        </is>
      </c>
      <c r="I167" t="inlineStr">
        <is>
          <t>4.28%</t>
        </is>
      </c>
      <c r="J167" t="inlineStr">
        <is>
          <t>4136685.00</t>
        </is>
      </c>
      <c r="K167" t="inlineStr">
        <is>
          <t>175000</t>
        </is>
      </c>
      <c r="L167" t="inlineStr">
        <is>
          <t>35.000000000000</t>
        </is>
      </c>
      <c r="M167" t="inlineStr"/>
    </row>
    <row r="168">
      <c r="A168" t="inlineStr">
        <is>
          <t>06/25/2026</t>
        </is>
      </c>
      <c r="B168" t="inlineStr">
        <is>
          <t>BZZ</t>
        </is>
      </c>
      <c r="C168" s="1" t="inlineStr">
        <is>
          <t>AIRO</t>
        </is>
      </c>
      <c r="D168" s="1" t="inlineStr">
        <is>
          <t>009422106</t>
        </is>
      </c>
      <c r="E168" t="inlineStr">
        <is>
          <t>AIRO Group Holdings Inc</t>
        </is>
      </c>
      <c r="F168" t="inlineStr">
        <is>
          <t>16695.00000000</t>
        </is>
      </c>
      <c r="G168" t="inlineStr">
        <is>
          <t>7.030000</t>
        </is>
      </c>
      <c r="H168" t="inlineStr">
        <is>
          <t>117365.85</t>
        </is>
      </c>
      <c r="I168" t="inlineStr">
        <is>
          <t>2.84%</t>
        </is>
      </c>
      <c r="J168" t="inlineStr">
        <is>
          <t>4136685.00</t>
        </is>
      </c>
      <c r="K168" t="inlineStr">
        <is>
          <t>175000</t>
        </is>
      </c>
      <c r="L168" t="inlineStr">
        <is>
          <t>35.000000000000</t>
        </is>
      </c>
      <c r="M168" t="inlineStr"/>
    </row>
    <row r="169">
      <c r="A169" t="inlineStr">
        <is>
          <t>06/25/2026</t>
        </is>
      </c>
      <c r="B169" t="inlineStr">
        <is>
          <t>BZZ</t>
        </is>
      </c>
      <c r="C169" s="1" t="inlineStr">
        <is>
          <t>AMPX</t>
        </is>
      </c>
      <c r="D169" s="1" t="inlineStr">
        <is>
          <t>03214Q108</t>
        </is>
      </c>
      <c r="E169" t="inlineStr">
        <is>
          <t>Amprius Technologies Inc</t>
        </is>
      </c>
      <c r="F169" t="inlineStr">
        <is>
          <t>8820.00000000</t>
        </is>
      </c>
      <c r="G169" t="inlineStr">
        <is>
          <t>12.520000</t>
        </is>
      </c>
      <c r="H169" t="inlineStr">
        <is>
          <t>110426.40</t>
        </is>
      </c>
      <c r="I169" t="inlineStr">
        <is>
          <t>2.67%</t>
        </is>
      </c>
      <c r="J169" t="inlineStr">
        <is>
          <t>4136685.00</t>
        </is>
      </c>
      <c r="K169" t="inlineStr">
        <is>
          <t>175000</t>
        </is>
      </c>
      <c r="L169" t="inlineStr">
        <is>
          <t>35.000000000000</t>
        </is>
      </c>
      <c r="M169" t="inlineStr"/>
    </row>
    <row r="170">
      <c r="A170" t="inlineStr">
        <is>
          <t>06/25/2026</t>
        </is>
      </c>
      <c r="B170" t="inlineStr">
        <is>
          <t>BZZ</t>
        </is>
      </c>
      <c r="C170" s="1" t="inlineStr">
        <is>
          <t>AVAV</t>
        </is>
      </c>
      <c r="D170" s="1" t="inlineStr">
        <is>
          <t>008073108</t>
        </is>
      </c>
      <c r="E170" t="inlineStr">
        <is>
          <t>AeroVironment Inc</t>
        </is>
      </c>
      <c r="F170" t="inlineStr">
        <is>
          <t>1085.00000000</t>
        </is>
      </c>
      <c r="G170" t="inlineStr">
        <is>
          <t>142.180000</t>
        </is>
      </c>
      <c r="H170" t="inlineStr">
        <is>
          <t>154265.30</t>
        </is>
      </c>
      <c r="I170" t="inlineStr">
        <is>
          <t>3.73%</t>
        </is>
      </c>
      <c r="J170" t="inlineStr">
        <is>
          <t>4136685.00</t>
        </is>
      </c>
      <c r="K170" t="inlineStr">
        <is>
          <t>175000</t>
        </is>
      </c>
      <c r="L170" t="inlineStr">
        <is>
          <t>35.000000000000</t>
        </is>
      </c>
      <c r="M170" t="inlineStr"/>
    </row>
    <row r="171">
      <c r="A171" t="inlineStr">
        <is>
          <t>06/25/2026</t>
        </is>
      </c>
      <c r="B171" t="inlineStr">
        <is>
          <t>BZZ</t>
        </is>
      </c>
      <c r="C171" s="1" t="inlineStr">
        <is>
          <t>AXON</t>
        </is>
      </c>
      <c r="D171" s="1" t="inlineStr">
        <is>
          <t>05464C101</t>
        </is>
      </c>
      <c r="E171" t="inlineStr">
        <is>
          <t>Axon Enterprise Inc</t>
        </is>
      </c>
      <c r="F171" t="inlineStr">
        <is>
          <t>70.00000000</t>
        </is>
      </c>
      <c r="G171" t="inlineStr">
        <is>
          <t>456.730000</t>
        </is>
      </c>
      <c r="H171" t="inlineStr">
        <is>
          <t>31971.10</t>
        </is>
      </c>
      <c r="I171" t="inlineStr">
        <is>
          <t>0.77%</t>
        </is>
      </c>
      <c r="J171" t="inlineStr">
        <is>
          <t>4136685.00</t>
        </is>
      </c>
      <c r="K171" t="inlineStr">
        <is>
          <t>175000</t>
        </is>
      </c>
      <c r="L171" t="inlineStr">
        <is>
          <t>35.000000000000</t>
        </is>
      </c>
      <c r="M171" t="inlineStr"/>
    </row>
    <row r="172">
      <c r="A172" t="inlineStr">
        <is>
          <t>06/25/2026</t>
        </is>
      </c>
      <c r="B172" t="inlineStr">
        <is>
          <t>BZZ</t>
        </is>
      </c>
      <c r="C172" s="1" t="inlineStr">
        <is>
          <t>BA</t>
        </is>
      </c>
      <c r="D172" s="1" t="inlineStr">
        <is>
          <t>097023105</t>
        </is>
      </c>
      <c r="E172" t="inlineStr">
        <is>
          <t>Boeing Co/The</t>
        </is>
      </c>
      <c r="F172" t="inlineStr">
        <is>
          <t>700.00000000</t>
        </is>
      </c>
      <c r="G172" t="inlineStr">
        <is>
          <t>220.250000</t>
        </is>
      </c>
      <c r="H172" t="inlineStr">
        <is>
          <t>154175.00</t>
        </is>
      </c>
      <c r="I172" t="inlineStr">
        <is>
          <t>3.73%</t>
        </is>
      </c>
      <c r="J172" t="inlineStr">
        <is>
          <t>4136685.00</t>
        </is>
      </c>
      <c r="K172" t="inlineStr">
        <is>
          <t>175000</t>
        </is>
      </c>
      <c r="L172" t="inlineStr">
        <is>
          <t>35.000000000000</t>
        </is>
      </c>
      <c r="M172" t="inlineStr"/>
    </row>
    <row r="173">
      <c r="A173" t="inlineStr">
        <is>
          <t>06/25/2026</t>
        </is>
      </c>
      <c r="B173" t="inlineStr">
        <is>
          <t>BZZ</t>
        </is>
      </c>
      <c r="C173" s="1" t="inlineStr">
        <is>
          <t>BETA</t>
        </is>
      </c>
      <c r="D173" s="1" t="inlineStr">
        <is>
          <t>086921103</t>
        </is>
      </c>
      <c r="E173" t="inlineStr">
        <is>
          <t>Beta Technologies Inc</t>
        </is>
      </c>
      <c r="F173" t="inlineStr">
        <is>
          <t>10045.00000000</t>
        </is>
      </c>
      <c r="G173" t="inlineStr">
        <is>
          <t>15.680000</t>
        </is>
      </c>
      <c r="H173" t="inlineStr">
        <is>
          <t>157505.60</t>
        </is>
      </c>
      <c r="I173" t="inlineStr">
        <is>
          <t>3.81%</t>
        </is>
      </c>
      <c r="J173" t="inlineStr">
        <is>
          <t>4136685.00</t>
        </is>
      </c>
      <c r="K173" t="inlineStr">
        <is>
          <t>175000</t>
        </is>
      </c>
      <c r="L173" t="inlineStr">
        <is>
          <t>35.000000000000</t>
        </is>
      </c>
      <c r="M173" t="inlineStr"/>
    </row>
    <row r="174">
      <c r="A174" t="inlineStr">
        <is>
          <t>06/25/2026</t>
        </is>
      </c>
      <c r="B174" t="inlineStr">
        <is>
          <t>BZZ</t>
        </is>
      </c>
      <c r="C174" s="1" t="inlineStr">
        <is>
          <t>DPRO</t>
        </is>
      </c>
      <c r="D174" s="1" t="inlineStr">
        <is>
          <t>26142Q304</t>
        </is>
      </c>
      <c r="E174" t="inlineStr">
        <is>
          <t>Draganfly Inc</t>
        </is>
      </c>
      <c r="F174" t="inlineStr">
        <is>
          <t>22680.00000000</t>
        </is>
      </c>
      <c r="G174" t="inlineStr">
        <is>
          <t>5.100000</t>
        </is>
      </c>
      <c r="H174" t="inlineStr">
        <is>
          <t>115668.00</t>
        </is>
      </c>
      <c r="I174" t="inlineStr">
        <is>
          <t>2.80%</t>
        </is>
      </c>
      <c r="J174" t="inlineStr">
        <is>
          <t>4136685.00</t>
        </is>
      </c>
      <c r="K174" t="inlineStr">
        <is>
          <t>175000</t>
        </is>
      </c>
      <c r="L174" t="inlineStr">
        <is>
          <t>35.000000000000</t>
        </is>
      </c>
      <c r="M174" t="inlineStr"/>
    </row>
    <row r="175">
      <c r="A175" t="inlineStr">
        <is>
          <t>06/25/2026</t>
        </is>
      </c>
      <c r="B175" t="inlineStr">
        <is>
          <t>BZZ</t>
        </is>
      </c>
      <c r="C175" s="1" t="inlineStr">
        <is>
          <t>EH</t>
        </is>
      </c>
      <c r="D175" s="1" t="inlineStr">
        <is>
          <t>26853E102</t>
        </is>
      </c>
      <c r="E175" t="inlineStr">
        <is>
          <t>EHang Holdings Ltd</t>
        </is>
      </c>
      <c r="F175" t="inlineStr">
        <is>
          <t>15505.00000000</t>
        </is>
      </c>
      <c r="G175" t="inlineStr">
        <is>
          <t>6.630000</t>
        </is>
      </c>
      <c r="H175" t="inlineStr">
        <is>
          <t>102798.15</t>
        </is>
      </c>
      <c r="I175" t="inlineStr">
        <is>
          <t>2.49%</t>
        </is>
      </c>
      <c r="J175" t="inlineStr">
        <is>
          <t>4136685.00</t>
        </is>
      </c>
      <c r="K175" t="inlineStr">
        <is>
          <t>175000</t>
        </is>
      </c>
      <c r="L175" t="inlineStr">
        <is>
          <t>35.000000000000</t>
        </is>
      </c>
      <c r="M175" t="inlineStr"/>
    </row>
    <row r="176">
      <c r="A176" t="inlineStr">
        <is>
          <t>06/25/2026</t>
        </is>
      </c>
      <c r="B176" t="inlineStr">
        <is>
          <t>BZZ</t>
        </is>
      </c>
      <c r="C176" s="1" t="inlineStr">
        <is>
          <t>EVEX</t>
        </is>
      </c>
      <c r="D176" s="1" t="inlineStr">
        <is>
          <t>29970N104</t>
        </is>
      </c>
      <c r="E176" t="inlineStr">
        <is>
          <t>Eve Holding Inc</t>
        </is>
      </c>
      <c r="F176" t="inlineStr">
        <is>
          <t>49630.00000000</t>
        </is>
      </c>
      <c r="G176" t="inlineStr">
        <is>
          <t>2.630000</t>
        </is>
      </c>
      <c r="H176" t="inlineStr">
        <is>
          <t>130526.90</t>
        </is>
      </c>
      <c r="I176" t="inlineStr">
        <is>
          <t>3.16%</t>
        </is>
      </c>
      <c r="J176" t="inlineStr">
        <is>
          <t>4136685.00</t>
        </is>
      </c>
      <c r="K176" t="inlineStr">
        <is>
          <t>175000</t>
        </is>
      </c>
      <c r="L176" t="inlineStr">
        <is>
          <t>35.000000000000</t>
        </is>
      </c>
      <c r="M176" t="inlineStr"/>
    </row>
    <row r="177">
      <c r="A177" t="inlineStr">
        <is>
          <t>06/25/2026</t>
        </is>
      </c>
      <c r="B177" t="inlineStr">
        <is>
          <t>BZZ</t>
        </is>
      </c>
      <c r="C177" s="1" t="inlineStr">
        <is>
          <t>FGXXX</t>
        </is>
      </c>
      <c r="D177" s="1" t="inlineStr">
        <is>
          <t>31846V336</t>
        </is>
      </c>
      <c r="E177" t="inlineStr">
        <is>
          <t>First American Government Obligations Fund 12/01/2031</t>
        </is>
      </c>
      <c r="F177" t="inlineStr">
        <is>
          <t>162047.72000000</t>
        </is>
      </c>
      <c r="G177" t="inlineStr">
        <is>
          <t>100.000000</t>
        </is>
      </c>
      <c r="H177" t="inlineStr">
        <is>
          <t>162047.72</t>
        </is>
      </c>
      <c r="I177" t="inlineStr">
        <is>
          <t>3.92%</t>
        </is>
      </c>
      <c r="J177" t="inlineStr">
        <is>
          <t>4136685.00</t>
        </is>
      </c>
      <c r="K177" t="inlineStr">
        <is>
          <t>175000</t>
        </is>
      </c>
      <c r="L177" t="inlineStr">
        <is>
          <t>35.000000000000</t>
        </is>
      </c>
      <c r="M177" t="inlineStr">
        <is>
          <t>Y</t>
        </is>
      </c>
    </row>
    <row r="178">
      <c r="A178" t="inlineStr">
        <is>
          <t>06/25/2026</t>
        </is>
      </c>
      <c r="B178" t="inlineStr">
        <is>
          <t>BZZ</t>
        </is>
      </c>
      <c r="C178" s="1" t="inlineStr">
        <is>
          <t>HXL</t>
        </is>
      </c>
      <c r="D178" s="1" t="inlineStr">
        <is>
          <t>428291108</t>
        </is>
      </c>
      <c r="E178" t="inlineStr">
        <is>
          <t>Hexcel Corp</t>
        </is>
      </c>
      <c r="F178" t="inlineStr">
        <is>
          <t>2415.00000000</t>
        </is>
      </c>
      <c r="G178" t="inlineStr">
        <is>
          <t>95.480000</t>
        </is>
      </c>
      <c r="H178" t="inlineStr">
        <is>
          <t>230584.20</t>
        </is>
      </c>
      <c r="I178" t="inlineStr">
        <is>
          <t>5.57%</t>
        </is>
      </c>
      <c r="J178" t="inlineStr">
        <is>
          <t>4136685.00</t>
        </is>
      </c>
      <c r="K178" t="inlineStr">
        <is>
          <t>175000</t>
        </is>
      </c>
      <c r="L178" t="inlineStr">
        <is>
          <t>35.000000000000</t>
        </is>
      </c>
      <c r="M178" t="inlineStr"/>
    </row>
    <row r="179">
      <c r="A179" t="inlineStr">
        <is>
          <t>06/25/2026</t>
        </is>
      </c>
      <c r="B179" t="inlineStr">
        <is>
          <t>BZZ</t>
        </is>
      </c>
      <c r="C179" s="1" t="inlineStr">
        <is>
          <t>JOBY</t>
        </is>
      </c>
      <c r="D179" s="1" t="inlineStr">
        <is>
          <t>G65163100</t>
        </is>
      </c>
      <c r="E179" t="inlineStr">
        <is>
          <t>Joby Aviation Inc</t>
        </is>
      </c>
      <c r="F179" t="inlineStr">
        <is>
          <t>25340.00000000</t>
        </is>
      </c>
      <c r="G179" t="inlineStr">
        <is>
          <t>9.280000</t>
        </is>
      </c>
      <c r="H179" t="inlineStr">
        <is>
          <t>235155.20</t>
        </is>
      </c>
      <c r="I179" t="inlineStr">
        <is>
          <t>5.68%</t>
        </is>
      </c>
      <c r="J179" t="inlineStr">
        <is>
          <t>4136685.00</t>
        </is>
      </c>
      <c r="K179" t="inlineStr">
        <is>
          <t>175000</t>
        </is>
      </c>
      <c r="L179" t="inlineStr">
        <is>
          <t>35.000000000000</t>
        </is>
      </c>
      <c r="M179" t="inlineStr"/>
    </row>
    <row r="180">
      <c r="A180" t="inlineStr">
        <is>
          <t>06/25/2026</t>
        </is>
      </c>
      <c r="B180" t="inlineStr">
        <is>
          <t>BZZ</t>
        </is>
      </c>
      <c r="C180" s="1" t="inlineStr">
        <is>
          <t>KTOS</t>
        </is>
      </c>
      <c r="D180" s="1" t="inlineStr">
        <is>
          <t>50077B207</t>
        </is>
      </c>
      <c r="E180" t="inlineStr">
        <is>
          <t>Kratos Defense &amp; Security Solutions Inc</t>
        </is>
      </c>
      <c r="F180" t="inlineStr">
        <is>
          <t>3500.00000000</t>
        </is>
      </c>
      <c r="G180" t="inlineStr">
        <is>
          <t>47.950000</t>
        </is>
      </c>
      <c r="H180" t="inlineStr">
        <is>
          <t>167825.00</t>
        </is>
      </c>
      <c r="I180" t="inlineStr">
        <is>
          <t>4.06%</t>
        </is>
      </c>
      <c r="J180" t="inlineStr">
        <is>
          <t>4136685.00</t>
        </is>
      </c>
      <c r="K180" t="inlineStr">
        <is>
          <t>175000</t>
        </is>
      </c>
      <c r="L180" t="inlineStr">
        <is>
          <t>35.000000000000</t>
        </is>
      </c>
      <c r="M180" t="inlineStr"/>
    </row>
    <row r="181">
      <c r="A181" t="inlineStr">
        <is>
          <t>06/25/2026</t>
        </is>
      </c>
      <c r="B181" t="inlineStr">
        <is>
          <t>BZZ</t>
        </is>
      </c>
      <c r="C181" s="1" t="inlineStr">
        <is>
          <t>LHX</t>
        </is>
      </c>
      <c r="D181" s="1" t="inlineStr">
        <is>
          <t>502431109</t>
        </is>
      </c>
      <c r="E181" t="inlineStr">
        <is>
          <t>L3Harris Technologies Inc</t>
        </is>
      </c>
      <c r="F181" t="inlineStr">
        <is>
          <t>245.00000000</t>
        </is>
      </c>
      <c r="G181" t="inlineStr">
        <is>
          <t>287.270000</t>
        </is>
      </c>
      <c r="H181" t="inlineStr">
        <is>
          <t>70381.15</t>
        </is>
      </c>
      <c r="I181" t="inlineStr">
        <is>
          <t>1.70%</t>
        </is>
      </c>
      <c r="J181" t="inlineStr">
        <is>
          <t>4136685.00</t>
        </is>
      </c>
      <c r="K181" t="inlineStr">
        <is>
          <t>175000</t>
        </is>
      </c>
      <c r="L181" t="inlineStr">
        <is>
          <t>35.000000000000</t>
        </is>
      </c>
      <c r="M181" t="inlineStr"/>
    </row>
    <row r="182">
      <c r="A182" t="inlineStr">
        <is>
          <t>06/25/2026</t>
        </is>
      </c>
      <c r="B182" t="inlineStr">
        <is>
          <t>BZZ</t>
        </is>
      </c>
      <c r="C182" s="1" t="inlineStr">
        <is>
          <t>LMT</t>
        </is>
      </c>
      <c r="D182" s="1" t="inlineStr">
        <is>
          <t>539830109</t>
        </is>
      </c>
      <c r="E182" t="inlineStr">
        <is>
          <t>Lockheed Martin Corp</t>
        </is>
      </c>
      <c r="F182" t="inlineStr">
        <is>
          <t>280.00000000</t>
        </is>
      </c>
      <c r="G182" t="inlineStr">
        <is>
          <t>491.640000</t>
        </is>
      </c>
      <c r="H182" t="inlineStr">
        <is>
          <t>137659.20</t>
        </is>
      </c>
      <c r="I182" t="inlineStr">
        <is>
          <t>3.33%</t>
        </is>
      </c>
      <c r="J182" t="inlineStr">
        <is>
          <t>4136685.00</t>
        </is>
      </c>
      <c r="K182" t="inlineStr">
        <is>
          <t>175000</t>
        </is>
      </c>
      <c r="L182" t="inlineStr">
        <is>
          <t>35.000000000000</t>
        </is>
      </c>
      <c r="M182" t="inlineStr"/>
    </row>
    <row r="183">
      <c r="A183" t="inlineStr">
        <is>
          <t>06/25/2026</t>
        </is>
      </c>
      <c r="B183" t="inlineStr">
        <is>
          <t>BZZ</t>
        </is>
      </c>
      <c r="C183" s="1" t="inlineStr">
        <is>
          <t>NOC</t>
        </is>
      </c>
      <c r="D183" s="1" t="inlineStr">
        <is>
          <t>666807102</t>
        </is>
      </c>
      <c r="E183" t="inlineStr">
        <is>
          <t>Northrop Grumman Corp</t>
        </is>
      </c>
      <c r="F183" t="inlineStr">
        <is>
          <t>700.00000000</t>
        </is>
      </c>
      <c r="G183" t="inlineStr">
        <is>
          <t>503.010000</t>
        </is>
      </c>
      <c r="H183" t="inlineStr">
        <is>
          <t>352107.00</t>
        </is>
      </c>
      <c r="I183" t="inlineStr">
        <is>
          <t>8.51%</t>
        </is>
      </c>
      <c r="J183" t="inlineStr">
        <is>
          <t>4136685.00</t>
        </is>
      </c>
      <c r="K183" t="inlineStr">
        <is>
          <t>175000</t>
        </is>
      </c>
      <c r="L183" t="inlineStr">
        <is>
          <t>35.000000000000</t>
        </is>
      </c>
      <c r="M183" t="inlineStr"/>
    </row>
    <row r="184">
      <c r="A184" t="inlineStr">
        <is>
          <t>06/25/2026</t>
        </is>
      </c>
      <c r="B184" t="inlineStr">
        <is>
          <t>BZZ</t>
        </is>
      </c>
      <c r="C184" s="1" t="inlineStr">
        <is>
          <t>ONDS</t>
        </is>
      </c>
      <c r="D184" s="1" t="inlineStr">
        <is>
          <t>68236H204</t>
        </is>
      </c>
      <c r="E184" t="inlineStr">
        <is>
          <t>Ondas Inc</t>
        </is>
      </c>
      <c r="F184" t="inlineStr">
        <is>
          <t>19775.00000000</t>
        </is>
      </c>
      <c r="G184" t="inlineStr">
        <is>
          <t>7.680000</t>
        </is>
      </c>
      <c r="H184" t="inlineStr">
        <is>
          <t>151872.00</t>
        </is>
      </c>
      <c r="I184" t="inlineStr">
        <is>
          <t>3.67%</t>
        </is>
      </c>
      <c r="J184" t="inlineStr">
        <is>
          <t>4136685.00</t>
        </is>
      </c>
      <c r="K184" t="inlineStr">
        <is>
          <t>175000</t>
        </is>
      </c>
      <c r="L184" t="inlineStr">
        <is>
          <t>35.000000000000</t>
        </is>
      </c>
      <c r="M184" t="inlineStr"/>
    </row>
    <row r="185">
      <c r="A185" t="inlineStr">
        <is>
          <t>06/25/2026</t>
        </is>
      </c>
      <c r="B185" t="inlineStr">
        <is>
          <t>BZZ</t>
        </is>
      </c>
      <c r="C185" s="1" t="inlineStr">
        <is>
          <t>OUST</t>
        </is>
      </c>
      <c r="D185" s="1" t="inlineStr">
        <is>
          <t>68989M202</t>
        </is>
      </c>
      <c r="E185" t="inlineStr">
        <is>
          <t>Ouster Inc</t>
        </is>
      </c>
      <c r="F185" t="inlineStr">
        <is>
          <t>5950.00000000</t>
        </is>
      </c>
      <c r="G185" t="inlineStr">
        <is>
          <t>40.710000</t>
        </is>
      </c>
      <c r="H185" t="inlineStr">
        <is>
          <t>242224.50</t>
        </is>
      </c>
      <c r="I185" t="inlineStr">
        <is>
          <t>5.86%</t>
        </is>
      </c>
      <c r="J185" t="inlineStr">
        <is>
          <t>4136685.00</t>
        </is>
      </c>
      <c r="K185" t="inlineStr">
        <is>
          <t>175000</t>
        </is>
      </c>
      <c r="L185" t="inlineStr">
        <is>
          <t>35.000000000000</t>
        </is>
      </c>
      <c r="M185" t="inlineStr"/>
    </row>
    <row r="186">
      <c r="A186" t="inlineStr">
        <is>
          <t>06/25/2026</t>
        </is>
      </c>
      <c r="B186" t="inlineStr">
        <is>
          <t>BZZ</t>
        </is>
      </c>
      <c r="C186" s="1" t="inlineStr">
        <is>
          <t>RCAT</t>
        </is>
      </c>
      <c r="D186" s="1" t="inlineStr">
        <is>
          <t>75644T100</t>
        </is>
      </c>
      <c r="E186" t="inlineStr">
        <is>
          <t>Red Cat Holdings Inc</t>
        </is>
      </c>
      <c r="F186" t="inlineStr">
        <is>
          <t>14770.00000000</t>
        </is>
      </c>
      <c r="G186" t="inlineStr">
        <is>
          <t>9.340000</t>
        </is>
      </c>
      <c r="H186" t="inlineStr">
        <is>
          <t>137951.80</t>
        </is>
      </c>
      <c r="I186" t="inlineStr">
        <is>
          <t>3.33%</t>
        </is>
      </c>
      <c r="J186" t="inlineStr">
        <is>
          <t>4136685.00</t>
        </is>
      </c>
      <c r="K186" t="inlineStr">
        <is>
          <t>175000</t>
        </is>
      </c>
      <c r="L186" t="inlineStr">
        <is>
          <t>35.000000000000</t>
        </is>
      </c>
      <c r="M186" t="inlineStr"/>
    </row>
    <row r="187">
      <c r="A187" t="inlineStr">
        <is>
          <t>06/25/2026</t>
        </is>
      </c>
      <c r="B187" t="inlineStr">
        <is>
          <t>BZZ</t>
        </is>
      </c>
      <c r="C187" s="1" t="inlineStr">
        <is>
          <t>RTX</t>
        </is>
      </c>
      <c r="D187" s="1" t="inlineStr">
        <is>
          <t>75513E101</t>
        </is>
      </c>
      <c r="E187" t="inlineStr">
        <is>
          <t>RTX Corp</t>
        </is>
      </c>
      <c r="F187" t="inlineStr">
        <is>
          <t>1225.00000000</t>
        </is>
      </c>
      <c r="G187" t="inlineStr">
        <is>
          <t>185.060000</t>
        </is>
      </c>
      <c r="H187" t="inlineStr">
        <is>
          <t>226698.50</t>
        </is>
      </c>
      <c r="I187" t="inlineStr">
        <is>
          <t>5.48%</t>
        </is>
      </c>
      <c r="J187" t="inlineStr">
        <is>
          <t>4136685.00</t>
        </is>
      </c>
      <c r="K187" t="inlineStr">
        <is>
          <t>175000</t>
        </is>
      </c>
      <c r="L187" t="inlineStr">
        <is>
          <t>35.000000000000</t>
        </is>
      </c>
      <c r="M187" t="inlineStr"/>
    </row>
    <row r="188">
      <c r="A188" t="inlineStr">
        <is>
          <t>06/25/2026</t>
        </is>
      </c>
      <c r="B188" t="inlineStr">
        <is>
          <t>BZZ</t>
        </is>
      </c>
      <c r="C188" s="1" t="inlineStr">
        <is>
          <t>SWMR</t>
        </is>
      </c>
      <c r="D188" s="1" t="inlineStr">
        <is>
          <t>86989Y109</t>
        </is>
      </c>
      <c r="E188" t="inlineStr">
        <is>
          <t>Swarmer Inc</t>
        </is>
      </c>
      <c r="F188" t="inlineStr">
        <is>
          <t>3360.00000000</t>
        </is>
      </c>
      <c r="G188" t="inlineStr">
        <is>
          <t>38.230000</t>
        </is>
      </c>
      <c r="H188" t="inlineStr">
        <is>
          <t>128452.80</t>
        </is>
      </c>
      <c r="I188" t="inlineStr">
        <is>
          <t>3.11%</t>
        </is>
      </c>
      <c r="J188" t="inlineStr">
        <is>
          <t>4136685.00</t>
        </is>
      </c>
      <c r="K188" t="inlineStr">
        <is>
          <t>175000</t>
        </is>
      </c>
      <c r="L188" t="inlineStr">
        <is>
          <t>35.000000000000</t>
        </is>
      </c>
      <c r="M188" t="inlineStr"/>
    </row>
    <row r="189">
      <c r="A189" t="inlineStr">
        <is>
          <t>06/25/2026</t>
        </is>
      </c>
      <c r="B189" t="inlineStr">
        <is>
          <t>BZZ</t>
        </is>
      </c>
      <c r="C189" s="1" t="inlineStr">
        <is>
          <t>TDY</t>
        </is>
      </c>
      <c r="D189" s="1" t="inlineStr">
        <is>
          <t>879360105</t>
        </is>
      </c>
      <c r="E189" t="inlineStr">
        <is>
          <t>Teledyne Technologies Inc</t>
        </is>
      </c>
      <c r="F189" t="inlineStr">
        <is>
          <t>455.00000000</t>
        </is>
      </c>
      <c r="G189" t="inlineStr">
        <is>
          <t>612.170000</t>
        </is>
      </c>
      <c r="H189" t="inlineStr">
        <is>
          <t>278537.35</t>
        </is>
      </c>
      <c r="I189" t="inlineStr">
        <is>
          <t>6.73%</t>
        </is>
      </c>
      <c r="J189" t="inlineStr">
        <is>
          <t>4136685.00</t>
        </is>
      </c>
      <c r="K189" t="inlineStr">
        <is>
          <t>175000</t>
        </is>
      </c>
      <c r="L189" t="inlineStr">
        <is>
          <t>35.000000000000</t>
        </is>
      </c>
      <c r="M189" t="inlineStr"/>
    </row>
    <row r="190">
      <c r="A190" t="inlineStr">
        <is>
          <t>06/25/2026</t>
        </is>
      </c>
      <c r="B190" t="inlineStr">
        <is>
          <t>BZZ</t>
        </is>
      </c>
      <c r="C190" s="1" t="inlineStr">
        <is>
          <t>TRMB</t>
        </is>
      </c>
      <c r="D190" s="1" t="inlineStr">
        <is>
          <t>896239100</t>
        </is>
      </c>
      <c r="E190" t="inlineStr">
        <is>
          <t>Trimble Inc</t>
        </is>
      </c>
      <c r="F190" t="inlineStr">
        <is>
          <t>140.00000000</t>
        </is>
      </c>
      <c r="G190" t="inlineStr">
        <is>
          <t>50.140000</t>
        </is>
      </c>
      <c r="H190" t="inlineStr">
        <is>
          <t>7019.60</t>
        </is>
      </c>
      <c r="I190" t="inlineStr">
        <is>
          <t>0.17%</t>
        </is>
      </c>
      <c r="J190" t="inlineStr">
        <is>
          <t>4136685.00</t>
        </is>
      </c>
      <c r="K190" t="inlineStr">
        <is>
          <t>175000</t>
        </is>
      </c>
      <c r="L190" t="inlineStr">
        <is>
          <t>35.000000000000</t>
        </is>
      </c>
      <c r="M190" t="inlineStr"/>
    </row>
    <row r="191">
      <c r="A191" t="inlineStr">
        <is>
          <t>06/25/2026</t>
        </is>
      </c>
      <c r="B191" t="inlineStr">
        <is>
          <t>BZZ</t>
        </is>
      </c>
      <c r="C191" s="1" t="inlineStr">
        <is>
          <t>TXT</t>
        </is>
      </c>
      <c r="D191" s="1" t="inlineStr">
        <is>
          <t>883203101</t>
        </is>
      </c>
      <c r="E191" t="inlineStr">
        <is>
          <t>Textron Inc</t>
        </is>
      </c>
      <c r="F191" t="inlineStr">
        <is>
          <t>105.00000000</t>
        </is>
      </c>
      <c r="G191" t="inlineStr">
        <is>
          <t>86.540000</t>
        </is>
      </c>
      <c r="H191" t="inlineStr">
        <is>
          <t>9086.70</t>
        </is>
      </c>
      <c r="I191" t="inlineStr">
        <is>
          <t>0.22%</t>
        </is>
      </c>
      <c r="J191" t="inlineStr">
        <is>
          <t>4136685.00</t>
        </is>
      </c>
      <c r="K191" t="inlineStr">
        <is>
          <t>175000</t>
        </is>
      </c>
      <c r="L191" t="inlineStr">
        <is>
          <t>35.000000000000</t>
        </is>
      </c>
      <c r="M191" t="inlineStr"/>
    </row>
    <row r="192">
      <c r="A192" t="inlineStr">
        <is>
          <t>06/25/2026</t>
        </is>
      </c>
      <c r="B192" t="inlineStr">
        <is>
          <t>BZZ</t>
        </is>
      </c>
      <c r="C192" s="1" t="inlineStr">
        <is>
          <t>UMAC</t>
        </is>
      </c>
      <c r="D192" s="1" t="inlineStr">
        <is>
          <t>91532F102</t>
        </is>
      </c>
      <c r="E192" t="inlineStr">
        <is>
          <t>Unusual Machines Inc /US</t>
        </is>
      </c>
      <c r="F192" t="inlineStr">
        <is>
          <t>10395.00000000</t>
        </is>
      </c>
      <c r="G192" t="inlineStr">
        <is>
          <t>19.520000</t>
        </is>
      </c>
      <c r="H192" t="inlineStr">
        <is>
          <t>202910.40</t>
        </is>
      </c>
      <c r="I192" t="inlineStr">
        <is>
          <t>4.91%</t>
        </is>
      </c>
      <c r="J192" t="inlineStr">
        <is>
          <t>4136685.00</t>
        </is>
      </c>
      <c r="K192" t="inlineStr">
        <is>
          <t>175000</t>
        </is>
      </c>
      <c r="L192" t="inlineStr">
        <is>
          <t>35.000000000000</t>
        </is>
      </c>
      <c r="M192" t="inlineStr"/>
    </row>
    <row r="193">
      <c r="A193" t="inlineStr">
        <is>
          <t>06/25/2026</t>
        </is>
      </c>
      <c r="B193" t="inlineStr">
        <is>
          <t>BZZ</t>
        </is>
      </c>
      <c r="C193" s="1" t="inlineStr">
        <is>
          <t>VTOL</t>
        </is>
      </c>
      <c r="D193" s="1" t="inlineStr">
        <is>
          <t>11040G103</t>
        </is>
      </c>
      <c r="E193" t="inlineStr">
        <is>
          <t>Bristow Group Inc</t>
        </is>
      </c>
      <c r="F193" t="inlineStr">
        <is>
          <t>3500.00000000</t>
        </is>
      </c>
      <c r="G193" t="inlineStr">
        <is>
          <t>41.150000</t>
        </is>
      </c>
      <c r="H193" t="inlineStr">
        <is>
          <t>144025.00</t>
        </is>
      </c>
      <c r="I193" t="inlineStr">
        <is>
          <t>3.48%</t>
        </is>
      </c>
      <c r="J193" t="inlineStr">
        <is>
          <t>4136685.00</t>
        </is>
      </c>
      <c r="K193" t="inlineStr">
        <is>
          <t>175000</t>
        </is>
      </c>
      <c r="L193" t="inlineStr">
        <is>
          <t>35.000000000000</t>
        </is>
      </c>
      <c r="M193" t="inlineStr"/>
    </row>
    <row r="194">
      <c r="A194" t="inlineStr">
        <is>
          <t>06/25/2026</t>
        </is>
      </c>
      <c r="B194" t="inlineStr">
        <is>
          <t>BZZ</t>
        </is>
      </c>
      <c r="C194" s="1" t="inlineStr">
        <is>
          <t>Cash&amp;Other</t>
        </is>
      </c>
      <c r="D194" s="1" t="inlineStr">
        <is>
          <t>Cash&amp;Other</t>
        </is>
      </c>
      <c r="E194" t="inlineStr">
        <is>
          <t>Cash &amp; Other</t>
        </is>
      </c>
      <c r="F194" t="inlineStr">
        <is>
          <t>317.30000000</t>
        </is>
      </c>
      <c r="G194" t="inlineStr">
        <is>
          <t>1.000000</t>
        </is>
      </c>
      <c r="H194" t="inlineStr">
        <is>
          <t>317.30</t>
        </is>
      </c>
      <c r="I194" t="inlineStr">
        <is>
          <t>0.01%</t>
        </is>
      </c>
      <c r="J194" t="inlineStr">
        <is>
          <t>4136685.00</t>
        </is>
      </c>
      <c r="K194" t="inlineStr">
        <is>
          <t>175000</t>
        </is>
      </c>
      <c r="L194" t="inlineStr">
        <is>
          <t>35.000000000000</t>
        </is>
      </c>
      <c r="M194" t="inlineStr">
        <is>
          <t>Y</t>
        </is>
      </c>
    </row>
    <row r="195">
      <c r="A195" t="inlineStr">
        <is>
          <t>06/25/2026</t>
        </is>
      </c>
      <c r="B195" t="inlineStr">
        <is>
          <t>CAMC</t>
        </is>
      </c>
      <c r="C195" s="1" t="inlineStr">
        <is>
          <t>FGXXX</t>
        </is>
      </c>
      <c r="D195" s="1" t="inlineStr">
        <is>
          <t>31846V336</t>
        </is>
      </c>
      <c r="E195" t="inlineStr">
        <is>
          <t>First American Government Obligations Fund 12/01/2031</t>
        </is>
      </c>
      <c r="F195" t="inlineStr">
        <is>
          <t>26886.00000000</t>
        </is>
      </c>
      <c r="G195" t="inlineStr">
        <is>
          <t>100.000000</t>
        </is>
      </c>
      <c r="H195" t="inlineStr">
        <is>
          <t>26886.00</t>
        </is>
      </c>
      <c r="I195" t="inlineStr">
        <is>
          <t>11.07%</t>
        </is>
      </c>
      <c r="J195" t="inlineStr">
        <is>
          <t>242783.00</t>
        </is>
      </c>
      <c r="K195" t="inlineStr">
        <is>
          <t>10000</t>
        </is>
      </c>
      <c r="L195" t="inlineStr">
        <is>
          <t>2.000000000000</t>
        </is>
      </c>
      <c r="M195" t="inlineStr">
        <is>
          <t>Y</t>
        </is>
      </c>
    </row>
    <row r="196">
      <c r="A196" t="inlineStr">
        <is>
          <t>06/25/2026</t>
        </is>
      </c>
      <c r="B196" t="inlineStr">
        <is>
          <t>CAMC</t>
        </is>
      </c>
      <c r="C196" s="1" t="inlineStr">
        <is>
          <t>M20791105-TRS-12/01/27-L-CANT</t>
        </is>
      </c>
      <c r="D196" s="1" t="inlineStr">
        <is>
          <t>M20791105-TRS-12/01/27-L-CANT</t>
        </is>
      </c>
      <c r="E196" t="inlineStr">
        <is>
          <t>CAMTEK LTD.-SWAP-CANT-L</t>
        </is>
      </c>
      <c r="F196" t="inlineStr">
        <is>
          <t>2911.00000000</t>
        </is>
      </c>
      <c r="G196" t="inlineStr">
        <is>
          <t>166.900000</t>
        </is>
      </c>
      <c r="H196" t="inlineStr">
        <is>
          <t>485845.90</t>
        </is>
      </c>
      <c r="I196" t="inlineStr">
        <is>
          <t>200.12%</t>
        </is>
      </c>
      <c r="J196" t="inlineStr">
        <is>
          <t>242783.00</t>
        </is>
      </c>
      <c r="K196" t="inlineStr">
        <is>
          <t>10000</t>
        </is>
      </c>
      <c r="L196" t="inlineStr">
        <is>
          <t>2.000000000000</t>
        </is>
      </c>
      <c r="M196" t="inlineStr"/>
    </row>
    <row r="197">
      <c r="A197" t="inlineStr">
        <is>
          <t>06/25/2026</t>
        </is>
      </c>
      <c r="B197" t="inlineStr">
        <is>
          <t>CAMC</t>
        </is>
      </c>
      <c r="C197" s="1" t="inlineStr">
        <is>
          <t>Cash&amp;Other</t>
        </is>
      </c>
      <c r="D197" s="1" t="inlineStr">
        <is>
          <t>Cash&amp;Other</t>
        </is>
      </c>
      <c r="E197" t="inlineStr">
        <is>
          <t>Cash &amp; Other</t>
        </is>
      </c>
      <c r="F197" t="inlineStr">
        <is>
          <t>-270024.36000000</t>
        </is>
      </c>
      <c r="G197" t="inlineStr">
        <is>
          <t>1.000000</t>
        </is>
      </c>
      <c r="H197" t="inlineStr">
        <is>
          <t>-270024.36</t>
        </is>
      </c>
      <c r="I197" t="inlineStr">
        <is>
          <t>-111.22%</t>
        </is>
      </c>
      <c r="J197" t="inlineStr">
        <is>
          <t>242783.00</t>
        </is>
      </c>
      <c r="K197" t="inlineStr">
        <is>
          <t>10000</t>
        </is>
      </c>
      <c r="L197" t="inlineStr">
        <is>
          <t>2.000000000000</t>
        </is>
      </c>
      <c r="M197" t="inlineStr">
        <is>
          <t>Y</t>
        </is>
      </c>
    </row>
    <row r="198">
      <c r="A198" t="inlineStr">
        <is>
          <t>06/25/2026</t>
        </is>
      </c>
      <c r="B198" t="inlineStr">
        <is>
          <t>CARX</t>
        </is>
      </c>
      <c r="C198" s="1" t="inlineStr">
        <is>
          <t>565394103-TRS-12/01/27-L-CANT</t>
        </is>
      </c>
      <c r="D198" s="1" t="inlineStr">
        <is>
          <t>565394103-TRS-12/01/27-L-CANT</t>
        </is>
      </c>
      <c r="E198" t="inlineStr">
        <is>
          <t>MAPLEBEAR INC.-SWAP-CANT-L</t>
        </is>
      </c>
      <c r="F198" t="inlineStr">
        <is>
          <t>10977.00000000</t>
        </is>
      </c>
      <c r="G198" t="inlineStr">
        <is>
          <t>46.600000</t>
        </is>
      </c>
      <c r="H198" t="inlineStr">
        <is>
          <t>511528.20</t>
        </is>
      </c>
      <c r="I198" t="inlineStr">
        <is>
          <t>200.12%</t>
        </is>
      </c>
      <c r="J198" t="inlineStr">
        <is>
          <t>255607.00</t>
        </is>
      </c>
      <c r="K198" t="inlineStr">
        <is>
          <t>10000</t>
        </is>
      </c>
      <c r="L198" t="inlineStr">
        <is>
          <t>2.000000000000</t>
        </is>
      </c>
      <c r="M198" t="inlineStr"/>
    </row>
    <row r="199">
      <c r="A199" t="inlineStr">
        <is>
          <t>06/25/2026</t>
        </is>
      </c>
      <c r="B199" t="inlineStr">
        <is>
          <t>CARX</t>
        </is>
      </c>
      <c r="C199" s="1" t="inlineStr">
        <is>
          <t>FGXXX</t>
        </is>
      </c>
      <c r="D199" s="1" t="inlineStr">
        <is>
          <t>31846V336</t>
        </is>
      </c>
      <c r="E199" t="inlineStr">
        <is>
          <t>First American Government Obligations Fund 12/01/2031</t>
        </is>
      </c>
      <c r="F199" t="inlineStr">
        <is>
          <t>25157.00000000</t>
        </is>
      </c>
      <c r="G199" t="inlineStr">
        <is>
          <t>100.000000</t>
        </is>
      </c>
      <c r="H199" t="inlineStr">
        <is>
          <t>25157.00</t>
        </is>
      </c>
      <c r="I199" t="inlineStr">
        <is>
          <t>9.84%</t>
        </is>
      </c>
      <c r="J199" t="inlineStr">
        <is>
          <t>255607.00</t>
        </is>
      </c>
      <c r="K199" t="inlineStr">
        <is>
          <t>10000</t>
        </is>
      </c>
      <c r="L199" t="inlineStr">
        <is>
          <t>2.000000000000</t>
        </is>
      </c>
      <c r="M199" t="inlineStr">
        <is>
          <t>Y</t>
        </is>
      </c>
    </row>
    <row r="200">
      <c r="A200" t="inlineStr">
        <is>
          <t>06/25/2026</t>
        </is>
      </c>
      <c r="B200" t="inlineStr">
        <is>
          <t>CARX</t>
        </is>
      </c>
      <c r="C200" s="1" t="inlineStr">
        <is>
          <t>Cash&amp;Other</t>
        </is>
      </c>
      <c r="D200" s="1" t="inlineStr">
        <is>
          <t>Cash&amp;Other</t>
        </is>
      </c>
      <c r="E200" t="inlineStr">
        <is>
          <t>Cash &amp; Other</t>
        </is>
      </c>
      <c r="F200" t="inlineStr">
        <is>
          <t>-281170.93000000</t>
        </is>
      </c>
      <c r="G200" t="inlineStr">
        <is>
          <t>1.000000</t>
        </is>
      </c>
      <c r="H200" t="inlineStr">
        <is>
          <t>-281170.93</t>
        </is>
      </c>
      <c r="I200" t="inlineStr">
        <is>
          <t>-110.00%</t>
        </is>
      </c>
      <c r="J200" t="inlineStr">
        <is>
          <t>255607.00</t>
        </is>
      </c>
      <c r="K200" t="inlineStr">
        <is>
          <t>10000</t>
        </is>
      </c>
      <c r="L200" t="inlineStr">
        <is>
          <t>2.000000000000</t>
        </is>
      </c>
      <c r="M200" t="inlineStr">
        <is>
          <t>Y</t>
        </is>
      </c>
    </row>
    <row r="201">
      <c r="A201" t="inlineStr">
        <is>
          <t>06/25/2026</t>
        </is>
      </c>
      <c r="B201" t="inlineStr">
        <is>
          <t>CBIL</t>
        </is>
      </c>
      <c r="C201" s="1" t="inlineStr">
        <is>
          <t>912797RS8</t>
        </is>
      </c>
      <c r="D201" s="1" t="inlineStr">
        <is>
          <t>912797RS8</t>
        </is>
      </c>
      <c r="E201" t="inlineStr">
        <is>
          <t>United States Treasury Bill 09/03/2026</t>
        </is>
      </c>
      <c r="F201" t="inlineStr">
        <is>
          <t>1287000.00000000</t>
        </is>
      </c>
      <c r="G201" t="inlineStr">
        <is>
          <t>99.286875</t>
        </is>
      </c>
      <c r="H201" t="inlineStr">
        <is>
          <t>1277822.08</t>
        </is>
      </c>
      <c r="I201" t="inlineStr">
        <is>
          <t>7.50%</t>
        </is>
      </c>
      <c r="J201" t="inlineStr">
        <is>
          <t>17029920.00</t>
        </is>
      </c>
      <c r="K201" t="inlineStr">
        <is>
          <t>680000</t>
        </is>
      </c>
      <c r="L201" t="inlineStr">
        <is>
          <t>68.000000000000</t>
        </is>
      </c>
      <c r="M201" t="inlineStr"/>
    </row>
    <row r="202">
      <c r="A202" t="inlineStr">
        <is>
          <t>06/25/2026</t>
        </is>
      </c>
      <c r="B202" t="inlineStr">
        <is>
          <t>CBIL</t>
        </is>
      </c>
      <c r="C202" s="1" t="inlineStr">
        <is>
          <t>912797SA6</t>
        </is>
      </c>
      <c r="D202" s="1" t="inlineStr">
        <is>
          <t>912797SA6</t>
        </is>
      </c>
      <c r="E202" t="inlineStr">
        <is>
          <t>United States Treasury Bill 10/01/2026</t>
        </is>
      </c>
      <c r="F202" t="inlineStr">
        <is>
          <t>1271000.00000000</t>
        </is>
      </c>
      <c r="G202" t="inlineStr">
        <is>
          <t>99.001271</t>
        </is>
      </c>
      <c r="H202" t="inlineStr">
        <is>
          <t>1258306.15</t>
        </is>
      </c>
      <c r="I202" t="inlineStr">
        <is>
          <t>7.39%</t>
        </is>
      </c>
      <c r="J202" t="inlineStr">
        <is>
          <t>17029920.00</t>
        </is>
      </c>
      <c r="K202" t="inlineStr">
        <is>
          <t>680000</t>
        </is>
      </c>
      <c r="L202" t="inlineStr">
        <is>
          <t>68.000000000000</t>
        </is>
      </c>
      <c r="M202" t="inlineStr"/>
    </row>
    <row r="203">
      <c r="A203" t="inlineStr">
        <is>
          <t>06/25/2026</t>
        </is>
      </c>
      <c r="B203" t="inlineStr">
        <is>
          <t>CBIL</t>
        </is>
      </c>
      <c r="C203" s="1" t="inlineStr">
        <is>
          <t>912797SK4</t>
        </is>
      </c>
      <c r="D203" s="1" t="inlineStr">
        <is>
          <t>912797SK4</t>
        </is>
      </c>
      <c r="E203" t="inlineStr">
        <is>
          <t>United States Treasury Bill 10/29/2026</t>
        </is>
      </c>
      <c r="F203" t="inlineStr">
        <is>
          <t>1290000.00000000</t>
        </is>
      </c>
      <c r="G203" t="inlineStr">
        <is>
          <t>98.686581</t>
        </is>
      </c>
      <c r="H203" t="inlineStr">
        <is>
          <t>1273056.89</t>
        </is>
      </c>
      <c r="I203" t="inlineStr">
        <is>
          <t>7.48%</t>
        </is>
      </c>
      <c r="J203" t="inlineStr">
        <is>
          <t>17029920.00</t>
        </is>
      </c>
      <c r="K203" t="inlineStr">
        <is>
          <t>680000</t>
        </is>
      </c>
      <c r="L203" t="inlineStr">
        <is>
          <t>68.000000000000</t>
        </is>
      </c>
      <c r="M203" t="inlineStr"/>
    </row>
    <row r="204">
      <c r="A204" t="inlineStr">
        <is>
          <t>06/25/2026</t>
        </is>
      </c>
      <c r="B204" t="inlineStr">
        <is>
          <t>CBIL</t>
        </is>
      </c>
      <c r="C204" s="1" t="inlineStr">
        <is>
          <t>912797SU2</t>
        </is>
      </c>
      <c r="D204" s="1" t="inlineStr">
        <is>
          <t>912797SU2</t>
        </is>
      </c>
      <c r="E204" t="inlineStr">
        <is>
          <t>United States Treasury Bill 11/27/2026</t>
        </is>
      </c>
      <c r="F204" t="inlineStr">
        <is>
          <t>409000.00000000</t>
        </is>
      </c>
      <c r="G204" t="inlineStr">
        <is>
          <t>98.376784</t>
        </is>
      </c>
      <c r="H204" t="inlineStr">
        <is>
          <t>402361.05</t>
        </is>
      </c>
      <c r="I204" t="inlineStr">
        <is>
          <t>2.36%</t>
        </is>
      </c>
      <c r="J204" t="inlineStr">
        <is>
          <t>17029920.00</t>
        </is>
      </c>
      <c r="K204" t="inlineStr">
        <is>
          <t>680000</t>
        </is>
      </c>
      <c r="L204" t="inlineStr">
        <is>
          <t>68.000000000000</t>
        </is>
      </c>
      <c r="M204" t="inlineStr"/>
    </row>
    <row r="205">
      <c r="A205" t="inlineStr">
        <is>
          <t>06/25/2026</t>
        </is>
      </c>
      <c r="B205" t="inlineStr">
        <is>
          <t>CBIL</t>
        </is>
      </c>
      <c r="C205" s="1" t="inlineStr">
        <is>
          <t>912797TC1</t>
        </is>
      </c>
      <c r="D205" s="1" t="inlineStr">
        <is>
          <t>912797TC1</t>
        </is>
      </c>
      <c r="E205" t="inlineStr">
        <is>
          <t>United States Treasury Bill 12/24/2026</t>
        </is>
      </c>
      <c r="F205" t="inlineStr">
        <is>
          <t>474000.00000000</t>
        </is>
      </c>
      <c r="G205" t="inlineStr">
        <is>
          <t>98.073833</t>
        </is>
      </c>
      <c r="H205" t="inlineStr">
        <is>
          <t>464869.97</t>
        </is>
      </c>
      <c r="I205" t="inlineStr">
        <is>
          <t>2.73%</t>
        </is>
      </c>
      <c r="J205" t="inlineStr">
        <is>
          <t>17029920.00</t>
        </is>
      </c>
      <c r="K205" t="inlineStr">
        <is>
          <t>680000</t>
        </is>
      </c>
      <c r="L205" t="inlineStr">
        <is>
          <t>68.000000000000</t>
        </is>
      </c>
      <c r="M205" t="inlineStr"/>
    </row>
    <row r="206">
      <c r="A206" t="inlineStr">
        <is>
          <t>06/25/2026</t>
        </is>
      </c>
      <c r="B206" t="inlineStr">
        <is>
          <t>CBIL</t>
        </is>
      </c>
      <c r="C206" s="1" t="inlineStr">
        <is>
          <t>912797TM9</t>
        </is>
      </c>
      <c r="D206" s="1" t="inlineStr">
        <is>
          <t>912797TM9</t>
        </is>
      </c>
      <c r="E206" t="inlineStr">
        <is>
          <t>United States Treasury Bill 01/21/2027</t>
        </is>
      </c>
      <c r="F206" t="inlineStr">
        <is>
          <t>538000.00000000</t>
        </is>
      </c>
      <c r="G206" t="inlineStr">
        <is>
          <t>97.842639</t>
        </is>
      </c>
      <c r="H206" t="inlineStr">
        <is>
          <t>526393.40</t>
        </is>
      </c>
      <c r="I206" t="inlineStr">
        <is>
          <t>3.09%</t>
        </is>
      </c>
      <c r="J206" t="inlineStr">
        <is>
          <t>17029920.00</t>
        </is>
      </c>
      <c r="K206" t="inlineStr">
        <is>
          <t>680000</t>
        </is>
      </c>
      <c r="L206" t="inlineStr">
        <is>
          <t>68.000000000000</t>
        </is>
      </c>
      <c r="M206" t="inlineStr"/>
    </row>
    <row r="207">
      <c r="A207" t="inlineStr">
        <is>
          <t>06/25/2026</t>
        </is>
      </c>
      <c r="B207" t="inlineStr">
        <is>
          <t>CBIL</t>
        </is>
      </c>
      <c r="C207" s="1" t="inlineStr">
        <is>
          <t>912797TV9</t>
        </is>
      </c>
      <c r="D207" s="1" t="inlineStr">
        <is>
          <t>912797TV9</t>
        </is>
      </c>
      <c r="E207" t="inlineStr">
        <is>
          <t>United States Treasury Bill 02/18/2027</t>
        </is>
      </c>
      <c r="F207" t="inlineStr">
        <is>
          <t>476000.00000000</t>
        </is>
      </c>
      <c r="G207" t="inlineStr">
        <is>
          <t>97.528998</t>
        </is>
      </c>
      <c r="H207" t="inlineStr">
        <is>
          <t>464238.03</t>
        </is>
      </c>
      <c r="I207" t="inlineStr">
        <is>
          <t>2.73%</t>
        </is>
      </c>
      <c r="J207" t="inlineStr">
        <is>
          <t>17029920.00</t>
        </is>
      </c>
      <c r="K207" t="inlineStr">
        <is>
          <t>680000</t>
        </is>
      </c>
      <c r="L207" t="inlineStr">
        <is>
          <t>68.000000000000</t>
        </is>
      </c>
      <c r="M207" t="inlineStr"/>
    </row>
    <row r="208">
      <c r="A208" t="inlineStr">
        <is>
          <t>06/25/2026</t>
        </is>
      </c>
      <c r="B208" t="inlineStr">
        <is>
          <t>CBIL</t>
        </is>
      </c>
      <c r="C208" s="1" t="inlineStr">
        <is>
          <t>912797UD7</t>
        </is>
      </c>
      <c r="D208" s="1" t="inlineStr">
        <is>
          <t>912797UD7</t>
        </is>
      </c>
      <c r="E208" t="inlineStr">
        <is>
          <t>United States Treasury Bill 03/18/2027</t>
        </is>
      </c>
      <c r="F208" t="inlineStr">
        <is>
          <t>542000.00000000</t>
        </is>
      </c>
      <c r="G208" t="inlineStr">
        <is>
          <t>97.236038</t>
        </is>
      </c>
      <c r="H208" t="inlineStr">
        <is>
          <t>527019.33</t>
        </is>
      </c>
      <c r="I208" t="inlineStr">
        <is>
          <t>3.09%</t>
        </is>
      </c>
      <c r="J208" t="inlineStr">
        <is>
          <t>17029920.00</t>
        </is>
      </c>
      <c r="K208" t="inlineStr">
        <is>
          <t>680000</t>
        </is>
      </c>
      <c r="L208" t="inlineStr">
        <is>
          <t>68.000000000000</t>
        </is>
      </c>
      <c r="M208" t="inlineStr"/>
    </row>
    <row r="209">
      <c r="A209" t="inlineStr">
        <is>
          <t>06/25/2026</t>
        </is>
      </c>
      <c r="B209" t="inlineStr">
        <is>
          <t>CBIL</t>
        </is>
      </c>
      <c r="C209" s="1" t="inlineStr">
        <is>
          <t>912797UE5</t>
        </is>
      </c>
      <c r="D209" s="1" t="inlineStr">
        <is>
          <t>912797UE5</t>
        </is>
      </c>
      <c r="E209" t="inlineStr">
        <is>
          <t>United States Treasury Bill 04/15/2027</t>
        </is>
      </c>
      <c r="F209" t="inlineStr">
        <is>
          <t>477000.00000000</t>
        </is>
      </c>
      <c r="G209" t="inlineStr">
        <is>
          <t>96.915722</t>
        </is>
      </c>
      <c r="H209" t="inlineStr">
        <is>
          <t>462287.99</t>
        </is>
      </c>
      <c r="I209" t="inlineStr">
        <is>
          <t>2.71%</t>
        </is>
      </c>
      <c r="J209" t="inlineStr">
        <is>
          <t>17029920.00</t>
        </is>
      </c>
      <c r="K209" t="inlineStr">
        <is>
          <t>680000</t>
        </is>
      </c>
      <c r="L209" t="inlineStr">
        <is>
          <t>68.000000000000</t>
        </is>
      </c>
      <c r="M209" t="inlineStr"/>
    </row>
    <row r="210">
      <c r="A210" t="inlineStr">
        <is>
          <t>06/25/2026</t>
        </is>
      </c>
      <c r="B210" t="inlineStr">
        <is>
          <t>CBIL</t>
        </is>
      </c>
      <c r="C210" s="1" t="inlineStr">
        <is>
          <t>912797UF2</t>
        </is>
      </c>
      <c r="D210" s="1" t="inlineStr">
        <is>
          <t>912797UF2</t>
        </is>
      </c>
      <c r="E210" t="inlineStr">
        <is>
          <t>United States Treasury Bill 09/10/2026</t>
        </is>
      </c>
      <c r="F210" t="inlineStr">
        <is>
          <t>814000.00000000</t>
        </is>
      </c>
      <c r="G210" t="inlineStr">
        <is>
          <t>99.212889</t>
        </is>
      </c>
      <c r="H210" t="inlineStr">
        <is>
          <t>807592.92</t>
        </is>
      </c>
      <c r="I210" t="inlineStr">
        <is>
          <t>4.74%</t>
        </is>
      </c>
      <c r="J210" t="inlineStr">
        <is>
          <t>17029920.00</t>
        </is>
      </c>
      <c r="K210" t="inlineStr">
        <is>
          <t>680000</t>
        </is>
      </c>
      <c r="L210" t="inlineStr">
        <is>
          <t>68.000000000000</t>
        </is>
      </c>
      <c r="M210" t="inlineStr"/>
    </row>
    <row r="211">
      <c r="A211" t="inlineStr">
        <is>
          <t>06/25/2026</t>
        </is>
      </c>
      <c r="B211" t="inlineStr">
        <is>
          <t>CBIL</t>
        </is>
      </c>
      <c r="C211" s="1" t="inlineStr">
        <is>
          <t>912797UG0</t>
        </is>
      </c>
      <c r="D211" s="1" t="inlineStr">
        <is>
          <t>912797UG0</t>
        </is>
      </c>
      <c r="E211" t="inlineStr">
        <is>
          <t>United States Treasury Bill 09/17/2026</t>
        </is>
      </c>
      <c r="F211" t="inlineStr">
        <is>
          <t>815000.00000000</t>
        </is>
      </c>
      <c r="G211" t="inlineStr">
        <is>
          <t>99.140167</t>
        </is>
      </c>
      <c r="H211" t="inlineStr">
        <is>
          <t>807992.36</t>
        </is>
      </c>
      <c r="I211" t="inlineStr">
        <is>
          <t>4.74%</t>
        </is>
      </c>
      <c r="J211" t="inlineStr">
        <is>
          <t>17029920.00</t>
        </is>
      </c>
      <c r="K211" t="inlineStr">
        <is>
          <t>680000</t>
        </is>
      </c>
      <c r="L211" t="inlineStr">
        <is>
          <t>68.000000000000</t>
        </is>
      </c>
      <c r="M211" t="inlineStr"/>
    </row>
    <row r="212">
      <c r="A212" t="inlineStr">
        <is>
          <t>06/25/2026</t>
        </is>
      </c>
      <c r="B212" t="inlineStr">
        <is>
          <t>CBIL</t>
        </is>
      </c>
      <c r="C212" s="1" t="inlineStr">
        <is>
          <t>912797UH8</t>
        </is>
      </c>
      <c r="D212" s="1" t="inlineStr">
        <is>
          <t>912797UH8</t>
        </is>
      </c>
      <c r="E212" t="inlineStr">
        <is>
          <t>United States Treasury Bill 09/24/2026</t>
        </is>
      </c>
      <c r="F212" t="inlineStr">
        <is>
          <t>815000.00000000</t>
        </is>
      </c>
      <c r="G212" t="inlineStr">
        <is>
          <t>99.066618</t>
        </is>
      </c>
      <c r="H212" t="inlineStr">
        <is>
          <t>807392.94</t>
        </is>
      </c>
      <c r="I212" t="inlineStr">
        <is>
          <t>4.74%</t>
        </is>
      </c>
      <c r="J212" t="inlineStr">
        <is>
          <t>17029920.00</t>
        </is>
      </c>
      <c r="K212" t="inlineStr">
        <is>
          <t>680000</t>
        </is>
      </c>
      <c r="L212" t="inlineStr">
        <is>
          <t>68.000000000000</t>
        </is>
      </c>
      <c r="M212" t="inlineStr"/>
    </row>
    <row r="213">
      <c r="A213" t="inlineStr">
        <is>
          <t>06/25/2026</t>
        </is>
      </c>
      <c r="B213" t="inlineStr">
        <is>
          <t>CBIL</t>
        </is>
      </c>
      <c r="C213" s="1" t="inlineStr">
        <is>
          <t>912797UJ4</t>
        </is>
      </c>
      <c r="D213" s="1" t="inlineStr">
        <is>
          <t>912797UJ4</t>
        </is>
      </c>
      <c r="E213" t="inlineStr">
        <is>
          <t>United States Treasury Bill 10/08/2026</t>
        </is>
      </c>
      <c r="F213" t="inlineStr">
        <is>
          <t>816000.00000000</t>
        </is>
      </c>
      <c r="G213" t="inlineStr">
        <is>
          <t>98.927542</t>
        </is>
      </c>
      <c r="H213" t="inlineStr">
        <is>
          <t>807248.74</t>
        </is>
      </c>
      <c r="I213" t="inlineStr">
        <is>
          <t>4.74%</t>
        </is>
      </c>
      <c r="J213" t="inlineStr">
        <is>
          <t>17029920.00</t>
        </is>
      </c>
      <c r="K213" t="inlineStr">
        <is>
          <t>680000</t>
        </is>
      </c>
      <c r="L213" t="inlineStr">
        <is>
          <t>68.000000000000</t>
        </is>
      </c>
      <c r="M213" t="inlineStr"/>
    </row>
    <row r="214">
      <c r="A214" t="inlineStr">
        <is>
          <t>06/25/2026</t>
        </is>
      </c>
      <c r="B214" t="inlineStr">
        <is>
          <t>CBIL</t>
        </is>
      </c>
      <c r="C214" s="1" t="inlineStr">
        <is>
          <t>912797UK1</t>
        </is>
      </c>
      <c r="D214" s="1" t="inlineStr">
        <is>
          <t>912797UK1</t>
        </is>
      </c>
      <c r="E214" t="inlineStr">
        <is>
          <t>United States Treasury Bill 10/15/2026</t>
        </is>
      </c>
      <c r="F214" t="inlineStr">
        <is>
          <t>816000.00000000</t>
        </is>
      </c>
      <c r="G214" t="inlineStr">
        <is>
          <t>98.847956</t>
        </is>
      </c>
      <c r="H214" t="inlineStr">
        <is>
          <t>806599.32</t>
        </is>
      </c>
      <c r="I214" t="inlineStr">
        <is>
          <t>4.74%</t>
        </is>
      </c>
      <c r="J214" t="inlineStr">
        <is>
          <t>17029920.00</t>
        </is>
      </c>
      <c r="K214" t="inlineStr">
        <is>
          <t>680000</t>
        </is>
      </c>
      <c r="L214" t="inlineStr">
        <is>
          <t>68.000000000000</t>
        </is>
      </c>
      <c r="M214" t="inlineStr"/>
    </row>
    <row r="215">
      <c r="A215" t="inlineStr">
        <is>
          <t>06/25/2026</t>
        </is>
      </c>
      <c r="B215" t="inlineStr">
        <is>
          <t>CBIL</t>
        </is>
      </c>
      <c r="C215" s="1" t="inlineStr">
        <is>
          <t>912797UL9</t>
        </is>
      </c>
      <c r="D215" s="1" t="inlineStr">
        <is>
          <t>912797UL9</t>
        </is>
      </c>
      <c r="E215" t="inlineStr">
        <is>
          <t>United States Treasury Bill 10/22/2026</t>
        </is>
      </c>
      <c r="F215" t="inlineStr">
        <is>
          <t>814000.00000000</t>
        </is>
      </c>
      <c r="G215" t="inlineStr">
        <is>
          <t>98.767854</t>
        </is>
      </c>
      <c r="H215" t="inlineStr">
        <is>
          <t>803970.33</t>
        </is>
      </c>
      <c r="I215" t="inlineStr">
        <is>
          <t>4.72%</t>
        </is>
      </c>
      <c r="J215" t="inlineStr">
        <is>
          <t>17029920.00</t>
        </is>
      </c>
      <c r="K215" t="inlineStr">
        <is>
          <t>680000</t>
        </is>
      </c>
      <c r="L215" t="inlineStr">
        <is>
          <t>68.000000000000</t>
        </is>
      </c>
      <c r="M215" t="inlineStr"/>
    </row>
    <row r="216">
      <c r="A216" t="inlineStr">
        <is>
          <t>06/25/2026</t>
        </is>
      </c>
      <c r="B216" t="inlineStr">
        <is>
          <t>CBIL</t>
        </is>
      </c>
      <c r="C216" s="1" t="inlineStr">
        <is>
          <t>912797UM7</t>
        </is>
      </c>
      <c r="D216" s="1" t="inlineStr">
        <is>
          <t>912797UM7</t>
        </is>
      </c>
      <c r="E216" t="inlineStr">
        <is>
          <t>United States Treasury Bill 11/05/2026</t>
        </is>
      </c>
      <c r="F216" t="inlineStr">
        <is>
          <t>805000.00000000</t>
        </is>
      </c>
      <c r="G216" t="inlineStr">
        <is>
          <t>98.612921</t>
        </is>
      </c>
      <c r="H216" t="inlineStr">
        <is>
          <t>793834.01</t>
        </is>
      </c>
      <c r="I216" t="inlineStr">
        <is>
          <t>4.66%</t>
        </is>
      </c>
      <c r="J216" t="inlineStr">
        <is>
          <t>17029920.00</t>
        </is>
      </c>
      <c r="K216" t="inlineStr">
        <is>
          <t>680000</t>
        </is>
      </c>
      <c r="L216" t="inlineStr">
        <is>
          <t>68.000000000000</t>
        </is>
      </c>
      <c r="M216" t="inlineStr"/>
    </row>
    <row r="217">
      <c r="A217" t="inlineStr">
        <is>
          <t>06/25/2026</t>
        </is>
      </c>
      <c r="B217" t="inlineStr">
        <is>
          <t>CBIL</t>
        </is>
      </c>
      <c r="C217" s="1" t="inlineStr">
        <is>
          <t>912797UW5</t>
        </is>
      </c>
      <c r="D217" s="1" t="inlineStr">
        <is>
          <t>912797UW5</t>
        </is>
      </c>
      <c r="E217" t="inlineStr">
        <is>
          <t>United States Treasury Bill 09/01/2026</t>
        </is>
      </c>
      <c r="F217" t="inlineStr">
        <is>
          <t>454000.00000000</t>
        </is>
      </c>
      <c r="G217" t="inlineStr">
        <is>
          <t>99.315339</t>
        </is>
      </c>
      <c r="H217" t="inlineStr">
        <is>
          <t>450891.64</t>
        </is>
      </c>
      <c r="I217" t="inlineStr">
        <is>
          <t>2.65%</t>
        </is>
      </c>
      <c r="J217" t="inlineStr">
        <is>
          <t>17029920.00</t>
        </is>
      </c>
      <c r="K217" t="inlineStr">
        <is>
          <t>680000</t>
        </is>
      </c>
      <c r="L217" t="inlineStr">
        <is>
          <t>68.000000000000</t>
        </is>
      </c>
      <c r="M217" t="inlineStr"/>
    </row>
    <row r="218">
      <c r="A218" t="inlineStr">
        <is>
          <t>06/25/2026</t>
        </is>
      </c>
      <c r="B218" t="inlineStr">
        <is>
          <t>CBIL</t>
        </is>
      </c>
      <c r="C218" s="1" t="inlineStr">
        <is>
          <t>912797UX3</t>
        </is>
      </c>
      <c r="D218" s="1" t="inlineStr">
        <is>
          <t>912797UX3</t>
        </is>
      </c>
      <c r="E218" t="inlineStr">
        <is>
          <t>United States Treasury Bill 05/13/2027</t>
        </is>
      </c>
      <c r="F218" t="inlineStr">
        <is>
          <t>537000.00000000</t>
        </is>
      </c>
      <c r="G218" t="inlineStr">
        <is>
          <t>96.636442</t>
        </is>
      </c>
      <c r="H218" t="inlineStr">
        <is>
          <t>518937.69</t>
        </is>
      </c>
      <c r="I218" t="inlineStr">
        <is>
          <t>3.05%</t>
        </is>
      </c>
      <c r="J218" t="inlineStr">
        <is>
          <t>17029920.00</t>
        </is>
      </c>
      <c r="K218" t="inlineStr">
        <is>
          <t>680000</t>
        </is>
      </c>
      <c r="L218" t="inlineStr">
        <is>
          <t>68.000000000000</t>
        </is>
      </c>
      <c r="M218" t="inlineStr"/>
    </row>
    <row r="219">
      <c r="A219" t="inlineStr">
        <is>
          <t>06/25/2026</t>
        </is>
      </c>
      <c r="B219" t="inlineStr">
        <is>
          <t>CBIL</t>
        </is>
      </c>
      <c r="C219" s="1" t="inlineStr">
        <is>
          <t>912797UY1</t>
        </is>
      </c>
      <c r="D219" s="1" t="inlineStr">
        <is>
          <t>912797UY1</t>
        </is>
      </c>
      <c r="E219" t="inlineStr">
        <is>
          <t>United States Treasury Bill 11/12/2026</t>
        </is>
      </c>
      <c r="F219" t="inlineStr">
        <is>
          <t>816000.00000000</t>
        </is>
      </c>
      <c r="G219" t="inlineStr">
        <is>
          <t>98.539722</t>
        </is>
      </c>
      <c r="H219" t="inlineStr">
        <is>
          <t>804084.13</t>
        </is>
      </c>
      <c r="I219" t="inlineStr">
        <is>
          <t>4.72%</t>
        </is>
      </c>
      <c r="J219" t="inlineStr">
        <is>
          <t>17029920.00</t>
        </is>
      </c>
      <c r="K219" t="inlineStr">
        <is>
          <t>680000</t>
        </is>
      </c>
      <c r="L219" t="inlineStr">
        <is>
          <t>68.000000000000</t>
        </is>
      </c>
      <c r="M219" t="inlineStr"/>
    </row>
    <row r="220">
      <c r="A220" t="inlineStr">
        <is>
          <t>06/25/2026</t>
        </is>
      </c>
      <c r="B220" t="inlineStr">
        <is>
          <t>CBIL</t>
        </is>
      </c>
      <c r="C220" s="1" t="inlineStr">
        <is>
          <t>912797UZ8</t>
        </is>
      </c>
      <c r="D220" s="1" t="inlineStr">
        <is>
          <t>912797UZ8</t>
        </is>
      </c>
      <c r="E220" t="inlineStr">
        <is>
          <t>United States Treasury Bill 11/19/2026</t>
        </is>
      </c>
      <c r="F220" t="inlineStr">
        <is>
          <t>815000.00000000</t>
        </is>
      </c>
      <c r="G220" t="inlineStr">
        <is>
          <t>98.471125</t>
        </is>
      </c>
      <c r="H220" t="inlineStr">
        <is>
          <t>802539.67</t>
        </is>
      </c>
      <c r="I220" t="inlineStr">
        <is>
          <t>4.71%</t>
        </is>
      </c>
      <c r="J220" t="inlineStr">
        <is>
          <t>17029920.00</t>
        </is>
      </c>
      <c r="K220" t="inlineStr">
        <is>
          <t>680000</t>
        </is>
      </c>
      <c r="L220" t="inlineStr">
        <is>
          <t>68.000000000000</t>
        </is>
      </c>
      <c r="M220" t="inlineStr"/>
    </row>
    <row r="221">
      <c r="A221" t="inlineStr">
        <is>
          <t>06/25/2026</t>
        </is>
      </c>
      <c r="B221" t="inlineStr">
        <is>
          <t>CBIL</t>
        </is>
      </c>
      <c r="C221" s="1" t="inlineStr">
        <is>
          <t>912797VB0</t>
        </is>
      </c>
      <c r="D221" s="1" t="inlineStr">
        <is>
          <t>912797VB0</t>
        </is>
      </c>
      <c r="E221" t="inlineStr">
        <is>
          <t>United States Treasury Bill 09/08/2026</t>
        </is>
      </c>
      <c r="F221" t="inlineStr">
        <is>
          <t>681000.00000000</t>
        </is>
      </c>
      <c r="G221" t="inlineStr">
        <is>
          <t>99.236458</t>
        </is>
      </c>
      <c r="H221" t="inlineStr">
        <is>
          <t>675800.28</t>
        </is>
      </c>
      <c r="I221" t="inlineStr">
        <is>
          <t>3.97%</t>
        </is>
      </c>
      <c r="J221" t="inlineStr">
        <is>
          <t>17029920.00</t>
        </is>
      </c>
      <c r="K221" t="inlineStr">
        <is>
          <t>680000</t>
        </is>
      </c>
      <c r="L221" t="inlineStr">
        <is>
          <t>68.000000000000</t>
        </is>
      </c>
      <c r="M221" t="inlineStr"/>
    </row>
    <row r="222">
      <c r="A222" t="inlineStr">
        <is>
          <t>06/25/2026</t>
        </is>
      </c>
      <c r="B222" t="inlineStr">
        <is>
          <t>CBIL</t>
        </is>
      </c>
      <c r="C222" s="1" t="inlineStr">
        <is>
          <t>912797VC8</t>
        </is>
      </c>
      <c r="D222" s="1" t="inlineStr">
        <is>
          <t>912797VC8</t>
        </is>
      </c>
      <c r="E222" t="inlineStr">
        <is>
          <t>United States Treasury Bill 09/15/2026</t>
        </is>
      </c>
      <c r="F222" t="inlineStr">
        <is>
          <t>747000.00000000</t>
        </is>
      </c>
      <c r="G222" t="inlineStr">
        <is>
          <t>99.171344</t>
        </is>
      </c>
      <c r="H222" t="inlineStr">
        <is>
          <t>740809.94</t>
        </is>
      </c>
      <c r="I222" t="inlineStr">
        <is>
          <t>4.35%</t>
        </is>
      </c>
      <c r="J222" t="inlineStr">
        <is>
          <t>17029920.00</t>
        </is>
      </c>
      <c r="K222" t="inlineStr">
        <is>
          <t>680000</t>
        </is>
      </c>
      <c r="L222" t="inlineStr">
        <is>
          <t>68.000000000000</t>
        </is>
      </c>
      <c r="M222" t="inlineStr"/>
    </row>
    <row r="223">
      <c r="A223" t="inlineStr">
        <is>
          <t>06/25/2026</t>
        </is>
      </c>
      <c r="B223" t="inlineStr">
        <is>
          <t>CBIL</t>
        </is>
      </c>
      <c r="C223" s="1" t="inlineStr">
        <is>
          <t>912797VD6</t>
        </is>
      </c>
      <c r="D223" s="1" t="inlineStr">
        <is>
          <t>912797VD6</t>
        </is>
      </c>
      <c r="E223" t="inlineStr">
        <is>
          <t>United States Treasury Bill 09/22/2026</t>
        </is>
      </c>
      <c r="F223" t="inlineStr">
        <is>
          <t>747000.00000000</t>
        </is>
      </c>
      <c r="G223" t="inlineStr">
        <is>
          <t>99.097639</t>
        </is>
      </c>
      <c r="H223" t="inlineStr">
        <is>
          <t>740259.36</t>
        </is>
      </c>
      <c r="I223" t="inlineStr">
        <is>
          <t>4.35%</t>
        </is>
      </c>
      <c r="J223" t="inlineStr">
        <is>
          <t>17029920.00</t>
        </is>
      </c>
      <c r="K223" t="inlineStr">
        <is>
          <t>680000</t>
        </is>
      </c>
      <c r="L223" t="inlineStr">
        <is>
          <t>68.000000000000</t>
        </is>
      </c>
      <c r="M223" t="inlineStr"/>
    </row>
    <row r="224">
      <c r="A224" t="inlineStr">
        <is>
          <t>06/25/2026</t>
        </is>
      </c>
      <c r="B224" t="inlineStr">
        <is>
          <t>CBIL</t>
        </is>
      </c>
      <c r="C224" s="1" t="inlineStr">
        <is>
          <t>FGXXX</t>
        </is>
      </c>
      <c r="D224" s="1" t="inlineStr">
        <is>
          <t>31846V336</t>
        </is>
      </c>
      <c r="E224" t="inlineStr">
        <is>
          <t>First American Government Obligations Fund 12/01/2031</t>
        </is>
      </c>
      <c r="F224" t="inlineStr">
        <is>
          <t>5915.42000000</t>
        </is>
      </c>
      <c r="G224" t="inlineStr">
        <is>
          <t>100.000000</t>
        </is>
      </c>
      <c r="H224" t="inlineStr">
        <is>
          <t>5915.42</t>
        </is>
      </c>
      <c r="I224" t="inlineStr">
        <is>
          <t>0.03%</t>
        </is>
      </c>
      <c r="J224" t="inlineStr">
        <is>
          <t>17029920.00</t>
        </is>
      </c>
      <c r="K224" t="inlineStr">
        <is>
          <t>680000</t>
        </is>
      </c>
      <c r="L224" t="inlineStr">
        <is>
          <t>68.000000000000</t>
        </is>
      </c>
      <c r="M224" t="inlineStr">
        <is>
          <t>Y</t>
        </is>
      </c>
    </row>
    <row r="225">
      <c r="A225" t="inlineStr">
        <is>
          <t>06/25/2026</t>
        </is>
      </c>
      <c r="B225" t="inlineStr">
        <is>
          <t>CBIL</t>
        </is>
      </c>
      <c r="C225" s="1" t="inlineStr">
        <is>
          <t>Cash&amp;Other</t>
        </is>
      </c>
      <c r="D225" s="1" t="inlineStr">
        <is>
          <t>Cash&amp;Other</t>
        </is>
      </c>
      <c r="E225" t="inlineStr">
        <is>
          <t>Cash &amp; Other</t>
        </is>
      </c>
      <c r="F225" t="inlineStr">
        <is>
          <t>-326.20000000</t>
        </is>
      </c>
      <c r="G225" t="inlineStr">
        <is>
          <t>1.000000</t>
        </is>
      </c>
      <c r="H225" t="inlineStr">
        <is>
          <t>-326.20</t>
        </is>
      </c>
      <c r="I225" t="inlineStr">
        <is>
          <t>0.00%</t>
        </is>
      </c>
      <c r="J225" t="inlineStr">
        <is>
          <t>17029920.00</t>
        </is>
      </c>
      <c r="K225" t="inlineStr">
        <is>
          <t>680000</t>
        </is>
      </c>
      <c r="L225" t="inlineStr">
        <is>
          <t>68.000000000000</t>
        </is>
      </c>
      <c r="M225" t="inlineStr">
        <is>
          <t>Y</t>
        </is>
      </c>
    </row>
    <row r="226">
      <c r="A226" t="inlineStr">
        <is>
          <t>06/25/2026</t>
        </is>
      </c>
      <c r="B226" t="inlineStr">
        <is>
          <t>CBOT</t>
        </is>
      </c>
      <c r="C226" s="1" t="inlineStr">
        <is>
          <t>ACHR</t>
        </is>
      </c>
      <c r="D226" s="1" t="inlineStr">
        <is>
          <t>03945R102</t>
        </is>
      </c>
      <c r="E226" t="inlineStr">
        <is>
          <t>Archer Aviation Inc</t>
        </is>
      </c>
      <c r="F226" t="inlineStr">
        <is>
          <t>25172.00000000</t>
        </is>
      </c>
      <c r="G226" t="inlineStr">
        <is>
          <t>5.050000</t>
        </is>
      </c>
      <c r="H226" t="inlineStr">
        <is>
          <t>127118.60</t>
        </is>
      </c>
      <c r="I226" t="inlineStr">
        <is>
          <t>3.66%</t>
        </is>
      </c>
      <c r="J226" t="inlineStr">
        <is>
          <t>3474084.00</t>
        </is>
      </c>
      <c r="K226" t="inlineStr">
        <is>
          <t>145000</t>
        </is>
      </c>
      <c r="L226" t="inlineStr">
        <is>
          <t>29.000000000000</t>
        </is>
      </c>
      <c r="M226" t="inlineStr"/>
    </row>
    <row r="227">
      <c r="A227" t="inlineStr">
        <is>
          <t>06/25/2026</t>
        </is>
      </c>
      <c r="B227" t="inlineStr">
        <is>
          <t>CBOT</t>
        </is>
      </c>
      <c r="C227" s="1" t="inlineStr">
        <is>
          <t>AMBA</t>
        </is>
      </c>
      <c r="D227" s="1" t="inlineStr">
        <is>
          <t>G037AX101</t>
        </is>
      </c>
      <c r="E227" t="inlineStr">
        <is>
          <t>Ambarella Inc</t>
        </is>
      </c>
      <c r="F227" t="inlineStr">
        <is>
          <t>2030.00000000</t>
        </is>
      </c>
      <c r="G227" t="inlineStr">
        <is>
          <t>62.990000</t>
        </is>
      </c>
      <c r="H227" t="inlineStr">
        <is>
          <t>127869.70</t>
        </is>
      </c>
      <c r="I227" t="inlineStr">
        <is>
          <t>3.68%</t>
        </is>
      </c>
      <c r="J227" t="inlineStr">
        <is>
          <t>3474084.00</t>
        </is>
      </c>
      <c r="K227" t="inlineStr">
        <is>
          <t>145000</t>
        </is>
      </c>
      <c r="L227" t="inlineStr">
        <is>
          <t>29.000000000000</t>
        </is>
      </c>
      <c r="M227" t="inlineStr"/>
    </row>
    <row r="228">
      <c r="A228" t="inlineStr">
        <is>
          <t>06/25/2026</t>
        </is>
      </c>
      <c r="B228" t="inlineStr">
        <is>
          <t>CBOT</t>
        </is>
      </c>
      <c r="C228" s="1" t="inlineStr">
        <is>
          <t>AMZN</t>
        </is>
      </c>
      <c r="D228" s="1" t="inlineStr">
        <is>
          <t>023135106</t>
        </is>
      </c>
      <c r="E228" t="inlineStr">
        <is>
          <t>Amazon.com Inc</t>
        </is>
      </c>
      <c r="F228" t="inlineStr">
        <is>
          <t>667.00000000</t>
        </is>
      </c>
      <c r="G228" t="inlineStr">
        <is>
          <t>234.270000</t>
        </is>
      </c>
      <c r="H228" t="inlineStr">
        <is>
          <t>156258.09</t>
        </is>
      </c>
      <c r="I228" t="inlineStr">
        <is>
          <t>4.50%</t>
        </is>
      </c>
      <c r="J228" t="inlineStr">
        <is>
          <t>3474084.00</t>
        </is>
      </c>
      <c r="K228" t="inlineStr">
        <is>
          <t>145000</t>
        </is>
      </c>
      <c r="L228" t="inlineStr">
        <is>
          <t>29.000000000000</t>
        </is>
      </c>
      <c r="M228" t="inlineStr"/>
    </row>
    <row r="229">
      <c r="A229" t="inlineStr">
        <is>
          <t>06/25/2026</t>
        </is>
      </c>
      <c r="B229" t="inlineStr">
        <is>
          <t>CBOT</t>
        </is>
      </c>
      <c r="C229" s="1" t="inlineStr">
        <is>
          <t>AUR</t>
        </is>
      </c>
      <c r="D229" s="1" t="inlineStr">
        <is>
          <t>051774107</t>
        </is>
      </c>
      <c r="E229" t="inlineStr">
        <is>
          <t>Aurora Innovation Inc</t>
        </is>
      </c>
      <c r="F229" t="inlineStr">
        <is>
          <t>32132.00000000</t>
        </is>
      </c>
      <c r="G229" t="inlineStr">
        <is>
          <t>6.230000</t>
        </is>
      </c>
      <c r="H229" t="inlineStr">
        <is>
          <t>200182.36</t>
        </is>
      </c>
      <c r="I229" t="inlineStr">
        <is>
          <t>5.76%</t>
        </is>
      </c>
      <c r="J229" t="inlineStr">
        <is>
          <t>3474084.00</t>
        </is>
      </c>
      <c r="K229" t="inlineStr">
        <is>
          <t>145000</t>
        </is>
      </c>
      <c r="L229" t="inlineStr">
        <is>
          <t>29.000000000000</t>
        </is>
      </c>
      <c r="M229" t="inlineStr"/>
    </row>
    <row r="230">
      <c r="A230" t="inlineStr">
        <is>
          <t>06/25/2026</t>
        </is>
      </c>
      <c r="B230" t="inlineStr">
        <is>
          <t>CBOT</t>
        </is>
      </c>
      <c r="C230" s="1" t="inlineStr">
        <is>
          <t>AVAV</t>
        </is>
      </c>
      <c r="D230" s="1" t="inlineStr">
        <is>
          <t>008073108</t>
        </is>
      </c>
      <c r="E230" t="inlineStr">
        <is>
          <t>AeroVironment Inc</t>
        </is>
      </c>
      <c r="F230" t="inlineStr">
        <is>
          <t>812.00000000</t>
        </is>
      </c>
      <c r="G230" t="inlineStr">
        <is>
          <t>142.180000</t>
        </is>
      </c>
      <c r="H230" t="inlineStr">
        <is>
          <t>115450.16</t>
        </is>
      </c>
      <c r="I230" t="inlineStr">
        <is>
          <t>3.32%</t>
        </is>
      </c>
      <c r="J230" t="inlineStr">
        <is>
          <t>3474084.00</t>
        </is>
      </c>
      <c r="K230" t="inlineStr">
        <is>
          <t>145000</t>
        </is>
      </c>
      <c r="L230" t="inlineStr">
        <is>
          <t>29.000000000000</t>
        </is>
      </c>
      <c r="M230" t="inlineStr"/>
    </row>
    <row r="231">
      <c r="A231" t="inlineStr">
        <is>
          <t>06/25/2026</t>
        </is>
      </c>
      <c r="B231" t="inlineStr">
        <is>
          <t>CBOT</t>
        </is>
      </c>
      <c r="C231" s="1" t="inlineStr">
        <is>
          <t>CAT</t>
        </is>
      </c>
      <c r="D231" s="1" t="inlineStr">
        <is>
          <t>149123101</t>
        </is>
      </c>
      <c r="E231" t="inlineStr">
        <is>
          <t>Caterpillar Inc</t>
        </is>
      </c>
      <c r="F231" t="inlineStr">
        <is>
          <t>174.00000000</t>
        </is>
      </c>
      <c r="G231" t="inlineStr">
        <is>
          <t>994.450000</t>
        </is>
      </c>
      <c r="H231" t="inlineStr">
        <is>
          <t>173034.30</t>
        </is>
      </c>
      <c r="I231" t="inlineStr">
        <is>
          <t>4.98%</t>
        </is>
      </c>
      <c r="J231" t="inlineStr">
        <is>
          <t>3474084.00</t>
        </is>
      </c>
      <c r="K231" t="inlineStr">
        <is>
          <t>145000</t>
        </is>
      </c>
      <c r="L231" t="inlineStr">
        <is>
          <t>29.000000000000</t>
        </is>
      </c>
      <c r="M231" t="inlineStr"/>
    </row>
    <row r="232">
      <c r="A232" t="inlineStr">
        <is>
          <t>06/25/2026</t>
        </is>
      </c>
      <c r="B232" t="inlineStr">
        <is>
          <t>CBOT</t>
        </is>
      </c>
      <c r="C232" s="1" t="inlineStr">
        <is>
          <t>CGNX</t>
        </is>
      </c>
      <c r="D232" s="1" t="inlineStr">
        <is>
          <t>192422103</t>
        </is>
      </c>
      <c r="E232" t="inlineStr">
        <is>
          <t>Cognex Corp</t>
        </is>
      </c>
      <c r="F232" t="inlineStr">
        <is>
          <t>2987.00000000</t>
        </is>
      </c>
      <c r="G232" t="inlineStr">
        <is>
          <t>63.640000</t>
        </is>
      </c>
      <c r="H232" t="inlineStr">
        <is>
          <t>190092.68</t>
        </is>
      </c>
      <c r="I232" t="inlineStr">
        <is>
          <t>5.47%</t>
        </is>
      </c>
      <c r="J232" t="inlineStr">
        <is>
          <t>3474084.00</t>
        </is>
      </c>
      <c r="K232" t="inlineStr">
        <is>
          <t>145000</t>
        </is>
      </c>
      <c r="L232" t="inlineStr">
        <is>
          <t>29.000000000000</t>
        </is>
      </c>
      <c r="M232" t="inlineStr"/>
    </row>
    <row r="233">
      <c r="A233" t="inlineStr">
        <is>
          <t>06/25/2026</t>
        </is>
      </c>
      <c r="B233" t="inlineStr">
        <is>
          <t>CBOT</t>
        </is>
      </c>
      <c r="C233" s="1" t="inlineStr">
        <is>
          <t>DE</t>
        </is>
      </c>
      <c r="D233" s="1" t="inlineStr">
        <is>
          <t>244199105</t>
        </is>
      </c>
      <c r="E233" t="inlineStr">
        <is>
          <t>Deere &amp; Co</t>
        </is>
      </c>
      <c r="F233" t="inlineStr">
        <is>
          <t>174.00000000</t>
        </is>
      </c>
      <c r="G233" t="inlineStr">
        <is>
          <t>600.750000</t>
        </is>
      </c>
      <c r="H233" t="inlineStr">
        <is>
          <t>104530.50</t>
        </is>
      </c>
      <c r="I233" t="inlineStr">
        <is>
          <t>3.01%</t>
        </is>
      </c>
      <c r="J233" t="inlineStr">
        <is>
          <t>3474084.00</t>
        </is>
      </c>
      <c r="K233" t="inlineStr">
        <is>
          <t>145000</t>
        </is>
      </c>
      <c r="L233" t="inlineStr">
        <is>
          <t>29.000000000000</t>
        </is>
      </c>
      <c r="M233" t="inlineStr"/>
    </row>
    <row r="234">
      <c r="A234" t="inlineStr">
        <is>
          <t>06/25/2026</t>
        </is>
      </c>
      <c r="B234" t="inlineStr">
        <is>
          <t>CBOT</t>
        </is>
      </c>
      <c r="C234" s="1" t="inlineStr">
        <is>
          <t>FGXXX</t>
        </is>
      </c>
      <c r="D234" s="1" t="inlineStr">
        <is>
          <t>31846V336</t>
        </is>
      </c>
      <c r="E234" t="inlineStr">
        <is>
          <t>First American Government Obligations Fund 12/01/2031</t>
        </is>
      </c>
      <c r="F234" t="inlineStr">
        <is>
          <t>55600.15000000</t>
        </is>
      </c>
      <c r="G234" t="inlineStr">
        <is>
          <t>100.000000</t>
        </is>
      </c>
      <c r="H234" t="inlineStr">
        <is>
          <t>55600.15</t>
        </is>
      </c>
      <c r="I234" t="inlineStr">
        <is>
          <t>1.60%</t>
        </is>
      </c>
      <c r="J234" t="inlineStr">
        <is>
          <t>3474084.00</t>
        </is>
      </c>
      <c r="K234" t="inlineStr">
        <is>
          <t>145000</t>
        </is>
      </c>
      <c r="L234" t="inlineStr">
        <is>
          <t>29.000000000000</t>
        </is>
      </c>
      <c r="M234" t="inlineStr">
        <is>
          <t>Y</t>
        </is>
      </c>
    </row>
    <row r="235">
      <c r="A235" t="inlineStr">
        <is>
          <t>06/25/2026</t>
        </is>
      </c>
      <c r="B235" t="inlineStr">
        <is>
          <t>CBOT</t>
        </is>
      </c>
      <c r="C235" s="1" t="inlineStr">
        <is>
          <t>GMED</t>
        </is>
      </c>
      <c r="D235" s="1" t="inlineStr">
        <is>
          <t>379577208</t>
        </is>
      </c>
      <c r="E235" t="inlineStr">
        <is>
          <t>Globus Medical Inc</t>
        </is>
      </c>
      <c r="F235" t="inlineStr">
        <is>
          <t>87.00000000</t>
        </is>
      </c>
      <c r="G235" t="inlineStr">
        <is>
          <t>82.120000</t>
        </is>
      </c>
      <c r="H235" t="inlineStr">
        <is>
          <t>7144.44</t>
        </is>
      </c>
      <c r="I235" t="inlineStr">
        <is>
          <t>0.21%</t>
        </is>
      </c>
      <c r="J235" t="inlineStr">
        <is>
          <t>3474084.00</t>
        </is>
      </c>
      <c r="K235" t="inlineStr">
        <is>
          <t>145000</t>
        </is>
      </c>
      <c r="L235" t="inlineStr">
        <is>
          <t>29.000000000000</t>
        </is>
      </c>
      <c r="M235" t="inlineStr"/>
    </row>
    <row r="236">
      <c r="A236" t="inlineStr">
        <is>
          <t>06/25/2026</t>
        </is>
      </c>
      <c r="B236" t="inlineStr">
        <is>
          <t>CBOT</t>
        </is>
      </c>
      <c r="C236" s="1" t="inlineStr">
        <is>
          <t>GOOGL</t>
        </is>
      </c>
      <c r="D236" s="1" t="inlineStr">
        <is>
          <t>02079K305</t>
        </is>
      </c>
      <c r="E236" t="inlineStr">
        <is>
          <t>Alphabet Inc</t>
        </is>
      </c>
      <c r="F236" t="inlineStr">
        <is>
          <t>1102.00000000</t>
        </is>
      </c>
      <c r="G236" t="inlineStr">
        <is>
          <t>345.290000</t>
        </is>
      </c>
      <c r="H236" t="inlineStr">
        <is>
          <t>380509.58</t>
        </is>
      </c>
      <c r="I236" t="inlineStr">
        <is>
          <t>10.95%</t>
        </is>
      </c>
      <c r="J236" t="inlineStr">
        <is>
          <t>3474084.00</t>
        </is>
      </c>
      <c r="K236" t="inlineStr">
        <is>
          <t>145000</t>
        </is>
      </c>
      <c r="L236" t="inlineStr">
        <is>
          <t>29.000000000000</t>
        </is>
      </c>
      <c r="M236" t="inlineStr"/>
    </row>
    <row r="237">
      <c r="A237" t="inlineStr">
        <is>
          <t>06/25/2026</t>
        </is>
      </c>
      <c r="B237" t="inlineStr">
        <is>
          <t>CBOT</t>
        </is>
      </c>
      <c r="C237" s="1" t="inlineStr">
        <is>
          <t>ISRG</t>
        </is>
      </c>
      <c r="D237" s="1" t="inlineStr">
        <is>
          <t>46120E602</t>
        </is>
      </c>
      <c r="E237" t="inlineStr">
        <is>
          <t>Intuitive Surgical Inc</t>
        </is>
      </c>
      <c r="F237" t="inlineStr">
        <is>
          <t>377.00000000</t>
        </is>
      </c>
      <c r="G237" t="inlineStr">
        <is>
          <t>401.830000</t>
        </is>
      </c>
      <c r="H237" t="inlineStr">
        <is>
          <t>151489.91</t>
        </is>
      </c>
      <c r="I237" t="inlineStr">
        <is>
          <t>4.36%</t>
        </is>
      </c>
      <c r="J237" t="inlineStr">
        <is>
          <t>3474084.00</t>
        </is>
      </c>
      <c r="K237" t="inlineStr">
        <is>
          <t>145000</t>
        </is>
      </c>
      <c r="L237" t="inlineStr">
        <is>
          <t>29.000000000000</t>
        </is>
      </c>
      <c r="M237" t="inlineStr"/>
    </row>
    <row r="238">
      <c r="A238" t="inlineStr">
        <is>
          <t>06/25/2026</t>
        </is>
      </c>
      <c r="B238" t="inlineStr">
        <is>
          <t>CBOT</t>
        </is>
      </c>
      <c r="C238" s="1" t="inlineStr">
        <is>
          <t>JBTM</t>
        </is>
      </c>
      <c r="D238" s="1" t="inlineStr">
        <is>
          <t>477839104</t>
        </is>
      </c>
      <c r="E238" t="inlineStr">
        <is>
          <t>JBT Marel Corp</t>
        </is>
      </c>
      <c r="F238" t="inlineStr">
        <is>
          <t>1218.00000000</t>
        </is>
      </c>
      <c r="G238" t="inlineStr">
        <is>
          <t>134.460000</t>
        </is>
      </c>
      <c r="H238" t="inlineStr">
        <is>
          <t>163772.28</t>
        </is>
      </c>
      <c r="I238" t="inlineStr">
        <is>
          <t>4.71%</t>
        </is>
      </c>
      <c r="J238" t="inlineStr">
        <is>
          <t>3474084.00</t>
        </is>
      </c>
      <c r="K238" t="inlineStr">
        <is>
          <t>145000</t>
        </is>
      </c>
      <c r="L238" t="inlineStr">
        <is>
          <t>29.000000000000</t>
        </is>
      </c>
      <c r="M238" t="inlineStr"/>
    </row>
    <row r="239">
      <c r="A239" t="inlineStr">
        <is>
          <t>06/25/2026</t>
        </is>
      </c>
      <c r="B239" t="inlineStr">
        <is>
          <t>CBOT</t>
        </is>
      </c>
      <c r="C239" s="1" t="inlineStr">
        <is>
          <t>MBLY</t>
        </is>
      </c>
      <c r="D239" s="1" t="inlineStr">
        <is>
          <t>60741F104</t>
        </is>
      </c>
      <c r="E239" t="inlineStr">
        <is>
          <t>Mobileye Global Inc</t>
        </is>
      </c>
      <c r="F239" t="inlineStr">
        <is>
          <t>13688.00000000</t>
        </is>
      </c>
      <c r="G239" t="inlineStr">
        <is>
          <t>7.790000</t>
        </is>
      </c>
      <c r="H239" t="inlineStr">
        <is>
          <t>106629.52</t>
        </is>
      </c>
      <c r="I239" t="inlineStr">
        <is>
          <t>3.07%</t>
        </is>
      </c>
      <c r="J239" t="inlineStr">
        <is>
          <t>3474084.00</t>
        </is>
      </c>
      <c r="K239" t="inlineStr">
        <is>
          <t>145000</t>
        </is>
      </c>
      <c r="L239" t="inlineStr">
        <is>
          <t>29.000000000000</t>
        </is>
      </c>
      <c r="M239" t="inlineStr"/>
    </row>
    <row r="240">
      <c r="A240" t="inlineStr">
        <is>
          <t>06/25/2026</t>
        </is>
      </c>
      <c r="B240" t="inlineStr">
        <is>
          <t>CBOT</t>
        </is>
      </c>
      <c r="C240" s="1" t="inlineStr">
        <is>
          <t>NOVT</t>
        </is>
      </c>
      <c r="D240" s="1" t="inlineStr">
        <is>
          <t>67000B104</t>
        </is>
      </c>
      <c r="E240" t="inlineStr">
        <is>
          <t>Novanta Inc</t>
        </is>
      </c>
      <c r="F240" t="inlineStr">
        <is>
          <t>1102.00000000</t>
        </is>
      </c>
      <c r="G240" t="inlineStr">
        <is>
          <t>152.000000</t>
        </is>
      </c>
      <c r="H240" t="inlineStr">
        <is>
          <t>167504.00</t>
        </is>
      </c>
      <c r="I240" t="inlineStr">
        <is>
          <t>4.82%</t>
        </is>
      </c>
      <c r="J240" t="inlineStr">
        <is>
          <t>3474084.00</t>
        </is>
      </c>
      <c r="K240" t="inlineStr">
        <is>
          <t>145000</t>
        </is>
      </c>
      <c r="L240" t="inlineStr">
        <is>
          <t>29.000000000000</t>
        </is>
      </c>
      <c r="M240" t="inlineStr"/>
    </row>
    <row r="241">
      <c r="A241" t="inlineStr">
        <is>
          <t>06/25/2026</t>
        </is>
      </c>
      <c r="B241" t="inlineStr">
        <is>
          <t>CBOT</t>
        </is>
      </c>
      <c r="C241" s="1" t="inlineStr">
        <is>
          <t>NVDA</t>
        </is>
      </c>
      <c r="D241" s="1" t="inlineStr">
        <is>
          <t>67066G104</t>
        </is>
      </c>
      <c r="E241" t="inlineStr">
        <is>
          <t>NVIDIA Corp</t>
        </is>
      </c>
      <c r="F241" t="inlineStr">
        <is>
          <t>2175.00000000</t>
        </is>
      </c>
      <c r="G241" t="inlineStr">
        <is>
          <t>199.000000</t>
        </is>
      </c>
      <c r="H241" t="inlineStr">
        <is>
          <t>432825.00</t>
        </is>
      </c>
      <c r="I241" t="inlineStr">
        <is>
          <t>12.46%</t>
        </is>
      </c>
      <c r="J241" t="inlineStr">
        <is>
          <t>3474084.00</t>
        </is>
      </c>
      <c r="K241" t="inlineStr">
        <is>
          <t>145000</t>
        </is>
      </c>
      <c r="L241" t="inlineStr">
        <is>
          <t>29.000000000000</t>
        </is>
      </c>
      <c r="M241" t="inlineStr"/>
    </row>
    <row r="242">
      <c r="A242" t="inlineStr">
        <is>
          <t>06/25/2026</t>
        </is>
      </c>
      <c r="B242" t="inlineStr">
        <is>
          <t>CBOT</t>
        </is>
      </c>
      <c r="C242" s="1" t="inlineStr">
        <is>
          <t>PATH</t>
        </is>
      </c>
      <c r="D242" s="1" t="inlineStr">
        <is>
          <t>90364P105</t>
        </is>
      </c>
      <c r="E242" t="inlineStr">
        <is>
          <t>UiPath Inc</t>
        </is>
      </c>
      <c r="F242" t="inlineStr">
        <is>
          <t>14442.00000000</t>
        </is>
      </c>
      <c r="G242" t="inlineStr">
        <is>
          <t>10.310000</t>
        </is>
      </c>
      <c r="H242" t="inlineStr">
        <is>
          <t>148897.02</t>
        </is>
      </c>
      <c r="I242" t="inlineStr">
        <is>
          <t>4.29%</t>
        </is>
      </c>
      <c r="J242" t="inlineStr">
        <is>
          <t>3474084.00</t>
        </is>
      </c>
      <c r="K242" t="inlineStr">
        <is>
          <t>145000</t>
        </is>
      </c>
      <c r="L242" t="inlineStr">
        <is>
          <t>29.000000000000</t>
        </is>
      </c>
      <c r="M242" t="inlineStr"/>
    </row>
    <row r="243">
      <c r="A243" t="inlineStr">
        <is>
          <t>06/25/2026</t>
        </is>
      </c>
      <c r="B243" t="inlineStr">
        <is>
          <t>CBOT</t>
        </is>
      </c>
      <c r="C243" s="1" t="inlineStr">
        <is>
          <t>PRCT</t>
        </is>
      </c>
      <c r="D243" s="1" t="inlineStr">
        <is>
          <t>74276L105</t>
        </is>
      </c>
      <c r="E243" t="inlineStr">
        <is>
          <t>Procept Biorobotics Corp</t>
        </is>
      </c>
      <c r="F243" t="inlineStr">
        <is>
          <t>5278.00000000</t>
        </is>
      </c>
      <c r="G243" t="inlineStr">
        <is>
          <t>20.850000</t>
        </is>
      </c>
      <c r="H243" t="inlineStr">
        <is>
          <t>110046.30</t>
        </is>
      </c>
      <c r="I243" t="inlineStr">
        <is>
          <t>3.17%</t>
        </is>
      </c>
      <c r="J243" t="inlineStr">
        <is>
          <t>3474084.00</t>
        </is>
      </c>
      <c r="K243" t="inlineStr">
        <is>
          <t>145000</t>
        </is>
      </c>
      <c r="L243" t="inlineStr">
        <is>
          <t>29.000000000000</t>
        </is>
      </c>
      <c r="M243" t="inlineStr"/>
    </row>
    <row r="244">
      <c r="A244" t="inlineStr">
        <is>
          <t>06/25/2026</t>
        </is>
      </c>
      <c r="B244" t="inlineStr">
        <is>
          <t>CBOT</t>
        </is>
      </c>
      <c r="C244" s="1" t="inlineStr">
        <is>
          <t>PTC</t>
        </is>
      </c>
      <c r="D244" s="1" t="inlineStr">
        <is>
          <t>69370C100</t>
        </is>
      </c>
      <c r="E244" t="inlineStr">
        <is>
          <t>PTC Inc</t>
        </is>
      </c>
      <c r="F244" t="inlineStr">
        <is>
          <t>174.00000000</t>
        </is>
      </c>
      <c r="G244" t="inlineStr">
        <is>
          <t>112.930000</t>
        </is>
      </c>
      <c r="H244" t="inlineStr">
        <is>
          <t>19649.82</t>
        </is>
      </c>
      <c r="I244" t="inlineStr">
        <is>
          <t>0.57%</t>
        </is>
      </c>
      <c r="J244" t="inlineStr">
        <is>
          <t>3474084.00</t>
        </is>
      </c>
      <c r="K244" t="inlineStr">
        <is>
          <t>145000</t>
        </is>
      </c>
      <c r="L244" t="inlineStr">
        <is>
          <t>29.000000000000</t>
        </is>
      </c>
      <c r="M244" t="inlineStr"/>
    </row>
    <row r="245">
      <c r="A245" t="inlineStr">
        <is>
          <t>06/25/2026</t>
        </is>
      </c>
      <c r="B245" t="inlineStr">
        <is>
          <t>CBOT</t>
        </is>
      </c>
      <c r="C245" s="1" t="inlineStr">
        <is>
          <t>RR</t>
        </is>
      </c>
      <c r="D245" s="1" t="inlineStr">
        <is>
          <t>765504105</t>
        </is>
      </c>
      <c r="E245" t="inlineStr">
        <is>
          <t>Richtech Robotics Inc</t>
        </is>
      </c>
      <c r="F245" t="inlineStr">
        <is>
          <t>44631.00000000</t>
        </is>
      </c>
      <c r="G245" t="inlineStr">
        <is>
          <t>1.910000</t>
        </is>
      </c>
      <c r="H245" t="inlineStr">
        <is>
          <t>85245.21</t>
        </is>
      </c>
      <c r="I245" t="inlineStr">
        <is>
          <t>2.45%</t>
        </is>
      </c>
      <c r="J245" t="inlineStr">
        <is>
          <t>3474084.00</t>
        </is>
      </c>
      <c r="K245" t="inlineStr">
        <is>
          <t>145000</t>
        </is>
      </c>
      <c r="L245" t="inlineStr">
        <is>
          <t>29.000000000000</t>
        </is>
      </c>
      <c r="M245" t="inlineStr"/>
    </row>
    <row r="246">
      <c r="A246" t="inlineStr">
        <is>
          <t>06/25/2026</t>
        </is>
      </c>
      <c r="B246" t="inlineStr">
        <is>
          <t>CBOT</t>
        </is>
      </c>
      <c r="C246" s="1" t="inlineStr">
        <is>
          <t>SERV</t>
        </is>
      </c>
      <c r="D246" s="1" t="inlineStr">
        <is>
          <t>81758H106</t>
        </is>
      </c>
      <c r="E246" t="inlineStr">
        <is>
          <t>Serve Robotics Inc</t>
        </is>
      </c>
      <c r="F246" t="inlineStr">
        <is>
          <t>12615.00000000</t>
        </is>
      </c>
      <c r="G246" t="inlineStr">
        <is>
          <t>6.120000</t>
        </is>
      </c>
      <c r="H246" t="inlineStr">
        <is>
          <t>77203.80</t>
        </is>
      </c>
      <c r="I246" t="inlineStr">
        <is>
          <t>2.22%</t>
        </is>
      </c>
      <c r="J246" t="inlineStr">
        <is>
          <t>3474084.00</t>
        </is>
      </c>
      <c r="K246" t="inlineStr">
        <is>
          <t>145000</t>
        </is>
      </c>
      <c r="L246" t="inlineStr">
        <is>
          <t>29.000000000000</t>
        </is>
      </c>
      <c r="M246" t="inlineStr"/>
    </row>
    <row r="247">
      <c r="A247" t="inlineStr">
        <is>
          <t>06/25/2026</t>
        </is>
      </c>
      <c r="B247" t="inlineStr">
        <is>
          <t>CBOT</t>
        </is>
      </c>
      <c r="C247" s="1" t="inlineStr">
        <is>
          <t>SYK</t>
        </is>
      </c>
      <c r="D247" s="1" t="inlineStr">
        <is>
          <t>863667101</t>
        </is>
      </c>
      <c r="E247" t="inlineStr">
        <is>
          <t>Stryker Corp</t>
        </is>
      </c>
      <c r="F247" t="inlineStr">
        <is>
          <t>261.00000000</t>
        </is>
      </c>
      <c r="G247" t="inlineStr">
        <is>
          <t>313.680000</t>
        </is>
      </c>
      <c r="H247" t="inlineStr">
        <is>
          <t>81870.48</t>
        </is>
      </c>
      <c r="I247" t="inlineStr">
        <is>
          <t>2.36%</t>
        </is>
      </c>
      <c r="J247" t="inlineStr">
        <is>
          <t>3474084.00</t>
        </is>
      </c>
      <c r="K247" t="inlineStr">
        <is>
          <t>145000</t>
        </is>
      </c>
      <c r="L247" t="inlineStr">
        <is>
          <t>29.000000000000</t>
        </is>
      </c>
      <c r="M247" t="inlineStr"/>
    </row>
    <row r="248">
      <c r="A248" t="inlineStr">
        <is>
          <t>06/25/2026</t>
        </is>
      </c>
      <c r="B248" t="inlineStr">
        <is>
          <t>CBOT</t>
        </is>
      </c>
      <c r="C248" s="1" t="inlineStr">
        <is>
          <t>SYM</t>
        </is>
      </c>
      <c r="D248" s="1" t="inlineStr">
        <is>
          <t>87151X101</t>
        </is>
      </c>
      <c r="E248" t="inlineStr">
        <is>
          <t>Symbotic Inc</t>
        </is>
      </c>
      <c r="F248" t="inlineStr">
        <is>
          <t>2436.00000000</t>
        </is>
      </c>
      <c r="G248" t="inlineStr">
        <is>
          <t>39.430000</t>
        </is>
      </c>
      <c r="H248" t="inlineStr">
        <is>
          <t>96051.48</t>
        </is>
      </c>
      <c r="I248" t="inlineStr">
        <is>
          <t>2.76%</t>
        </is>
      </c>
      <c r="J248" t="inlineStr">
        <is>
          <t>3474084.00</t>
        </is>
      </c>
      <c r="K248" t="inlineStr">
        <is>
          <t>145000</t>
        </is>
      </c>
      <c r="L248" t="inlineStr">
        <is>
          <t>29.000000000000</t>
        </is>
      </c>
      <c r="M248" t="inlineStr"/>
    </row>
    <row r="249">
      <c r="A249" t="inlineStr">
        <is>
          <t>06/25/2026</t>
        </is>
      </c>
      <c r="B249" t="inlineStr">
        <is>
          <t>CBOT</t>
        </is>
      </c>
      <c r="C249" s="1" t="inlineStr">
        <is>
          <t>TSLA</t>
        </is>
      </c>
      <c r="D249" s="1" t="inlineStr">
        <is>
          <t>88160R101</t>
        </is>
      </c>
      <c r="E249" t="inlineStr">
        <is>
          <t>Tesla Inc</t>
        </is>
      </c>
      <c r="F249" t="inlineStr">
        <is>
          <t>464.00000000</t>
        </is>
      </c>
      <c r="G249" t="inlineStr">
        <is>
          <t>375.530000</t>
        </is>
      </c>
      <c r="H249" t="inlineStr">
        <is>
          <t>174245.92</t>
        </is>
      </c>
      <c r="I249" t="inlineStr">
        <is>
          <t>5.02%</t>
        </is>
      </c>
      <c r="J249" t="inlineStr">
        <is>
          <t>3474084.00</t>
        </is>
      </c>
      <c r="K249" t="inlineStr">
        <is>
          <t>145000</t>
        </is>
      </c>
      <c r="L249" t="inlineStr">
        <is>
          <t>29.000000000000</t>
        </is>
      </c>
      <c r="M249" t="inlineStr"/>
    </row>
    <row r="250">
      <c r="A250" t="inlineStr">
        <is>
          <t>06/25/2026</t>
        </is>
      </c>
      <c r="B250" t="inlineStr">
        <is>
          <t>CBOT</t>
        </is>
      </c>
      <c r="C250" s="1" t="inlineStr">
        <is>
          <t>ZBH</t>
        </is>
      </c>
      <c r="D250" s="1" t="inlineStr">
        <is>
          <t>98956P102</t>
        </is>
      </c>
      <c r="E250" t="inlineStr">
        <is>
          <t>ZIMMER BIOMET HOLDINGS INC</t>
        </is>
      </c>
      <c r="F250" t="inlineStr">
        <is>
          <t>232.00000000</t>
        </is>
      </c>
      <c r="G250" t="inlineStr">
        <is>
          <t>90.320000</t>
        </is>
      </c>
      <c r="H250" t="inlineStr">
        <is>
          <t>20954.24</t>
        </is>
      </c>
      <c r="I250" t="inlineStr">
        <is>
          <t>0.60%</t>
        </is>
      </c>
      <c r="J250" t="inlineStr">
        <is>
          <t>3474084.00</t>
        </is>
      </c>
      <c r="K250" t="inlineStr">
        <is>
          <t>145000</t>
        </is>
      </c>
      <c r="L250" t="inlineStr">
        <is>
          <t>29.000000000000</t>
        </is>
      </c>
      <c r="M250" t="inlineStr"/>
    </row>
    <row r="251">
      <c r="A251" t="inlineStr">
        <is>
          <t>06/25/2026</t>
        </is>
      </c>
      <c r="B251" t="inlineStr">
        <is>
          <t>CBOT</t>
        </is>
      </c>
      <c r="C251" s="1" t="inlineStr">
        <is>
          <t>Cash&amp;Other</t>
        </is>
      </c>
      <c r="D251" s="1" t="inlineStr">
        <is>
          <t>Cash&amp;Other</t>
        </is>
      </c>
      <c r="E251" t="inlineStr">
        <is>
          <t>Cash &amp; Other</t>
        </is>
      </c>
      <c r="F251" t="inlineStr">
        <is>
          <t>-119.48000000</t>
        </is>
      </c>
      <c r="G251" t="inlineStr">
        <is>
          <t>1.000000</t>
        </is>
      </c>
      <c r="H251" t="inlineStr">
        <is>
          <t>-119.48</t>
        </is>
      </c>
      <c r="I251" t="inlineStr">
        <is>
          <t>0.00%</t>
        </is>
      </c>
      <c r="J251" t="inlineStr">
        <is>
          <t>3474084.00</t>
        </is>
      </c>
      <c r="K251" t="inlineStr">
        <is>
          <t>145000</t>
        </is>
      </c>
      <c r="L251" t="inlineStr">
        <is>
          <t>29.000000000000</t>
        </is>
      </c>
      <c r="M251" t="inlineStr">
        <is>
          <t>Y</t>
        </is>
      </c>
    </row>
    <row r="252">
      <c r="A252" t="inlineStr">
        <is>
          <t>06/25/2026</t>
        </is>
      </c>
      <c r="B252" t="inlineStr">
        <is>
          <t>CCPX</t>
        </is>
      </c>
      <c r="C252" s="1" t="inlineStr">
        <is>
          <t>464287184-TRS-12/01/27-L-CANT</t>
        </is>
      </c>
      <c r="D252" s="1" t="inlineStr">
        <is>
          <t>464287184-TRS-12/01/27-L-CANT</t>
        </is>
      </c>
      <c r="E252" t="inlineStr">
        <is>
          <t>ISHARES CHINA LARGE-CAP ETF-SWAP-CANT-L</t>
        </is>
      </c>
      <c r="F252" t="inlineStr">
        <is>
          <t>80048.00000000</t>
        </is>
      </c>
      <c r="G252" t="inlineStr">
        <is>
          <t>32.360000</t>
        </is>
      </c>
      <c r="H252" t="inlineStr">
        <is>
          <t>2590353.28</t>
        </is>
      </c>
      <c r="I252" t="inlineStr">
        <is>
          <t>199.85%</t>
        </is>
      </c>
      <c r="J252" t="inlineStr">
        <is>
          <t>1296158.50</t>
        </is>
      </c>
      <c r="K252" t="inlineStr">
        <is>
          <t>65000</t>
        </is>
      </c>
      <c r="L252" t="inlineStr">
        <is>
          <t>13.000000000000</t>
        </is>
      </c>
      <c r="M252" t="inlineStr"/>
    </row>
    <row r="253">
      <c r="A253" t="inlineStr">
        <is>
          <t>06/25/2026</t>
        </is>
      </c>
      <c r="B253" t="inlineStr">
        <is>
          <t>CCPX</t>
        </is>
      </c>
      <c r="C253" s="1" t="inlineStr">
        <is>
          <t>FGXXX</t>
        </is>
      </c>
      <c r="D253" s="1" t="inlineStr">
        <is>
          <t>31846V336</t>
        </is>
      </c>
      <c r="E253" t="inlineStr">
        <is>
          <t>First American Government Obligations Fund 12/01/2031</t>
        </is>
      </c>
      <c r="F253" t="inlineStr">
        <is>
          <t>123565.02000000</t>
        </is>
      </c>
      <c r="G253" t="inlineStr">
        <is>
          <t>100.000000</t>
        </is>
      </c>
      <c r="H253" t="inlineStr">
        <is>
          <t>123565.02</t>
        </is>
      </c>
      <c r="I253" t="inlineStr">
        <is>
          <t>9.53%</t>
        </is>
      </c>
      <c r="J253" t="inlineStr">
        <is>
          <t>1296158.50</t>
        </is>
      </c>
      <c r="K253" t="inlineStr">
        <is>
          <t>65000</t>
        </is>
      </c>
      <c r="L253" t="inlineStr">
        <is>
          <t>13.000000000000</t>
        </is>
      </c>
      <c r="M253" t="inlineStr">
        <is>
          <t>Y</t>
        </is>
      </c>
    </row>
    <row r="254">
      <c r="A254" t="inlineStr">
        <is>
          <t>06/25/2026</t>
        </is>
      </c>
      <c r="B254" t="inlineStr">
        <is>
          <t>CCPX</t>
        </is>
      </c>
      <c r="C254" s="1" t="inlineStr">
        <is>
          <t>Cash&amp;Other</t>
        </is>
      </c>
      <c r="D254" s="1" t="inlineStr">
        <is>
          <t>Cash&amp;Other</t>
        </is>
      </c>
      <c r="E254" t="inlineStr">
        <is>
          <t>Cash &amp; Other</t>
        </is>
      </c>
      <c r="F254" t="inlineStr">
        <is>
          <t>-1418028.70000000</t>
        </is>
      </c>
      <c r="G254" t="inlineStr">
        <is>
          <t>1.000000</t>
        </is>
      </c>
      <c r="H254" t="inlineStr">
        <is>
          <t>-1418028.70</t>
        </is>
      </c>
      <c r="I254" t="inlineStr">
        <is>
          <t>-109.40%</t>
        </is>
      </c>
      <c r="J254" t="inlineStr">
        <is>
          <t>1296158.50</t>
        </is>
      </c>
      <c r="K254" t="inlineStr">
        <is>
          <t>65000</t>
        </is>
      </c>
      <c r="L254" t="inlineStr">
        <is>
          <t>13.000000000000</t>
        </is>
      </c>
      <c r="M254" t="inlineStr">
        <is>
          <t>Y</t>
        </is>
      </c>
    </row>
    <row r="255">
      <c r="A255" t="inlineStr">
        <is>
          <t>06/25/2026</t>
        </is>
      </c>
      <c r="B255" t="inlineStr">
        <is>
          <t>CGOV</t>
        </is>
      </c>
      <c r="C255" s="1" t="inlineStr">
        <is>
          <t>912797RF6</t>
        </is>
      </c>
      <c r="D255" s="1" t="inlineStr">
        <is>
          <t>912797RF6</t>
        </is>
      </c>
      <c r="E255" t="inlineStr">
        <is>
          <t>United States Treasury Bill 07/09/2026</t>
        </is>
      </c>
      <c r="F255" t="inlineStr">
        <is>
          <t>1136000.00000000</t>
        </is>
      </c>
      <c r="G255" t="inlineStr">
        <is>
          <t>99.861944</t>
        </is>
      </c>
      <c r="H255" t="inlineStr">
        <is>
          <t>1134431.68</t>
        </is>
      </c>
      <c r="I255" t="inlineStr">
        <is>
          <t>6.47%</t>
        </is>
      </c>
      <c r="J255" t="inlineStr">
        <is>
          <t>17536750.00</t>
        </is>
      </c>
      <c r="K255" t="inlineStr">
        <is>
          <t>700000</t>
        </is>
      </c>
      <c r="L255" t="inlineStr">
        <is>
          <t>70.000000000000</t>
        </is>
      </c>
      <c r="M255" t="inlineStr"/>
    </row>
    <row r="256">
      <c r="A256" t="inlineStr">
        <is>
          <t>06/25/2026</t>
        </is>
      </c>
      <c r="B256" t="inlineStr">
        <is>
          <t>CGOV</t>
        </is>
      </c>
      <c r="C256" s="1" t="inlineStr">
        <is>
          <t>912797RG4</t>
        </is>
      </c>
      <c r="D256" s="1" t="inlineStr">
        <is>
          <t>912797RG4</t>
        </is>
      </c>
      <c r="E256" t="inlineStr">
        <is>
          <t>United States Treasury Bill 08/06/2026</t>
        </is>
      </c>
      <c r="F256" t="inlineStr">
        <is>
          <t>838000.00000000</t>
        </is>
      </c>
      <c r="G256" t="inlineStr">
        <is>
          <t>99.578542</t>
        </is>
      </c>
      <c r="H256" t="inlineStr">
        <is>
          <t>834468.18</t>
        </is>
      </c>
      <c r="I256" t="inlineStr">
        <is>
          <t>4.76%</t>
        </is>
      </c>
      <c r="J256" t="inlineStr">
        <is>
          <t>17536750.00</t>
        </is>
      </c>
      <c r="K256" t="inlineStr">
        <is>
          <t>700000</t>
        </is>
      </c>
      <c r="L256" t="inlineStr">
        <is>
          <t>70.000000000000</t>
        </is>
      </c>
      <c r="M256" t="inlineStr"/>
    </row>
    <row r="257">
      <c r="A257" t="inlineStr">
        <is>
          <t>06/25/2026</t>
        </is>
      </c>
      <c r="B257" t="inlineStr">
        <is>
          <t>CGOV</t>
        </is>
      </c>
      <c r="C257" s="1" t="inlineStr">
        <is>
          <t>912797RS8</t>
        </is>
      </c>
      <c r="D257" s="1" t="inlineStr">
        <is>
          <t>912797RS8</t>
        </is>
      </c>
      <c r="E257" t="inlineStr">
        <is>
          <t>United States Treasury Bill 09/03/2026</t>
        </is>
      </c>
      <c r="F257" t="inlineStr">
        <is>
          <t>583000.00000000</t>
        </is>
      </c>
      <c r="G257" t="inlineStr">
        <is>
          <t>99.286875</t>
        </is>
      </c>
      <c r="H257" t="inlineStr">
        <is>
          <t>578842.48</t>
        </is>
      </c>
      <c r="I257" t="inlineStr">
        <is>
          <t>3.30%</t>
        </is>
      </c>
      <c r="J257" t="inlineStr">
        <is>
          <t>17536750.00</t>
        </is>
      </c>
      <c r="K257" t="inlineStr">
        <is>
          <t>700000</t>
        </is>
      </c>
      <c r="L257" t="inlineStr">
        <is>
          <t>70.000000000000</t>
        </is>
      </c>
      <c r="M257" t="inlineStr"/>
    </row>
    <row r="258">
      <c r="A258" t="inlineStr">
        <is>
          <t>06/25/2026</t>
        </is>
      </c>
      <c r="B258" t="inlineStr">
        <is>
          <t>CGOV</t>
        </is>
      </c>
      <c r="C258" s="1" t="inlineStr">
        <is>
          <t>912797TE7</t>
        </is>
      </c>
      <c r="D258" s="1" t="inlineStr">
        <is>
          <t>912797TE7</t>
        </is>
      </c>
      <c r="E258" t="inlineStr">
        <is>
          <t>United States Treasury Bill 06/25/2026</t>
        </is>
      </c>
      <c r="F258" t="inlineStr">
        <is>
          <t>975000.00000000</t>
        </is>
      </c>
      <c r="G258" t="inlineStr">
        <is>
          <t>100.000000</t>
        </is>
      </c>
      <c r="H258" t="inlineStr">
        <is>
          <t>975000.00</t>
        </is>
      </c>
      <c r="I258" t="inlineStr">
        <is>
          <t>5.56%</t>
        </is>
      </c>
      <c r="J258" t="inlineStr">
        <is>
          <t>17536750.00</t>
        </is>
      </c>
      <c r="K258" t="inlineStr">
        <is>
          <t>700000</t>
        </is>
      </c>
      <c r="L258" t="inlineStr">
        <is>
          <t>70.000000000000</t>
        </is>
      </c>
      <c r="M258" t="inlineStr"/>
    </row>
    <row r="259">
      <c r="A259" t="inlineStr">
        <is>
          <t>06/25/2026</t>
        </is>
      </c>
      <c r="B259" t="inlineStr">
        <is>
          <t>CGOV</t>
        </is>
      </c>
      <c r="C259" s="1" t="inlineStr">
        <is>
          <t>912797TF4</t>
        </is>
      </c>
      <c r="D259" s="1" t="inlineStr">
        <is>
          <t>912797TF4</t>
        </is>
      </c>
      <c r="E259" t="inlineStr">
        <is>
          <t>United States Treasury Bill 07/02/2026</t>
        </is>
      </c>
      <c r="F259" t="inlineStr">
        <is>
          <t>1010000.00000000</t>
        </is>
      </c>
      <c r="G259" t="inlineStr">
        <is>
          <t>99.931750</t>
        </is>
      </c>
      <c r="H259" t="inlineStr">
        <is>
          <t>1009310.68</t>
        </is>
      </c>
      <c r="I259" t="inlineStr">
        <is>
          <t>5.76%</t>
        </is>
      </c>
      <c r="J259" t="inlineStr">
        <is>
          <t>17536750.00</t>
        </is>
      </c>
      <c r="K259" t="inlineStr">
        <is>
          <t>700000</t>
        </is>
      </c>
      <c r="L259" t="inlineStr">
        <is>
          <t>70.000000000000</t>
        </is>
      </c>
      <c r="M259" t="inlineStr"/>
    </row>
    <row r="260">
      <c r="A260" t="inlineStr">
        <is>
          <t>06/25/2026</t>
        </is>
      </c>
      <c r="B260" t="inlineStr">
        <is>
          <t>CGOV</t>
        </is>
      </c>
      <c r="C260" s="1" t="inlineStr">
        <is>
          <t>912797TN7</t>
        </is>
      </c>
      <c r="D260" s="1" t="inlineStr">
        <is>
          <t>912797TN7</t>
        </is>
      </c>
      <c r="E260" t="inlineStr">
        <is>
          <t>United States Treasury Bill 07/16/2026</t>
        </is>
      </c>
      <c r="F260" t="inlineStr">
        <is>
          <t>821000.00000000</t>
        </is>
      </c>
      <c r="G260" t="inlineStr">
        <is>
          <t>99.793587</t>
        </is>
      </c>
      <c r="H260" t="inlineStr">
        <is>
          <t>819305.35</t>
        </is>
      </c>
      <c r="I260" t="inlineStr">
        <is>
          <t>4.67%</t>
        </is>
      </c>
      <c r="J260" t="inlineStr">
        <is>
          <t>17536750.00</t>
        </is>
      </c>
      <c r="K260" t="inlineStr">
        <is>
          <t>700000</t>
        </is>
      </c>
      <c r="L260" t="inlineStr">
        <is>
          <t>70.000000000000</t>
        </is>
      </c>
      <c r="M260" t="inlineStr"/>
    </row>
    <row r="261">
      <c r="A261" t="inlineStr">
        <is>
          <t>06/25/2026</t>
        </is>
      </c>
      <c r="B261" t="inlineStr">
        <is>
          <t>CGOV</t>
        </is>
      </c>
      <c r="C261" s="1" t="inlineStr">
        <is>
          <t>912797TP2</t>
        </is>
      </c>
      <c r="D261" s="1" t="inlineStr">
        <is>
          <t>912797TP2</t>
        </is>
      </c>
      <c r="E261" t="inlineStr">
        <is>
          <t>United States Treasury Bill 07/23/2026</t>
        </is>
      </c>
      <c r="F261" t="inlineStr">
        <is>
          <t>731000.00000000</t>
        </is>
      </c>
      <c r="G261" t="inlineStr">
        <is>
          <t>99.723967</t>
        </is>
      </c>
      <c r="H261" t="inlineStr">
        <is>
          <t>728982.20</t>
        </is>
      </c>
      <c r="I261" t="inlineStr">
        <is>
          <t>4.16%</t>
        </is>
      </c>
      <c r="J261" t="inlineStr">
        <is>
          <t>17536750.00</t>
        </is>
      </c>
      <c r="K261" t="inlineStr">
        <is>
          <t>700000</t>
        </is>
      </c>
      <c r="L261" t="inlineStr">
        <is>
          <t>70.000000000000</t>
        </is>
      </c>
      <c r="M261" t="inlineStr"/>
    </row>
    <row r="262">
      <c r="A262" t="inlineStr">
        <is>
          <t>06/25/2026</t>
        </is>
      </c>
      <c r="B262" t="inlineStr">
        <is>
          <t>CGOV</t>
        </is>
      </c>
      <c r="C262" s="1" t="inlineStr">
        <is>
          <t>912797TQ0</t>
        </is>
      </c>
      <c r="D262" s="1" t="inlineStr">
        <is>
          <t>912797TQ0</t>
        </is>
      </c>
      <c r="E262" t="inlineStr">
        <is>
          <t>United States Treasury Bill 07/30/2026</t>
        </is>
      </c>
      <c r="F262" t="inlineStr">
        <is>
          <t>730000.00000000</t>
        </is>
      </c>
      <c r="G262" t="inlineStr">
        <is>
          <t>99.651944</t>
        </is>
      </c>
      <c r="H262" t="inlineStr">
        <is>
          <t>727459.19</t>
        </is>
      </c>
      <c r="I262" t="inlineStr">
        <is>
          <t>4.15%</t>
        </is>
      </c>
      <c r="J262" t="inlineStr">
        <is>
          <t>17536750.00</t>
        </is>
      </c>
      <c r="K262" t="inlineStr">
        <is>
          <t>700000</t>
        </is>
      </c>
      <c r="L262" t="inlineStr">
        <is>
          <t>70.000000000000</t>
        </is>
      </c>
      <c r="M262" t="inlineStr"/>
    </row>
    <row r="263">
      <c r="A263" t="inlineStr">
        <is>
          <t>06/25/2026</t>
        </is>
      </c>
      <c r="B263" t="inlineStr">
        <is>
          <t>CGOV</t>
        </is>
      </c>
      <c r="C263" s="1" t="inlineStr">
        <is>
          <t>912797TW7</t>
        </is>
      </c>
      <c r="D263" s="1" t="inlineStr">
        <is>
          <t>912797TW7</t>
        </is>
      </c>
      <c r="E263" t="inlineStr">
        <is>
          <t>United States Treasury Bill 08/13/2026</t>
        </is>
      </c>
      <c r="F263" t="inlineStr">
        <is>
          <t>631000.00000000</t>
        </is>
      </c>
      <c r="G263" t="inlineStr">
        <is>
          <t>99.506817</t>
        </is>
      </c>
      <c r="H263" t="inlineStr">
        <is>
          <t>627888.02</t>
        </is>
      </c>
      <c r="I263" t="inlineStr">
        <is>
          <t>3.58%</t>
        </is>
      </c>
      <c r="J263" t="inlineStr">
        <is>
          <t>17536750.00</t>
        </is>
      </c>
      <c r="K263" t="inlineStr">
        <is>
          <t>700000</t>
        </is>
      </c>
      <c r="L263" t="inlineStr">
        <is>
          <t>70.000000000000</t>
        </is>
      </c>
      <c r="M263" t="inlineStr"/>
    </row>
    <row r="264">
      <c r="A264" t="inlineStr">
        <is>
          <t>06/25/2026</t>
        </is>
      </c>
      <c r="B264" t="inlineStr">
        <is>
          <t>CGOV</t>
        </is>
      </c>
      <c r="C264" s="1" t="inlineStr">
        <is>
          <t>912797TX5</t>
        </is>
      </c>
      <c r="D264" s="1" t="inlineStr">
        <is>
          <t>912797TX5</t>
        </is>
      </c>
      <c r="E264" t="inlineStr">
        <is>
          <t>United States Treasury Bill 08/20/2026</t>
        </is>
      </c>
      <c r="F264" t="inlineStr">
        <is>
          <t>730000.00000000</t>
        </is>
      </c>
      <c r="G264" t="inlineStr">
        <is>
          <t>99.435722</t>
        </is>
      </c>
      <c r="H264" t="inlineStr">
        <is>
          <t>725880.77</t>
        </is>
      </c>
      <c r="I264" t="inlineStr">
        <is>
          <t>4.14%</t>
        </is>
      </c>
      <c r="J264" t="inlineStr">
        <is>
          <t>17536750.00</t>
        </is>
      </c>
      <c r="K264" t="inlineStr">
        <is>
          <t>700000</t>
        </is>
      </c>
      <c r="L264" t="inlineStr">
        <is>
          <t>70.000000000000</t>
        </is>
      </c>
      <c r="M264" t="inlineStr"/>
    </row>
    <row r="265">
      <c r="A265" t="inlineStr">
        <is>
          <t>06/25/2026</t>
        </is>
      </c>
      <c r="B265" t="inlineStr">
        <is>
          <t>CGOV</t>
        </is>
      </c>
      <c r="C265" s="1" t="inlineStr">
        <is>
          <t>912797TY3</t>
        </is>
      </c>
      <c r="D265" s="1" t="inlineStr">
        <is>
          <t>912797TY3</t>
        </is>
      </c>
      <c r="E265" t="inlineStr">
        <is>
          <t>United States Treasury Bill 08/27/2026</t>
        </is>
      </c>
      <c r="F265" t="inlineStr">
        <is>
          <t>557000.00000000</t>
        </is>
      </c>
      <c r="G265" t="inlineStr">
        <is>
          <t>99.358625</t>
        </is>
      </c>
      <c r="H265" t="inlineStr">
        <is>
          <t>553427.54</t>
        </is>
      </c>
      <c r="I265" t="inlineStr">
        <is>
          <t>3.16%</t>
        </is>
      </c>
      <c r="J265" t="inlineStr">
        <is>
          <t>17536750.00</t>
        </is>
      </c>
      <c r="K265" t="inlineStr">
        <is>
          <t>700000</t>
        </is>
      </c>
      <c r="L265" t="inlineStr">
        <is>
          <t>70.000000000000</t>
        </is>
      </c>
      <c r="M265" t="inlineStr"/>
    </row>
    <row r="266">
      <c r="A266" t="inlineStr">
        <is>
          <t>06/25/2026</t>
        </is>
      </c>
      <c r="B266" t="inlineStr">
        <is>
          <t>CGOV</t>
        </is>
      </c>
      <c r="C266" s="1" t="inlineStr">
        <is>
          <t>912797UC9</t>
        </is>
      </c>
      <c r="D266" s="1" t="inlineStr">
        <is>
          <t>912797UC9</t>
        </is>
      </c>
      <c r="E266" t="inlineStr">
        <is>
          <t>United States Treasury Bill 06/30/2026</t>
        </is>
      </c>
      <c r="F266" t="inlineStr">
        <is>
          <t>784000.00000000</t>
        </is>
      </c>
      <c r="G266" t="inlineStr">
        <is>
          <t>99.951285</t>
        </is>
      </c>
      <c r="H266" t="inlineStr">
        <is>
          <t>783618.07</t>
        </is>
      </c>
      <c r="I266" t="inlineStr">
        <is>
          <t>4.47%</t>
        </is>
      </c>
      <c r="J266" t="inlineStr">
        <is>
          <t>17536750.00</t>
        </is>
      </c>
      <c r="K266" t="inlineStr">
        <is>
          <t>700000</t>
        </is>
      </c>
      <c r="L266" t="inlineStr">
        <is>
          <t>70.000000000000</t>
        </is>
      </c>
      <c r="M266" t="inlineStr"/>
    </row>
    <row r="267">
      <c r="A267" t="inlineStr">
        <is>
          <t>06/25/2026</t>
        </is>
      </c>
      <c r="B267" t="inlineStr">
        <is>
          <t>CGOV</t>
        </is>
      </c>
      <c r="C267" s="1" t="inlineStr">
        <is>
          <t>912797UN5</t>
        </is>
      </c>
      <c r="D267" s="1" t="inlineStr">
        <is>
          <t>912797UN5</t>
        </is>
      </c>
      <c r="E267" t="inlineStr">
        <is>
          <t>United States Treasury Bill 07/07/2026</t>
        </is>
      </c>
      <c r="F267" t="inlineStr">
        <is>
          <t>806000.00000000</t>
        </is>
      </c>
      <c r="G267" t="inlineStr">
        <is>
          <t>99.881917</t>
        </is>
      </c>
      <c r="H267" t="inlineStr">
        <is>
          <t>805048.25</t>
        </is>
      </c>
      <c r="I267" t="inlineStr">
        <is>
          <t>4.59%</t>
        </is>
      </c>
      <c r="J267" t="inlineStr">
        <is>
          <t>17536750.00</t>
        </is>
      </c>
      <c r="K267" t="inlineStr">
        <is>
          <t>700000</t>
        </is>
      </c>
      <c r="L267" t="inlineStr">
        <is>
          <t>70.000000000000</t>
        </is>
      </c>
      <c r="M267" t="inlineStr"/>
    </row>
    <row r="268">
      <c r="A268" t="inlineStr">
        <is>
          <t>06/25/2026</t>
        </is>
      </c>
      <c r="B268" t="inlineStr">
        <is>
          <t>CGOV</t>
        </is>
      </c>
      <c r="C268" s="1" t="inlineStr">
        <is>
          <t>912797UP0</t>
        </is>
      </c>
      <c r="D268" s="1" t="inlineStr">
        <is>
          <t>912797UP0</t>
        </is>
      </c>
      <c r="E268" t="inlineStr">
        <is>
          <t>United States Treasury Bill 07/14/2026</t>
        </is>
      </c>
      <c r="F268" t="inlineStr">
        <is>
          <t>659000.00000000</t>
        </is>
      </c>
      <c r="G268" t="inlineStr">
        <is>
          <t>99.813035</t>
        </is>
      </c>
      <c r="H268" t="inlineStr">
        <is>
          <t>657767.90</t>
        </is>
      </c>
      <c r="I268" t="inlineStr">
        <is>
          <t>3.75%</t>
        </is>
      </c>
      <c r="J268" t="inlineStr">
        <is>
          <t>17536750.00</t>
        </is>
      </c>
      <c r="K268" t="inlineStr">
        <is>
          <t>700000</t>
        </is>
      </c>
      <c r="L268" t="inlineStr">
        <is>
          <t>70.000000000000</t>
        </is>
      </c>
      <c r="M268" t="inlineStr"/>
    </row>
    <row r="269">
      <c r="A269" t="inlineStr">
        <is>
          <t>06/25/2026</t>
        </is>
      </c>
      <c r="B269" t="inlineStr">
        <is>
          <t>CGOV</t>
        </is>
      </c>
      <c r="C269" s="1" t="inlineStr">
        <is>
          <t>912797UQ8</t>
        </is>
      </c>
      <c r="D269" s="1" t="inlineStr">
        <is>
          <t>912797UQ8</t>
        </is>
      </c>
      <c r="E269" t="inlineStr">
        <is>
          <t>United States Treasury Bill 07/21/2026</t>
        </is>
      </c>
      <c r="F269" t="inlineStr">
        <is>
          <t>659000.00000000</t>
        </is>
      </c>
      <c r="G269" t="inlineStr">
        <is>
          <t>99.742889</t>
        </is>
      </c>
      <c r="H269" t="inlineStr">
        <is>
          <t>657305.64</t>
        </is>
      </c>
      <c r="I269" t="inlineStr">
        <is>
          <t>3.75%</t>
        </is>
      </c>
      <c r="J269" t="inlineStr">
        <is>
          <t>17536750.00</t>
        </is>
      </c>
      <c r="K269" t="inlineStr">
        <is>
          <t>700000</t>
        </is>
      </c>
      <c r="L269" t="inlineStr">
        <is>
          <t>70.000000000000</t>
        </is>
      </c>
      <c r="M269" t="inlineStr"/>
    </row>
    <row r="270">
      <c r="A270" t="inlineStr">
        <is>
          <t>06/25/2026</t>
        </is>
      </c>
      <c r="B270" t="inlineStr">
        <is>
          <t>CGOV</t>
        </is>
      </c>
      <c r="C270" s="1" t="inlineStr">
        <is>
          <t>912797UR6</t>
        </is>
      </c>
      <c r="D270" s="1" t="inlineStr">
        <is>
          <t>912797UR6</t>
        </is>
      </c>
      <c r="E270" t="inlineStr">
        <is>
          <t>United States Treasury Bill 07/28/2026</t>
        </is>
      </c>
      <c r="F270" t="inlineStr">
        <is>
          <t>485000.00000000</t>
        </is>
      </c>
      <c r="G270" t="inlineStr">
        <is>
          <t>99.672406</t>
        </is>
      </c>
      <c r="H270" t="inlineStr">
        <is>
          <t>483411.17</t>
        </is>
      </c>
      <c r="I270" t="inlineStr">
        <is>
          <t>2.76%</t>
        </is>
      </c>
      <c r="J270" t="inlineStr">
        <is>
          <t>17536750.00</t>
        </is>
      </c>
      <c r="K270" t="inlineStr">
        <is>
          <t>700000</t>
        </is>
      </c>
      <c r="L270" t="inlineStr">
        <is>
          <t>70.000000000000</t>
        </is>
      </c>
      <c r="M270" t="inlineStr"/>
    </row>
    <row r="271">
      <c r="A271" t="inlineStr">
        <is>
          <t>06/25/2026</t>
        </is>
      </c>
      <c r="B271" t="inlineStr">
        <is>
          <t>CGOV</t>
        </is>
      </c>
      <c r="C271" s="1" t="inlineStr">
        <is>
          <t>912797US4</t>
        </is>
      </c>
      <c r="D271" s="1" t="inlineStr">
        <is>
          <t>912797US4</t>
        </is>
      </c>
      <c r="E271" t="inlineStr">
        <is>
          <t>United States Treasury Bill 08/04/2026</t>
        </is>
      </c>
      <c r="F271" t="inlineStr">
        <is>
          <t>479000.00000000</t>
        </is>
      </c>
      <c r="G271" t="inlineStr">
        <is>
          <t>99.598741</t>
        </is>
      </c>
      <c r="H271" t="inlineStr">
        <is>
          <t>477077.97</t>
        </is>
      </c>
      <c r="I271" t="inlineStr">
        <is>
          <t>2.72%</t>
        </is>
      </c>
      <c r="J271" t="inlineStr">
        <is>
          <t>17536750.00</t>
        </is>
      </c>
      <c r="K271" t="inlineStr">
        <is>
          <t>700000</t>
        </is>
      </c>
      <c r="L271" t="inlineStr">
        <is>
          <t>70.000000000000</t>
        </is>
      </c>
      <c r="M271" t="inlineStr"/>
    </row>
    <row r="272">
      <c r="A272" t="inlineStr">
        <is>
          <t>06/25/2026</t>
        </is>
      </c>
      <c r="B272" t="inlineStr">
        <is>
          <t>CGOV</t>
        </is>
      </c>
      <c r="C272" s="1" t="inlineStr">
        <is>
          <t>912797UT2</t>
        </is>
      </c>
      <c r="D272" s="1" t="inlineStr">
        <is>
          <t>912797UT2</t>
        </is>
      </c>
      <c r="E272" t="inlineStr">
        <is>
          <t>United States Treasury Bill 08/11/2026</t>
        </is>
      </c>
      <c r="F272" t="inlineStr">
        <is>
          <t>293000.00000000</t>
        </is>
      </c>
      <c r="G272" t="inlineStr">
        <is>
          <t>99.525431</t>
        </is>
      </c>
      <c r="H272" t="inlineStr">
        <is>
          <t>291609.51</t>
        </is>
      </c>
      <c r="I272" t="inlineStr">
        <is>
          <t>1.66%</t>
        </is>
      </c>
      <c r="J272" t="inlineStr">
        <is>
          <t>17536750.00</t>
        </is>
      </c>
      <c r="K272" t="inlineStr">
        <is>
          <t>700000</t>
        </is>
      </c>
      <c r="L272" t="inlineStr">
        <is>
          <t>70.000000000000</t>
        </is>
      </c>
      <c r="M272" t="inlineStr"/>
    </row>
    <row r="273">
      <c r="A273" t="inlineStr">
        <is>
          <t>06/25/2026</t>
        </is>
      </c>
      <c r="B273" t="inlineStr">
        <is>
          <t>CGOV</t>
        </is>
      </c>
      <c r="C273" s="1" t="inlineStr">
        <is>
          <t>912797UU9</t>
        </is>
      </c>
      <c r="D273" s="1" t="inlineStr">
        <is>
          <t>912797UU9</t>
        </is>
      </c>
      <c r="E273" t="inlineStr">
        <is>
          <t>United States Treasury Bill 08/18/2026</t>
        </is>
      </c>
      <c r="F273" t="inlineStr">
        <is>
          <t>291000.00000000</t>
        </is>
      </c>
      <c r="G273" t="inlineStr">
        <is>
          <t>99.452875</t>
        </is>
      </c>
      <c r="H273" t="inlineStr">
        <is>
          <t>289407.87</t>
        </is>
      </c>
      <c r="I273" t="inlineStr">
        <is>
          <t>1.65%</t>
        </is>
      </c>
      <c r="J273" t="inlineStr">
        <is>
          <t>17536750.00</t>
        </is>
      </c>
      <c r="K273" t="inlineStr">
        <is>
          <t>700000</t>
        </is>
      </c>
      <c r="L273" t="inlineStr">
        <is>
          <t>70.000000000000</t>
        </is>
      </c>
      <c r="M273" t="inlineStr"/>
    </row>
    <row r="274">
      <c r="A274" t="inlineStr">
        <is>
          <t>06/25/2026</t>
        </is>
      </c>
      <c r="B274" t="inlineStr">
        <is>
          <t>CGOV</t>
        </is>
      </c>
      <c r="C274" s="1" t="inlineStr">
        <is>
          <t>912797UV7</t>
        </is>
      </c>
      <c r="D274" s="1" t="inlineStr">
        <is>
          <t>912797UV7</t>
        </is>
      </c>
      <c r="E274" t="inlineStr">
        <is>
          <t>United States Treasury Bill 08/25/2026</t>
        </is>
      </c>
      <c r="F274" t="inlineStr">
        <is>
          <t>292000.00000000</t>
        </is>
      </c>
      <c r="G274" t="inlineStr">
        <is>
          <t>99.384917</t>
        </is>
      </c>
      <c r="H274" t="inlineStr">
        <is>
          <t>290203.96</t>
        </is>
      </c>
      <c r="I274" t="inlineStr">
        <is>
          <t>1.65%</t>
        </is>
      </c>
      <c r="J274" t="inlineStr">
        <is>
          <t>17536750.00</t>
        </is>
      </c>
      <c r="K274" t="inlineStr">
        <is>
          <t>700000</t>
        </is>
      </c>
      <c r="L274" t="inlineStr">
        <is>
          <t>70.000000000000</t>
        </is>
      </c>
      <c r="M274" t="inlineStr"/>
    </row>
    <row r="275">
      <c r="A275" t="inlineStr">
        <is>
          <t>06/25/2026</t>
        </is>
      </c>
      <c r="B275" t="inlineStr">
        <is>
          <t>CGOV</t>
        </is>
      </c>
      <c r="C275" s="1" t="inlineStr">
        <is>
          <t>912797UW5</t>
        </is>
      </c>
      <c r="D275" s="1" t="inlineStr">
        <is>
          <t>912797UW5</t>
        </is>
      </c>
      <c r="E275" t="inlineStr">
        <is>
          <t>United States Treasury Bill 09/01/2026</t>
        </is>
      </c>
      <c r="F275" t="inlineStr">
        <is>
          <t>291000.00000000</t>
        </is>
      </c>
      <c r="G275" t="inlineStr">
        <is>
          <t>99.315339</t>
        </is>
      </c>
      <c r="H275" t="inlineStr">
        <is>
          <t>289007.64</t>
        </is>
      </c>
      <c r="I275" t="inlineStr">
        <is>
          <t>1.65%</t>
        </is>
      </c>
      <c r="J275" t="inlineStr">
        <is>
          <t>17536750.00</t>
        </is>
      </c>
      <c r="K275" t="inlineStr">
        <is>
          <t>700000</t>
        </is>
      </c>
      <c r="L275" t="inlineStr">
        <is>
          <t>70.000000000000</t>
        </is>
      </c>
      <c r="M275" t="inlineStr"/>
    </row>
    <row r="276">
      <c r="A276" t="inlineStr">
        <is>
          <t>06/25/2026</t>
        </is>
      </c>
      <c r="B276" t="inlineStr">
        <is>
          <t>CGOV</t>
        </is>
      </c>
      <c r="C276" s="1" t="inlineStr">
        <is>
          <t>912797VB0</t>
        </is>
      </c>
      <c r="D276" s="1" t="inlineStr">
        <is>
          <t>912797VB0</t>
        </is>
      </c>
      <c r="E276" t="inlineStr">
        <is>
          <t>United States Treasury Bill 09/08/2026</t>
        </is>
      </c>
      <c r="F276" t="inlineStr">
        <is>
          <t>112000.00000000</t>
        </is>
      </c>
      <c r="G276" t="inlineStr">
        <is>
          <t>99.236458</t>
        </is>
      </c>
      <c r="H276" t="inlineStr">
        <is>
          <t>111144.83</t>
        </is>
      </c>
      <c r="I276" t="inlineStr">
        <is>
          <t>0.63%</t>
        </is>
      </c>
      <c r="J276" t="inlineStr">
        <is>
          <t>17536750.00</t>
        </is>
      </c>
      <c r="K276" t="inlineStr">
        <is>
          <t>700000</t>
        </is>
      </c>
      <c r="L276" t="inlineStr">
        <is>
          <t>70.000000000000</t>
        </is>
      </c>
      <c r="M276" t="inlineStr"/>
    </row>
    <row r="277">
      <c r="A277" t="inlineStr">
        <is>
          <t>06/25/2026</t>
        </is>
      </c>
      <c r="B277" t="inlineStr">
        <is>
          <t>CGOV</t>
        </is>
      </c>
      <c r="C277" s="1" t="inlineStr">
        <is>
          <t>FGXXX</t>
        </is>
      </c>
      <c r="D277" s="1" t="inlineStr">
        <is>
          <t>31846V336</t>
        </is>
      </c>
      <c r="E277" t="inlineStr">
        <is>
          <t>First American Government Obligations Fund 12/01/2031</t>
        </is>
      </c>
      <c r="F277" t="inlineStr">
        <is>
          <t>3629511.40000000</t>
        </is>
      </c>
      <c r="G277" t="inlineStr">
        <is>
          <t>100.000000</t>
        </is>
      </c>
      <c r="H277" t="inlineStr">
        <is>
          <t>3629511.40</t>
        </is>
      </c>
      <c r="I277" t="inlineStr">
        <is>
          <t>20.70%</t>
        </is>
      </c>
      <c r="J277" t="inlineStr">
        <is>
          <t>17536750.00</t>
        </is>
      </c>
      <c r="K277" t="inlineStr">
        <is>
          <t>700000</t>
        </is>
      </c>
      <c r="L277" t="inlineStr">
        <is>
          <t>70.000000000000</t>
        </is>
      </c>
      <c r="M277" t="inlineStr">
        <is>
          <t>Y</t>
        </is>
      </c>
    </row>
    <row r="278">
      <c r="A278" t="inlineStr">
        <is>
          <t>06/25/2026</t>
        </is>
      </c>
      <c r="B278" t="inlineStr">
        <is>
          <t>CGOV</t>
        </is>
      </c>
      <c r="C278" s="1" t="inlineStr">
        <is>
          <t>Cash&amp;Other</t>
        </is>
      </c>
      <c r="D278" s="1" t="inlineStr">
        <is>
          <t>Cash&amp;Other</t>
        </is>
      </c>
      <c r="E278" t="inlineStr">
        <is>
          <t>Cash &amp; Other</t>
        </is>
      </c>
      <c r="F278" t="inlineStr">
        <is>
          <t>56969.15000000</t>
        </is>
      </c>
      <c r="G278" t="inlineStr">
        <is>
          <t>1.000000</t>
        </is>
      </c>
      <c r="H278" t="inlineStr">
        <is>
          <t>56969.15</t>
        </is>
      </c>
      <c r="I278" t="inlineStr">
        <is>
          <t>0.32%</t>
        </is>
      </c>
      <c r="J278" t="inlineStr">
        <is>
          <t>17536750.00</t>
        </is>
      </c>
      <c r="K278" t="inlineStr">
        <is>
          <t>700000</t>
        </is>
      </c>
      <c r="L278" t="inlineStr">
        <is>
          <t>70.000000000000</t>
        </is>
      </c>
      <c r="M278" t="inlineStr">
        <is>
          <t>Y</t>
        </is>
      </c>
    </row>
    <row r="279">
      <c r="A279" t="inlineStr">
        <is>
          <t>06/25/2026</t>
        </is>
      </c>
      <c r="B279" t="inlineStr">
        <is>
          <t>CHYG</t>
        </is>
      </c>
      <c r="C279" s="1" t="inlineStr">
        <is>
          <t>00081TAK4</t>
        </is>
      </c>
      <c r="D279" s="1" t="inlineStr">
        <is>
          <t>00081TAK4</t>
        </is>
      </c>
      <c r="E279" t="inlineStr">
        <is>
          <t>ACCO Brands Corp 4.25% 03/15/2029</t>
        </is>
      </c>
      <c r="F279" t="inlineStr">
        <is>
          <t>31000.00000000</t>
        </is>
      </c>
      <c r="G279" t="inlineStr">
        <is>
          <t>92.564710</t>
        </is>
      </c>
      <c r="H279" t="inlineStr">
        <is>
          <t>28695.06</t>
        </is>
      </c>
      <c r="I279" t="inlineStr">
        <is>
          <t>0.52%</t>
        </is>
      </c>
      <c r="J279" t="inlineStr">
        <is>
          <t>5506974.00</t>
        </is>
      </c>
      <c r="K279" t="inlineStr">
        <is>
          <t>220000</t>
        </is>
      </c>
      <c r="L279" t="inlineStr">
        <is>
          <t>22.000000000000</t>
        </is>
      </c>
      <c r="M279" t="inlineStr"/>
    </row>
    <row r="280">
      <c r="A280" t="inlineStr">
        <is>
          <t>06/25/2026</t>
        </is>
      </c>
      <c r="B280" t="inlineStr">
        <is>
          <t>CHYG</t>
        </is>
      </c>
      <c r="C280" s="1" t="inlineStr">
        <is>
          <t>00109LAA1</t>
        </is>
      </c>
      <c r="D280" s="1" t="inlineStr">
        <is>
          <t>00109LAA1</t>
        </is>
      </c>
      <c r="E280" t="inlineStr">
        <is>
          <t>ADT Security Corp/The 4.125% 08/01/2029</t>
        </is>
      </c>
      <c r="F280" t="inlineStr">
        <is>
          <t>27000.00000000</t>
        </is>
      </c>
      <c r="G280" t="inlineStr">
        <is>
          <t>95.913650</t>
        </is>
      </c>
      <c r="H280" t="inlineStr">
        <is>
          <t>25896.69</t>
        </is>
      </c>
      <c r="I280" t="inlineStr">
        <is>
          <t>0.47%</t>
        </is>
      </c>
      <c r="J280" t="inlineStr">
        <is>
          <t>5506974.00</t>
        </is>
      </c>
      <c r="K280" t="inlineStr">
        <is>
          <t>220000</t>
        </is>
      </c>
      <c r="L280" t="inlineStr">
        <is>
          <t>22.000000000000</t>
        </is>
      </c>
      <c r="M280" t="inlineStr"/>
    </row>
    <row r="281">
      <c r="A281" t="inlineStr">
        <is>
          <t>06/25/2026</t>
        </is>
      </c>
      <c r="B281" t="inlineStr">
        <is>
          <t>CHYG</t>
        </is>
      </c>
      <c r="C281" s="1" t="inlineStr">
        <is>
          <t>00253XAB7</t>
        </is>
      </c>
      <c r="D281" s="1" t="inlineStr">
        <is>
          <t>00253XAB7</t>
        </is>
      </c>
      <c r="E281" t="inlineStr">
        <is>
          <t>American Airlines Inc/AAdvantage Loyalty IP Ltd 5.75% 04/20/2029</t>
        </is>
      </c>
      <c r="F281" t="inlineStr">
        <is>
          <t>26000.00000000</t>
        </is>
      </c>
      <c r="G281" t="inlineStr">
        <is>
          <t>100.106800</t>
        </is>
      </c>
      <c r="H281" t="inlineStr">
        <is>
          <t>26027.77</t>
        </is>
      </c>
      <c r="I281" t="inlineStr">
        <is>
          <t>0.47%</t>
        </is>
      </c>
      <c r="J281" t="inlineStr">
        <is>
          <t>5506974.00</t>
        </is>
      </c>
      <c r="K281" t="inlineStr">
        <is>
          <t>220000</t>
        </is>
      </c>
      <c r="L281" t="inlineStr">
        <is>
          <t>22.000000000000</t>
        </is>
      </c>
      <c r="M281" t="inlineStr"/>
    </row>
    <row r="282">
      <c r="A282" t="inlineStr">
        <is>
          <t>06/25/2026</t>
        </is>
      </c>
      <c r="B282" t="inlineStr">
        <is>
          <t>CHYG</t>
        </is>
      </c>
      <c r="C282" s="1" t="inlineStr">
        <is>
          <t>00489LAL7</t>
        </is>
      </c>
      <c r="D282" s="1" t="inlineStr">
        <is>
          <t>00489LAL7</t>
        </is>
      </c>
      <c r="E282" t="inlineStr">
        <is>
          <t>Acrisure LLC / Acrisure Finance Inc 7.5% 11/06/2030</t>
        </is>
      </c>
      <c r="F282" t="inlineStr">
        <is>
          <t>27000.00000000</t>
        </is>
      </c>
      <c r="G282" t="inlineStr">
        <is>
          <t>96.415630</t>
        </is>
      </c>
      <c r="H282" t="inlineStr">
        <is>
          <t>26032.22</t>
        </is>
      </c>
      <c r="I282" t="inlineStr">
        <is>
          <t>0.47%</t>
        </is>
      </c>
      <c r="J282" t="inlineStr">
        <is>
          <t>5506974.00</t>
        </is>
      </c>
      <c r="K282" t="inlineStr">
        <is>
          <t>220000</t>
        </is>
      </c>
      <c r="L282" t="inlineStr">
        <is>
          <t>22.000000000000</t>
        </is>
      </c>
      <c r="M282" t="inlineStr"/>
    </row>
    <row r="283">
      <c r="A283" t="inlineStr">
        <is>
          <t>06/25/2026</t>
        </is>
      </c>
      <c r="B283" t="inlineStr">
        <is>
          <t>CHYG</t>
        </is>
      </c>
      <c r="C283" s="1" t="inlineStr">
        <is>
          <t>00653VAA9</t>
        </is>
      </c>
      <c r="D283" s="1" t="inlineStr">
        <is>
          <t>00653VAA9</t>
        </is>
      </c>
      <c r="E283" t="inlineStr">
        <is>
          <t>Adapthealth LLC 6.125% 08/01/2028</t>
        </is>
      </c>
      <c r="F283" t="inlineStr">
        <is>
          <t>29000.00000000</t>
        </is>
      </c>
      <c r="G283" t="inlineStr">
        <is>
          <t>100.260470</t>
        </is>
      </c>
      <c r="H283" t="inlineStr">
        <is>
          <t>29075.54</t>
        </is>
      </c>
      <c r="I283" t="inlineStr">
        <is>
          <t>0.53%</t>
        </is>
      </c>
      <c r="J283" t="inlineStr">
        <is>
          <t>5506974.00</t>
        </is>
      </c>
      <c r="K283" t="inlineStr">
        <is>
          <t>220000</t>
        </is>
      </c>
      <c r="L283" t="inlineStr">
        <is>
          <t>22.000000000000</t>
        </is>
      </c>
      <c r="M283" t="inlineStr"/>
    </row>
    <row r="284">
      <c r="A284" t="inlineStr">
        <is>
          <t>06/25/2026</t>
        </is>
      </c>
      <c r="B284" t="inlineStr">
        <is>
          <t>CHYG</t>
        </is>
      </c>
      <c r="C284" s="1" t="inlineStr">
        <is>
          <t>00751YAE6</t>
        </is>
      </c>
      <c r="D284" s="1" t="inlineStr">
        <is>
          <t>00751YAE6</t>
        </is>
      </c>
      <c r="E284" t="inlineStr">
        <is>
          <t>Advance Auto Parts Inc 3.9% 04/15/2030</t>
        </is>
      </c>
      <c r="F284" t="inlineStr">
        <is>
          <t>32000.00000000</t>
        </is>
      </c>
      <c r="G284" t="inlineStr">
        <is>
          <t>93.586300</t>
        </is>
      </c>
      <c r="H284" t="inlineStr">
        <is>
          <t>29947.62</t>
        </is>
      </c>
      <c r="I284" t="inlineStr">
        <is>
          <t>0.54%</t>
        </is>
      </c>
      <c r="J284" t="inlineStr">
        <is>
          <t>5506974.00</t>
        </is>
      </c>
      <c r="K284" t="inlineStr">
        <is>
          <t>220000</t>
        </is>
      </c>
      <c r="L284" t="inlineStr">
        <is>
          <t>22.000000000000</t>
        </is>
      </c>
      <c r="M284" t="inlineStr"/>
    </row>
    <row r="285">
      <c r="A285" t="inlineStr">
        <is>
          <t>06/25/2026</t>
        </is>
      </c>
      <c r="B285" t="inlineStr">
        <is>
          <t>CHYG</t>
        </is>
      </c>
      <c r="C285" s="1" t="inlineStr">
        <is>
          <t>013092AG6</t>
        </is>
      </c>
      <c r="D285" s="1" t="inlineStr">
        <is>
          <t>013092AG6</t>
        </is>
      </c>
      <c r="E285" t="inlineStr">
        <is>
          <t>Albertsons Cos Inc / Safeway Inc / New Albertsons LP / Albertsons LLC 3.5% 03/15/2029</t>
        </is>
      </c>
      <c r="F285" t="inlineStr">
        <is>
          <t>26000.00000000</t>
        </is>
      </c>
      <c r="G285" t="inlineStr">
        <is>
          <t>95.110150</t>
        </is>
      </c>
      <c r="H285" t="inlineStr">
        <is>
          <t>24728.64</t>
        </is>
      </c>
      <c r="I285" t="inlineStr">
        <is>
          <t>0.45%</t>
        </is>
      </c>
      <c r="J285" t="inlineStr">
        <is>
          <t>5506974.00</t>
        </is>
      </c>
      <c r="K285" t="inlineStr">
        <is>
          <t>220000</t>
        </is>
      </c>
      <c r="L285" t="inlineStr">
        <is>
          <t>22.000000000000</t>
        </is>
      </c>
      <c r="M285" t="inlineStr"/>
    </row>
    <row r="286">
      <c r="A286" t="inlineStr">
        <is>
          <t>06/25/2026</t>
        </is>
      </c>
      <c r="B286" t="inlineStr">
        <is>
          <t>CHYG</t>
        </is>
      </c>
      <c r="C286" s="1" t="inlineStr">
        <is>
          <t>01330AAA4</t>
        </is>
      </c>
      <c r="D286" s="1" t="inlineStr">
        <is>
          <t>01330AAA4</t>
        </is>
      </c>
      <c r="E286" t="inlineStr">
        <is>
          <t>Albion Financing 1 SARL / Aggreko Holdings Inc 7% 05/21/2030</t>
        </is>
      </c>
      <c r="F286" t="inlineStr">
        <is>
          <t>29000.00000000</t>
        </is>
      </c>
      <c r="G286" t="inlineStr">
        <is>
          <t>103.587800</t>
        </is>
      </c>
      <c r="H286" t="inlineStr">
        <is>
          <t>30040.46</t>
        </is>
      </c>
      <c r="I286" t="inlineStr">
        <is>
          <t>0.55%</t>
        </is>
      </c>
      <c r="J286" t="inlineStr">
        <is>
          <t>5506974.00</t>
        </is>
      </c>
      <c r="K286" t="inlineStr">
        <is>
          <t>220000</t>
        </is>
      </c>
      <c r="L286" t="inlineStr">
        <is>
          <t>22.000000000000</t>
        </is>
      </c>
      <c r="M286" t="inlineStr"/>
    </row>
    <row r="287">
      <c r="A287" t="inlineStr">
        <is>
          <t>06/25/2026</t>
        </is>
      </c>
      <c r="B287" t="inlineStr">
        <is>
          <t>CHYG</t>
        </is>
      </c>
      <c r="C287" s="1" t="inlineStr">
        <is>
          <t>01883LAE3</t>
        </is>
      </c>
      <c r="D287" s="1" t="inlineStr">
        <is>
          <t>01883LAE3</t>
        </is>
      </c>
      <c r="E287" t="inlineStr">
        <is>
          <t>Alliant Holdings Intermediate LLC / Alliant Holdings Co-Issuer 6.75% 04/15/2028</t>
        </is>
      </c>
      <c r="F287" t="inlineStr">
        <is>
          <t>30000.00000000</t>
        </is>
      </c>
      <c r="G287" t="inlineStr">
        <is>
          <t>100.804236</t>
        </is>
      </c>
      <c r="H287" t="inlineStr">
        <is>
          <t>30241.27</t>
        </is>
      </c>
      <c r="I287" t="inlineStr">
        <is>
          <t>0.55%</t>
        </is>
      </c>
      <c r="J287" t="inlineStr">
        <is>
          <t>5506974.00</t>
        </is>
      </c>
      <c r="K287" t="inlineStr">
        <is>
          <t>220000</t>
        </is>
      </c>
      <c r="L287" t="inlineStr">
        <is>
          <t>22.000000000000</t>
        </is>
      </c>
      <c r="M287" t="inlineStr"/>
    </row>
    <row r="288">
      <c r="A288" t="inlineStr">
        <is>
          <t>06/25/2026</t>
        </is>
      </c>
      <c r="B288" t="inlineStr">
        <is>
          <t>CHYG</t>
        </is>
      </c>
      <c r="C288" s="1" t="inlineStr">
        <is>
          <t>019576AD9</t>
        </is>
      </c>
      <c r="D288" s="1" t="inlineStr">
        <is>
          <t>019576AD9</t>
        </is>
      </c>
      <c r="E288" t="inlineStr">
        <is>
          <t>Allied Universal Holdco LLC 7.875% 02/15/2031</t>
        </is>
      </c>
      <c r="F288" t="inlineStr">
        <is>
          <t>28000.00000000</t>
        </is>
      </c>
      <c r="G288" t="inlineStr">
        <is>
          <t>104.353600</t>
        </is>
      </c>
      <c r="H288" t="inlineStr">
        <is>
          <t>29219.01</t>
        </is>
      </c>
      <c r="I288" t="inlineStr">
        <is>
          <t>0.53%</t>
        </is>
      </c>
      <c r="J288" t="inlineStr">
        <is>
          <t>5506974.00</t>
        </is>
      </c>
      <c r="K288" t="inlineStr">
        <is>
          <t>220000</t>
        </is>
      </c>
      <c r="L288" t="inlineStr">
        <is>
          <t>22.000000000000</t>
        </is>
      </c>
      <c r="M288" t="inlineStr"/>
    </row>
    <row r="289">
      <c r="A289" t="inlineStr">
        <is>
          <t>06/25/2026</t>
        </is>
      </c>
      <c r="B289" t="inlineStr">
        <is>
          <t>CHYG</t>
        </is>
      </c>
      <c r="C289" s="1" t="inlineStr">
        <is>
          <t>031921AC3</t>
        </is>
      </c>
      <c r="D289" s="1" t="inlineStr">
        <is>
          <t>031921AC3</t>
        </is>
      </c>
      <c r="E289" t="inlineStr">
        <is>
          <t>AmWINS Group Inc 6.375% 02/15/2029</t>
        </is>
      </c>
      <c r="F289" t="inlineStr">
        <is>
          <t>29000.00000000</t>
        </is>
      </c>
      <c r="G289" t="inlineStr">
        <is>
          <t>100.851100</t>
        </is>
      </c>
      <c r="H289" t="inlineStr">
        <is>
          <t>29246.82</t>
        </is>
      </c>
      <c r="I289" t="inlineStr">
        <is>
          <t>0.53%</t>
        </is>
      </c>
      <c r="J289" t="inlineStr">
        <is>
          <t>5506974.00</t>
        </is>
      </c>
      <c r="K289" t="inlineStr">
        <is>
          <t>220000</t>
        </is>
      </c>
      <c r="L289" t="inlineStr">
        <is>
          <t>22.000000000000</t>
        </is>
      </c>
      <c r="M289" t="inlineStr"/>
    </row>
    <row r="290">
      <c r="A290" t="inlineStr">
        <is>
          <t>06/25/2026</t>
        </is>
      </c>
      <c r="B290" t="inlineStr">
        <is>
          <t>CHYG</t>
        </is>
      </c>
      <c r="C290" s="1" t="inlineStr">
        <is>
          <t>03772CAA1</t>
        </is>
      </c>
      <c r="D290" s="1" t="inlineStr">
        <is>
          <t>03772CAA1</t>
        </is>
      </c>
      <c r="E290" t="inlineStr">
        <is>
          <t>APLD ComputeCo 2 LLC 6.75% 03/15/2031</t>
        </is>
      </c>
      <c r="F290" t="inlineStr">
        <is>
          <t>30000.00000000</t>
        </is>
      </c>
      <c r="G290" t="inlineStr">
        <is>
          <t>100.732200</t>
        </is>
      </c>
      <c r="H290" t="inlineStr">
        <is>
          <t>30219.66</t>
        </is>
      </c>
      <c r="I290" t="inlineStr">
        <is>
          <t>0.55%</t>
        </is>
      </c>
      <c r="J290" t="inlineStr">
        <is>
          <t>5506974.00</t>
        </is>
      </c>
      <c r="K290" t="inlineStr">
        <is>
          <t>220000</t>
        </is>
      </c>
      <c r="L290" t="inlineStr">
        <is>
          <t>22.000000000000</t>
        </is>
      </c>
      <c r="M290" t="inlineStr"/>
    </row>
    <row r="291">
      <c r="A291" t="inlineStr">
        <is>
          <t>06/25/2026</t>
        </is>
      </c>
      <c r="B291" t="inlineStr">
        <is>
          <t>CHYG</t>
        </is>
      </c>
      <c r="C291" s="1" t="inlineStr">
        <is>
          <t>039853AA4</t>
        </is>
      </c>
      <c r="D291" s="1" t="inlineStr">
        <is>
          <t>039853AA4</t>
        </is>
      </c>
      <c r="E291" t="inlineStr">
        <is>
          <t>Ardonagh Finco Ltd 7.75% 02/15/2031</t>
        </is>
      </c>
      <c r="F291" t="inlineStr">
        <is>
          <t>22000.00000000</t>
        </is>
      </c>
      <c r="G291" t="inlineStr">
        <is>
          <t>101.418500</t>
        </is>
      </c>
      <c r="H291" t="inlineStr">
        <is>
          <t>22312.07</t>
        </is>
      </c>
      <c r="I291" t="inlineStr">
        <is>
          <t>0.41%</t>
        </is>
      </c>
      <c r="J291" t="inlineStr">
        <is>
          <t>5506974.00</t>
        </is>
      </c>
      <c r="K291" t="inlineStr">
        <is>
          <t>220000</t>
        </is>
      </c>
      <c r="L291" t="inlineStr">
        <is>
          <t>22.000000000000</t>
        </is>
      </c>
      <c r="M291" t="inlineStr"/>
    </row>
    <row r="292">
      <c r="A292" t="inlineStr">
        <is>
          <t>06/25/2026</t>
        </is>
      </c>
      <c r="B292" t="inlineStr">
        <is>
          <t>CHYG</t>
        </is>
      </c>
      <c r="C292" s="1" t="inlineStr">
        <is>
          <t>039959AA9</t>
        </is>
      </c>
      <c r="D292" s="1" t="inlineStr">
        <is>
          <t>039959AA9</t>
        </is>
      </c>
      <c r="E292" t="inlineStr">
        <is>
          <t>Ardagh Group SA 9.5% 12/01/2030</t>
        </is>
      </c>
      <c r="F292" t="inlineStr">
        <is>
          <t>22000.00000000</t>
        </is>
      </c>
      <c r="G292" t="inlineStr">
        <is>
          <t>107.127500</t>
        </is>
      </c>
      <c r="H292" t="inlineStr">
        <is>
          <t>23568.05</t>
        </is>
      </c>
      <c r="I292" t="inlineStr">
        <is>
          <t>0.43%</t>
        </is>
      </c>
      <c r="J292" t="inlineStr">
        <is>
          <t>5506974.00</t>
        </is>
      </c>
      <c r="K292" t="inlineStr">
        <is>
          <t>220000</t>
        </is>
      </c>
      <c r="L292" t="inlineStr">
        <is>
          <t>22.000000000000</t>
        </is>
      </c>
      <c r="M292" t="inlineStr"/>
    </row>
    <row r="293">
      <c r="A293" t="inlineStr">
        <is>
          <t>06/25/2026</t>
        </is>
      </c>
      <c r="B293" t="inlineStr">
        <is>
          <t>CHYG</t>
        </is>
      </c>
      <c r="C293" s="1" t="inlineStr">
        <is>
          <t>04288BAB6</t>
        </is>
      </c>
      <c r="D293" s="1" t="inlineStr">
        <is>
          <t>04288BAB6</t>
        </is>
      </c>
      <c r="E293" t="inlineStr">
        <is>
          <t>Arsenal AIC Parent LLC 8% 10/01/2030</t>
        </is>
      </c>
      <c r="F293" t="inlineStr">
        <is>
          <t>29000.00000000</t>
        </is>
      </c>
      <c r="G293" t="inlineStr">
        <is>
          <t>104.323600</t>
        </is>
      </c>
      <c r="H293" t="inlineStr">
        <is>
          <t>30253.84</t>
        </is>
      </c>
      <c r="I293" t="inlineStr">
        <is>
          <t>0.55%</t>
        </is>
      </c>
      <c r="J293" t="inlineStr">
        <is>
          <t>5506974.00</t>
        </is>
      </c>
      <c r="K293" t="inlineStr">
        <is>
          <t>220000</t>
        </is>
      </c>
      <c r="L293" t="inlineStr">
        <is>
          <t>22.000000000000</t>
        </is>
      </c>
      <c r="M293" t="inlineStr"/>
    </row>
    <row r="294">
      <c r="A294" t="inlineStr">
        <is>
          <t>06/25/2026</t>
        </is>
      </c>
      <c r="B294" t="inlineStr">
        <is>
          <t>CHYG</t>
        </is>
      </c>
      <c r="C294" s="1" t="inlineStr">
        <is>
          <t>045086AP0</t>
        </is>
      </c>
      <c r="D294" s="1" t="inlineStr">
        <is>
          <t>045086AP0</t>
        </is>
      </c>
      <c r="E294" t="inlineStr">
        <is>
          <t>Ashton Woods USA LLC / Ashton Woods Finance Co 4.625% 04/01/2030</t>
        </is>
      </c>
      <c r="F294" t="inlineStr">
        <is>
          <t>32000.00000000</t>
        </is>
      </c>
      <c r="G294" t="inlineStr">
        <is>
          <t>95.111010</t>
        </is>
      </c>
      <c r="H294" t="inlineStr">
        <is>
          <t>30435.52</t>
        </is>
      </c>
      <c r="I294" t="inlineStr">
        <is>
          <t>0.55%</t>
        </is>
      </c>
      <c r="J294" t="inlineStr">
        <is>
          <t>5506974.00</t>
        </is>
      </c>
      <c r="K294" t="inlineStr">
        <is>
          <t>220000</t>
        </is>
      </c>
      <c r="L294" t="inlineStr">
        <is>
          <t>22.000000000000</t>
        </is>
      </c>
      <c r="M294" t="inlineStr"/>
    </row>
    <row r="295">
      <c r="A295" t="inlineStr">
        <is>
          <t>06/25/2026</t>
        </is>
      </c>
      <c r="B295" t="inlineStr">
        <is>
          <t>CHYG</t>
        </is>
      </c>
      <c r="C295" s="1" t="inlineStr">
        <is>
          <t>05352TAA7</t>
        </is>
      </c>
      <c r="D295" s="1" t="inlineStr">
        <is>
          <t>05352TAA7</t>
        </is>
      </c>
      <c r="E295" t="inlineStr">
        <is>
          <t>Avantor Funding Inc 4.625% 07/15/2028</t>
        </is>
      </c>
      <c r="F295" t="inlineStr">
        <is>
          <t>24000.00000000</t>
        </is>
      </c>
      <c r="G295" t="inlineStr">
        <is>
          <t>98.992820</t>
        </is>
      </c>
      <c r="H295" t="inlineStr">
        <is>
          <t>23758.28</t>
        </is>
      </c>
      <c r="I295" t="inlineStr">
        <is>
          <t>0.43%</t>
        </is>
      </c>
      <c r="J295" t="inlineStr">
        <is>
          <t>5506974.00</t>
        </is>
      </c>
      <c r="K295" t="inlineStr">
        <is>
          <t>220000</t>
        </is>
      </c>
      <c r="L295" t="inlineStr">
        <is>
          <t>22.000000000000</t>
        </is>
      </c>
      <c r="M295" t="inlineStr"/>
    </row>
    <row r="296">
      <c r="A296" t="inlineStr">
        <is>
          <t>06/25/2026</t>
        </is>
      </c>
      <c r="B296" t="inlineStr">
        <is>
          <t>CHYG</t>
        </is>
      </c>
      <c r="C296" s="1" t="inlineStr">
        <is>
          <t>058498AW6</t>
        </is>
      </c>
      <c r="D296" s="1" t="inlineStr">
        <is>
          <t>058498AW6</t>
        </is>
      </c>
      <c r="E296" t="inlineStr">
        <is>
          <t>Ball Corp 2.875% 08/15/2030</t>
        </is>
      </c>
      <c r="F296" t="inlineStr">
        <is>
          <t>33000.00000000</t>
        </is>
      </c>
      <c r="G296" t="inlineStr">
        <is>
          <t>91.082530</t>
        </is>
      </c>
      <c r="H296" t="inlineStr">
        <is>
          <t>30057.23</t>
        </is>
      </c>
      <c r="I296" t="inlineStr">
        <is>
          <t>0.55%</t>
        </is>
      </c>
      <c r="J296" t="inlineStr">
        <is>
          <t>5506974.00</t>
        </is>
      </c>
      <c r="K296" t="inlineStr">
        <is>
          <t>220000</t>
        </is>
      </c>
      <c r="L296" t="inlineStr">
        <is>
          <t>22.000000000000</t>
        </is>
      </c>
      <c r="M296" t="inlineStr"/>
    </row>
    <row r="297">
      <c r="A297" t="inlineStr">
        <is>
          <t>06/25/2026</t>
        </is>
      </c>
      <c r="B297" t="inlineStr">
        <is>
          <t>CHYG</t>
        </is>
      </c>
      <c r="C297" s="1" t="inlineStr">
        <is>
          <t>060335AB2</t>
        </is>
      </c>
      <c r="D297" s="1" t="inlineStr">
        <is>
          <t>060335AB2</t>
        </is>
      </c>
      <c r="E297" t="inlineStr">
        <is>
          <t>Banijay Entertainment SAS 8.125% 05/01/2029</t>
        </is>
      </c>
      <c r="F297" t="inlineStr">
        <is>
          <t>28000.00000000</t>
        </is>
      </c>
      <c r="G297" t="inlineStr">
        <is>
          <t>102.677800</t>
        </is>
      </c>
      <c r="H297" t="inlineStr">
        <is>
          <t>28749.78</t>
        </is>
      </c>
      <c r="I297" t="inlineStr">
        <is>
          <t>0.52%</t>
        </is>
      </c>
      <c r="J297" t="inlineStr">
        <is>
          <t>5506974.00</t>
        </is>
      </c>
      <c r="K297" t="inlineStr">
        <is>
          <t>220000</t>
        </is>
      </c>
      <c r="L297" t="inlineStr">
        <is>
          <t>22.000000000000</t>
        </is>
      </c>
      <c r="M297" t="inlineStr"/>
    </row>
    <row r="298">
      <c r="A298" t="inlineStr">
        <is>
          <t>06/25/2026</t>
        </is>
      </c>
      <c r="B298" t="inlineStr">
        <is>
          <t>CHYG</t>
        </is>
      </c>
      <c r="C298" s="1" t="inlineStr">
        <is>
          <t>07831CAA1</t>
        </is>
      </c>
      <c r="D298" s="1" t="inlineStr">
        <is>
          <t>07831CAA1</t>
        </is>
      </c>
      <c r="E298" t="inlineStr">
        <is>
          <t>BellRing Brands Inc 7% 03/15/2030</t>
        </is>
      </c>
      <c r="F298" t="inlineStr">
        <is>
          <t>29000.00000000</t>
        </is>
      </c>
      <c r="G298" t="inlineStr">
        <is>
          <t>99.702090</t>
        </is>
      </c>
      <c r="H298" t="inlineStr">
        <is>
          <t>28913.61</t>
        </is>
      </c>
      <c r="I298" t="inlineStr">
        <is>
          <t>0.53%</t>
        </is>
      </c>
      <c r="J298" t="inlineStr">
        <is>
          <t>5506974.00</t>
        </is>
      </c>
      <c r="K298" t="inlineStr">
        <is>
          <t>220000</t>
        </is>
      </c>
      <c r="L298" t="inlineStr">
        <is>
          <t>22.000000000000</t>
        </is>
      </c>
      <c r="M298" t="inlineStr"/>
    </row>
    <row r="299">
      <c r="A299" t="inlineStr">
        <is>
          <t>06/25/2026</t>
        </is>
      </c>
      <c r="B299" t="inlineStr">
        <is>
          <t>CHYG</t>
        </is>
      </c>
      <c r="C299" s="1" t="inlineStr">
        <is>
          <t>080782AA3</t>
        </is>
      </c>
      <c r="D299" s="1" t="inlineStr">
        <is>
          <t>080782AA3</t>
        </is>
      </c>
      <c r="E299" t="inlineStr">
        <is>
          <t>Belron UK Finance PLC 5.75% 10/15/2029</t>
        </is>
      </c>
      <c r="F299" t="inlineStr">
        <is>
          <t>30000.00000000</t>
        </is>
      </c>
      <c r="G299" t="inlineStr">
        <is>
          <t>100.651600</t>
        </is>
      </c>
      <c r="H299" t="inlineStr">
        <is>
          <t>30195.48</t>
        </is>
      </c>
      <c r="I299" t="inlineStr">
        <is>
          <t>0.55%</t>
        </is>
      </c>
      <c r="J299" t="inlineStr">
        <is>
          <t>5506974.00</t>
        </is>
      </c>
      <c r="K299" t="inlineStr">
        <is>
          <t>220000</t>
        </is>
      </c>
      <c r="L299" t="inlineStr">
        <is>
          <t>22.000000000000</t>
        </is>
      </c>
      <c r="M299" t="inlineStr"/>
    </row>
    <row r="300">
      <c r="A300" t="inlineStr">
        <is>
          <t>06/25/2026</t>
        </is>
      </c>
      <c r="B300" t="inlineStr">
        <is>
          <t>CHYG</t>
        </is>
      </c>
      <c r="C300" s="1" t="inlineStr">
        <is>
          <t>09216NAA8</t>
        </is>
      </c>
      <c r="D300" s="1" t="inlineStr">
        <is>
          <t>09216NAA8</t>
        </is>
      </c>
      <c r="E300" t="inlineStr">
        <is>
          <t>Black Pearl Compute LLC 6.125% 02/15/2031</t>
        </is>
      </c>
      <c r="F300" t="inlineStr">
        <is>
          <t>29000.00000000</t>
        </is>
      </c>
      <c r="G300" t="inlineStr">
        <is>
          <t>101.521100</t>
        </is>
      </c>
      <c r="H300" t="inlineStr">
        <is>
          <t>29441.12</t>
        </is>
      </c>
      <c r="I300" t="inlineStr">
        <is>
          <t>0.53%</t>
        </is>
      </c>
      <c r="J300" t="inlineStr">
        <is>
          <t>5506974.00</t>
        </is>
      </c>
      <c r="K300" t="inlineStr">
        <is>
          <t>220000</t>
        </is>
      </c>
      <c r="L300" t="inlineStr">
        <is>
          <t>22.000000000000</t>
        </is>
      </c>
      <c r="M300" t="inlineStr"/>
    </row>
    <row r="301">
      <c r="A301" t="inlineStr">
        <is>
          <t>06/25/2026</t>
        </is>
      </c>
      <c r="B301" t="inlineStr">
        <is>
          <t>CHYG</t>
        </is>
      </c>
      <c r="C301" s="1" t="inlineStr">
        <is>
          <t>097751CA7</t>
        </is>
      </c>
      <c r="D301" s="1" t="inlineStr">
        <is>
          <t>097751CA7</t>
        </is>
      </c>
      <c r="E301" t="inlineStr">
        <is>
          <t>Bombardier Inc 8.75% 11/15/2030</t>
        </is>
      </c>
      <c r="F301" t="inlineStr">
        <is>
          <t>26000.00000000</t>
        </is>
      </c>
      <c r="G301" t="inlineStr">
        <is>
          <t>105.965900</t>
        </is>
      </c>
      <c r="H301" t="inlineStr">
        <is>
          <t>27551.13</t>
        </is>
      </c>
      <c r="I301" t="inlineStr">
        <is>
          <t>0.50%</t>
        </is>
      </c>
      <c r="J301" t="inlineStr">
        <is>
          <t>5506974.00</t>
        </is>
      </c>
      <c r="K301" t="inlineStr">
        <is>
          <t>220000</t>
        </is>
      </c>
      <c r="L301" t="inlineStr">
        <is>
          <t>22.000000000000</t>
        </is>
      </c>
      <c r="M301" t="inlineStr"/>
    </row>
    <row r="302">
      <c r="A302" t="inlineStr">
        <is>
          <t>06/25/2026</t>
        </is>
      </c>
      <c r="B302" t="inlineStr">
        <is>
          <t>CHYG</t>
        </is>
      </c>
      <c r="C302" s="1" t="inlineStr">
        <is>
          <t>10637BAA3</t>
        </is>
      </c>
      <c r="D302" s="1" t="inlineStr">
        <is>
          <t>10637BAA3</t>
        </is>
      </c>
      <c r="E302" t="inlineStr">
        <is>
          <t>Breakwater Energy Holdings Sarl 9.25% 11/15/2030</t>
        </is>
      </c>
      <c r="F302" t="inlineStr">
        <is>
          <t>29000.00000000</t>
        </is>
      </c>
      <c r="G302" t="inlineStr">
        <is>
          <t>105.646300</t>
        </is>
      </c>
      <c r="H302" t="inlineStr">
        <is>
          <t>30637.43</t>
        </is>
      </c>
      <c r="I302" t="inlineStr">
        <is>
          <t>0.56%</t>
        </is>
      </c>
      <c r="J302" t="inlineStr">
        <is>
          <t>5506974.00</t>
        </is>
      </c>
      <c r="K302" t="inlineStr">
        <is>
          <t>220000</t>
        </is>
      </c>
      <c r="L302" t="inlineStr">
        <is>
          <t>22.000000000000</t>
        </is>
      </c>
      <c r="M302" t="inlineStr"/>
    </row>
    <row r="303">
      <c r="A303" t="inlineStr">
        <is>
          <t>06/25/2026</t>
        </is>
      </c>
      <c r="B303" t="inlineStr">
        <is>
          <t>CHYG</t>
        </is>
      </c>
      <c r="C303" s="1" t="inlineStr">
        <is>
          <t>118230AU5</t>
        </is>
      </c>
      <c r="D303" s="1" t="inlineStr">
        <is>
          <t>118230AU5</t>
        </is>
      </c>
      <c r="E303" t="inlineStr">
        <is>
          <t>Buckeye Partners LP 4.5% 03/01/2028</t>
        </is>
      </c>
      <c r="F303" t="inlineStr">
        <is>
          <t>7000.00000000</t>
        </is>
      </c>
      <c r="G303" t="inlineStr">
        <is>
          <t>99.067590</t>
        </is>
      </c>
      <c r="H303" t="inlineStr">
        <is>
          <t>6934.73</t>
        </is>
      </c>
      <c r="I303" t="inlineStr">
        <is>
          <t>0.13%</t>
        </is>
      </c>
      <c r="J303" t="inlineStr">
        <is>
          <t>5506974.00</t>
        </is>
      </c>
      <c r="K303" t="inlineStr">
        <is>
          <t>220000</t>
        </is>
      </c>
      <c r="L303" t="inlineStr">
        <is>
          <t>22.000000000000</t>
        </is>
      </c>
      <c r="M303" t="inlineStr"/>
    </row>
    <row r="304">
      <c r="A304" t="inlineStr">
        <is>
          <t>06/25/2026</t>
        </is>
      </c>
      <c r="B304" t="inlineStr">
        <is>
          <t>CHYG</t>
        </is>
      </c>
      <c r="C304" s="1" t="inlineStr">
        <is>
          <t>1248EPBX0</t>
        </is>
      </c>
      <c r="D304" s="1" t="inlineStr">
        <is>
          <t>1248EPBX0</t>
        </is>
      </c>
      <c r="E304" t="inlineStr">
        <is>
          <t>CCO Holdings LLC / CCO Holdings Capital Corp 5% 02/01/2028</t>
        </is>
      </c>
      <c r="F304" t="inlineStr">
        <is>
          <t>30000.00000000</t>
        </is>
      </c>
      <c r="G304" t="inlineStr">
        <is>
          <t>98.595370</t>
        </is>
      </c>
      <c r="H304" t="inlineStr">
        <is>
          <t>29578.61</t>
        </is>
      </c>
      <c r="I304" t="inlineStr">
        <is>
          <t>0.54%</t>
        </is>
      </c>
      <c r="J304" t="inlineStr">
        <is>
          <t>5506974.00</t>
        </is>
      </c>
      <c r="K304" t="inlineStr">
        <is>
          <t>220000</t>
        </is>
      </c>
      <c r="L304" t="inlineStr">
        <is>
          <t>22.000000000000</t>
        </is>
      </c>
      <c r="M304" t="inlineStr"/>
    </row>
    <row r="305">
      <c r="A305" t="inlineStr">
        <is>
          <t>06/25/2026</t>
        </is>
      </c>
      <c r="B305" t="inlineStr">
        <is>
          <t>CHYG</t>
        </is>
      </c>
      <c r="C305" s="1" t="inlineStr">
        <is>
          <t>12543DBH2</t>
        </is>
      </c>
      <c r="D305" s="1" t="inlineStr">
        <is>
          <t>12543DBH2</t>
        </is>
      </c>
      <c r="E305" t="inlineStr">
        <is>
          <t>CHS/Community Health Systems Inc 6% 01/15/2029</t>
        </is>
      </c>
      <c r="F305" t="inlineStr">
        <is>
          <t>24000.00000000</t>
        </is>
      </c>
      <c r="G305" t="inlineStr">
        <is>
          <t>99.186500</t>
        </is>
      </c>
      <c r="H305" t="inlineStr">
        <is>
          <t>23804.76</t>
        </is>
      </c>
      <c r="I305" t="inlineStr">
        <is>
          <t>0.43%</t>
        </is>
      </c>
      <c r="J305" t="inlineStr">
        <is>
          <t>5506974.00</t>
        </is>
      </c>
      <c r="K305" t="inlineStr">
        <is>
          <t>220000</t>
        </is>
      </c>
      <c r="L305" t="inlineStr">
        <is>
          <t>22.000000000000</t>
        </is>
      </c>
      <c r="M305" t="inlineStr"/>
    </row>
    <row r="306">
      <c r="A306" t="inlineStr">
        <is>
          <t>06/25/2026</t>
        </is>
      </c>
      <c r="B306" t="inlineStr">
        <is>
          <t>CHYG</t>
        </is>
      </c>
      <c r="C306" s="1" t="inlineStr">
        <is>
          <t>12662PAH1</t>
        </is>
      </c>
      <c r="D306" s="1" t="inlineStr">
        <is>
          <t>12662PAH1</t>
        </is>
      </c>
      <c r="E306" t="inlineStr">
        <is>
          <t>CVR Energy Inc 7.5% 02/15/2031</t>
        </is>
      </c>
      <c r="F306" t="inlineStr">
        <is>
          <t>26000.00000000</t>
        </is>
      </c>
      <c r="G306" t="inlineStr">
        <is>
          <t>99.732590</t>
        </is>
      </c>
      <c r="H306" t="inlineStr">
        <is>
          <t>25930.47</t>
        </is>
      </c>
      <c r="I306" t="inlineStr">
        <is>
          <t>0.47%</t>
        </is>
      </c>
      <c r="J306" t="inlineStr">
        <is>
          <t>5506974.00</t>
        </is>
      </c>
      <c r="K306" t="inlineStr">
        <is>
          <t>220000</t>
        </is>
      </c>
      <c r="L306" t="inlineStr">
        <is>
          <t>22.000000000000</t>
        </is>
      </c>
      <c r="M306" t="inlineStr"/>
    </row>
    <row r="307">
      <c r="A307" t="inlineStr">
        <is>
          <t>06/25/2026</t>
        </is>
      </c>
      <c r="B307" t="inlineStr">
        <is>
          <t>CHYG</t>
        </is>
      </c>
      <c r="C307" s="1" t="inlineStr">
        <is>
          <t>126650EH9</t>
        </is>
      </c>
      <c r="D307" s="1" t="inlineStr">
        <is>
          <t>126650EH9</t>
        </is>
      </c>
      <c r="E307" t="inlineStr">
        <is>
          <t>CVS Health Corp 7% 03/10/2055</t>
        </is>
      </c>
      <c r="F307" t="inlineStr">
        <is>
          <t>31000.00000000</t>
        </is>
      </c>
      <c r="G307" t="inlineStr">
        <is>
          <t>103.765600</t>
        </is>
      </c>
      <c r="H307" t="inlineStr">
        <is>
          <t>32167.34</t>
        </is>
      </c>
      <c r="I307" t="inlineStr">
        <is>
          <t>0.58%</t>
        </is>
      </c>
      <c r="J307" t="inlineStr">
        <is>
          <t>5506974.00</t>
        </is>
      </c>
      <c r="K307" t="inlineStr">
        <is>
          <t>220000</t>
        </is>
      </c>
      <c r="L307" t="inlineStr">
        <is>
          <t>22.000000000000</t>
        </is>
      </c>
      <c r="M307" t="inlineStr"/>
    </row>
    <row r="308">
      <c r="A308" t="inlineStr">
        <is>
          <t>06/25/2026</t>
        </is>
      </c>
      <c r="B308" t="inlineStr">
        <is>
          <t>CHYG</t>
        </is>
      </c>
      <c r="C308" s="1" t="inlineStr">
        <is>
          <t>131477BA8</t>
        </is>
      </c>
      <c r="D308" s="1" t="inlineStr">
        <is>
          <t>131477BA8</t>
        </is>
      </c>
      <c r="E308" t="inlineStr">
        <is>
          <t>Calumet Specialty Products Partners LP / Calumet Finance Corp 9.75% 02/15/2031</t>
        </is>
      </c>
      <c r="F308" t="inlineStr">
        <is>
          <t>28000.00000000</t>
        </is>
      </c>
      <c r="G308" t="inlineStr">
        <is>
          <t>105.738800</t>
        </is>
      </c>
      <c r="H308" t="inlineStr">
        <is>
          <t>29606.86</t>
        </is>
      </c>
      <c r="I308" t="inlineStr">
        <is>
          <t>0.54%</t>
        </is>
      </c>
      <c r="J308" t="inlineStr">
        <is>
          <t>5506974.00</t>
        </is>
      </c>
      <c r="K308" t="inlineStr">
        <is>
          <t>220000</t>
        </is>
      </c>
      <c r="L308" t="inlineStr">
        <is>
          <t>22.000000000000</t>
        </is>
      </c>
      <c r="M308" t="inlineStr"/>
    </row>
    <row r="309">
      <c r="A309" t="inlineStr">
        <is>
          <t>06/25/2026</t>
        </is>
      </c>
      <c r="B309" t="inlineStr">
        <is>
          <t>CHYG</t>
        </is>
      </c>
      <c r="C309" s="1" t="inlineStr">
        <is>
          <t>140944AA7</t>
        </is>
      </c>
      <c r="D309" s="1" t="inlineStr">
        <is>
          <t>140944AA7</t>
        </is>
      </c>
      <c r="E309" t="inlineStr">
        <is>
          <t>Capstone Borrower Inc 8% 06/15/2030</t>
        </is>
      </c>
      <c r="F309" t="inlineStr">
        <is>
          <t>29000.00000000</t>
        </is>
      </c>
      <c r="G309" t="inlineStr">
        <is>
          <t>95.575640</t>
        </is>
      </c>
      <c r="H309" t="inlineStr">
        <is>
          <t>27716.94</t>
        </is>
      </c>
      <c r="I309" t="inlineStr">
        <is>
          <t>0.50%</t>
        </is>
      </c>
      <c r="J309" t="inlineStr">
        <is>
          <t>5506974.00</t>
        </is>
      </c>
      <c r="K309" t="inlineStr">
        <is>
          <t>220000</t>
        </is>
      </c>
      <c r="L309" t="inlineStr">
        <is>
          <t>22.000000000000</t>
        </is>
      </c>
      <c r="M309" t="inlineStr"/>
    </row>
    <row r="310">
      <c r="A310" t="inlineStr">
        <is>
          <t>06/25/2026</t>
        </is>
      </c>
      <c r="B310" t="inlineStr">
        <is>
          <t>CHYG</t>
        </is>
      </c>
      <c r="C310" s="1" t="inlineStr">
        <is>
          <t>143658CB6</t>
        </is>
      </c>
      <c r="D310" s="1" t="inlineStr">
        <is>
          <t>143658CB6</t>
        </is>
      </c>
      <c r="E310" t="inlineStr">
        <is>
          <t>Carnival Corp Ltd 5.125% 05/01/2029</t>
        </is>
      </c>
      <c r="F310" t="inlineStr">
        <is>
          <t>30000.00000000</t>
        </is>
      </c>
      <c r="G310" t="inlineStr">
        <is>
          <t>99.763442</t>
        </is>
      </c>
      <c r="H310" t="inlineStr">
        <is>
          <t>29929.03</t>
        </is>
      </c>
      <c r="I310" t="inlineStr">
        <is>
          <t>0.54%</t>
        </is>
      </c>
      <c r="J310" t="inlineStr">
        <is>
          <t>5506974.00</t>
        </is>
      </c>
      <c r="K310" t="inlineStr">
        <is>
          <t>220000</t>
        </is>
      </c>
      <c r="L310" t="inlineStr">
        <is>
          <t>22.000000000000</t>
        </is>
      </c>
      <c r="M310" t="inlineStr"/>
    </row>
    <row r="311">
      <c r="A311" t="inlineStr">
        <is>
          <t>06/25/2026</t>
        </is>
      </c>
      <c r="B311" t="inlineStr">
        <is>
          <t>CHYG</t>
        </is>
      </c>
      <c r="C311" s="1" t="inlineStr">
        <is>
          <t>15089QAW4</t>
        </is>
      </c>
      <c r="D311" s="1" t="inlineStr">
        <is>
          <t>15089QAW4</t>
        </is>
      </c>
      <c r="E311" t="inlineStr">
        <is>
          <t>Celanese US Holdings LLC 6.85% 11/15/2028</t>
        </is>
      </c>
      <c r="F311" t="inlineStr">
        <is>
          <t>29000.00000000</t>
        </is>
      </c>
      <c r="G311" t="inlineStr">
        <is>
          <t>104.062017</t>
        </is>
      </c>
      <c r="H311" t="inlineStr">
        <is>
          <t>30177.98</t>
        </is>
      </c>
      <c r="I311" t="inlineStr">
        <is>
          <t>0.55%</t>
        </is>
      </c>
      <c r="J311" t="inlineStr">
        <is>
          <t>5506974.00</t>
        </is>
      </c>
      <c r="K311" t="inlineStr">
        <is>
          <t>220000</t>
        </is>
      </c>
      <c r="L311" t="inlineStr">
        <is>
          <t>22.000000000000</t>
        </is>
      </c>
      <c r="M311" t="inlineStr"/>
    </row>
    <row r="312">
      <c r="A312" t="inlineStr">
        <is>
          <t>06/25/2026</t>
        </is>
      </c>
      <c r="B312" t="inlineStr">
        <is>
          <t>CHYG</t>
        </is>
      </c>
      <c r="C312" s="1" t="inlineStr">
        <is>
          <t>15135BAT8</t>
        </is>
      </c>
      <c r="D312" s="1" t="inlineStr">
        <is>
          <t>15135BAT8</t>
        </is>
      </c>
      <c r="E312" t="inlineStr">
        <is>
          <t>Centene Corp 4.625% 12/15/2029</t>
        </is>
      </c>
      <c r="F312" t="inlineStr">
        <is>
          <t>33000.00000000</t>
        </is>
      </c>
      <c r="G312" t="inlineStr">
        <is>
          <t>97.045388</t>
        </is>
      </c>
      <c r="H312" t="inlineStr">
        <is>
          <t>32024.98</t>
        </is>
      </c>
      <c r="I312" t="inlineStr">
        <is>
          <t>0.58%</t>
        </is>
      </c>
      <c r="J312" t="inlineStr">
        <is>
          <t>5506974.00</t>
        </is>
      </c>
      <c r="K312" t="inlineStr">
        <is>
          <t>220000</t>
        </is>
      </c>
      <c r="L312" t="inlineStr">
        <is>
          <t>22.000000000000</t>
        </is>
      </c>
      <c r="M312" t="inlineStr"/>
    </row>
    <row r="313">
      <c r="A313" t="inlineStr">
        <is>
          <t>06/25/2026</t>
        </is>
      </c>
      <c r="B313" t="inlineStr">
        <is>
          <t>CHYG</t>
        </is>
      </c>
      <c r="C313" s="1" t="inlineStr">
        <is>
          <t>156686AM9</t>
        </is>
      </c>
      <c r="D313" s="1" t="inlineStr">
        <is>
          <t>156686AM9</t>
        </is>
      </c>
      <c r="E313" t="inlineStr">
        <is>
          <t>Lumen Technologies Inc 6.875% 01/15/2028</t>
        </is>
      </c>
      <c r="F313" t="inlineStr">
        <is>
          <t>25000.00000000</t>
        </is>
      </c>
      <c r="G313" t="inlineStr">
        <is>
          <t>100.895500</t>
        </is>
      </c>
      <c r="H313" t="inlineStr">
        <is>
          <t>25223.88</t>
        </is>
      </c>
      <c r="I313" t="inlineStr">
        <is>
          <t>0.46%</t>
        </is>
      </c>
      <c r="J313" t="inlineStr">
        <is>
          <t>5506974.00</t>
        </is>
      </c>
      <c r="K313" t="inlineStr">
        <is>
          <t>220000</t>
        </is>
      </c>
      <c r="L313" t="inlineStr">
        <is>
          <t>22.000000000000</t>
        </is>
      </c>
      <c r="M313" t="inlineStr"/>
    </row>
    <row r="314">
      <c r="A314" t="inlineStr">
        <is>
          <t>06/25/2026</t>
        </is>
      </c>
      <c r="B314" t="inlineStr">
        <is>
          <t>CHYG</t>
        </is>
      </c>
      <c r="C314" s="1" t="inlineStr">
        <is>
          <t>172441BF3</t>
        </is>
      </c>
      <c r="D314" s="1" t="inlineStr">
        <is>
          <t>172441BF3</t>
        </is>
      </c>
      <c r="E314" t="inlineStr">
        <is>
          <t>Cinemark USA Inc 5.25% 07/15/2028</t>
        </is>
      </c>
      <c r="F314" t="inlineStr">
        <is>
          <t>25000.00000000</t>
        </is>
      </c>
      <c r="G314" t="inlineStr">
        <is>
          <t>99.825360</t>
        </is>
      </c>
      <c r="H314" t="inlineStr">
        <is>
          <t>24956.34</t>
        </is>
      </c>
      <c r="I314" t="inlineStr">
        <is>
          <t>0.45%</t>
        </is>
      </c>
      <c r="J314" t="inlineStr">
        <is>
          <t>5506974.00</t>
        </is>
      </c>
      <c r="K314" t="inlineStr">
        <is>
          <t>220000</t>
        </is>
      </c>
      <c r="L314" t="inlineStr">
        <is>
          <t>22.000000000000</t>
        </is>
      </c>
      <c r="M314" t="inlineStr"/>
    </row>
    <row r="315">
      <c r="A315" t="inlineStr">
        <is>
          <t>06/25/2026</t>
        </is>
      </c>
      <c r="B315" t="inlineStr">
        <is>
          <t>CHYG</t>
        </is>
      </c>
      <c r="C315" s="1" t="inlineStr">
        <is>
          <t>17302XAN6</t>
        </is>
      </c>
      <c r="D315" s="1" t="inlineStr">
        <is>
          <t>17302XAN6</t>
        </is>
      </c>
      <c r="E315" t="inlineStr">
        <is>
          <t>CITGO Petroleum Corp 8.375% 01/15/2029</t>
        </is>
      </c>
      <c r="F315" t="inlineStr">
        <is>
          <t>25000.00000000</t>
        </is>
      </c>
      <c r="G315" t="inlineStr">
        <is>
          <t>103.008700</t>
        </is>
      </c>
      <c r="H315" t="inlineStr">
        <is>
          <t>25752.18</t>
        </is>
      </c>
      <c r="I315" t="inlineStr">
        <is>
          <t>0.47%</t>
        </is>
      </c>
      <c r="J315" t="inlineStr">
        <is>
          <t>5506974.00</t>
        </is>
      </c>
      <c r="K315" t="inlineStr">
        <is>
          <t>220000</t>
        </is>
      </c>
      <c r="L315" t="inlineStr">
        <is>
          <t>22.000000000000</t>
        </is>
      </c>
      <c r="M315" t="inlineStr"/>
    </row>
    <row r="316">
      <c r="A316" t="inlineStr">
        <is>
          <t>06/25/2026</t>
        </is>
      </c>
      <c r="B316" t="inlineStr">
        <is>
          <t>CHYG</t>
        </is>
      </c>
      <c r="C316" s="1" t="inlineStr">
        <is>
          <t>18064PAD1</t>
        </is>
      </c>
      <c r="D316" s="1" t="inlineStr">
        <is>
          <t>18064PAD1</t>
        </is>
      </c>
      <c r="E316" t="inlineStr">
        <is>
          <t>Clarivate Science Holdings Corp 4.875% 07/01/2029</t>
        </is>
      </c>
      <c r="F316" t="inlineStr">
        <is>
          <t>31000.00000000</t>
        </is>
      </c>
      <c r="G316" t="inlineStr">
        <is>
          <t>90.577017</t>
        </is>
      </c>
      <c r="H316" t="inlineStr">
        <is>
          <t>28078.88</t>
        </is>
      </c>
      <c r="I316" t="inlineStr">
        <is>
          <t>0.51%</t>
        </is>
      </c>
      <c r="J316" t="inlineStr">
        <is>
          <t>5506974.00</t>
        </is>
      </c>
      <c r="K316" t="inlineStr">
        <is>
          <t>220000</t>
        </is>
      </c>
      <c r="L316" t="inlineStr">
        <is>
          <t>22.000000000000</t>
        </is>
      </c>
      <c r="M316" t="inlineStr"/>
    </row>
    <row r="317">
      <c r="A317" t="inlineStr">
        <is>
          <t>06/25/2026</t>
        </is>
      </c>
      <c r="B317" t="inlineStr">
        <is>
          <t>CHYG</t>
        </is>
      </c>
      <c r="C317" s="1" t="inlineStr">
        <is>
          <t>18453HAF3</t>
        </is>
      </c>
      <c r="D317" s="1" t="inlineStr">
        <is>
          <t>18453HAF3</t>
        </is>
      </c>
      <c r="E317" t="inlineStr">
        <is>
          <t>Clear Channel Outdoor Holdings Inc 7.875% 04/01/2030</t>
        </is>
      </c>
      <c r="F317" t="inlineStr">
        <is>
          <t>28000.00000000</t>
        </is>
      </c>
      <c r="G317" t="inlineStr">
        <is>
          <t>104.798800</t>
        </is>
      </c>
      <c r="H317" t="inlineStr">
        <is>
          <t>29343.66</t>
        </is>
      </c>
      <c r="I317" t="inlineStr">
        <is>
          <t>0.53%</t>
        </is>
      </c>
      <c r="J317" t="inlineStr">
        <is>
          <t>5506974.00</t>
        </is>
      </c>
      <c r="K317" t="inlineStr">
        <is>
          <t>220000</t>
        </is>
      </c>
      <c r="L317" t="inlineStr">
        <is>
          <t>22.000000000000</t>
        </is>
      </c>
      <c r="M317" t="inlineStr"/>
    </row>
    <row r="318">
      <c r="A318" t="inlineStr">
        <is>
          <t>06/25/2026</t>
        </is>
      </c>
      <c r="B318" t="inlineStr">
        <is>
          <t>CHYG</t>
        </is>
      </c>
      <c r="C318" s="1" t="inlineStr">
        <is>
          <t>185899AN1</t>
        </is>
      </c>
      <c r="D318" s="1" t="inlineStr">
        <is>
          <t>185899AN1</t>
        </is>
      </c>
      <c r="E318" t="inlineStr">
        <is>
          <t>Cleveland-Cliffs Inc 6.75% 04/15/2030</t>
        </is>
      </c>
      <c r="F318" t="inlineStr">
        <is>
          <t>35000.00000000</t>
        </is>
      </c>
      <c r="G318" t="inlineStr">
        <is>
          <t>99.538700</t>
        </is>
      </c>
      <c r="H318" t="inlineStr">
        <is>
          <t>34838.55</t>
        </is>
      </c>
      <c r="I318" t="inlineStr">
        <is>
          <t>0.63%</t>
        </is>
      </c>
      <c r="J318" t="inlineStr">
        <is>
          <t>5506974.00</t>
        </is>
      </c>
      <c r="K318" t="inlineStr">
        <is>
          <t>220000</t>
        </is>
      </c>
      <c r="L318" t="inlineStr">
        <is>
          <t>22.000000000000</t>
        </is>
      </c>
      <c r="M318" t="inlineStr"/>
    </row>
    <row r="319">
      <c r="A319" t="inlineStr">
        <is>
          <t>06/25/2026</t>
        </is>
      </c>
      <c r="B319" t="inlineStr">
        <is>
          <t>CHYG</t>
        </is>
      </c>
      <c r="C319" s="1" t="inlineStr">
        <is>
          <t>18912UAA0</t>
        </is>
      </c>
      <c r="D319" s="1" t="inlineStr">
        <is>
          <t>18912UAA0</t>
        </is>
      </c>
      <c r="E319" t="inlineStr">
        <is>
          <t>Cloud Software Group Inc 9% 09/30/2029</t>
        </is>
      </c>
      <c r="F319" t="inlineStr">
        <is>
          <t>30000.00000000</t>
        </is>
      </c>
      <c r="G319" t="inlineStr">
        <is>
          <t>97.528014</t>
        </is>
      </c>
      <c r="H319" t="inlineStr">
        <is>
          <t>29258.40</t>
        </is>
      </c>
      <c r="I319" t="inlineStr">
        <is>
          <t>0.53%</t>
        </is>
      </c>
      <c r="J319" t="inlineStr">
        <is>
          <t>5506974.00</t>
        </is>
      </c>
      <c r="K319" t="inlineStr">
        <is>
          <t>220000</t>
        </is>
      </c>
      <c r="L319" t="inlineStr">
        <is>
          <t>22.000000000000</t>
        </is>
      </c>
      <c r="M319" t="inlineStr"/>
    </row>
    <row r="320">
      <c r="A320" t="inlineStr">
        <is>
          <t>06/25/2026</t>
        </is>
      </c>
      <c r="B320" t="inlineStr">
        <is>
          <t>CHYG</t>
        </is>
      </c>
      <c r="C320" s="1" t="inlineStr">
        <is>
          <t>18972EAB1</t>
        </is>
      </c>
      <c r="D320" s="1" t="inlineStr">
        <is>
          <t>18972EAB1</t>
        </is>
      </c>
      <c r="E320" t="inlineStr">
        <is>
          <t>Clydesdale Acquisition Holdings Inc 8.75% 04/15/2030</t>
        </is>
      </c>
      <c r="F320" t="inlineStr">
        <is>
          <t>31000.00000000</t>
        </is>
      </c>
      <c r="G320" t="inlineStr">
        <is>
          <t>98.321670</t>
        </is>
      </c>
      <c r="H320" t="inlineStr">
        <is>
          <t>30479.72</t>
        </is>
      </c>
      <c r="I320" t="inlineStr">
        <is>
          <t>0.55%</t>
        </is>
      </c>
      <c r="J320" t="inlineStr">
        <is>
          <t>5506974.00</t>
        </is>
      </c>
      <c r="K320" t="inlineStr">
        <is>
          <t>220000</t>
        </is>
      </c>
      <c r="L320" t="inlineStr">
        <is>
          <t>22.000000000000</t>
        </is>
      </c>
      <c r="M320" t="inlineStr"/>
    </row>
    <row r="321">
      <c r="A321" t="inlineStr">
        <is>
          <t>06/25/2026</t>
        </is>
      </c>
      <c r="B321" t="inlineStr">
        <is>
          <t>CHYG</t>
        </is>
      </c>
      <c r="C321" s="1" t="inlineStr">
        <is>
          <t>20752TAB0</t>
        </is>
      </c>
      <c r="D321" s="1" t="inlineStr">
        <is>
          <t>20752TAB0</t>
        </is>
      </c>
      <c r="E321" t="inlineStr">
        <is>
          <t>Connect Finco SARL / Connect US Finco LLC 9% 09/15/2029</t>
        </is>
      </c>
      <c r="F321" t="inlineStr">
        <is>
          <t>27000.00000000</t>
        </is>
      </c>
      <c r="G321" t="inlineStr">
        <is>
          <t>105.396351</t>
        </is>
      </c>
      <c r="H321" t="inlineStr">
        <is>
          <t>28457.01</t>
        </is>
      </c>
      <c r="I321" t="inlineStr">
        <is>
          <t>0.52%</t>
        </is>
      </c>
      <c r="J321" t="inlineStr">
        <is>
          <t>5506974.00</t>
        </is>
      </c>
      <c r="K321" t="inlineStr">
        <is>
          <t>220000</t>
        </is>
      </c>
      <c r="L321" t="inlineStr">
        <is>
          <t>22.000000000000</t>
        </is>
      </c>
      <c r="M321" t="inlineStr"/>
    </row>
    <row r="322">
      <c r="A322" t="inlineStr">
        <is>
          <t>06/25/2026</t>
        </is>
      </c>
      <c r="B322" t="inlineStr">
        <is>
          <t>CHYG</t>
        </is>
      </c>
      <c r="C322" s="1" t="inlineStr">
        <is>
          <t>20753PAD3</t>
        </is>
      </c>
      <c r="D322" s="1" t="inlineStr">
        <is>
          <t>20753PAD3</t>
        </is>
      </c>
      <c r="E322" t="inlineStr">
        <is>
          <t>Connect Holding II LLC 10.5% 04/03/2031</t>
        </is>
      </c>
      <c r="F322" t="inlineStr">
        <is>
          <t>32000.00000000</t>
        </is>
      </c>
      <c r="G322" t="inlineStr">
        <is>
          <t>99.929590</t>
        </is>
      </c>
      <c r="H322" t="inlineStr">
        <is>
          <t>31977.47</t>
        </is>
      </c>
      <c r="I322" t="inlineStr">
        <is>
          <t>0.58%</t>
        </is>
      </c>
      <c r="J322" t="inlineStr">
        <is>
          <t>5506974.00</t>
        </is>
      </c>
      <c r="K322" t="inlineStr">
        <is>
          <t>220000</t>
        </is>
      </c>
      <c r="L322" t="inlineStr">
        <is>
          <t>22.000000000000</t>
        </is>
      </c>
      <c r="M322" t="inlineStr"/>
    </row>
    <row r="323">
      <c r="A323" t="inlineStr">
        <is>
          <t>06/25/2026</t>
        </is>
      </c>
      <c r="B323" t="inlineStr">
        <is>
          <t>CHYG</t>
        </is>
      </c>
      <c r="C323" s="1" t="inlineStr">
        <is>
          <t>20848VAB1</t>
        </is>
      </c>
      <c r="D323" s="1" t="inlineStr">
        <is>
          <t>20848VAB1</t>
        </is>
      </c>
      <c r="E323" t="inlineStr">
        <is>
          <t>Consensus Cloud Solutions Inc 6.5% 10/15/2028</t>
        </is>
      </c>
      <c r="F323" t="inlineStr">
        <is>
          <t>29000.00000000</t>
        </is>
      </c>
      <c r="G323" t="inlineStr">
        <is>
          <t>99.809211</t>
        </is>
      </c>
      <c r="H323" t="inlineStr">
        <is>
          <t>28944.67</t>
        </is>
      </c>
      <c r="I323" t="inlineStr">
        <is>
          <t>0.53%</t>
        </is>
      </c>
      <c r="J323" t="inlineStr">
        <is>
          <t>5506974.00</t>
        </is>
      </c>
      <c r="K323" t="inlineStr">
        <is>
          <t>220000</t>
        </is>
      </c>
      <c r="L323" t="inlineStr">
        <is>
          <t>22.000000000000</t>
        </is>
      </c>
      <c r="M323" t="inlineStr"/>
    </row>
    <row r="324">
      <c r="A324" t="inlineStr">
        <is>
          <t>06/25/2026</t>
        </is>
      </c>
      <c r="B324" t="inlineStr">
        <is>
          <t>CHYG</t>
        </is>
      </c>
      <c r="C324" s="1" t="inlineStr">
        <is>
          <t>21873SAB4</t>
        </is>
      </c>
      <c r="D324" s="1" t="inlineStr">
        <is>
          <t>21873SAB4</t>
        </is>
      </c>
      <c r="E324" t="inlineStr">
        <is>
          <t>CoreWeave Inc 9.25% 06/01/2030</t>
        </is>
      </c>
      <c r="F324" t="inlineStr">
        <is>
          <t>24000.00000000</t>
        </is>
      </c>
      <c r="G324" t="inlineStr">
        <is>
          <t>101.627700</t>
        </is>
      </c>
      <c r="H324" t="inlineStr">
        <is>
          <t>24390.65</t>
        </is>
      </c>
      <c r="I324" t="inlineStr">
        <is>
          <t>0.44%</t>
        </is>
      </c>
      <c r="J324" t="inlineStr">
        <is>
          <t>5506974.00</t>
        </is>
      </c>
      <c r="K324" t="inlineStr">
        <is>
          <t>220000</t>
        </is>
      </c>
      <c r="L324" t="inlineStr">
        <is>
          <t>22.000000000000</t>
        </is>
      </c>
      <c r="M324" t="inlineStr"/>
    </row>
    <row r="325">
      <c r="A325" t="inlineStr">
        <is>
          <t>06/25/2026</t>
        </is>
      </c>
      <c r="B325" t="inlineStr">
        <is>
          <t>CHYG</t>
        </is>
      </c>
      <c r="C325" s="1" t="inlineStr">
        <is>
          <t>21874LAA0</t>
        </is>
      </c>
      <c r="D325" s="1" t="inlineStr">
        <is>
          <t>21874LAA0</t>
        </is>
      </c>
      <c r="E325" t="inlineStr">
        <is>
          <t>Core Scientific Finance I LLC 7.75% 05/15/2031</t>
        </is>
      </c>
      <c r="F325" t="inlineStr">
        <is>
          <t>30000.00000000</t>
        </is>
      </c>
      <c r="G325" t="inlineStr">
        <is>
          <t>101.786899</t>
        </is>
      </c>
      <c r="H325" t="inlineStr">
        <is>
          <t>30536.07</t>
        </is>
      </c>
      <c r="I325" t="inlineStr">
        <is>
          <t>0.55%</t>
        </is>
      </c>
      <c r="J325" t="inlineStr">
        <is>
          <t>5506974.00</t>
        </is>
      </c>
      <c r="K325" t="inlineStr">
        <is>
          <t>220000</t>
        </is>
      </c>
      <c r="L325" t="inlineStr">
        <is>
          <t>22.000000000000</t>
        </is>
      </c>
      <c r="M325" t="inlineStr"/>
    </row>
    <row r="326">
      <c r="A326" t="inlineStr">
        <is>
          <t>06/25/2026</t>
        </is>
      </c>
      <c r="B326" t="inlineStr">
        <is>
          <t>CHYG</t>
        </is>
      </c>
      <c r="C326" s="1" t="inlineStr">
        <is>
          <t>227046AA7</t>
        </is>
      </c>
      <c r="D326" s="1" t="inlineStr">
        <is>
          <t>227046AA7</t>
        </is>
      </c>
      <c r="E326" t="inlineStr">
        <is>
          <t>Crocs Inc 4.25% 03/15/2029</t>
        </is>
      </c>
      <c r="F326" t="inlineStr">
        <is>
          <t>31000.00000000</t>
        </is>
      </c>
      <c r="G326" t="inlineStr">
        <is>
          <t>97.012140</t>
        </is>
      </c>
      <c r="H326" t="inlineStr">
        <is>
          <t>30073.76</t>
        </is>
      </c>
      <c r="I326" t="inlineStr">
        <is>
          <t>0.55%</t>
        </is>
      </c>
      <c r="J326" t="inlineStr">
        <is>
          <t>5506974.00</t>
        </is>
      </c>
      <c r="K326" t="inlineStr">
        <is>
          <t>220000</t>
        </is>
      </c>
      <c r="L326" t="inlineStr">
        <is>
          <t>22.000000000000</t>
        </is>
      </c>
      <c r="M326" t="inlineStr"/>
    </row>
    <row r="327">
      <c r="A327" t="inlineStr">
        <is>
          <t>06/25/2026</t>
        </is>
      </c>
      <c r="B327" t="inlineStr">
        <is>
          <t>CHYG</t>
        </is>
      </c>
      <c r="C327" s="1" t="inlineStr">
        <is>
          <t>23292NAA6</t>
        </is>
      </c>
      <c r="D327" s="1" t="inlineStr">
        <is>
          <t>23292NAA6</t>
        </is>
      </c>
      <c r="E327" t="inlineStr">
        <is>
          <t>Cyprium Corp / Cyprium Holdings Luxembourg Sarl 6.125% 04/15/2031</t>
        </is>
      </c>
      <c r="F327" t="inlineStr">
        <is>
          <t>24000.00000000</t>
        </is>
      </c>
      <c r="G327" t="inlineStr">
        <is>
          <t>100.125160</t>
        </is>
      </c>
      <c r="H327" t="inlineStr">
        <is>
          <t>24030.04</t>
        </is>
      </c>
      <c r="I327" t="inlineStr">
        <is>
          <t>0.44%</t>
        </is>
      </c>
      <c r="J327" t="inlineStr">
        <is>
          <t>5506974.00</t>
        </is>
      </c>
      <c r="K327" t="inlineStr">
        <is>
          <t>220000</t>
        </is>
      </c>
      <c r="L327" t="inlineStr">
        <is>
          <t>22.000000000000</t>
        </is>
      </c>
      <c r="M327" t="inlineStr"/>
    </row>
    <row r="328">
      <c r="A328" t="inlineStr">
        <is>
          <t>06/25/2026</t>
        </is>
      </c>
      <c r="B328" t="inlineStr">
        <is>
          <t>CHYG</t>
        </is>
      </c>
      <c r="C328" s="1" t="inlineStr">
        <is>
          <t>23918KAS7</t>
        </is>
      </c>
      <c r="D328" s="1" t="inlineStr">
        <is>
          <t>23918KAS7</t>
        </is>
      </c>
      <c r="E328" t="inlineStr">
        <is>
          <t>DaVita Inc 4.625% 06/01/2030</t>
        </is>
      </c>
      <c r="F328" t="inlineStr">
        <is>
          <t>26000.00000000</t>
        </is>
      </c>
      <c r="G328" t="inlineStr">
        <is>
          <t>96.779530</t>
        </is>
      </c>
      <c r="H328" t="inlineStr">
        <is>
          <t>25162.68</t>
        </is>
      </c>
      <c r="I328" t="inlineStr">
        <is>
          <t>0.46%</t>
        </is>
      </c>
      <c r="J328" t="inlineStr">
        <is>
          <t>5506974.00</t>
        </is>
      </c>
      <c r="K328" t="inlineStr">
        <is>
          <t>220000</t>
        </is>
      </c>
      <c r="L328" t="inlineStr">
        <is>
          <t>22.000000000000</t>
        </is>
      </c>
      <c r="M328" t="inlineStr"/>
    </row>
    <row r="329">
      <c r="A329" t="inlineStr">
        <is>
          <t>06/25/2026</t>
        </is>
      </c>
      <c r="B329" t="inlineStr">
        <is>
          <t>CHYG</t>
        </is>
      </c>
      <c r="C329" s="1" t="inlineStr">
        <is>
          <t>254032AD7</t>
        </is>
      </c>
      <c r="D329" s="1" t="inlineStr">
        <is>
          <t>254032AD7</t>
        </is>
      </c>
      <c r="E329" t="inlineStr">
        <is>
          <t>Ardshinbank CJSC Via Dilijan Finance BV 6.6% 01/22/2031</t>
        </is>
      </c>
      <c r="F329" t="inlineStr">
        <is>
          <t>29000.00000000</t>
        </is>
      </c>
      <c r="G329" t="inlineStr">
        <is>
          <t>100.275867</t>
        </is>
      </c>
      <c r="H329" t="inlineStr">
        <is>
          <t>29080.00</t>
        </is>
      </c>
      <c r="I329" t="inlineStr">
        <is>
          <t>0.53%</t>
        </is>
      </c>
      <c r="J329" t="inlineStr">
        <is>
          <t>5506974.00</t>
        </is>
      </c>
      <c r="K329" t="inlineStr">
        <is>
          <t>220000</t>
        </is>
      </c>
      <c r="L329" t="inlineStr">
        <is>
          <t>22.000000000000</t>
        </is>
      </c>
      <c r="M329" t="inlineStr"/>
    </row>
    <row r="330">
      <c r="A330" t="inlineStr">
        <is>
          <t>06/25/2026</t>
        </is>
      </c>
      <c r="B330" t="inlineStr">
        <is>
          <t>CHYG</t>
        </is>
      </c>
      <c r="C330" s="1" t="inlineStr">
        <is>
          <t>25461LAD4</t>
        </is>
      </c>
      <c r="D330" s="1" t="inlineStr">
        <is>
          <t>25461LAD4</t>
        </is>
      </c>
      <c r="E330" t="inlineStr">
        <is>
          <t>Directv Financing LLC / Directv Financing Co-Obligor Inc 10% 02/15/2031</t>
        </is>
      </c>
      <c r="F330" t="inlineStr">
        <is>
          <t>24000.00000000</t>
        </is>
      </c>
      <c r="G330" t="inlineStr">
        <is>
          <t>103.580312</t>
        </is>
      </c>
      <c r="H330" t="inlineStr">
        <is>
          <t>24859.27</t>
        </is>
      </c>
      <c r="I330" t="inlineStr">
        <is>
          <t>0.45%</t>
        </is>
      </c>
      <c r="J330" t="inlineStr">
        <is>
          <t>5506974.00</t>
        </is>
      </c>
      <c r="K330" t="inlineStr">
        <is>
          <t>220000</t>
        </is>
      </c>
      <c r="L330" t="inlineStr">
        <is>
          <t>22.000000000000</t>
        </is>
      </c>
      <c r="M330" t="inlineStr"/>
    </row>
    <row r="331">
      <c r="A331" t="inlineStr">
        <is>
          <t>06/25/2026</t>
        </is>
      </c>
      <c r="B331" t="inlineStr">
        <is>
          <t>CHYG</t>
        </is>
      </c>
      <c r="C331" s="1" t="inlineStr">
        <is>
          <t>25470MAG4</t>
        </is>
      </c>
      <c r="D331" s="1" t="inlineStr">
        <is>
          <t>25470MAG4</t>
        </is>
      </c>
      <c r="E331" t="inlineStr">
        <is>
          <t>DISH Network Corp 11.75% 11/15/2027</t>
        </is>
      </c>
      <c r="F331" t="inlineStr">
        <is>
          <t>23000.00000000</t>
        </is>
      </c>
      <c r="G331" t="inlineStr">
        <is>
          <t>102.855862</t>
        </is>
      </c>
      <c r="H331" t="inlineStr">
        <is>
          <t>23656.85</t>
        </is>
      </c>
      <c r="I331" t="inlineStr">
        <is>
          <t>0.43%</t>
        </is>
      </c>
      <c r="J331" t="inlineStr">
        <is>
          <t>5506974.00</t>
        </is>
      </c>
      <c r="K331" t="inlineStr">
        <is>
          <t>220000</t>
        </is>
      </c>
      <c r="L331" t="inlineStr">
        <is>
          <t>22.000000000000</t>
        </is>
      </c>
      <c r="M331" t="inlineStr"/>
    </row>
    <row r="332">
      <c r="A332" t="inlineStr">
        <is>
          <t>06/25/2026</t>
        </is>
      </c>
      <c r="B332" t="inlineStr">
        <is>
          <t>CHYG</t>
        </is>
      </c>
      <c r="C332" s="1" t="inlineStr">
        <is>
          <t>257867BJ9</t>
        </is>
      </c>
      <c r="D332" s="1" t="inlineStr">
        <is>
          <t>257867BJ9</t>
        </is>
      </c>
      <c r="E332" t="inlineStr">
        <is>
          <t>RR Donnelley &amp; Sons Co 9.5% 08/01/2029</t>
        </is>
      </c>
      <c r="F332" t="inlineStr">
        <is>
          <t>25000.00000000</t>
        </is>
      </c>
      <c r="G332" t="inlineStr">
        <is>
          <t>103.629500</t>
        </is>
      </c>
      <c r="H332" t="inlineStr">
        <is>
          <t>25907.38</t>
        </is>
      </c>
      <c r="I332" t="inlineStr">
        <is>
          <t>0.47%</t>
        </is>
      </c>
      <c r="J332" t="inlineStr">
        <is>
          <t>5506974.00</t>
        </is>
      </c>
      <c r="K332" t="inlineStr">
        <is>
          <t>220000</t>
        </is>
      </c>
      <c r="L332" t="inlineStr">
        <is>
          <t>22.000000000000</t>
        </is>
      </c>
      <c r="M332" t="inlineStr"/>
    </row>
    <row r="333">
      <c r="A333" t="inlineStr">
        <is>
          <t>06/25/2026</t>
        </is>
      </c>
      <c r="B333" t="inlineStr">
        <is>
          <t>CHYG</t>
        </is>
      </c>
      <c r="C333" s="1" t="inlineStr">
        <is>
          <t>28414HAG8</t>
        </is>
      </c>
      <c r="D333" s="1" t="inlineStr">
        <is>
          <t>28414HAG8</t>
        </is>
      </c>
      <c r="E333" t="inlineStr">
        <is>
          <t>Elanco Animal Health Inc 6.4% 08/28/2028</t>
        </is>
      </c>
      <c r="F333" t="inlineStr">
        <is>
          <t>25000.00000000</t>
        </is>
      </c>
      <c r="G333" t="inlineStr">
        <is>
          <t>102.954500</t>
        </is>
      </c>
      <c r="H333" t="inlineStr">
        <is>
          <t>25738.63</t>
        </is>
      </c>
      <c r="I333" t="inlineStr">
        <is>
          <t>0.47%</t>
        </is>
      </c>
      <c r="J333" t="inlineStr">
        <is>
          <t>5506974.00</t>
        </is>
      </c>
      <c r="K333" t="inlineStr">
        <is>
          <t>220000</t>
        </is>
      </c>
      <c r="L333" t="inlineStr">
        <is>
          <t>22.000000000000</t>
        </is>
      </c>
      <c r="M333" t="inlineStr"/>
    </row>
    <row r="334">
      <c r="A334" t="inlineStr">
        <is>
          <t>06/25/2026</t>
        </is>
      </c>
      <c r="B334" t="inlineStr">
        <is>
          <t>CHYG</t>
        </is>
      </c>
      <c r="C334" s="1" t="inlineStr">
        <is>
          <t>29089QAC9</t>
        </is>
      </c>
      <c r="D334" s="1" t="inlineStr">
        <is>
          <t>29089QAC9</t>
        </is>
      </c>
      <c r="E334" t="inlineStr">
        <is>
          <t>Emergent BioSolutions Inc 3.875% 08/15/2028</t>
        </is>
      </c>
      <c r="F334" t="inlineStr">
        <is>
          <t>37000.00000000</t>
        </is>
      </c>
      <c r="G334" t="inlineStr">
        <is>
          <t>93.016987</t>
        </is>
      </c>
      <c r="H334" t="inlineStr">
        <is>
          <t>34416.29</t>
        </is>
      </c>
      <c r="I334" t="inlineStr">
        <is>
          <t>0.62%</t>
        </is>
      </c>
      <c r="J334" t="inlineStr">
        <is>
          <t>5506974.00</t>
        </is>
      </c>
      <c r="K334" t="inlineStr">
        <is>
          <t>220000</t>
        </is>
      </c>
      <c r="L334" t="inlineStr">
        <is>
          <t>22.000000000000</t>
        </is>
      </c>
      <c r="M334" t="inlineStr"/>
    </row>
    <row r="335">
      <c r="A335" t="inlineStr">
        <is>
          <t>06/25/2026</t>
        </is>
      </c>
      <c r="B335" t="inlineStr">
        <is>
          <t>CHYG</t>
        </is>
      </c>
      <c r="C335" s="1" t="inlineStr">
        <is>
          <t>29103CAA6</t>
        </is>
      </c>
      <c r="D335" s="1" t="inlineStr">
        <is>
          <t>29103CAA6</t>
        </is>
      </c>
      <c r="E335" t="inlineStr">
        <is>
          <t>EMRLD Borrower LP / Emerald Co-Issuer Inc 6.625% 12/15/2030</t>
        </is>
      </c>
      <c r="F335" t="inlineStr">
        <is>
          <t>29000.00000000</t>
        </is>
      </c>
      <c r="G335" t="inlineStr">
        <is>
          <t>101.780000</t>
        </is>
      </c>
      <c r="H335" t="inlineStr">
        <is>
          <t>29516.20</t>
        </is>
      </c>
      <c r="I335" t="inlineStr">
        <is>
          <t>0.54%</t>
        </is>
      </c>
      <c r="J335" t="inlineStr">
        <is>
          <t>5506974.00</t>
        </is>
      </c>
      <c r="K335" t="inlineStr">
        <is>
          <t>220000</t>
        </is>
      </c>
      <c r="L335" t="inlineStr">
        <is>
          <t>22.000000000000</t>
        </is>
      </c>
      <c r="M335" t="inlineStr"/>
    </row>
    <row r="336">
      <c r="A336" t="inlineStr">
        <is>
          <t>06/25/2026</t>
        </is>
      </c>
      <c r="B336" t="inlineStr">
        <is>
          <t>CHYG</t>
        </is>
      </c>
      <c r="C336" s="1" t="inlineStr">
        <is>
          <t>29163VAG8</t>
        </is>
      </c>
      <c r="D336" s="1" t="inlineStr">
        <is>
          <t>29163VAG8</t>
        </is>
      </c>
      <c r="E336" t="inlineStr">
        <is>
          <t>Empire Communities Corp 9.75% 05/01/2029</t>
        </is>
      </c>
      <c r="F336" t="inlineStr">
        <is>
          <t>28000.00000000</t>
        </is>
      </c>
      <c r="G336" t="inlineStr">
        <is>
          <t>102.806300</t>
        </is>
      </c>
      <c r="H336" t="inlineStr">
        <is>
          <t>28785.76</t>
        </is>
      </c>
      <c r="I336" t="inlineStr">
        <is>
          <t>0.52%</t>
        </is>
      </c>
      <c r="J336" t="inlineStr">
        <is>
          <t>5506974.00</t>
        </is>
      </c>
      <c r="K336" t="inlineStr">
        <is>
          <t>220000</t>
        </is>
      </c>
      <c r="L336" t="inlineStr">
        <is>
          <t>22.000000000000</t>
        </is>
      </c>
      <c r="M336" t="inlineStr"/>
    </row>
    <row r="337">
      <c r="A337" t="inlineStr">
        <is>
          <t>06/25/2026</t>
        </is>
      </c>
      <c r="B337" t="inlineStr">
        <is>
          <t>CHYG</t>
        </is>
      </c>
      <c r="C337" s="1" t="inlineStr">
        <is>
          <t>292052AF4</t>
        </is>
      </c>
      <c r="D337" s="1" t="inlineStr">
        <is>
          <t>292052AF4</t>
        </is>
      </c>
      <c r="E337" t="inlineStr">
        <is>
          <t>Empire Resorts Inc 7.75% 11/01/2026</t>
        </is>
      </c>
      <c r="F337" t="inlineStr">
        <is>
          <t>29000.00000000</t>
        </is>
      </c>
      <c r="G337" t="inlineStr">
        <is>
          <t>100.157300</t>
        </is>
      </c>
      <c r="H337" t="inlineStr">
        <is>
          <t>29045.62</t>
        </is>
      </c>
      <c r="I337" t="inlineStr">
        <is>
          <t>0.53%</t>
        </is>
      </c>
      <c r="J337" t="inlineStr">
        <is>
          <t>5506974.00</t>
        </is>
      </c>
      <c r="K337" t="inlineStr">
        <is>
          <t>220000</t>
        </is>
      </c>
      <c r="L337" t="inlineStr">
        <is>
          <t>22.000000000000</t>
        </is>
      </c>
      <c r="M337" t="inlineStr"/>
    </row>
    <row r="338">
      <c r="A338" t="inlineStr">
        <is>
          <t>06/25/2026</t>
        </is>
      </c>
      <c r="B338" t="inlineStr">
        <is>
          <t>CHYG</t>
        </is>
      </c>
      <c r="C338" s="1" t="inlineStr">
        <is>
          <t>292554AS1</t>
        </is>
      </c>
      <c r="D338" s="1" t="inlineStr">
        <is>
          <t>292554AS1</t>
        </is>
      </c>
      <c r="E338" t="inlineStr">
        <is>
          <t>Encore Capital Group Inc 6.625% 04/15/2031</t>
        </is>
      </c>
      <c r="F338" t="inlineStr">
        <is>
          <t>29000.00000000</t>
        </is>
      </c>
      <c r="G338" t="inlineStr">
        <is>
          <t>101.026100</t>
        </is>
      </c>
      <c r="H338" t="inlineStr">
        <is>
          <t>29297.57</t>
        </is>
      </c>
      <c r="I338" t="inlineStr">
        <is>
          <t>0.53%</t>
        </is>
      </c>
      <c r="J338" t="inlineStr">
        <is>
          <t>5506974.00</t>
        </is>
      </c>
      <c r="K338" t="inlineStr">
        <is>
          <t>220000</t>
        </is>
      </c>
      <c r="L338" t="inlineStr">
        <is>
          <t>22.000000000000</t>
        </is>
      </c>
      <c r="M338" t="inlineStr"/>
    </row>
    <row r="339">
      <c r="A339" t="inlineStr">
        <is>
          <t>06/25/2026</t>
        </is>
      </c>
      <c r="B339" t="inlineStr">
        <is>
          <t>CHYG</t>
        </is>
      </c>
      <c r="C339" s="1" t="inlineStr">
        <is>
          <t>29605JAA4</t>
        </is>
      </c>
      <c r="D339" s="1" t="inlineStr">
        <is>
          <t>29605JAA4</t>
        </is>
      </c>
      <c r="E339" t="inlineStr">
        <is>
          <t>Esab Corp 6.25% 04/15/2029</t>
        </is>
      </c>
      <c r="F339" t="inlineStr">
        <is>
          <t>30000.00000000</t>
        </is>
      </c>
      <c r="G339" t="inlineStr">
        <is>
          <t>101.772300</t>
        </is>
      </c>
      <c r="H339" t="inlineStr">
        <is>
          <t>30531.69</t>
        </is>
      </c>
      <c r="I339" t="inlineStr">
        <is>
          <t>0.55%</t>
        </is>
      </c>
      <c r="J339" t="inlineStr">
        <is>
          <t>5506974.00</t>
        </is>
      </c>
      <c r="K339" t="inlineStr">
        <is>
          <t>220000</t>
        </is>
      </c>
      <c r="L339" t="inlineStr">
        <is>
          <t>22.000000000000</t>
        </is>
      </c>
      <c r="M339" t="inlineStr"/>
    </row>
    <row r="340">
      <c r="A340" t="inlineStr">
        <is>
          <t>06/25/2026</t>
        </is>
      </c>
      <c r="B340" t="inlineStr">
        <is>
          <t>CHYG</t>
        </is>
      </c>
      <c r="C340" s="1" t="inlineStr">
        <is>
          <t>29882DAC7</t>
        </is>
      </c>
      <c r="D340" s="1" t="inlineStr">
        <is>
          <t>29882DAC7</t>
        </is>
      </c>
      <c r="E340" t="inlineStr">
        <is>
          <t>EUSHI Finance Inc 6.25% 04/01/2056</t>
        </is>
      </c>
      <c r="F340" t="inlineStr">
        <is>
          <t>29000.00000000</t>
        </is>
      </c>
      <c r="G340" t="inlineStr">
        <is>
          <t>99.544540</t>
        </is>
      </c>
      <c r="H340" t="inlineStr">
        <is>
          <t>28867.92</t>
        </is>
      </c>
      <c r="I340" t="inlineStr">
        <is>
          <t>0.52%</t>
        </is>
      </c>
      <c r="J340" t="inlineStr">
        <is>
          <t>5506974.00</t>
        </is>
      </c>
      <c r="K340" t="inlineStr">
        <is>
          <t>220000</t>
        </is>
      </c>
      <c r="L340" t="inlineStr">
        <is>
          <t>22.000000000000</t>
        </is>
      </c>
      <c r="M340" t="inlineStr"/>
    </row>
    <row r="341">
      <c r="A341" t="inlineStr">
        <is>
          <t>06/25/2026</t>
        </is>
      </c>
      <c r="B341" t="inlineStr">
        <is>
          <t>CHYG</t>
        </is>
      </c>
      <c r="C341" s="1" t="inlineStr">
        <is>
          <t>302635AN7</t>
        </is>
      </c>
      <c r="D341" s="1" t="inlineStr">
        <is>
          <t>302635AN7</t>
        </is>
      </c>
      <c r="E341" t="inlineStr">
        <is>
          <t>FS KKR Capital Corp 6.875% 08/15/2029</t>
        </is>
      </c>
      <c r="F341" t="inlineStr">
        <is>
          <t>26000.00000000</t>
        </is>
      </c>
      <c r="G341" t="inlineStr">
        <is>
          <t>100.149911</t>
        </is>
      </c>
      <c r="H341" t="inlineStr">
        <is>
          <t>26038.98</t>
        </is>
      </c>
      <c r="I341" t="inlineStr">
        <is>
          <t>0.47%</t>
        </is>
      </c>
      <c r="J341" t="inlineStr">
        <is>
          <t>5506974.00</t>
        </is>
      </c>
      <c r="K341" t="inlineStr">
        <is>
          <t>220000</t>
        </is>
      </c>
      <c r="L341" t="inlineStr">
        <is>
          <t>22.000000000000</t>
        </is>
      </c>
      <c r="M341" t="inlineStr"/>
    </row>
    <row r="342">
      <c r="A342" t="inlineStr">
        <is>
          <t>06/25/2026</t>
        </is>
      </c>
      <c r="B342" t="inlineStr">
        <is>
          <t>CHYG</t>
        </is>
      </c>
      <c r="C342" s="1" t="inlineStr">
        <is>
          <t>315292AU6</t>
        </is>
      </c>
      <c r="D342" s="1" t="inlineStr">
        <is>
          <t>315292AU6</t>
        </is>
      </c>
      <c r="E342" t="inlineStr">
        <is>
          <t>Ferrellgas LP / Ferrellgas Finance Corp 9.25% 01/15/2031</t>
        </is>
      </c>
      <c r="F342" t="inlineStr">
        <is>
          <t>26000.00000000</t>
        </is>
      </c>
      <c r="G342" t="inlineStr">
        <is>
          <t>105.561000</t>
        </is>
      </c>
      <c r="H342" t="inlineStr">
        <is>
          <t>27445.86</t>
        </is>
      </c>
      <c r="I342" t="inlineStr">
        <is>
          <t>0.50%</t>
        </is>
      </c>
      <c r="J342" t="inlineStr">
        <is>
          <t>5506974.00</t>
        </is>
      </c>
      <c r="K342" t="inlineStr">
        <is>
          <t>220000</t>
        </is>
      </c>
      <c r="L342" t="inlineStr">
        <is>
          <t>22.000000000000</t>
        </is>
      </c>
      <c r="M342" t="inlineStr"/>
    </row>
    <row r="343">
      <c r="A343" t="inlineStr">
        <is>
          <t>06/25/2026</t>
        </is>
      </c>
      <c r="B343" t="inlineStr">
        <is>
          <t>CHYG</t>
        </is>
      </c>
      <c r="C343" s="1" t="inlineStr">
        <is>
          <t>34960PAF8</t>
        </is>
      </c>
      <c r="D343" s="1" t="inlineStr">
        <is>
          <t>34960PAF8</t>
        </is>
      </c>
      <c r="E343" t="inlineStr">
        <is>
          <t>FTAI Aviation Investors LLC 7% 05/01/2031</t>
        </is>
      </c>
      <c r="F343" t="inlineStr">
        <is>
          <t>28000.00000000</t>
        </is>
      </c>
      <c r="G343" t="inlineStr">
        <is>
          <t>103.559000</t>
        </is>
      </c>
      <c r="H343" t="inlineStr">
        <is>
          <t>28996.52</t>
        </is>
      </c>
      <c r="I343" t="inlineStr">
        <is>
          <t>0.53%</t>
        </is>
      </c>
      <c r="J343" t="inlineStr">
        <is>
          <t>5506974.00</t>
        </is>
      </c>
      <c r="K343" t="inlineStr">
        <is>
          <t>220000</t>
        </is>
      </c>
      <c r="L343" t="inlineStr">
        <is>
          <t>22.000000000000</t>
        </is>
      </c>
      <c r="M343" t="inlineStr"/>
    </row>
    <row r="344">
      <c r="A344" t="inlineStr">
        <is>
          <t>06/25/2026</t>
        </is>
      </c>
      <c r="B344" t="inlineStr">
        <is>
          <t>CHYG</t>
        </is>
      </c>
      <c r="C344" s="1" t="inlineStr">
        <is>
          <t>35641AAB4</t>
        </is>
      </c>
      <c r="D344" s="1" t="inlineStr">
        <is>
          <t>35641AAB4</t>
        </is>
      </c>
      <c r="E344" t="inlineStr">
        <is>
          <t>Freedom Mortgage Holdings LLC 9.125% 05/15/2031</t>
        </is>
      </c>
      <c r="F344" t="inlineStr">
        <is>
          <t>29000.00000000</t>
        </is>
      </c>
      <c r="G344" t="inlineStr">
        <is>
          <t>103.547600</t>
        </is>
      </c>
      <c r="H344" t="inlineStr">
        <is>
          <t>30028.80</t>
        </is>
      </c>
      <c r="I344" t="inlineStr">
        <is>
          <t>0.55%</t>
        </is>
      </c>
      <c r="J344" t="inlineStr">
        <is>
          <t>5506974.00</t>
        </is>
      </c>
      <c r="K344" t="inlineStr">
        <is>
          <t>220000</t>
        </is>
      </c>
      <c r="L344" t="inlineStr">
        <is>
          <t>22.000000000000</t>
        </is>
      </c>
      <c r="M344" t="inlineStr"/>
    </row>
    <row r="345">
      <c r="A345" t="inlineStr">
        <is>
          <t>06/25/2026</t>
        </is>
      </c>
      <c r="B345" t="inlineStr">
        <is>
          <t>CHYG</t>
        </is>
      </c>
      <c r="C345" s="1" t="inlineStr">
        <is>
          <t>359694AB2</t>
        </is>
      </c>
      <c r="D345" s="1" t="inlineStr">
        <is>
          <t>359694AB2</t>
        </is>
      </c>
      <c r="E345" t="inlineStr">
        <is>
          <t>HB Fuller Co 4% 02/15/2027</t>
        </is>
      </c>
      <c r="F345" t="inlineStr">
        <is>
          <t>29000.00000000</t>
        </is>
      </c>
      <c r="G345" t="inlineStr">
        <is>
          <t>99.338179</t>
        </is>
      </c>
      <c r="H345" t="inlineStr">
        <is>
          <t>28808.07</t>
        </is>
      </c>
      <c r="I345" t="inlineStr">
        <is>
          <t>0.52%</t>
        </is>
      </c>
      <c r="J345" t="inlineStr">
        <is>
          <t>5506974.00</t>
        </is>
      </c>
      <c r="K345" t="inlineStr">
        <is>
          <t>220000</t>
        </is>
      </c>
      <c r="L345" t="inlineStr">
        <is>
          <t>22.000000000000</t>
        </is>
      </c>
      <c r="M345" t="inlineStr"/>
    </row>
    <row r="346">
      <c r="A346" t="inlineStr">
        <is>
          <t>06/25/2026</t>
        </is>
      </c>
      <c r="B346" t="inlineStr">
        <is>
          <t>CHYG</t>
        </is>
      </c>
      <c r="C346" s="1" t="inlineStr">
        <is>
          <t>36168QAQ7</t>
        </is>
      </c>
      <c r="D346" s="1" t="inlineStr">
        <is>
          <t>36168QAQ7</t>
        </is>
      </c>
      <c r="E346" t="inlineStr">
        <is>
          <t>GFL Environmental Inc 6.75% 01/15/2031</t>
        </is>
      </c>
      <c r="F346" t="inlineStr">
        <is>
          <t>28000.00000000</t>
        </is>
      </c>
      <c r="G346" t="inlineStr">
        <is>
          <t>103.095528</t>
        </is>
      </c>
      <c r="H346" t="inlineStr">
        <is>
          <t>28866.75</t>
        </is>
      </c>
      <c r="I346" t="inlineStr">
        <is>
          <t>0.52%</t>
        </is>
      </c>
      <c r="J346" t="inlineStr">
        <is>
          <t>5506974.00</t>
        </is>
      </c>
      <c r="K346" t="inlineStr">
        <is>
          <t>220000</t>
        </is>
      </c>
      <c r="L346" t="inlineStr">
        <is>
          <t>22.000000000000</t>
        </is>
      </c>
      <c r="M346" t="inlineStr"/>
    </row>
    <row r="347">
      <c r="A347" t="inlineStr">
        <is>
          <t>06/25/2026</t>
        </is>
      </c>
      <c r="B347" t="inlineStr">
        <is>
          <t>CHYG</t>
        </is>
      </c>
      <c r="C347" s="1" t="inlineStr">
        <is>
          <t>37185LAP7</t>
        </is>
      </c>
      <c r="D347" s="1" t="inlineStr">
        <is>
          <t>37185LAP7</t>
        </is>
      </c>
      <c r="E347" t="inlineStr">
        <is>
          <t>Genesis Energy LP / Genesis Energy Finance Corp 8.25% 01/15/2029</t>
        </is>
      </c>
      <c r="F347" t="inlineStr">
        <is>
          <t>29000.00000000</t>
        </is>
      </c>
      <c r="G347" t="inlineStr">
        <is>
          <t>103.486700</t>
        </is>
      </c>
      <c r="H347" t="inlineStr">
        <is>
          <t>30011.14</t>
        </is>
      </c>
      <c r="I347" t="inlineStr">
        <is>
          <t>0.54%</t>
        </is>
      </c>
      <c r="J347" t="inlineStr">
        <is>
          <t>5506974.00</t>
        </is>
      </c>
      <c r="K347" t="inlineStr">
        <is>
          <t>220000</t>
        </is>
      </c>
      <c r="L347" t="inlineStr">
        <is>
          <t>22.000000000000</t>
        </is>
      </c>
      <c r="M347" t="inlineStr"/>
    </row>
    <row r="348">
      <c r="A348" t="inlineStr">
        <is>
          <t>06/25/2026</t>
        </is>
      </c>
      <c r="B348" t="inlineStr">
        <is>
          <t>CHYG</t>
        </is>
      </c>
      <c r="C348" s="1" t="inlineStr">
        <is>
          <t>38016LAA3</t>
        </is>
      </c>
      <c r="D348" s="1" t="inlineStr">
        <is>
          <t>38016LAA3</t>
        </is>
      </c>
      <c r="E348" t="inlineStr">
        <is>
          <t>Go Daddy Operating Co LLC / GD Finance Co Inc 5.25% 12/01/2027</t>
        </is>
      </c>
      <c r="F348" t="inlineStr">
        <is>
          <t>25000.00000000</t>
        </is>
      </c>
      <c r="G348" t="inlineStr">
        <is>
          <t>99.990924</t>
        </is>
      </c>
      <c r="H348" t="inlineStr">
        <is>
          <t>24997.73</t>
        </is>
      </c>
      <c r="I348" t="inlineStr">
        <is>
          <t>0.45%</t>
        </is>
      </c>
      <c r="J348" t="inlineStr">
        <is>
          <t>5506974.00</t>
        </is>
      </c>
      <c r="K348" t="inlineStr">
        <is>
          <t>220000</t>
        </is>
      </c>
      <c r="L348" t="inlineStr">
        <is>
          <t>22.000000000000</t>
        </is>
      </c>
      <c r="M348" t="inlineStr"/>
    </row>
    <row r="349">
      <c r="A349" t="inlineStr">
        <is>
          <t>06/25/2026</t>
        </is>
      </c>
      <c r="B349" t="inlineStr">
        <is>
          <t>CHYG</t>
        </is>
      </c>
      <c r="C349" s="1" t="inlineStr">
        <is>
          <t>382550BN0</t>
        </is>
      </c>
      <c r="D349" s="1" t="inlineStr">
        <is>
          <t>382550BN0</t>
        </is>
      </c>
      <c r="E349" t="inlineStr">
        <is>
          <t>Goodyear Tire &amp; Rubber Co/The 5% 07/15/2029</t>
        </is>
      </c>
      <c r="F349" t="inlineStr">
        <is>
          <t>24000.00000000</t>
        </is>
      </c>
      <c r="G349" t="inlineStr">
        <is>
          <t>95.553281</t>
        </is>
      </c>
      <c r="H349" t="inlineStr">
        <is>
          <t>22932.79</t>
        </is>
      </c>
      <c r="I349" t="inlineStr">
        <is>
          <t>0.42%</t>
        </is>
      </c>
      <c r="J349" t="inlineStr">
        <is>
          <t>5506974.00</t>
        </is>
      </c>
      <c r="K349" t="inlineStr">
        <is>
          <t>220000</t>
        </is>
      </c>
      <c r="L349" t="inlineStr">
        <is>
          <t>22.000000000000</t>
        </is>
      </c>
      <c r="M349" t="inlineStr"/>
    </row>
    <row r="350">
      <c r="A350" t="inlineStr">
        <is>
          <t>06/25/2026</t>
        </is>
      </c>
      <c r="B350" t="inlineStr">
        <is>
          <t>CHYG</t>
        </is>
      </c>
      <c r="C350" s="1" t="inlineStr">
        <is>
          <t>38869AAB3</t>
        </is>
      </c>
      <c r="D350" s="1" t="inlineStr">
        <is>
          <t>38869AAB3</t>
        </is>
      </c>
      <c r="E350" t="inlineStr">
        <is>
          <t>Graphic Packaging International LLC 3.5% 03/15/2028</t>
        </is>
      </c>
      <c r="F350" t="inlineStr">
        <is>
          <t>31000.00000000</t>
        </is>
      </c>
      <c r="G350" t="inlineStr">
        <is>
          <t>97.200720</t>
        </is>
      </c>
      <c r="H350" t="inlineStr">
        <is>
          <t>30132.22</t>
        </is>
      </c>
      <c r="I350" t="inlineStr">
        <is>
          <t>0.55%</t>
        </is>
      </c>
      <c r="J350" t="inlineStr">
        <is>
          <t>5506974.00</t>
        </is>
      </c>
      <c r="K350" t="inlineStr">
        <is>
          <t>220000</t>
        </is>
      </c>
      <c r="L350" t="inlineStr">
        <is>
          <t>22.000000000000</t>
        </is>
      </c>
      <c r="M350" t="inlineStr"/>
    </row>
    <row r="351">
      <c r="A351" t="inlineStr">
        <is>
          <t>06/25/2026</t>
        </is>
      </c>
      <c r="B351" t="inlineStr">
        <is>
          <t>CHYG</t>
        </is>
      </c>
      <c r="C351" s="1" t="inlineStr">
        <is>
          <t>39807UAD8</t>
        </is>
      </c>
      <c r="D351" s="1" t="inlineStr">
        <is>
          <t>39807UAD8</t>
        </is>
      </c>
      <c r="E351" t="inlineStr">
        <is>
          <t>Greystar Real Estate Partners LLC 7.75% 09/01/2030</t>
        </is>
      </c>
      <c r="F351" t="inlineStr">
        <is>
          <t>28000.00000000</t>
        </is>
      </c>
      <c r="G351" t="inlineStr">
        <is>
          <t>104.265300</t>
        </is>
      </c>
      <c r="H351" t="inlineStr">
        <is>
          <t>29194.28</t>
        </is>
      </c>
      <c r="I351" t="inlineStr">
        <is>
          <t>0.53%</t>
        </is>
      </c>
      <c r="J351" t="inlineStr">
        <is>
          <t>5506974.00</t>
        </is>
      </c>
      <c r="K351" t="inlineStr">
        <is>
          <t>220000</t>
        </is>
      </c>
      <c r="L351" t="inlineStr">
        <is>
          <t>22.000000000000</t>
        </is>
      </c>
      <c r="M351" t="inlineStr"/>
    </row>
    <row r="352">
      <c r="A352" t="inlineStr">
        <is>
          <t>06/25/2026</t>
        </is>
      </c>
      <c r="B352" t="inlineStr">
        <is>
          <t>CHYG</t>
        </is>
      </c>
      <c r="C352" s="1" t="inlineStr">
        <is>
          <t>398905AN9</t>
        </is>
      </c>
      <c r="D352" s="1" t="inlineStr">
        <is>
          <t>398905AN9</t>
        </is>
      </c>
      <c r="E352" t="inlineStr">
        <is>
          <t>Group 1 Automotive Inc 4% 08/15/2028</t>
        </is>
      </c>
      <c r="F352" t="inlineStr">
        <is>
          <t>31000.00000000</t>
        </is>
      </c>
      <c r="G352" t="inlineStr">
        <is>
          <t>97.278230</t>
        </is>
      </c>
      <c r="H352" t="inlineStr">
        <is>
          <t>30156.25</t>
        </is>
      </c>
      <c r="I352" t="inlineStr">
        <is>
          <t>0.55%</t>
        </is>
      </c>
      <c r="J352" t="inlineStr">
        <is>
          <t>5506974.00</t>
        </is>
      </c>
      <c r="K352" t="inlineStr">
        <is>
          <t>220000</t>
        </is>
      </c>
      <c r="L352" t="inlineStr">
        <is>
          <t>22.000000000000</t>
        </is>
      </c>
      <c r="M352" t="inlineStr"/>
    </row>
    <row r="353">
      <c r="A353" t="inlineStr">
        <is>
          <t>06/25/2026</t>
        </is>
      </c>
      <c r="B353" t="inlineStr">
        <is>
          <t>CHYG</t>
        </is>
      </c>
      <c r="C353" s="1" t="inlineStr">
        <is>
          <t>402635AT3</t>
        </is>
      </c>
      <c r="D353" s="1" t="inlineStr">
        <is>
          <t>402635AT3</t>
        </is>
      </c>
      <c r="E353" t="inlineStr">
        <is>
          <t>Gulfport Energy Operating Corp 6.75% 09/01/2029</t>
        </is>
      </c>
      <c r="F353" t="inlineStr">
        <is>
          <t>25000.00000000</t>
        </is>
      </c>
      <c r="G353" t="inlineStr">
        <is>
          <t>101.828400</t>
        </is>
      </c>
      <c r="H353" t="inlineStr">
        <is>
          <t>25457.10</t>
        </is>
      </c>
      <c r="I353" t="inlineStr">
        <is>
          <t>0.46%</t>
        </is>
      </c>
      <c r="J353" t="inlineStr">
        <is>
          <t>5506974.00</t>
        </is>
      </c>
      <c r="K353" t="inlineStr">
        <is>
          <t>220000</t>
        </is>
      </c>
      <c r="L353" t="inlineStr">
        <is>
          <t>22.000000000000</t>
        </is>
      </c>
      <c r="M353" t="inlineStr"/>
    </row>
    <row r="354">
      <c r="A354" t="inlineStr">
        <is>
          <t>06/25/2026</t>
        </is>
      </c>
      <c r="B354" t="inlineStr">
        <is>
          <t>CHYG</t>
        </is>
      </c>
      <c r="C354" s="1" t="inlineStr">
        <is>
          <t>415858AC3</t>
        </is>
      </c>
      <c r="D354" s="1" t="inlineStr">
        <is>
          <t>415858AC3</t>
        </is>
      </c>
      <c r="E354" t="inlineStr">
        <is>
          <t>Harrow Inc 8.625% 09/15/2030</t>
        </is>
      </c>
      <c r="F354" t="inlineStr">
        <is>
          <t>28000.00000000</t>
        </is>
      </c>
      <c r="G354" t="inlineStr">
        <is>
          <t>102.278500</t>
        </is>
      </c>
      <c r="H354" t="inlineStr">
        <is>
          <t>28637.98</t>
        </is>
      </c>
      <c r="I354" t="inlineStr">
        <is>
          <t>0.52%</t>
        </is>
      </c>
      <c r="J354" t="inlineStr">
        <is>
          <t>5506974.00</t>
        </is>
      </c>
      <c r="K354" t="inlineStr">
        <is>
          <t>220000</t>
        </is>
      </c>
      <c r="L354" t="inlineStr">
        <is>
          <t>22.000000000000</t>
        </is>
      </c>
      <c r="M354" t="inlineStr"/>
    </row>
    <row r="355">
      <c r="A355" t="inlineStr">
        <is>
          <t>06/25/2026</t>
        </is>
      </c>
      <c r="B355" t="inlineStr">
        <is>
          <t>CHYG</t>
        </is>
      </c>
      <c r="C355" s="1" t="inlineStr">
        <is>
          <t>42704LAE4</t>
        </is>
      </c>
      <c r="D355" s="1" t="inlineStr">
        <is>
          <t>42704LAE4</t>
        </is>
      </c>
      <c r="E355" t="inlineStr">
        <is>
          <t>Herc Holdings Inc 6.625% 06/15/2029</t>
        </is>
      </c>
      <c r="F355" t="inlineStr">
        <is>
          <t>26000.00000000</t>
        </is>
      </c>
      <c r="G355" t="inlineStr">
        <is>
          <t>102.249500</t>
        </is>
      </c>
      <c r="H355" t="inlineStr">
        <is>
          <t>26584.87</t>
        </is>
      </c>
      <c r="I355" t="inlineStr">
        <is>
          <t>0.48%</t>
        </is>
      </c>
      <c r="J355" t="inlineStr">
        <is>
          <t>5506974.00</t>
        </is>
      </c>
      <c r="K355" t="inlineStr">
        <is>
          <t>220000</t>
        </is>
      </c>
      <c r="L355" t="inlineStr">
        <is>
          <t>22.000000000000</t>
        </is>
      </c>
      <c r="M355" t="inlineStr"/>
    </row>
    <row r="356">
      <c r="A356" t="inlineStr">
        <is>
          <t>06/25/2026</t>
        </is>
      </c>
      <c r="B356" t="inlineStr">
        <is>
          <t>CHYG</t>
        </is>
      </c>
      <c r="C356" s="1" t="inlineStr">
        <is>
          <t>43118DAB6</t>
        </is>
      </c>
      <c r="D356" s="1" t="inlineStr">
        <is>
          <t>43118DAB6</t>
        </is>
      </c>
      <c r="E356" t="inlineStr">
        <is>
          <t>Hightower Holding LLC 9.125% 01/31/2030</t>
        </is>
      </c>
      <c r="F356" t="inlineStr">
        <is>
          <t>27000.00000000</t>
        </is>
      </c>
      <c r="G356" t="inlineStr">
        <is>
          <t>104.097700</t>
        </is>
      </c>
      <c r="H356" t="inlineStr">
        <is>
          <t>28106.38</t>
        </is>
      </c>
      <c r="I356" t="inlineStr">
        <is>
          <t>0.51%</t>
        </is>
      </c>
      <c r="J356" t="inlineStr">
        <is>
          <t>5506974.00</t>
        </is>
      </c>
      <c r="K356" t="inlineStr">
        <is>
          <t>220000</t>
        </is>
      </c>
      <c r="L356" t="inlineStr">
        <is>
          <t>22.000000000000</t>
        </is>
      </c>
      <c r="M356" t="inlineStr"/>
    </row>
    <row r="357">
      <c r="A357" t="inlineStr">
        <is>
          <t>06/25/2026</t>
        </is>
      </c>
      <c r="B357" t="inlineStr">
        <is>
          <t>CHYG</t>
        </is>
      </c>
      <c r="C357" s="1" t="inlineStr">
        <is>
          <t>431318AU8</t>
        </is>
      </c>
      <c r="D357" s="1" t="inlineStr">
        <is>
          <t>431318AU8</t>
        </is>
      </c>
      <c r="E357" t="inlineStr">
        <is>
          <t>Hilcorp Energy I LP / Hilcorp Finance Co 5.75% 02/01/2029</t>
        </is>
      </c>
      <c r="F357" t="inlineStr">
        <is>
          <t>29000.00000000</t>
        </is>
      </c>
      <c r="G357" t="inlineStr">
        <is>
          <t>99.431540</t>
        </is>
      </c>
      <c r="H357" t="inlineStr">
        <is>
          <t>28835.15</t>
        </is>
      </c>
      <c r="I357" t="inlineStr">
        <is>
          <t>0.52%</t>
        </is>
      </c>
      <c r="J357" t="inlineStr">
        <is>
          <t>5506974.00</t>
        </is>
      </c>
      <c r="K357" t="inlineStr">
        <is>
          <t>220000</t>
        </is>
      </c>
      <c r="L357" t="inlineStr">
        <is>
          <t>22.000000000000</t>
        </is>
      </c>
      <c r="M357" t="inlineStr"/>
    </row>
    <row r="358">
      <c r="A358" t="inlineStr">
        <is>
          <t>06/25/2026</t>
        </is>
      </c>
      <c r="B358" t="inlineStr">
        <is>
          <t>CHYG</t>
        </is>
      </c>
      <c r="C358" s="1" t="inlineStr">
        <is>
          <t>44287GAA4</t>
        </is>
      </c>
      <c r="D358" s="1" t="inlineStr">
        <is>
          <t>44287GAA4</t>
        </is>
      </c>
      <c r="E358" t="inlineStr">
        <is>
          <t>Howden UK Refinance PLC / Howden UK Refinance 2 PLC / Howden US Refinance LLC 7.25% 02/15/2031</t>
        </is>
      </c>
      <c r="F358" t="inlineStr">
        <is>
          <t>30000.00000000</t>
        </is>
      </c>
      <c r="G358" t="inlineStr">
        <is>
          <t>97.849470</t>
        </is>
      </c>
      <c r="H358" t="inlineStr">
        <is>
          <t>29354.84</t>
        </is>
      </c>
      <c r="I358" t="inlineStr">
        <is>
          <t>0.53%</t>
        </is>
      </c>
      <c r="J358" t="inlineStr">
        <is>
          <t>5506974.00</t>
        </is>
      </c>
      <c r="K358" t="inlineStr">
        <is>
          <t>220000</t>
        </is>
      </c>
      <c r="L358" t="inlineStr">
        <is>
          <t>22.000000000000</t>
        </is>
      </c>
      <c r="M358" t="inlineStr"/>
    </row>
    <row r="359">
      <c r="A359" t="inlineStr">
        <is>
          <t>06/25/2026</t>
        </is>
      </c>
      <c r="B359" t="inlineStr">
        <is>
          <t>CHYG</t>
        </is>
      </c>
      <c r="C359" s="1" t="inlineStr">
        <is>
          <t>44332PAH4</t>
        </is>
      </c>
      <c r="D359" s="1" t="inlineStr">
        <is>
          <t>44332PAH4</t>
        </is>
      </c>
      <c r="E359" t="inlineStr">
        <is>
          <t>HUB International Ltd 7.25% 06/15/2030</t>
        </is>
      </c>
      <c r="F359" t="inlineStr">
        <is>
          <t>26000.00000000</t>
        </is>
      </c>
      <c r="G359" t="inlineStr">
        <is>
          <t>102.718600</t>
        </is>
      </c>
      <c r="H359" t="inlineStr">
        <is>
          <t>26706.84</t>
        </is>
      </c>
      <c r="I359" t="inlineStr">
        <is>
          <t>0.48%</t>
        </is>
      </c>
      <c r="J359" t="inlineStr">
        <is>
          <t>5506974.00</t>
        </is>
      </c>
      <c r="K359" t="inlineStr">
        <is>
          <t>220000</t>
        </is>
      </c>
      <c r="L359" t="inlineStr">
        <is>
          <t>22.000000000000</t>
        </is>
      </c>
      <c r="M359" t="inlineStr"/>
    </row>
    <row r="360">
      <c r="A360" t="inlineStr">
        <is>
          <t>06/25/2026</t>
        </is>
      </c>
      <c r="B360" t="inlineStr">
        <is>
          <t>CHYG</t>
        </is>
      </c>
      <c r="C360" s="1" t="inlineStr">
        <is>
          <t>44701QBE1</t>
        </is>
      </c>
      <c r="D360" s="1" t="inlineStr">
        <is>
          <t>44701QBE1</t>
        </is>
      </c>
      <c r="E360" t="inlineStr">
        <is>
          <t>Huntsman International LLC 4.5% 05/01/2029</t>
        </is>
      </c>
      <c r="F360" t="inlineStr">
        <is>
          <t>26000.00000000</t>
        </is>
      </c>
      <c r="G360" t="inlineStr">
        <is>
          <t>98.378142</t>
        </is>
      </c>
      <c r="H360" t="inlineStr">
        <is>
          <t>25578.32</t>
        </is>
      </c>
      <c r="I360" t="inlineStr">
        <is>
          <t>0.46%</t>
        </is>
      </c>
      <c r="J360" t="inlineStr">
        <is>
          <t>5506974.00</t>
        </is>
      </c>
      <c r="K360" t="inlineStr">
        <is>
          <t>220000</t>
        </is>
      </c>
      <c r="L360" t="inlineStr">
        <is>
          <t>22.000000000000</t>
        </is>
      </c>
      <c r="M360" t="inlineStr"/>
    </row>
    <row r="361">
      <c r="A361" t="inlineStr">
        <is>
          <t>06/25/2026</t>
        </is>
      </c>
      <c r="B361" t="inlineStr">
        <is>
          <t>CHYG</t>
        </is>
      </c>
      <c r="C361" s="1" t="inlineStr">
        <is>
          <t>449691AC8</t>
        </is>
      </c>
      <c r="D361" s="1" t="inlineStr">
        <is>
          <t>449691AC8</t>
        </is>
      </c>
      <c r="E361" t="inlineStr">
        <is>
          <t>Iliad Holding SAS 7% 10/15/2028</t>
        </is>
      </c>
      <c r="F361" t="inlineStr">
        <is>
          <t>29000.00000000</t>
        </is>
      </c>
      <c r="G361" t="inlineStr">
        <is>
          <t>100.563300</t>
        </is>
      </c>
      <c r="H361" t="inlineStr">
        <is>
          <t>29163.36</t>
        </is>
      </c>
      <c r="I361" t="inlineStr">
        <is>
          <t>0.53%</t>
        </is>
      </c>
      <c r="J361" t="inlineStr">
        <is>
          <t>5506974.00</t>
        </is>
      </c>
      <c r="K361" t="inlineStr">
        <is>
          <t>220000</t>
        </is>
      </c>
      <c r="L361" t="inlineStr">
        <is>
          <t>22.000000000000</t>
        </is>
      </c>
      <c r="M361" t="inlineStr"/>
    </row>
    <row r="362">
      <c r="A362" t="inlineStr">
        <is>
          <t>06/25/2026</t>
        </is>
      </c>
      <c r="B362" t="inlineStr">
        <is>
          <t>CHYG</t>
        </is>
      </c>
      <c r="C362" s="1" t="inlineStr">
        <is>
          <t>45074JAA2</t>
        </is>
      </c>
      <c r="D362" s="1" t="inlineStr">
        <is>
          <t>45074JAA2</t>
        </is>
      </c>
      <c r="E362" t="inlineStr">
        <is>
          <t>ITT Holdings LLC 6.5% 08/01/2029</t>
        </is>
      </c>
      <c r="F362" t="inlineStr">
        <is>
          <t>30000.00000000</t>
        </is>
      </c>
      <c r="G362" t="inlineStr">
        <is>
          <t>99.140110</t>
        </is>
      </c>
      <c r="H362" t="inlineStr">
        <is>
          <t>29742.03</t>
        </is>
      </c>
      <c r="I362" t="inlineStr">
        <is>
          <t>0.54%</t>
        </is>
      </c>
      <c r="J362" t="inlineStr">
        <is>
          <t>5506974.00</t>
        </is>
      </c>
      <c r="K362" t="inlineStr">
        <is>
          <t>220000</t>
        </is>
      </c>
      <c r="L362" t="inlineStr">
        <is>
          <t>22.000000000000</t>
        </is>
      </c>
      <c r="M362" t="inlineStr"/>
    </row>
    <row r="363">
      <c r="A363" t="inlineStr">
        <is>
          <t>06/25/2026</t>
        </is>
      </c>
      <c r="B363" t="inlineStr">
        <is>
          <t>CHYG</t>
        </is>
      </c>
      <c r="C363" s="1" t="inlineStr">
        <is>
          <t>45174HBJ5</t>
        </is>
      </c>
      <c r="D363" s="1" t="inlineStr">
        <is>
          <t>45174HBJ5</t>
        </is>
      </c>
      <c r="E363" t="inlineStr">
        <is>
          <t>iHeartCommunications Inc 9.125% 05/01/2029</t>
        </is>
      </c>
      <c r="F363" t="inlineStr">
        <is>
          <t>30000.00000000</t>
        </is>
      </c>
      <c r="G363" t="inlineStr">
        <is>
          <t>97.083000</t>
        </is>
      </c>
      <c r="H363" t="inlineStr">
        <is>
          <t>29124.90</t>
        </is>
      </c>
      <c r="I363" t="inlineStr">
        <is>
          <t>0.53%</t>
        </is>
      </c>
      <c r="J363" t="inlineStr">
        <is>
          <t>5506974.00</t>
        </is>
      </c>
      <c r="K363" t="inlineStr">
        <is>
          <t>220000</t>
        </is>
      </c>
      <c r="L363" t="inlineStr">
        <is>
          <t>22.000000000000</t>
        </is>
      </c>
      <c r="M363" t="inlineStr"/>
    </row>
    <row r="364">
      <c r="A364" t="inlineStr">
        <is>
          <t>06/25/2026</t>
        </is>
      </c>
      <c r="B364" t="inlineStr">
        <is>
          <t>CHYG</t>
        </is>
      </c>
      <c r="C364" s="1" t="inlineStr">
        <is>
          <t>45258LAA5</t>
        </is>
      </c>
      <c r="D364" s="1" t="inlineStr">
        <is>
          <t>45258LAA5</t>
        </is>
      </c>
      <c r="E364" t="inlineStr">
        <is>
          <t>Ingram Micro Inc 4.75% 05/15/2029</t>
        </is>
      </c>
      <c r="F364" t="inlineStr">
        <is>
          <t>31000.00000000</t>
        </is>
      </c>
      <c r="G364" t="inlineStr">
        <is>
          <t>98.062906</t>
        </is>
      </c>
      <c r="H364" t="inlineStr">
        <is>
          <t>30399.50</t>
        </is>
      </c>
      <c r="I364" t="inlineStr">
        <is>
          <t>0.55%</t>
        </is>
      </c>
      <c r="J364" t="inlineStr">
        <is>
          <t>5506974.00</t>
        </is>
      </c>
      <c r="K364" t="inlineStr">
        <is>
          <t>220000</t>
        </is>
      </c>
      <c r="L364" t="inlineStr">
        <is>
          <t>22.000000000000</t>
        </is>
      </c>
      <c r="M364" t="inlineStr"/>
    </row>
    <row r="365">
      <c r="A365" t="inlineStr">
        <is>
          <t>06/25/2026</t>
        </is>
      </c>
      <c r="B365" t="inlineStr">
        <is>
          <t>CHYG</t>
        </is>
      </c>
      <c r="C365" s="1" t="inlineStr">
        <is>
          <t>46284VAF8</t>
        </is>
      </c>
      <c r="D365" s="1" t="inlineStr">
        <is>
          <t>46284VAF8</t>
        </is>
      </c>
      <c r="E365" t="inlineStr">
        <is>
          <t>Iron Mountain Inc 4.875% 09/15/2029</t>
        </is>
      </c>
      <c r="F365" t="inlineStr">
        <is>
          <t>30000.00000000</t>
        </is>
      </c>
      <c r="G365" t="inlineStr">
        <is>
          <t>97.859790</t>
        </is>
      </c>
      <c r="H365" t="inlineStr">
        <is>
          <t>29357.94</t>
        </is>
      </c>
      <c r="I365" t="inlineStr">
        <is>
          <t>0.53%</t>
        </is>
      </c>
      <c r="J365" t="inlineStr">
        <is>
          <t>5506974.00</t>
        </is>
      </c>
      <c r="K365" t="inlineStr">
        <is>
          <t>220000</t>
        </is>
      </c>
      <c r="L365" t="inlineStr">
        <is>
          <t>22.000000000000</t>
        </is>
      </c>
      <c r="M365" t="inlineStr"/>
    </row>
    <row r="366">
      <c r="A366" t="inlineStr">
        <is>
          <t>06/25/2026</t>
        </is>
      </c>
      <c r="B366" t="inlineStr">
        <is>
          <t>CHYG</t>
        </is>
      </c>
      <c r="C366" s="1" t="inlineStr">
        <is>
          <t>469815AK0</t>
        </is>
      </c>
      <c r="D366" s="1" t="inlineStr">
        <is>
          <t>469815AK0</t>
        </is>
      </c>
      <c r="E366" t="inlineStr">
        <is>
          <t>Jacobs Entertainment Inc 6.75% 02/15/2029</t>
        </is>
      </c>
      <c r="F366" t="inlineStr">
        <is>
          <t>25000.00000000</t>
        </is>
      </c>
      <c r="G366" t="inlineStr">
        <is>
          <t>98.255250</t>
        </is>
      </c>
      <c r="H366" t="inlineStr">
        <is>
          <t>24563.81</t>
        </is>
      </c>
      <c r="I366" t="inlineStr">
        <is>
          <t>0.45%</t>
        </is>
      </c>
      <c r="J366" t="inlineStr">
        <is>
          <t>5506974.00</t>
        </is>
      </c>
      <c r="K366" t="inlineStr">
        <is>
          <t>220000</t>
        </is>
      </c>
      <c r="L366" t="inlineStr">
        <is>
          <t>22.000000000000</t>
        </is>
      </c>
      <c r="M366" t="inlineStr"/>
    </row>
    <row r="367">
      <c r="A367" t="inlineStr">
        <is>
          <t>06/25/2026</t>
        </is>
      </c>
      <c r="B367" t="inlineStr">
        <is>
          <t>CHYG</t>
        </is>
      </c>
      <c r="C367" s="1" t="inlineStr">
        <is>
          <t>47077WAC2</t>
        </is>
      </c>
      <c r="D367" s="1" t="inlineStr">
        <is>
          <t>47077WAC2</t>
        </is>
      </c>
      <c r="E367" t="inlineStr">
        <is>
          <t>Jane Street Group / JSG Finance Inc 7.125% 04/30/2031</t>
        </is>
      </c>
      <c r="F367" t="inlineStr">
        <is>
          <t>29000.00000000</t>
        </is>
      </c>
      <c r="G367" t="inlineStr">
        <is>
          <t>103.354400</t>
        </is>
      </c>
      <c r="H367" t="inlineStr">
        <is>
          <t>29972.78</t>
        </is>
      </c>
      <c r="I367" t="inlineStr">
        <is>
          <t>0.54%</t>
        </is>
      </c>
      <c r="J367" t="inlineStr">
        <is>
          <t>5506974.00</t>
        </is>
      </c>
      <c r="K367" t="inlineStr">
        <is>
          <t>220000</t>
        </is>
      </c>
      <c r="L367" t="inlineStr">
        <is>
          <t>22.000000000000</t>
        </is>
      </c>
      <c r="M367" t="inlineStr"/>
    </row>
    <row r="368">
      <c r="A368" t="inlineStr">
        <is>
          <t>06/25/2026</t>
        </is>
      </c>
      <c r="B368" t="inlineStr">
        <is>
          <t>CHYG</t>
        </is>
      </c>
      <c r="C368" s="1" t="inlineStr">
        <is>
          <t>472481AC4</t>
        </is>
      </c>
      <c r="D368" s="1" t="inlineStr">
        <is>
          <t>472481AC4</t>
        </is>
      </c>
      <c r="E368" t="inlineStr">
        <is>
          <t>Jefferson Capital Holdings LLC 8.25% 05/15/2030</t>
        </is>
      </c>
      <c r="F368" t="inlineStr">
        <is>
          <t>29000.00000000</t>
        </is>
      </c>
      <c r="G368" t="inlineStr">
        <is>
          <t>105.398700</t>
        </is>
      </c>
      <c r="H368" t="inlineStr">
        <is>
          <t>30565.62</t>
        </is>
      </c>
      <c r="I368" t="inlineStr">
        <is>
          <t>0.56%</t>
        </is>
      </c>
      <c r="J368" t="inlineStr">
        <is>
          <t>5506974.00</t>
        </is>
      </c>
      <c r="K368" t="inlineStr">
        <is>
          <t>220000</t>
        </is>
      </c>
      <c r="L368" t="inlineStr">
        <is>
          <t>22.000000000000</t>
        </is>
      </c>
      <c r="M368" t="inlineStr"/>
    </row>
    <row r="369">
      <c r="A369" t="inlineStr">
        <is>
          <t>06/25/2026</t>
        </is>
      </c>
      <c r="B369" t="inlineStr">
        <is>
          <t>CHYG</t>
        </is>
      </c>
      <c r="C369" s="1" t="inlineStr">
        <is>
          <t>48020RAB1</t>
        </is>
      </c>
      <c r="D369" s="1" t="inlineStr">
        <is>
          <t>48020RAB1</t>
        </is>
      </c>
      <c r="E369" t="inlineStr">
        <is>
          <t>Jones Deslauriers Insurance Management Inc 8.5% 03/15/2030</t>
        </is>
      </c>
      <c r="F369" t="inlineStr">
        <is>
          <t>23000.00000000</t>
        </is>
      </c>
      <c r="G369" t="inlineStr">
        <is>
          <t>102.350100</t>
        </is>
      </c>
      <c r="H369" t="inlineStr">
        <is>
          <t>23540.52</t>
        </is>
      </c>
      <c r="I369" t="inlineStr">
        <is>
          <t>0.43%</t>
        </is>
      </c>
      <c r="J369" t="inlineStr">
        <is>
          <t>5506974.00</t>
        </is>
      </c>
      <c r="K369" t="inlineStr">
        <is>
          <t>220000</t>
        </is>
      </c>
      <c r="L369" t="inlineStr">
        <is>
          <t>22.000000000000</t>
        </is>
      </c>
      <c r="M369" t="inlineStr"/>
    </row>
    <row r="370">
      <c r="A370" t="inlineStr">
        <is>
          <t>06/25/2026</t>
        </is>
      </c>
      <c r="B370" t="inlineStr">
        <is>
          <t>CHYG</t>
        </is>
      </c>
      <c r="C370" s="1" t="inlineStr">
        <is>
          <t>48250NAC9</t>
        </is>
      </c>
      <c r="D370" s="1" t="inlineStr">
        <is>
          <t>48250NAC9</t>
        </is>
      </c>
      <c r="E370" t="inlineStr">
        <is>
          <t>KFC Holding Co/Pizza Hut Holdings LLC/Taco Bell of America LLC 4.75% 06/01/2027</t>
        </is>
      </c>
      <c r="F370" t="inlineStr">
        <is>
          <t>25000.00000000</t>
        </is>
      </c>
      <c r="G370" t="inlineStr">
        <is>
          <t>99.902750</t>
        </is>
      </c>
      <c r="H370" t="inlineStr">
        <is>
          <t>24975.69</t>
        </is>
      </c>
      <c r="I370" t="inlineStr">
        <is>
          <t>0.45%</t>
        </is>
      </c>
      <c r="J370" t="inlineStr">
        <is>
          <t>5506974.00</t>
        </is>
      </c>
      <c r="K370" t="inlineStr">
        <is>
          <t>220000</t>
        </is>
      </c>
      <c r="L370" t="inlineStr">
        <is>
          <t>22.000000000000</t>
        </is>
      </c>
      <c r="M370" t="inlineStr"/>
    </row>
    <row r="371">
      <c r="A371" t="inlineStr">
        <is>
          <t>06/25/2026</t>
        </is>
      </c>
      <c r="B371" t="inlineStr">
        <is>
          <t>CHYG</t>
        </is>
      </c>
      <c r="C371" s="1" t="inlineStr">
        <is>
          <t>49461MAB6</t>
        </is>
      </c>
      <c r="D371" s="1" t="inlineStr">
        <is>
          <t>49461MAB6</t>
        </is>
      </c>
      <c r="E371" t="inlineStr">
        <is>
          <t>Kinetik Holdings LP 6.625% 12/15/2028</t>
        </is>
      </c>
      <c r="F371" t="inlineStr">
        <is>
          <t>26000.00000000</t>
        </is>
      </c>
      <c r="G371" t="inlineStr">
        <is>
          <t>101.759100</t>
        </is>
      </c>
      <c r="H371" t="inlineStr">
        <is>
          <t>26457.37</t>
        </is>
      </c>
      <c r="I371" t="inlineStr">
        <is>
          <t>0.48%</t>
        </is>
      </c>
      <c r="J371" t="inlineStr">
        <is>
          <t>5506974.00</t>
        </is>
      </c>
      <c r="K371" t="inlineStr">
        <is>
          <t>220000</t>
        </is>
      </c>
      <c r="L371" t="inlineStr">
        <is>
          <t>22.000000000000</t>
        </is>
      </c>
      <c r="M371" t="inlineStr"/>
    </row>
    <row r="372">
      <c r="A372" t="inlineStr">
        <is>
          <t>06/25/2026</t>
        </is>
      </c>
      <c r="B372" t="inlineStr">
        <is>
          <t>CHYG</t>
        </is>
      </c>
      <c r="C372" s="1" t="inlineStr">
        <is>
          <t>50067PAA7</t>
        </is>
      </c>
      <c r="D372" s="1" t="inlineStr">
        <is>
          <t>50067PAA7</t>
        </is>
      </c>
      <c r="E372" t="inlineStr">
        <is>
          <t>Korn Ferry 4.625% 12/15/2027</t>
        </is>
      </c>
      <c r="F372" t="inlineStr">
        <is>
          <t>30000.00000000</t>
        </is>
      </c>
      <c r="G372" t="inlineStr">
        <is>
          <t>99.744410</t>
        </is>
      </c>
      <c r="H372" t="inlineStr">
        <is>
          <t>29923.32</t>
        </is>
      </c>
      <c r="I372" t="inlineStr">
        <is>
          <t>0.54%</t>
        </is>
      </c>
      <c r="J372" t="inlineStr">
        <is>
          <t>5506974.00</t>
        </is>
      </c>
      <c r="K372" t="inlineStr">
        <is>
          <t>220000</t>
        </is>
      </c>
      <c r="L372" t="inlineStr">
        <is>
          <t>22.000000000000</t>
        </is>
      </c>
      <c r="M372" t="inlineStr"/>
    </row>
    <row r="373">
      <c r="A373" t="inlineStr">
        <is>
          <t>06/25/2026</t>
        </is>
      </c>
      <c r="B373" t="inlineStr">
        <is>
          <t>CHYG</t>
        </is>
      </c>
      <c r="C373" s="1" t="inlineStr">
        <is>
          <t>501797AN4</t>
        </is>
      </c>
      <c r="D373" s="1" t="inlineStr">
        <is>
          <t>501797AN4</t>
        </is>
      </c>
      <c r="E373" t="inlineStr">
        <is>
          <t>Bath &amp; Body Works Inc 5.25% 02/01/2028</t>
        </is>
      </c>
      <c r="F373" t="inlineStr">
        <is>
          <t>29000.00000000</t>
        </is>
      </c>
      <c r="G373" t="inlineStr">
        <is>
          <t>99.876400</t>
        </is>
      </c>
      <c r="H373" t="inlineStr">
        <is>
          <t>28964.16</t>
        </is>
      </c>
      <c r="I373" t="inlineStr">
        <is>
          <t>0.53%</t>
        </is>
      </c>
      <c r="J373" t="inlineStr">
        <is>
          <t>5506974.00</t>
        </is>
      </c>
      <c r="K373" t="inlineStr">
        <is>
          <t>220000</t>
        </is>
      </c>
      <c r="L373" t="inlineStr">
        <is>
          <t>22.000000000000</t>
        </is>
      </c>
      <c r="M373" t="inlineStr"/>
    </row>
    <row r="374">
      <c r="A374" t="inlineStr">
        <is>
          <t>06/25/2026</t>
        </is>
      </c>
      <c r="B374" t="inlineStr">
        <is>
          <t>CHYG</t>
        </is>
      </c>
      <c r="C374" s="1" t="inlineStr">
        <is>
          <t>502160AN4</t>
        </is>
      </c>
      <c r="D374" s="1" t="inlineStr">
        <is>
          <t>502160AN4</t>
        </is>
      </c>
      <c r="E374" t="inlineStr">
        <is>
          <t>LSB Industries Inc 6.25% 10/15/2028</t>
        </is>
      </c>
      <c r="F374" t="inlineStr">
        <is>
          <t>29000.00000000</t>
        </is>
      </c>
      <c r="G374" t="inlineStr">
        <is>
          <t>99.889080</t>
        </is>
      </c>
      <c r="H374" t="inlineStr">
        <is>
          <t>28967.83</t>
        </is>
      </c>
      <c r="I374" t="inlineStr">
        <is>
          <t>0.53%</t>
        </is>
      </c>
      <c r="J374" t="inlineStr">
        <is>
          <t>5506974.00</t>
        </is>
      </c>
      <c r="K374" t="inlineStr">
        <is>
          <t>220000</t>
        </is>
      </c>
      <c r="L374" t="inlineStr">
        <is>
          <t>22.000000000000</t>
        </is>
      </c>
      <c r="M374" t="inlineStr"/>
    </row>
    <row r="375">
      <c r="A375" t="inlineStr">
        <is>
          <t>06/25/2026</t>
        </is>
      </c>
      <c r="B375" t="inlineStr">
        <is>
          <t>CHYG</t>
        </is>
      </c>
      <c r="C375" s="1" t="inlineStr">
        <is>
          <t>513075BZ3</t>
        </is>
      </c>
      <c r="D375" s="1" t="inlineStr">
        <is>
          <t>513075BZ3</t>
        </is>
      </c>
      <c r="E375" t="inlineStr">
        <is>
          <t>Lamar Media Corp 3.625% 01/15/2031</t>
        </is>
      </c>
      <c r="F375" t="inlineStr">
        <is>
          <t>31000.00000000</t>
        </is>
      </c>
      <c r="G375" t="inlineStr">
        <is>
          <t>93.183310</t>
        </is>
      </c>
      <c r="H375" t="inlineStr">
        <is>
          <t>28886.83</t>
        </is>
      </c>
      <c r="I375" t="inlineStr">
        <is>
          <t>0.52%</t>
        </is>
      </c>
      <c r="J375" t="inlineStr">
        <is>
          <t>5506974.00</t>
        </is>
      </c>
      <c r="K375" t="inlineStr">
        <is>
          <t>220000</t>
        </is>
      </c>
      <c r="L375" t="inlineStr">
        <is>
          <t>22.000000000000</t>
        </is>
      </c>
      <c r="M375" t="inlineStr"/>
    </row>
    <row r="376">
      <c r="A376" t="inlineStr">
        <is>
          <t>06/25/2026</t>
        </is>
      </c>
      <c r="B376" t="inlineStr">
        <is>
          <t>CHYG</t>
        </is>
      </c>
      <c r="C376" s="1" t="inlineStr">
        <is>
          <t>536797AJ2</t>
        </is>
      </c>
      <c r="D376" s="1" t="inlineStr">
        <is>
          <t>536797AJ2</t>
        </is>
      </c>
      <c r="E376" t="inlineStr">
        <is>
          <t>Lithia Motors Inc 5.5% 10/01/2030</t>
        </is>
      </c>
      <c r="F376" t="inlineStr">
        <is>
          <t>29000.00000000</t>
        </is>
      </c>
      <c r="G376" t="inlineStr">
        <is>
          <t>98.705154</t>
        </is>
      </c>
      <c r="H376" t="inlineStr">
        <is>
          <t>28624.49</t>
        </is>
      </c>
      <c r="I376" t="inlineStr">
        <is>
          <t>0.52%</t>
        </is>
      </c>
      <c r="J376" t="inlineStr">
        <is>
          <t>5506974.00</t>
        </is>
      </c>
      <c r="K376" t="inlineStr">
        <is>
          <t>220000</t>
        </is>
      </c>
      <c r="L376" t="inlineStr">
        <is>
          <t>22.000000000000</t>
        </is>
      </c>
      <c r="M376" t="inlineStr"/>
    </row>
    <row r="377">
      <c r="A377" t="inlineStr">
        <is>
          <t>06/25/2026</t>
        </is>
      </c>
      <c r="B377" t="inlineStr">
        <is>
          <t>CHYG</t>
        </is>
      </c>
      <c r="C377" s="1" t="inlineStr">
        <is>
          <t>538034AV1</t>
        </is>
      </c>
      <c r="D377" s="1" t="inlineStr">
        <is>
          <t>538034AV1</t>
        </is>
      </c>
      <c r="E377" t="inlineStr">
        <is>
          <t>Live Nation Entertainment Inc 6.5% 05/15/2027</t>
        </is>
      </c>
      <c r="F377" t="inlineStr">
        <is>
          <t>25000.00000000</t>
        </is>
      </c>
      <c r="G377" t="inlineStr">
        <is>
          <t>100.011431</t>
        </is>
      </c>
      <c r="H377" t="inlineStr">
        <is>
          <t>25002.86</t>
        </is>
      </c>
      <c r="I377" t="inlineStr">
        <is>
          <t>0.45%</t>
        </is>
      </c>
      <c r="J377" t="inlineStr">
        <is>
          <t>5506974.00</t>
        </is>
      </c>
      <c r="K377" t="inlineStr">
        <is>
          <t>220000</t>
        </is>
      </c>
      <c r="L377" t="inlineStr">
        <is>
          <t>22.000000000000</t>
        </is>
      </c>
      <c r="M377" t="inlineStr"/>
    </row>
    <row r="378">
      <c r="A378" t="inlineStr">
        <is>
          <t>06/25/2026</t>
        </is>
      </c>
      <c r="B378" t="inlineStr">
        <is>
          <t>CHYG</t>
        </is>
      </c>
      <c r="C378" s="1" t="inlineStr">
        <is>
          <t>552953CF6</t>
        </is>
      </c>
      <c r="D378" s="1" t="inlineStr">
        <is>
          <t>552953CF6</t>
        </is>
      </c>
      <c r="E378" t="inlineStr">
        <is>
          <t>MGM Resorts International 5.5% 04/15/2027</t>
        </is>
      </c>
      <c r="F378" t="inlineStr">
        <is>
          <t>27000.00000000</t>
        </is>
      </c>
      <c r="G378" t="inlineStr">
        <is>
          <t>100.170096</t>
        </is>
      </c>
      <c r="H378" t="inlineStr">
        <is>
          <t>27045.93</t>
        </is>
      </c>
      <c r="I378" t="inlineStr">
        <is>
          <t>0.49%</t>
        </is>
      </c>
      <c r="J378" t="inlineStr">
        <is>
          <t>5506974.00</t>
        </is>
      </c>
      <c r="K378" t="inlineStr">
        <is>
          <t>220000</t>
        </is>
      </c>
      <c r="L378" t="inlineStr">
        <is>
          <t>22.000000000000</t>
        </is>
      </c>
      <c r="M378" t="inlineStr"/>
    </row>
    <row r="379">
      <c r="A379" t="inlineStr">
        <is>
          <t>06/25/2026</t>
        </is>
      </c>
      <c r="B379" t="inlineStr">
        <is>
          <t>CHYG</t>
        </is>
      </c>
      <c r="C379" s="1" t="inlineStr">
        <is>
          <t>55342UAH7</t>
        </is>
      </c>
      <c r="D379" s="1" t="inlineStr">
        <is>
          <t>55342UAH7</t>
        </is>
      </c>
      <c r="E379" t="inlineStr">
        <is>
          <t>MPT Operating Partnership LP / MPT Finance Corp 5% 10/15/2027</t>
        </is>
      </c>
      <c r="F379" t="inlineStr">
        <is>
          <t>30000.00000000</t>
        </is>
      </c>
      <c r="G379" t="inlineStr">
        <is>
          <t>96.866510</t>
        </is>
      </c>
      <c r="H379" t="inlineStr">
        <is>
          <t>29059.95</t>
        </is>
      </c>
      <c r="I379" t="inlineStr">
        <is>
          <t>0.53%</t>
        </is>
      </c>
      <c r="J379" t="inlineStr">
        <is>
          <t>5506974.00</t>
        </is>
      </c>
      <c r="K379" t="inlineStr">
        <is>
          <t>220000</t>
        </is>
      </c>
      <c r="L379" t="inlineStr">
        <is>
          <t>22.000000000000</t>
        </is>
      </c>
      <c r="M379" t="inlineStr"/>
    </row>
    <row r="380">
      <c r="A380" t="inlineStr">
        <is>
          <t>06/25/2026</t>
        </is>
      </c>
      <c r="B380" t="inlineStr">
        <is>
          <t>CHYG</t>
        </is>
      </c>
      <c r="C380" s="1" t="inlineStr">
        <is>
          <t>56085RAA8</t>
        </is>
      </c>
      <c r="D380" s="1" t="inlineStr">
        <is>
          <t>56085RAA8</t>
        </is>
      </c>
      <c r="E380" t="inlineStr">
        <is>
          <t>MajorDrive Holdings IV LLC 6.375% 06/01/2029</t>
        </is>
      </c>
      <c r="F380" t="inlineStr">
        <is>
          <t>36000.00000000</t>
        </is>
      </c>
      <c r="G380" t="inlineStr">
        <is>
          <t>84.191470</t>
        </is>
      </c>
      <c r="H380" t="inlineStr">
        <is>
          <t>30308.93</t>
        </is>
      </c>
      <c r="I380" t="inlineStr">
        <is>
          <t>0.55%</t>
        </is>
      </c>
      <c r="J380" t="inlineStr">
        <is>
          <t>5506974.00</t>
        </is>
      </c>
      <c r="K380" t="inlineStr">
        <is>
          <t>220000</t>
        </is>
      </c>
      <c r="L380" t="inlineStr">
        <is>
          <t>22.000000000000</t>
        </is>
      </c>
      <c r="M380" t="inlineStr"/>
    </row>
    <row r="381">
      <c r="A381" t="inlineStr">
        <is>
          <t>06/25/2026</t>
        </is>
      </c>
      <c r="B381" t="inlineStr">
        <is>
          <t>CHYG</t>
        </is>
      </c>
      <c r="C381" s="1" t="inlineStr">
        <is>
          <t>57665RAJ5</t>
        </is>
      </c>
      <c r="D381" s="1" t="inlineStr">
        <is>
          <t>57665RAJ5</t>
        </is>
      </c>
      <c r="E381" t="inlineStr">
        <is>
          <t>Match Group Holdings II LLC 5.625% 02/15/2029</t>
        </is>
      </c>
      <c r="F381" t="inlineStr">
        <is>
          <t>30000.00000000</t>
        </is>
      </c>
      <c r="G381" t="inlineStr">
        <is>
          <t>99.688620</t>
        </is>
      </c>
      <c r="H381" t="inlineStr">
        <is>
          <t>29906.59</t>
        </is>
      </c>
      <c r="I381" t="inlineStr">
        <is>
          <t>0.54%</t>
        </is>
      </c>
      <c r="J381" t="inlineStr">
        <is>
          <t>5506974.00</t>
        </is>
      </c>
      <c r="K381" t="inlineStr">
        <is>
          <t>220000</t>
        </is>
      </c>
      <c r="L381" t="inlineStr">
        <is>
          <t>22.000000000000</t>
        </is>
      </c>
      <c r="M381" t="inlineStr"/>
    </row>
    <row r="382">
      <c r="A382" t="inlineStr">
        <is>
          <t>06/25/2026</t>
        </is>
      </c>
      <c r="B382" t="inlineStr">
        <is>
          <t>CHYG</t>
        </is>
      </c>
      <c r="C382" s="1" t="inlineStr">
        <is>
          <t>57763RAF4</t>
        </is>
      </c>
      <c r="D382" s="1" t="inlineStr">
        <is>
          <t>57763RAF4</t>
        </is>
      </c>
      <c r="E382" t="inlineStr">
        <is>
          <t>Mauser Packaging Solutions Holding Co 9.25% 04/15/2030</t>
        </is>
      </c>
      <c r="F382" t="inlineStr">
        <is>
          <t>26000.00000000</t>
        </is>
      </c>
      <c r="G382" t="inlineStr">
        <is>
          <t>98.401910</t>
        </is>
      </c>
      <c r="H382" t="inlineStr">
        <is>
          <t>25584.50</t>
        </is>
      </c>
      <c r="I382" t="inlineStr">
        <is>
          <t>0.46%</t>
        </is>
      </c>
      <c r="J382" t="inlineStr">
        <is>
          <t>5506974.00</t>
        </is>
      </c>
      <c r="K382" t="inlineStr">
        <is>
          <t>220000</t>
        </is>
      </c>
      <c r="L382" t="inlineStr">
        <is>
          <t>22.000000000000</t>
        </is>
      </c>
      <c r="M382" t="inlineStr"/>
    </row>
    <row r="383">
      <c r="A383" t="inlineStr">
        <is>
          <t>06/25/2026</t>
        </is>
      </c>
      <c r="B383" t="inlineStr">
        <is>
          <t>CHYG</t>
        </is>
      </c>
      <c r="C383" s="1" t="inlineStr">
        <is>
          <t>57779EAA6</t>
        </is>
      </c>
      <c r="D383" s="1" t="inlineStr">
        <is>
          <t>57779EAA6</t>
        </is>
      </c>
      <c r="E383" t="inlineStr">
        <is>
          <t>Maxim Crane Works Holdings Capital LLC 11.5% 09/01/2028</t>
        </is>
      </c>
      <c r="F383" t="inlineStr">
        <is>
          <t>27000.00000000</t>
        </is>
      </c>
      <c r="G383" t="inlineStr">
        <is>
          <t>104.066400</t>
        </is>
      </c>
      <c r="H383" t="inlineStr">
        <is>
          <t>28097.93</t>
        </is>
      </c>
      <c r="I383" t="inlineStr">
        <is>
          <t>0.51%</t>
        </is>
      </c>
      <c r="J383" t="inlineStr">
        <is>
          <t>5506974.00</t>
        </is>
      </c>
      <c r="K383" t="inlineStr">
        <is>
          <t>220000</t>
        </is>
      </c>
      <c r="L383" t="inlineStr">
        <is>
          <t>22.000000000000</t>
        </is>
      </c>
      <c r="M383" t="inlineStr"/>
    </row>
    <row r="384">
      <c r="A384" t="inlineStr">
        <is>
          <t>06/25/2026</t>
        </is>
      </c>
      <c r="B384" t="inlineStr">
        <is>
          <t>CHYG</t>
        </is>
      </c>
      <c r="C384" s="1" t="inlineStr">
        <is>
          <t>579063AB4</t>
        </is>
      </c>
      <c r="D384" s="1" t="inlineStr">
        <is>
          <t>579063AB4</t>
        </is>
      </c>
      <c r="E384" t="inlineStr">
        <is>
          <t>McAfee Corp 7.375% 02/15/2030</t>
        </is>
      </c>
      <c r="F384" t="inlineStr">
        <is>
          <t>34000.00000000</t>
        </is>
      </c>
      <c r="G384" t="inlineStr">
        <is>
          <t>85.078585</t>
        </is>
      </c>
      <c r="H384" t="inlineStr">
        <is>
          <t>28926.72</t>
        </is>
      </c>
      <c r="I384" t="inlineStr">
        <is>
          <t>0.53%</t>
        </is>
      </c>
      <c r="J384" t="inlineStr">
        <is>
          <t>5506974.00</t>
        </is>
      </c>
      <c r="K384" t="inlineStr">
        <is>
          <t>220000</t>
        </is>
      </c>
      <c r="L384" t="inlineStr">
        <is>
          <t>22.000000000000</t>
        </is>
      </c>
      <c r="M384" t="inlineStr"/>
    </row>
    <row r="385">
      <c r="A385" t="inlineStr">
        <is>
          <t>06/25/2026</t>
        </is>
      </c>
      <c r="B385" t="inlineStr">
        <is>
          <t>CHYG</t>
        </is>
      </c>
      <c r="C385" s="1" t="inlineStr">
        <is>
          <t>58502BAE6</t>
        </is>
      </c>
      <c r="D385" s="1" t="inlineStr">
        <is>
          <t>58502BAE6</t>
        </is>
      </c>
      <c r="E385" t="inlineStr">
        <is>
          <t>Pediatrix Medical Group Inc 5.375% 02/15/2030</t>
        </is>
      </c>
      <c r="F385" t="inlineStr">
        <is>
          <t>30000.00000000</t>
        </is>
      </c>
      <c r="G385" t="inlineStr">
        <is>
          <t>98.883490</t>
        </is>
      </c>
      <c r="H385" t="inlineStr">
        <is>
          <t>29665.05</t>
        </is>
      </c>
      <c r="I385" t="inlineStr">
        <is>
          <t>0.54%</t>
        </is>
      </c>
      <c r="J385" t="inlineStr">
        <is>
          <t>5506974.00</t>
        </is>
      </c>
      <c r="K385" t="inlineStr">
        <is>
          <t>220000</t>
        </is>
      </c>
      <c r="L385" t="inlineStr">
        <is>
          <t>22.000000000000</t>
        </is>
      </c>
      <c r="M385" t="inlineStr"/>
    </row>
    <row r="386">
      <c r="A386" t="inlineStr">
        <is>
          <t>06/25/2026</t>
        </is>
      </c>
      <c r="B386" t="inlineStr">
        <is>
          <t>CHYG</t>
        </is>
      </c>
      <c r="C386" s="1" t="inlineStr">
        <is>
          <t>58990CAA1</t>
        </is>
      </c>
      <c r="D386" s="1" t="inlineStr">
        <is>
          <t>58990CAA1</t>
        </is>
      </c>
      <c r="E386" t="inlineStr">
        <is>
          <t>Meridian Arc Holdco LLC 6.25% 04/30/2031</t>
        </is>
      </c>
      <c r="F386" t="inlineStr">
        <is>
          <t>30000.00000000</t>
        </is>
      </c>
      <c r="G386" t="inlineStr">
        <is>
          <t>100.461126</t>
        </is>
      </c>
      <c r="H386" t="inlineStr">
        <is>
          <t>30138.34</t>
        </is>
      </c>
      <c r="I386" t="inlineStr">
        <is>
          <t>0.55%</t>
        </is>
      </c>
      <c r="J386" t="inlineStr">
        <is>
          <t>5506974.00</t>
        </is>
      </c>
      <c r="K386" t="inlineStr">
        <is>
          <t>220000</t>
        </is>
      </c>
      <c r="L386" t="inlineStr">
        <is>
          <t>22.000000000000</t>
        </is>
      </c>
      <c r="M386" t="inlineStr"/>
    </row>
    <row r="387">
      <c r="A387" t="inlineStr">
        <is>
          <t>06/25/2026</t>
        </is>
      </c>
      <c r="B387" t="inlineStr">
        <is>
          <t>CHYG</t>
        </is>
      </c>
      <c r="C387" s="1" t="inlineStr">
        <is>
          <t>601137AA0</t>
        </is>
      </c>
      <c r="D387" s="1" t="inlineStr">
        <is>
          <t>601137AA0</t>
        </is>
      </c>
      <c r="E387" t="inlineStr">
        <is>
          <t>Millrose Properties Inc 6.375% 08/01/2030</t>
        </is>
      </c>
      <c r="F387" t="inlineStr">
        <is>
          <t>29000.00000000</t>
        </is>
      </c>
      <c r="G387" t="inlineStr">
        <is>
          <t>101.335300</t>
        </is>
      </c>
      <c r="H387" t="inlineStr">
        <is>
          <t>29387.24</t>
        </is>
      </c>
      <c r="I387" t="inlineStr">
        <is>
          <t>0.53%</t>
        </is>
      </c>
      <c r="J387" t="inlineStr">
        <is>
          <t>5506974.00</t>
        </is>
      </c>
      <c r="K387" t="inlineStr">
        <is>
          <t>220000</t>
        </is>
      </c>
      <c r="L387" t="inlineStr">
        <is>
          <t>22.000000000000</t>
        </is>
      </c>
      <c r="M387" t="inlineStr"/>
    </row>
    <row r="388">
      <c r="A388" t="inlineStr">
        <is>
          <t>06/25/2026</t>
        </is>
      </c>
      <c r="B388" t="inlineStr">
        <is>
          <t>CHYG</t>
        </is>
      </c>
      <c r="C388" s="1" t="inlineStr">
        <is>
          <t>603051AF0</t>
        </is>
      </c>
      <c r="D388" s="1" t="inlineStr">
        <is>
          <t>603051AF0</t>
        </is>
      </c>
      <c r="E388" t="inlineStr">
        <is>
          <t>Mineral Resources Ltd 7% 04/01/2031</t>
        </is>
      </c>
      <c r="F388" t="inlineStr">
        <is>
          <t>29000.00000000</t>
        </is>
      </c>
      <c r="G388" t="inlineStr">
        <is>
          <t>103.707289</t>
        </is>
      </c>
      <c r="H388" t="inlineStr">
        <is>
          <t>30075.11</t>
        </is>
      </c>
      <c r="I388" t="inlineStr">
        <is>
          <t>0.55%</t>
        </is>
      </c>
      <c r="J388" t="inlineStr">
        <is>
          <t>5506974.00</t>
        </is>
      </c>
      <c r="K388" t="inlineStr">
        <is>
          <t>220000</t>
        </is>
      </c>
      <c r="L388" t="inlineStr">
        <is>
          <t>22.000000000000</t>
        </is>
      </c>
      <c r="M388" t="inlineStr"/>
    </row>
    <row r="389">
      <c r="A389" t="inlineStr">
        <is>
          <t>06/25/2026</t>
        </is>
      </c>
      <c r="B389" t="inlineStr">
        <is>
          <t>CHYG</t>
        </is>
      </c>
      <c r="C389" s="1" t="inlineStr">
        <is>
          <t>60337JAA4</t>
        </is>
      </c>
      <c r="D389" s="1" t="inlineStr">
        <is>
          <t>60337JAA4</t>
        </is>
      </c>
      <c r="E389" t="inlineStr">
        <is>
          <t>AthenaHealth Group Inc 6.5% 02/15/2030</t>
        </is>
      </c>
      <c r="F389" t="inlineStr">
        <is>
          <t>26000.00000000</t>
        </is>
      </c>
      <c r="G389" t="inlineStr">
        <is>
          <t>96.095150</t>
        </is>
      </c>
      <c r="H389" t="inlineStr">
        <is>
          <t>24984.74</t>
        </is>
      </c>
      <c r="I389" t="inlineStr">
        <is>
          <t>0.45%</t>
        </is>
      </c>
      <c r="J389" t="inlineStr">
        <is>
          <t>5506974.00</t>
        </is>
      </c>
      <c r="K389" t="inlineStr">
        <is>
          <t>220000</t>
        </is>
      </c>
      <c r="L389" t="inlineStr">
        <is>
          <t>22.000000000000</t>
        </is>
      </c>
      <c r="M389" t="inlineStr"/>
    </row>
    <row r="390">
      <c r="A390" t="inlineStr">
        <is>
          <t>06/25/2026</t>
        </is>
      </c>
      <c r="B390" t="inlineStr">
        <is>
          <t>CHYG</t>
        </is>
      </c>
      <c r="C390" s="1" t="inlineStr">
        <is>
          <t>60832QAA8</t>
        </is>
      </c>
      <c r="D390" s="1" t="inlineStr">
        <is>
          <t>60832QAA8</t>
        </is>
      </c>
      <c r="E390" t="inlineStr">
        <is>
          <t>Mohegan Tribal Gaming Authority / MS Digital Entertainment Holdings LLC 8.25% 04/15/2030</t>
        </is>
      </c>
      <c r="F390" t="inlineStr">
        <is>
          <t>28000.00000000</t>
        </is>
      </c>
      <c r="G390" t="inlineStr">
        <is>
          <t>104.227641</t>
        </is>
      </c>
      <c r="H390" t="inlineStr">
        <is>
          <t>29183.74</t>
        </is>
      </c>
      <c r="I390" t="inlineStr">
        <is>
          <t>0.53%</t>
        </is>
      </c>
      <c r="J390" t="inlineStr">
        <is>
          <t>5506974.00</t>
        </is>
      </c>
      <c r="K390" t="inlineStr">
        <is>
          <t>220000</t>
        </is>
      </c>
      <c r="L390" t="inlineStr">
        <is>
          <t>22.000000000000</t>
        </is>
      </c>
      <c r="M390" t="inlineStr"/>
    </row>
    <row r="391">
      <c r="A391" t="inlineStr">
        <is>
          <t>06/25/2026</t>
        </is>
      </c>
      <c r="B391" t="inlineStr">
        <is>
          <t>CHYG</t>
        </is>
      </c>
      <c r="C391" s="1" t="inlineStr">
        <is>
          <t>60855RAJ9</t>
        </is>
      </c>
      <c r="D391" s="1" t="inlineStr">
        <is>
          <t>60855RAJ9</t>
        </is>
      </c>
      <c r="E391" t="inlineStr">
        <is>
          <t>Molina Healthcare Inc 4.375% 06/15/2028</t>
        </is>
      </c>
      <c r="F391" t="inlineStr">
        <is>
          <t>30000.00000000</t>
        </is>
      </c>
      <c r="G391" t="inlineStr">
        <is>
          <t>98.379440</t>
        </is>
      </c>
      <c r="H391" t="inlineStr">
        <is>
          <t>29513.83</t>
        </is>
      </c>
      <c r="I391" t="inlineStr">
        <is>
          <t>0.54%</t>
        </is>
      </c>
      <c r="J391" t="inlineStr">
        <is>
          <t>5506974.00</t>
        </is>
      </c>
      <c r="K391" t="inlineStr">
        <is>
          <t>220000</t>
        </is>
      </c>
      <c r="L391" t="inlineStr">
        <is>
          <t>22.000000000000</t>
        </is>
      </c>
      <c r="M391" t="inlineStr"/>
    </row>
    <row r="392">
      <c r="A392" t="inlineStr">
        <is>
          <t>06/25/2026</t>
        </is>
      </c>
      <c r="B392" t="inlineStr">
        <is>
          <t>CHYG</t>
        </is>
      </c>
      <c r="C392" s="1" t="inlineStr">
        <is>
          <t>62482BAB8</t>
        </is>
      </c>
      <c r="D392" s="1" t="inlineStr">
        <is>
          <t>62482BAB8</t>
        </is>
      </c>
      <c r="E392" t="inlineStr">
        <is>
          <t>Medline Borrower LP 5.25% 10/01/2029</t>
        </is>
      </c>
      <c r="F392" t="inlineStr">
        <is>
          <t>27000.00000000</t>
        </is>
      </c>
      <c r="G392" t="inlineStr">
        <is>
          <t>99.316408</t>
        </is>
      </c>
      <c r="H392" t="inlineStr">
        <is>
          <t>26815.43</t>
        </is>
      </c>
      <c r="I392" t="inlineStr">
        <is>
          <t>0.49%</t>
        </is>
      </c>
      <c r="J392" t="inlineStr">
        <is>
          <t>5506974.00</t>
        </is>
      </c>
      <c r="K392" t="inlineStr">
        <is>
          <t>220000</t>
        </is>
      </c>
      <c r="L392" t="inlineStr">
        <is>
          <t>22.000000000000</t>
        </is>
      </c>
      <c r="M392" t="inlineStr"/>
    </row>
    <row r="393">
      <c r="A393" t="inlineStr">
        <is>
          <t>06/25/2026</t>
        </is>
      </c>
      <c r="B393" t="inlineStr">
        <is>
          <t>CHYG</t>
        </is>
      </c>
      <c r="C393" s="1" t="inlineStr">
        <is>
          <t>626738AE8</t>
        </is>
      </c>
      <c r="D393" s="1" t="inlineStr">
        <is>
          <t>626738AE8</t>
        </is>
      </c>
      <c r="E393" t="inlineStr">
        <is>
          <t>Murphy Oil USA Inc 4.75% 09/15/2029</t>
        </is>
      </c>
      <c r="F393" t="inlineStr">
        <is>
          <t>34000.00000000</t>
        </is>
      </c>
      <c r="G393" t="inlineStr">
        <is>
          <t>98.549160</t>
        </is>
      </c>
      <c r="H393" t="inlineStr">
        <is>
          <t>33506.71</t>
        </is>
      </c>
      <c r="I393" t="inlineStr">
        <is>
          <t>0.61%</t>
        </is>
      </c>
      <c r="J393" t="inlineStr">
        <is>
          <t>5506974.00</t>
        </is>
      </c>
      <c r="K393" t="inlineStr">
        <is>
          <t>220000</t>
        </is>
      </c>
      <c r="L393" t="inlineStr">
        <is>
          <t>22.000000000000</t>
        </is>
      </c>
      <c r="M393" t="inlineStr"/>
    </row>
    <row r="394">
      <c r="A394" t="inlineStr">
        <is>
          <t>06/25/2026</t>
        </is>
      </c>
      <c r="B394" t="inlineStr">
        <is>
          <t>CHYG</t>
        </is>
      </c>
      <c r="C394" s="1" t="inlineStr">
        <is>
          <t>62844JAE8</t>
        </is>
      </c>
      <c r="D394" s="1" t="inlineStr">
        <is>
          <t>62844JAE8</t>
        </is>
      </c>
      <c r="E394" t="inlineStr">
        <is>
          <t>Muvico LLC 15% 02/19/2029</t>
        </is>
      </c>
      <c r="F394" t="inlineStr">
        <is>
          <t>22660.00000000</t>
        </is>
      </c>
      <c r="G394" t="inlineStr">
        <is>
          <t>108.576900</t>
        </is>
      </c>
      <c r="H394" t="inlineStr">
        <is>
          <t>24603.53</t>
        </is>
      </c>
      <c r="I394" t="inlineStr">
        <is>
          <t>0.45%</t>
        </is>
      </c>
      <c r="J394" t="inlineStr">
        <is>
          <t>5506974.00</t>
        </is>
      </c>
      <c r="K394" t="inlineStr">
        <is>
          <t>220000</t>
        </is>
      </c>
      <c r="L394" t="inlineStr">
        <is>
          <t>22.000000000000</t>
        </is>
      </c>
      <c r="M394" t="inlineStr"/>
    </row>
    <row r="395">
      <c r="A395" t="inlineStr">
        <is>
          <t>06/25/2026</t>
        </is>
      </c>
      <c r="B395" t="inlineStr">
        <is>
          <t>CHYG</t>
        </is>
      </c>
      <c r="C395" s="1" t="inlineStr">
        <is>
          <t>62886HBY6</t>
        </is>
      </c>
      <c r="D395" s="1" t="inlineStr">
        <is>
          <t>62886HBY6</t>
        </is>
      </c>
      <c r="E395" t="inlineStr">
        <is>
          <t>NCL Corp Ltd 5.875% 01/15/2031</t>
        </is>
      </c>
      <c r="F395" t="inlineStr">
        <is>
          <t>31000.00000000</t>
        </is>
      </c>
      <c r="G395" t="inlineStr">
        <is>
          <t>97.238360</t>
        </is>
      </c>
      <c r="H395" t="inlineStr">
        <is>
          <t>30143.89</t>
        </is>
      </c>
      <c r="I395" t="inlineStr">
        <is>
          <t>0.55%</t>
        </is>
      </c>
      <c r="J395" t="inlineStr">
        <is>
          <t>5506974.00</t>
        </is>
      </c>
      <c r="K395" t="inlineStr">
        <is>
          <t>220000</t>
        </is>
      </c>
      <c r="L395" t="inlineStr">
        <is>
          <t>22.000000000000</t>
        </is>
      </c>
      <c r="M395" t="inlineStr"/>
    </row>
    <row r="396">
      <c r="A396" t="inlineStr">
        <is>
          <t>06/25/2026</t>
        </is>
      </c>
      <c r="B396" t="inlineStr">
        <is>
          <t>CHYG</t>
        </is>
      </c>
      <c r="C396" s="1" t="inlineStr">
        <is>
          <t>629377CH3</t>
        </is>
      </c>
      <c r="D396" s="1" t="inlineStr">
        <is>
          <t>629377CH3</t>
        </is>
      </c>
      <c r="E396" t="inlineStr">
        <is>
          <t>NRG Energy Inc 5.25% 06/15/2029</t>
        </is>
      </c>
      <c r="F396" t="inlineStr">
        <is>
          <t>29000.00000000</t>
        </is>
      </c>
      <c r="G396" t="inlineStr">
        <is>
          <t>99.531480</t>
        </is>
      </c>
      <c r="H396" t="inlineStr">
        <is>
          <t>28864.13</t>
        </is>
      </c>
      <c r="I396" t="inlineStr">
        <is>
          <t>0.52%</t>
        </is>
      </c>
      <c r="J396" t="inlineStr">
        <is>
          <t>5506974.00</t>
        </is>
      </c>
      <c r="K396" t="inlineStr">
        <is>
          <t>220000</t>
        </is>
      </c>
      <c r="L396" t="inlineStr">
        <is>
          <t>22.000000000000</t>
        </is>
      </c>
      <c r="M396" t="inlineStr"/>
    </row>
    <row r="397">
      <c r="A397" t="inlineStr">
        <is>
          <t>06/25/2026</t>
        </is>
      </c>
      <c r="B397" t="inlineStr">
        <is>
          <t>CHYG</t>
        </is>
      </c>
      <c r="C397" s="1" t="inlineStr">
        <is>
          <t>63938CAM0</t>
        </is>
      </c>
      <c r="D397" s="1" t="inlineStr">
        <is>
          <t>63938CAM0</t>
        </is>
      </c>
      <c r="E397" t="inlineStr">
        <is>
          <t>Navient Corp 5.5% 03/15/2029</t>
        </is>
      </c>
      <c r="F397" t="inlineStr">
        <is>
          <t>25000.00000000</t>
        </is>
      </c>
      <c r="G397" t="inlineStr">
        <is>
          <t>95.695843</t>
        </is>
      </c>
      <c r="H397" t="inlineStr">
        <is>
          <t>23923.96</t>
        </is>
      </c>
      <c r="I397" t="inlineStr">
        <is>
          <t>0.43%</t>
        </is>
      </c>
      <c r="J397" t="inlineStr">
        <is>
          <t>5506974.00</t>
        </is>
      </c>
      <c r="K397" t="inlineStr">
        <is>
          <t>220000</t>
        </is>
      </c>
      <c r="L397" t="inlineStr">
        <is>
          <t>22.000000000000</t>
        </is>
      </c>
      <c r="M397" t="inlineStr"/>
    </row>
    <row r="398">
      <c r="A398" t="inlineStr">
        <is>
          <t>06/25/2026</t>
        </is>
      </c>
      <c r="B398" t="inlineStr">
        <is>
          <t>CHYG</t>
        </is>
      </c>
      <c r="C398" s="1" t="inlineStr">
        <is>
          <t>640695AC6</t>
        </is>
      </c>
      <c r="D398" s="1" t="inlineStr">
        <is>
          <t>640695AC6</t>
        </is>
      </c>
      <c r="E398" t="inlineStr">
        <is>
          <t>Neptune Bidco US Inc 10.375% 05/15/2031</t>
        </is>
      </c>
      <c r="F398" t="inlineStr">
        <is>
          <t>31000.00000000</t>
        </is>
      </c>
      <c r="G398" t="inlineStr">
        <is>
          <t>103.975500</t>
        </is>
      </c>
      <c r="H398" t="inlineStr">
        <is>
          <t>32232.41</t>
        </is>
      </c>
      <c r="I398" t="inlineStr">
        <is>
          <t>0.59%</t>
        </is>
      </c>
      <c r="J398" t="inlineStr">
        <is>
          <t>5506974.00</t>
        </is>
      </c>
      <c r="K398" t="inlineStr">
        <is>
          <t>220000</t>
        </is>
      </c>
      <c r="L398" t="inlineStr">
        <is>
          <t>22.000000000000</t>
        </is>
      </c>
      <c r="M398" t="inlineStr"/>
    </row>
    <row r="399">
      <c r="A399" t="inlineStr">
        <is>
          <t>06/25/2026</t>
        </is>
      </c>
      <c r="B399" t="inlineStr">
        <is>
          <t>CHYG</t>
        </is>
      </c>
      <c r="C399" s="1" t="inlineStr">
        <is>
          <t>645370AG2</t>
        </is>
      </c>
      <c r="D399" s="1" t="inlineStr">
        <is>
          <t>645370AG2</t>
        </is>
      </c>
      <c r="E399" t="inlineStr">
        <is>
          <t>Risewell Homes Inc 8.5% 11/01/2030</t>
        </is>
      </c>
      <c r="F399" t="inlineStr">
        <is>
          <t>30000.00000000</t>
        </is>
      </c>
      <c r="G399" t="inlineStr">
        <is>
          <t>101.519000</t>
        </is>
      </c>
      <c r="H399" t="inlineStr">
        <is>
          <t>30455.70</t>
        </is>
      </c>
      <c r="I399" t="inlineStr">
        <is>
          <t>0.55%</t>
        </is>
      </c>
      <c r="J399" t="inlineStr">
        <is>
          <t>5506974.00</t>
        </is>
      </c>
      <c r="K399" t="inlineStr">
        <is>
          <t>220000</t>
        </is>
      </c>
      <c r="L399" t="inlineStr">
        <is>
          <t>22.000000000000</t>
        </is>
      </c>
      <c r="M399" t="inlineStr"/>
    </row>
    <row r="400">
      <c r="A400" t="inlineStr">
        <is>
          <t>06/25/2026</t>
        </is>
      </c>
      <c r="B400" t="inlineStr">
        <is>
          <t>CHYG</t>
        </is>
      </c>
      <c r="C400" s="1" t="inlineStr">
        <is>
          <t>651229BG0</t>
        </is>
      </c>
      <c r="D400" s="1" t="inlineStr">
        <is>
          <t>651229BG0</t>
        </is>
      </c>
      <c r="E400" t="inlineStr">
        <is>
          <t>Newell Brands Inc 8.5% 06/01/2028</t>
        </is>
      </c>
      <c r="F400" t="inlineStr">
        <is>
          <t>21000.00000000</t>
        </is>
      </c>
      <c r="G400" t="inlineStr">
        <is>
          <t>104.682000</t>
        </is>
      </c>
      <c r="H400" t="inlineStr">
        <is>
          <t>21983.22</t>
        </is>
      </c>
      <c r="I400" t="inlineStr">
        <is>
          <t>0.40%</t>
        </is>
      </c>
      <c r="J400" t="inlineStr">
        <is>
          <t>5506974.00</t>
        </is>
      </c>
      <c r="K400" t="inlineStr">
        <is>
          <t>220000</t>
        </is>
      </c>
      <c r="L400" t="inlineStr">
        <is>
          <t>22.000000000000</t>
        </is>
      </c>
      <c r="M400" t="inlineStr"/>
    </row>
    <row r="401">
      <c r="A401" t="inlineStr">
        <is>
          <t>06/25/2026</t>
        </is>
      </c>
      <c r="B401" t="inlineStr">
        <is>
          <t>CHYG</t>
        </is>
      </c>
      <c r="C401" s="1" t="inlineStr">
        <is>
          <t>65336YAN3</t>
        </is>
      </c>
      <c r="D401" s="1" t="inlineStr">
        <is>
          <t>65336YAN3</t>
        </is>
      </c>
      <c r="E401" t="inlineStr">
        <is>
          <t>Nexstar Media Inc 4.75% 11/01/2028</t>
        </is>
      </c>
      <c r="F401" t="inlineStr">
        <is>
          <t>31000.00000000</t>
        </is>
      </c>
      <c r="G401" t="inlineStr">
        <is>
          <t>97.940507</t>
        </is>
      </c>
      <c r="H401" t="inlineStr">
        <is>
          <t>30361.56</t>
        </is>
      </c>
      <c r="I401" t="inlineStr">
        <is>
          <t>0.55%</t>
        </is>
      </c>
      <c r="J401" t="inlineStr">
        <is>
          <t>5506974.00</t>
        </is>
      </c>
      <c r="K401" t="inlineStr">
        <is>
          <t>220000</t>
        </is>
      </c>
      <c r="L401" t="inlineStr">
        <is>
          <t>22.000000000000</t>
        </is>
      </c>
      <c r="M401" t="inlineStr"/>
    </row>
    <row r="402">
      <c r="A402" t="inlineStr">
        <is>
          <t>06/25/2026</t>
        </is>
      </c>
      <c r="B402" t="inlineStr">
        <is>
          <t>CHYG</t>
        </is>
      </c>
      <c r="C402" s="1" t="inlineStr">
        <is>
          <t>65342QAM4</t>
        </is>
      </c>
      <c r="D402" s="1" t="inlineStr">
        <is>
          <t>65342QAM4</t>
        </is>
      </c>
      <c r="E402" t="inlineStr">
        <is>
          <t>XPLR Infrastructure Operating Partners LP 7.25% 01/15/2029</t>
        </is>
      </c>
      <c r="F402" t="inlineStr">
        <is>
          <t>29000.00000000</t>
        </is>
      </c>
      <c r="G402" t="inlineStr">
        <is>
          <t>103.599300</t>
        </is>
      </c>
      <c r="H402" t="inlineStr">
        <is>
          <t>30043.80</t>
        </is>
      </c>
      <c r="I402" t="inlineStr">
        <is>
          <t>0.55%</t>
        </is>
      </c>
      <c r="J402" t="inlineStr">
        <is>
          <t>5506974.00</t>
        </is>
      </c>
      <c r="K402" t="inlineStr">
        <is>
          <t>220000</t>
        </is>
      </c>
      <c r="L402" t="inlineStr">
        <is>
          <t>22.000000000000</t>
        </is>
      </c>
      <c r="M402" t="inlineStr"/>
    </row>
    <row r="403">
      <c r="A403" t="inlineStr">
        <is>
          <t>06/25/2026</t>
        </is>
      </c>
      <c r="B403" t="inlineStr">
        <is>
          <t>CHYG</t>
        </is>
      </c>
      <c r="C403" s="1" t="inlineStr">
        <is>
          <t>654744AC5</t>
        </is>
      </c>
      <c r="D403" s="1" t="inlineStr">
        <is>
          <t>654744AC5</t>
        </is>
      </c>
      <c r="E403" t="inlineStr">
        <is>
          <t>Nissan Motor Co Ltd 4.345% 09/17/2027</t>
        </is>
      </c>
      <c r="F403" t="inlineStr">
        <is>
          <t>32000.00000000</t>
        </is>
      </c>
      <c r="G403" t="inlineStr">
        <is>
          <t>98.580196</t>
        </is>
      </c>
      <c r="H403" t="inlineStr">
        <is>
          <t>31545.66</t>
        </is>
      </c>
      <c r="I403" t="inlineStr">
        <is>
          <t>0.57%</t>
        </is>
      </c>
      <c r="J403" t="inlineStr">
        <is>
          <t>5506974.00</t>
        </is>
      </c>
      <c r="K403" t="inlineStr">
        <is>
          <t>220000</t>
        </is>
      </c>
      <c r="L403" t="inlineStr">
        <is>
          <t>22.000000000000</t>
        </is>
      </c>
      <c r="M403" t="inlineStr"/>
    </row>
    <row r="404">
      <c r="A404" t="inlineStr">
        <is>
          <t>06/25/2026</t>
        </is>
      </c>
      <c r="B404" t="inlineStr">
        <is>
          <t>CHYG</t>
        </is>
      </c>
      <c r="C404" s="1" t="inlineStr">
        <is>
          <t>668771AK4</t>
        </is>
      </c>
      <c r="D404" s="1" t="inlineStr">
        <is>
          <t>668771AK4</t>
        </is>
      </c>
      <c r="E404" t="inlineStr">
        <is>
          <t>Gen Digital Inc 6.75% 09/30/2027</t>
        </is>
      </c>
      <c r="F404" t="inlineStr">
        <is>
          <t>29000.00000000</t>
        </is>
      </c>
      <c r="G404" t="inlineStr">
        <is>
          <t>100.645200</t>
        </is>
      </c>
      <c r="H404" t="inlineStr">
        <is>
          <t>29187.11</t>
        </is>
      </c>
      <c r="I404" t="inlineStr">
        <is>
          <t>0.53%</t>
        </is>
      </c>
      <c r="J404" t="inlineStr">
        <is>
          <t>5506974.00</t>
        </is>
      </c>
      <c r="K404" t="inlineStr">
        <is>
          <t>220000</t>
        </is>
      </c>
      <c r="L404" t="inlineStr">
        <is>
          <t>22.000000000000</t>
        </is>
      </c>
      <c r="M404" t="inlineStr"/>
    </row>
    <row r="405">
      <c r="A405" t="inlineStr">
        <is>
          <t>06/25/2026</t>
        </is>
      </c>
      <c r="B405" t="inlineStr">
        <is>
          <t>CHYG</t>
        </is>
      </c>
      <c r="C405" s="1" t="inlineStr">
        <is>
          <t>670001AE6</t>
        </is>
      </c>
      <c r="D405" s="1" t="inlineStr">
        <is>
          <t>670001AE6</t>
        </is>
      </c>
      <c r="E405" t="inlineStr">
        <is>
          <t>Novelis Corp 4.75% 01/30/2030</t>
        </is>
      </c>
      <c r="F405" t="inlineStr">
        <is>
          <t>27000.00000000</t>
        </is>
      </c>
      <c r="G405" t="inlineStr">
        <is>
          <t>96.644130</t>
        </is>
      </c>
      <c r="H405" t="inlineStr">
        <is>
          <t>26093.92</t>
        </is>
      </c>
      <c r="I405" t="inlineStr">
        <is>
          <t>0.47%</t>
        </is>
      </c>
      <c r="J405" t="inlineStr">
        <is>
          <t>5506974.00</t>
        </is>
      </c>
      <c r="K405" t="inlineStr">
        <is>
          <t>220000</t>
        </is>
      </c>
      <c r="L405" t="inlineStr">
        <is>
          <t>22.000000000000</t>
        </is>
      </c>
      <c r="M405" t="inlineStr"/>
    </row>
    <row r="406">
      <c r="A406" t="inlineStr">
        <is>
          <t>06/25/2026</t>
        </is>
      </c>
      <c r="B406" t="inlineStr">
        <is>
          <t>CHYG</t>
        </is>
      </c>
      <c r="C406" s="1" t="inlineStr">
        <is>
          <t>674215AQ1</t>
        </is>
      </c>
      <c r="D406" s="1" t="inlineStr">
        <is>
          <t>674215AQ1</t>
        </is>
      </c>
      <c r="E406" t="inlineStr">
        <is>
          <t>Chord Energy Corp 6% 10/01/2030</t>
        </is>
      </c>
      <c r="F406" t="inlineStr">
        <is>
          <t>24000.00000000</t>
        </is>
      </c>
      <c r="G406" t="inlineStr">
        <is>
          <t>99.883685</t>
        </is>
      </c>
      <c r="H406" t="inlineStr">
        <is>
          <t>23972.08</t>
        </is>
      </c>
      <c r="I406" t="inlineStr">
        <is>
          <t>0.44%</t>
        </is>
      </c>
      <c r="J406" t="inlineStr">
        <is>
          <t>5506974.00</t>
        </is>
      </c>
      <c r="K406" t="inlineStr">
        <is>
          <t>220000</t>
        </is>
      </c>
      <c r="L406" t="inlineStr">
        <is>
          <t>22.000000000000</t>
        </is>
      </c>
      <c r="M406" t="inlineStr"/>
    </row>
    <row r="407">
      <c r="A407" t="inlineStr">
        <is>
          <t>06/25/2026</t>
        </is>
      </c>
      <c r="B407" t="inlineStr">
        <is>
          <t>CHYG</t>
        </is>
      </c>
      <c r="C407" s="1" t="inlineStr">
        <is>
          <t>67740QAH9</t>
        </is>
      </c>
      <c r="D407" s="1" t="inlineStr">
        <is>
          <t>67740QAH9</t>
        </is>
      </c>
      <c r="E407" t="inlineStr">
        <is>
          <t>Constellation Insurance Inc 5.8% 01/24/2030</t>
        </is>
      </c>
      <c r="F407" t="inlineStr">
        <is>
          <t>29000.00000000</t>
        </is>
      </c>
      <c r="G407" t="inlineStr">
        <is>
          <t>99.989699</t>
        </is>
      </c>
      <c r="H407" t="inlineStr">
        <is>
          <t>28997.01</t>
        </is>
      </c>
      <c r="I407" t="inlineStr">
        <is>
          <t>0.53%</t>
        </is>
      </c>
      <c r="J407" t="inlineStr">
        <is>
          <t>5506974.00</t>
        </is>
      </c>
      <c r="K407" t="inlineStr">
        <is>
          <t>220000</t>
        </is>
      </c>
      <c r="L407" t="inlineStr">
        <is>
          <t>22.000000000000</t>
        </is>
      </c>
      <c r="M407" t="inlineStr"/>
    </row>
    <row r="408">
      <c r="A408" t="inlineStr">
        <is>
          <t>06/25/2026</t>
        </is>
      </c>
      <c r="B408" t="inlineStr">
        <is>
          <t>CHYG</t>
        </is>
      </c>
      <c r="C408" s="1" t="inlineStr">
        <is>
          <t>68245XAM1</t>
        </is>
      </c>
      <c r="D408" s="1" t="inlineStr">
        <is>
          <t>68245XAM1</t>
        </is>
      </c>
      <c r="E408" t="inlineStr">
        <is>
          <t>1011778 BC ULC / New Red Finance Inc 4% 10/15/2030</t>
        </is>
      </c>
      <c r="F408" t="inlineStr">
        <is>
          <t>25000.00000000</t>
        </is>
      </c>
      <c r="G408" t="inlineStr">
        <is>
          <t>94.514440</t>
        </is>
      </c>
      <c r="H408" t="inlineStr">
        <is>
          <t>23628.61</t>
        </is>
      </c>
      <c r="I408" t="inlineStr">
        <is>
          <t>0.43%</t>
        </is>
      </c>
      <c r="J408" t="inlineStr">
        <is>
          <t>5506974.00</t>
        </is>
      </c>
      <c r="K408" t="inlineStr">
        <is>
          <t>220000</t>
        </is>
      </c>
      <c r="L408" t="inlineStr">
        <is>
          <t>22.000000000000</t>
        </is>
      </c>
      <c r="M408" t="inlineStr"/>
    </row>
    <row r="409">
      <c r="A409" t="inlineStr">
        <is>
          <t>06/25/2026</t>
        </is>
      </c>
      <c r="B409" t="inlineStr">
        <is>
          <t>CHYG</t>
        </is>
      </c>
      <c r="C409" s="1" t="inlineStr">
        <is>
          <t>683720AA4</t>
        </is>
      </c>
      <c r="D409" s="1" t="inlineStr">
        <is>
          <t>683720AA4</t>
        </is>
      </c>
      <c r="E409" t="inlineStr">
        <is>
          <t>Open Text Holdings Inc 4.125% 02/15/2030</t>
        </is>
      </c>
      <c r="F409" t="inlineStr">
        <is>
          <t>38000.00000000</t>
        </is>
      </c>
      <c r="G409" t="inlineStr">
        <is>
          <t>91.389670</t>
        </is>
      </c>
      <c r="H409" t="inlineStr">
        <is>
          <t>34728.07</t>
        </is>
      </c>
      <c r="I409" t="inlineStr">
        <is>
          <t>0.63%</t>
        </is>
      </c>
      <c r="J409" t="inlineStr">
        <is>
          <t>5506974.00</t>
        </is>
      </c>
      <c r="K409" t="inlineStr">
        <is>
          <t>220000</t>
        </is>
      </c>
      <c r="L409" t="inlineStr">
        <is>
          <t>22.000000000000</t>
        </is>
      </c>
      <c r="M409" t="inlineStr"/>
    </row>
    <row r="410">
      <c r="A410" t="inlineStr">
        <is>
          <t>06/25/2026</t>
        </is>
      </c>
      <c r="B410" t="inlineStr">
        <is>
          <t>CHYG</t>
        </is>
      </c>
      <c r="C410" s="1" t="inlineStr">
        <is>
          <t>69331CAH1</t>
        </is>
      </c>
      <c r="D410" s="1" t="inlineStr">
        <is>
          <t>69331CAH1</t>
        </is>
      </c>
      <c r="E410" t="inlineStr">
        <is>
          <t>PG&amp;E Corp 5% 07/01/2028</t>
        </is>
      </c>
      <c r="F410" t="inlineStr">
        <is>
          <t>30000.00000000</t>
        </is>
      </c>
      <c r="G410" t="inlineStr">
        <is>
          <t>99.521250</t>
        </is>
      </c>
      <c r="H410" t="inlineStr">
        <is>
          <t>29856.38</t>
        </is>
      </c>
      <c r="I410" t="inlineStr">
        <is>
          <t>0.54%</t>
        </is>
      </c>
      <c r="J410" t="inlineStr">
        <is>
          <t>5506974.00</t>
        </is>
      </c>
      <c r="K410" t="inlineStr">
        <is>
          <t>220000</t>
        </is>
      </c>
      <c r="L410" t="inlineStr">
        <is>
          <t>22.000000000000</t>
        </is>
      </c>
      <c r="M410" t="inlineStr"/>
    </row>
    <row r="411">
      <c r="A411" t="inlineStr">
        <is>
          <t>06/25/2026</t>
        </is>
      </c>
      <c r="B411" t="inlineStr">
        <is>
          <t>CHYG</t>
        </is>
      </c>
      <c r="C411" s="1" t="inlineStr">
        <is>
          <t>69354NAE6</t>
        </is>
      </c>
      <c r="D411" s="1" t="inlineStr">
        <is>
          <t>69354NAE6</t>
        </is>
      </c>
      <c r="E411" t="inlineStr">
        <is>
          <t>PRA Group Inc 8.375% 02/01/2028</t>
        </is>
      </c>
      <c r="F411" t="inlineStr">
        <is>
          <t>28000.00000000</t>
        </is>
      </c>
      <c r="G411" t="inlineStr">
        <is>
          <t>101.611500</t>
        </is>
      </c>
      <c r="H411" t="inlineStr">
        <is>
          <t>28451.22</t>
        </is>
      </c>
      <c r="I411" t="inlineStr">
        <is>
          <t>0.52%</t>
        </is>
      </c>
      <c r="J411" t="inlineStr">
        <is>
          <t>5506974.00</t>
        </is>
      </c>
      <c r="K411" t="inlineStr">
        <is>
          <t>220000</t>
        </is>
      </c>
      <c r="L411" t="inlineStr">
        <is>
          <t>22.000000000000</t>
        </is>
      </c>
      <c r="M411" t="inlineStr"/>
    </row>
    <row r="412">
      <c r="A412" t="inlineStr">
        <is>
          <t>06/25/2026</t>
        </is>
      </c>
      <c r="B412" t="inlineStr">
        <is>
          <t>CHYG</t>
        </is>
      </c>
      <c r="C412" s="1" t="inlineStr">
        <is>
          <t>69393LAA1</t>
        </is>
      </c>
      <c r="D412" s="1" t="inlineStr">
        <is>
          <t>69393LAA1</t>
        </is>
      </c>
      <c r="E412" t="inlineStr">
        <is>
          <t>PR RNO Property Owner 1 LLC 6.5% 05/01/2031</t>
        </is>
      </c>
      <c r="F412" t="inlineStr">
        <is>
          <t>31000.00000000</t>
        </is>
      </c>
      <c r="G412" t="inlineStr">
        <is>
          <t>100.108866</t>
        </is>
      </c>
      <c r="H412" t="inlineStr">
        <is>
          <t>31033.75</t>
        </is>
      </c>
      <c r="I412" t="inlineStr">
        <is>
          <t>0.56%</t>
        </is>
      </c>
      <c r="J412" t="inlineStr">
        <is>
          <t>5506974.00</t>
        </is>
      </c>
      <c r="K412" t="inlineStr">
        <is>
          <t>220000</t>
        </is>
      </c>
      <c r="L412" t="inlineStr">
        <is>
          <t>22.000000000000</t>
        </is>
      </c>
      <c r="M412" t="inlineStr"/>
    </row>
    <row r="413">
      <c r="A413" t="inlineStr">
        <is>
          <t>06/25/2026</t>
        </is>
      </c>
      <c r="B413" t="inlineStr">
        <is>
          <t>CHYG</t>
        </is>
      </c>
      <c r="C413" s="1" t="inlineStr">
        <is>
          <t>70082LAC1</t>
        </is>
      </c>
      <c r="D413" s="1" t="inlineStr">
        <is>
          <t>70082LAC1</t>
        </is>
      </c>
      <c r="E413" t="inlineStr">
        <is>
          <t>Park River Holdings Inc 8% 03/15/2031</t>
        </is>
      </c>
      <c r="F413" t="inlineStr">
        <is>
          <t>27000.00000000</t>
        </is>
      </c>
      <c r="G413" t="inlineStr">
        <is>
          <t>100.521200</t>
        </is>
      </c>
      <c r="H413" t="inlineStr">
        <is>
          <t>27140.72</t>
        </is>
      </c>
      <c r="I413" t="inlineStr">
        <is>
          <t>0.49%</t>
        </is>
      </c>
      <c r="J413" t="inlineStr">
        <is>
          <t>5506974.00</t>
        </is>
      </c>
      <c r="K413" t="inlineStr">
        <is>
          <t>220000</t>
        </is>
      </c>
      <c r="L413" t="inlineStr">
        <is>
          <t>22.000000000000</t>
        </is>
      </c>
      <c r="M413" t="inlineStr"/>
    </row>
    <row r="414">
      <c r="A414" t="inlineStr">
        <is>
          <t>06/25/2026</t>
        </is>
      </c>
      <c r="B414" t="inlineStr">
        <is>
          <t>CHYG</t>
        </is>
      </c>
      <c r="C414" s="1" t="inlineStr">
        <is>
          <t>703343AD5</t>
        </is>
      </c>
      <c r="D414" s="1" t="inlineStr">
        <is>
          <t>703343AD5</t>
        </is>
      </c>
      <c r="E414" t="inlineStr">
        <is>
          <t>Patrick Industries Inc 4.75% 05/01/2029</t>
        </is>
      </c>
      <c r="F414" t="inlineStr">
        <is>
          <t>30000.00000000</t>
        </is>
      </c>
      <c r="G414" t="inlineStr">
        <is>
          <t>98.289000</t>
        </is>
      </c>
      <c r="H414" t="inlineStr">
        <is>
          <t>29486.70</t>
        </is>
      </c>
      <c r="I414" t="inlineStr">
        <is>
          <t>0.54%</t>
        </is>
      </c>
      <c r="J414" t="inlineStr">
        <is>
          <t>5506974.00</t>
        </is>
      </c>
      <c r="K414" t="inlineStr">
        <is>
          <t>220000</t>
        </is>
      </c>
      <c r="L414" t="inlineStr">
        <is>
          <t>22.000000000000</t>
        </is>
      </c>
      <c r="M414" t="inlineStr"/>
    </row>
    <row r="415">
      <c r="A415" t="inlineStr">
        <is>
          <t>06/25/2026</t>
        </is>
      </c>
      <c r="B415" t="inlineStr">
        <is>
          <t>CHYG</t>
        </is>
      </c>
      <c r="C415" s="1" t="inlineStr">
        <is>
          <t>70452AAA1</t>
        </is>
      </c>
      <c r="D415" s="1" t="inlineStr">
        <is>
          <t>70452AAA1</t>
        </is>
      </c>
      <c r="E415" t="inlineStr">
        <is>
          <t>Paysafe Finance PLC / Paysafe Holdings US Corp 4% 06/15/2029</t>
        </is>
      </c>
      <c r="F415" t="inlineStr">
        <is>
          <t>33000.00000000</t>
        </is>
      </c>
      <c r="G415" t="inlineStr">
        <is>
          <t>87.169320</t>
        </is>
      </c>
      <c r="H415" t="inlineStr">
        <is>
          <t>28765.88</t>
        </is>
      </c>
      <c r="I415" t="inlineStr">
        <is>
          <t>0.52%</t>
        </is>
      </c>
      <c r="J415" t="inlineStr">
        <is>
          <t>5506974.00</t>
        </is>
      </c>
      <c r="K415" t="inlineStr">
        <is>
          <t>220000</t>
        </is>
      </c>
      <c r="L415" t="inlineStr">
        <is>
          <t>22.000000000000</t>
        </is>
      </c>
      <c r="M415" t="inlineStr"/>
    </row>
    <row r="416">
      <c r="A416" t="inlineStr">
        <is>
          <t>06/25/2026</t>
        </is>
      </c>
      <c r="B416" t="inlineStr">
        <is>
          <t>CHYG</t>
        </is>
      </c>
      <c r="C416" s="1" t="inlineStr">
        <is>
          <t>707569AY5</t>
        </is>
      </c>
      <c r="D416" s="1" t="inlineStr">
        <is>
          <t>707569AY5</t>
        </is>
      </c>
      <c r="E416" t="inlineStr">
        <is>
          <t>Penn Entertainment Inc 6.75% 04/01/2031</t>
        </is>
      </c>
      <c r="F416" t="inlineStr">
        <is>
          <t>29000.00000000</t>
        </is>
      </c>
      <c r="G416" t="inlineStr">
        <is>
          <t>100.232500</t>
        </is>
      </c>
      <c r="H416" t="inlineStr">
        <is>
          <t>29067.43</t>
        </is>
      </c>
      <c r="I416" t="inlineStr">
        <is>
          <t>0.53%</t>
        </is>
      </c>
      <c r="J416" t="inlineStr">
        <is>
          <t>5506974.00</t>
        </is>
      </c>
      <c r="K416" t="inlineStr">
        <is>
          <t>220000</t>
        </is>
      </c>
      <c r="L416" t="inlineStr">
        <is>
          <t>22.000000000000</t>
        </is>
      </c>
      <c r="M416" t="inlineStr"/>
    </row>
    <row r="417">
      <c r="A417" t="inlineStr">
        <is>
          <t>06/25/2026</t>
        </is>
      </c>
      <c r="B417" t="inlineStr">
        <is>
          <t>CHYG</t>
        </is>
      </c>
      <c r="C417" s="1" t="inlineStr">
        <is>
          <t>72815LAA5</t>
        </is>
      </c>
      <c r="D417" s="1" t="inlineStr">
        <is>
          <t>72815LAA5</t>
        </is>
      </c>
      <c r="E417" t="inlineStr">
        <is>
          <t>Playtika Holding Corp 4.25% 03/15/2029</t>
        </is>
      </c>
      <c r="F417" t="inlineStr">
        <is>
          <t>38000.00000000</t>
        </is>
      </c>
      <c r="G417" t="inlineStr">
        <is>
          <t>89.296500</t>
        </is>
      </c>
      <c r="H417" t="inlineStr">
        <is>
          <t>33932.67</t>
        </is>
      </c>
      <c r="I417" t="inlineStr">
        <is>
          <t>0.62%</t>
        </is>
      </c>
      <c r="J417" t="inlineStr">
        <is>
          <t>5506974.00</t>
        </is>
      </c>
      <c r="K417" t="inlineStr">
        <is>
          <t>220000</t>
        </is>
      </c>
      <c r="L417" t="inlineStr">
        <is>
          <t>22.000000000000</t>
        </is>
      </c>
      <c r="M417" t="inlineStr"/>
    </row>
    <row r="418">
      <c r="A418" t="inlineStr">
        <is>
          <t>06/25/2026</t>
        </is>
      </c>
      <c r="B418" t="inlineStr">
        <is>
          <t>CHYG</t>
        </is>
      </c>
      <c r="C418" s="1" t="inlineStr">
        <is>
          <t>740212AM7</t>
        </is>
      </c>
      <c r="D418" s="1" t="inlineStr">
        <is>
          <t>740212AM7</t>
        </is>
      </c>
      <c r="E418" t="inlineStr">
        <is>
          <t>Precision Drilling Corp 6.875% 01/15/2029</t>
        </is>
      </c>
      <c r="F418" t="inlineStr">
        <is>
          <t>28000.00000000</t>
        </is>
      </c>
      <c r="G418" t="inlineStr">
        <is>
          <t>100.558900</t>
        </is>
      </c>
      <c r="H418" t="inlineStr">
        <is>
          <t>28156.49</t>
        </is>
      </c>
      <c r="I418" t="inlineStr">
        <is>
          <t>0.51%</t>
        </is>
      </c>
      <c r="J418" t="inlineStr">
        <is>
          <t>5506974.00</t>
        </is>
      </c>
      <c r="K418" t="inlineStr">
        <is>
          <t>220000</t>
        </is>
      </c>
      <c r="L418" t="inlineStr">
        <is>
          <t>22.000000000000</t>
        </is>
      </c>
      <c r="M418" t="inlineStr"/>
    </row>
    <row r="419">
      <c r="A419" t="inlineStr">
        <is>
          <t>06/25/2026</t>
        </is>
      </c>
      <c r="B419" t="inlineStr">
        <is>
          <t>CHYG</t>
        </is>
      </c>
      <c r="C419" s="1" t="inlineStr">
        <is>
          <t>74112BAM7</t>
        </is>
      </c>
      <c r="D419" s="1" t="inlineStr">
        <is>
          <t>74112BAM7</t>
        </is>
      </c>
      <c r="E419" t="inlineStr">
        <is>
          <t>Prestige Brands Inc 3.75% 04/01/2031</t>
        </is>
      </c>
      <c r="F419" t="inlineStr">
        <is>
          <t>33000.00000000</t>
        </is>
      </c>
      <c r="G419" t="inlineStr">
        <is>
          <t>91.776290</t>
        </is>
      </c>
      <c r="H419" t="inlineStr">
        <is>
          <t>30286.18</t>
        </is>
      </c>
      <c r="I419" t="inlineStr">
        <is>
          <t>0.55%</t>
        </is>
      </c>
      <c r="J419" t="inlineStr">
        <is>
          <t>5506974.00</t>
        </is>
      </c>
      <c r="K419" t="inlineStr">
        <is>
          <t>220000</t>
        </is>
      </c>
      <c r="L419" t="inlineStr">
        <is>
          <t>22.000000000000</t>
        </is>
      </c>
      <c r="M419" t="inlineStr"/>
    </row>
    <row r="420">
      <c r="A420" t="inlineStr">
        <is>
          <t>06/25/2026</t>
        </is>
      </c>
      <c r="B420" t="inlineStr">
        <is>
          <t>CHYG</t>
        </is>
      </c>
      <c r="C420" s="1" t="inlineStr">
        <is>
          <t>74165HAC2</t>
        </is>
      </c>
      <c r="D420" s="1" t="inlineStr">
        <is>
          <t>74165HAC2</t>
        </is>
      </c>
      <c r="E420" t="inlineStr">
        <is>
          <t>Prime Healthcare Services Inc 9.375% 09/01/2029</t>
        </is>
      </c>
      <c r="F420" t="inlineStr">
        <is>
          <t>29000.00000000</t>
        </is>
      </c>
      <c r="G420" t="inlineStr">
        <is>
          <t>104.732400</t>
        </is>
      </c>
      <c r="H420" t="inlineStr">
        <is>
          <t>30372.40</t>
        </is>
      </c>
      <c r="I420" t="inlineStr">
        <is>
          <t>0.55%</t>
        </is>
      </c>
      <c r="J420" t="inlineStr">
        <is>
          <t>5506974.00</t>
        </is>
      </c>
      <c r="K420" t="inlineStr">
        <is>
          <t>220000</t>
        </is>
      </c>
      <c r="L420" t="inlineStr">
        <is>
          <t>22.000000000000</t>
        </is>
      </c>
      <c r="M420" t="inlineStr"/>
    </row>
    <row r="421">
      <c r="A421" t="inlineStr">
        <is>
          <t>06/25/2026</t>
        </is>
      </c>
      <c r="B421" t="inlineStr">
        <is>
          <t>CHYG</t>
        </is>
      </c>
      <c r="C421" s="1" t="inlineStr">
        <is>
          <t>74841CAB7</t>
        </is>
      </c>
      <c r="D421" s="1" t="inlineStr">
        <is>
          <t>74841CAB7</t>
        </is>
      </c>
      <c r="E421" t="inlineStr">
        <is>
          <t>Rocket Mortgage LLC / Rocket Mortgage Co-Issuer Inc 3.875% 03/01/2031</t>
        </is>
      </c>
      <c r="F421" t="inlineStr">
        <is>
          <t>32000.00000000</t>
        </is>
      </c>
      <c r="G421" t="inlineStr">
        <is>
          <t>93.159330</t>
        </is>
      </c>
      <c r="H421" t="inlineStr">
        <is>
          <t>29810.99</t>
        </is>
      </c>
      <c r="I421" t="inlineStr">
        <is>
          <t>0.54%</t>
        </is>
      </c>
      <c r="J421" t="inlineStr">
        <is>
          <t>5506974.00</t>
        </is>
      </c>
      <c r="K421" t="inlineStr">
        <is>
          <t>220000</t>
        </is>
      </c>
      <c r="L421" t="inlineStr">
        <is>
          <t>22.000000000000</t>
        </is>
      </c>
      <c r="M421" t="inlineStr"/>
    </row>
    <row r="422">
      <c r="A422" t="inlineStr">
        <is>
          <t>06/25/2026</t>
        </is>
      </c>
      <c r="B422" t="inlineStr">
        <is>
          <t>CHYG</t>
        </is>
      </c>
      <c r="C422" s="1" t="inlineStr">
        <is>
          <t>75102WAK4</t>
        </is>
      </c>
      <c r="D422" s="1" t="inlineStr">
        <is>
          <t>75102WAK4</t>
        </is>
      </c>
      <c r="E422" t="inlineStr">
        <is>
          <t>Rakuten Group Inc 9.75% 04/15/2029</t>
        </is>
      </c>
      <c r="F422" t="inlineStr">
        <is>
          <t>24000.00000000</t>
        </is>
      </c>
      <c r="G422" t="inlineStr">
        <is>
          <t>108.804125</t>
        </is>
      </c>
      <c r="H422" t="inlineStr">
        <is>
          <t>26112.99</t>
        </is>
      </c>
      <c r="I422" t="inlineStr">
        <is>
          <t>0.47%</t>
        </is>
      </c>
      <c r="J422" t="inlineStr">
        <is>
          <t>5506974.00</t>
        </is>
      </c>
      <c r="K422" t="inlineStr">
        <is>
          <t>220000</t>
        </is>
      </c>
      <c r="L422" t="inlineStr">
        <is>
          <t>22.000000000000</t>
        </is>
      </c>
      <c r="M422" t="inlineStr"/>
    </row>
    <row r="423">
      <c r="A423" t="inlineStr">
        <is>
          <t>06/25/2026</t>
        </is>
      </c>
      <c r="B423" t="inlineStr">
        <is>
          <t>CHYG</t>
        </is>
      </c>
      <c r="C423" s="1" t="inlineStr">
        <is>
          <t>753272AA1</t>
        </is>
      </c>
      <c r="D423" s="1" t="inlineStr">
        <is>
          <t>753272AA1</t>
        </is>
      </c>
      <c r="E423" t="inlineStr">
        <is>
          <t>Rand Parent LLC 8.5% 02/15/2030</t>
        </is>
      </c>
      <c r="F423" t="inlineStr">
        <is>
          <t>28000.00000000</t>
        </is>
      </c>
      <c r="G423" t="inlineStr">
        <is>
          <t>103.413600</t>
        </is>
      </c>
      <c r="H423" t="inlineStr">
        <is>
          <t>28955.81</t>
        </is>
      </c>
      <c r="I423" t="inlineStr">
        <is>
          <t>0.53%</t>
        </is>
      </c>
      <c r="J423" t="inlineStr">
        <is>
          <t>5506974.00</t>
        </is>
      </c>
      <c r="K423" t="inlineStr">
        <is>
          <t>220000</t>
        </is>
      </c>
      <c r="L423" t="inlineStr">
        <is>
          <t>22.000000000000</t>
        </is>
      </c>
      <c r="M423" t="inlineStr"/>
    </row>
    <row r="424">
      <c r="A424" t="inlineStr">
        <is>
          <t>06/25/2026</t>
        </is>
      </c>
      <c r="B424" t="inlineStr">
        <is>
          <t>CHYG</t>
        </is>
      </c>
      <c r="C424" s="1" t="inlineStr">
        <is>
          <t>775109DG3</t>
        </is>
      </c>
      <c r="D424" s="1" t="inlineStr">
        <is>
          <t>775109DG3</t>
        </is>
      </c>
      <c r="E424" t="inlineStr">
        <is>
          <t>Rogers Communications Inc 7% 04/15/2055</t>
        </is>
      </c>
      <c r="F424" t="inlineStr">
        <is>
          <t>29000.00000000</t>
        </is>
      </c>
      <c r="G424" t="inlineStr">
        <is>
          <t>102.377200</t>
        </is>
      </c>
      <c r="H424" t="inlineStr">
        <is>
          <t>29689.39</t>
        </is>
      </c>
      <c r="I424" t="inlineStr">
        <is>
          <t>0.54%</t>
        </is>
      </c>
      <c r="J424" t="inlineStr">
        <is>
          <t>5506974.00</t>
        </is>
      </c>
      <c r="K424" t="inlineStr">
        <is>
          <t>220000</t>
        </is>
      </c>
      <c r="L424" t="inlineStr">
        <is>
          <t>22.000000000000</t>
        </is>
      </c>
      <c r="M424" t="inlineStr"/>
    </row>
    <row r="425">
      <c r="A425" t="inlineStr">
        <is>
          <t>06/25/2026</t>
        </is>
      </c>
      <c r="B425" t="inlineStr">
        <is>
          <t>CHYG</t>
        </is>
      </c>
      <c r="C425" s="1" t="inlineStr">
        <is>
          <t>78410GAD6</t>
        </is>
      </c>
      <c r="D425" s="1" t="inlineStr">
        <is>
          <t>78410GAD6</t>
        </is>
      </c>
      <c r="E425" t="inlineStr">
        <is>
          <t>SBA Communications Corp 3.875% 02/15/2027</t>
        </is>
      </c>
      <c r="F425" t="inlineStr">
        <is>
          <t>24000.00000000</t>
        </is>
      </c>
      <c r="G425" t="inlineStr">
        <is>
          <t>99.319951</t>
        </is>
      </c>
      <c r="H425" t="inlineStr">
        <is>
          <t>23836.79</t>
        </is>
      </c>
      <c r="I425" t="inlineStr">
        <is>
          <t>0.43%</t>
        </is>
      </c>
      <c r="J425" t="inlineStr">
        <is>
          <t>5506974.00</t>
        </is>
      </c>
      <c r="K425" t="inlineStr">
        <is>
          <t>220000</t>
        </is>
      </c>
      <c r="L425" t="inlineStr">
        <is>
          <t>22.000000000000</t>
        </is>
      </c>
      <c r="M425" t="inlineStr"/>
    </row>
    <row r="426">
      <c r="A426" t="inlineStr">
        <is>
          <t>06/25/2026</t>
        </is>
      </c>
      <c r="B426" t="inlineStr">
        <is>
          <t>CHYG</t>
        </is>
      </c>
      <c r="C426" s="1" t="inlineStr">
        <is>
          <t>78412FAX2</t>
        </is>
      </c>
      <c r="D426" s="1" t="inlineStr">
        <is>
          <t>78412FAX2</t>
        </is>
      </c>
      <c r="E426" t="inlineStr">
        <is>
          <t>SESI LLC 7.875% 09/30/2030</t>
        </is>
      </c>
      <c r="F426" t="inlineStr">
        <is>
          <t>29000.00000000</t>
        </is>
      </c>
      <c r="G426" t="inlineStr">
        <is>
          <t>102.451000</t>
        </is>
      </c>
      <c r="H426" t="inlineStr">
        <is>
          <t>29710.79</t>
        </is>
      </c>
      <c r="I426" t="inlineStr">
        <is>
          <t>0.54%</t>
        </is>
      </c>
      <c r="J426" t="inlineStr">
        <is>
          <t>5506974.00</t>
        </is>
      </c>
      <c r="K426" t="inlineStr">
        <is>
          <t>220000</t>
        </is>
      </c>
      <c r="L426" t="inlineStr">
        <is>
          <t>22.000000000000</t>
        </is>
      </c>
      <c r="M426" t="inlineStr"/>
    </row>
    <row r="427">
      <c r="A427" t="inlineStr">
        <is>
          <t>06/25/2026</t>
        </is>
      </c>
      <c r="B427" t="inlineStr">
        <is>
          <t>CHYG</t>
        </is>
      </c>
      <c r="C427" s="1" t="inlineStr">
        <is>
          <t>78454LAP5</t>
        </is>
      </c>
      <c r="D427" s="1" t="inlineStr">
        <is>
          <t>78454LAP5</t>
        </is>
      </c>
      <c r="E427" t="inlineStr">
        <is>
          <t>SM Energy Co 6.625% 01/15/2027</t>
        </is>
      </c>
      <c r="F427" t="inlineStr">
        <is>
          <t>25000.00000000</t>
        </is>
      </c>
      <c r="G427" t="inlineStr">
        <is>
          <t>100.201400</t>
        </is>
      </c>
      <c r="H427" t="inlineStr">
        <is>
          <t>25050.35</t>
        </is>
      </c>
      <c r="I427" t="inlineStr">
        <is>
          <t>0.45%</t>
        </is>
      </c>
      <c r="J427" t="inlineStr">
        <is>
          <t>5506974.00</t>
        </is>
      </c>
      <c r="K427" t="inlineStr">
        <is>
          <t>220000</t>
        </is>
      </c>
      <c r="L427" t="inlineStr">
        <is>
          <t>22.000000000000</t>
        </is>
      </c>
      <c r="M427" t="inlineStr"/>
    </row>
    <row r="428">
      <c r="A428" t="inlineStr">
        <is>
          <t>06/25/2026</t>
        </is>
      </c>
      <c r="B428" t="inlineStr">
        <is>
          <t>CHYG</t>
        </is>
      </c>
      <c r="C428" s="1" t="inlineStr">
        <is>
          <t>78488XAA2</t>
        </is>
      </c>
      <c r="D428" s="1" t="inlineStr">
        <is>
          <t>78488XAA2</t>
        </is>
      </c>
      <c r="E428" t="inlineStr">
        <is>
          <t>SV RNO Property Owner 1 LLC 5.875% 03/01/2031</t>
        </is>
      </c>
      <c r="F428" t="inlineStr">
        <is>
          <t>26000.00000000</t>
        </is>
      </c>
      <c r="G428" t="inlineStr">
        <is>
          <t>99.057202</t>
        </is>
      </c>
      <c r="H428" t="inlineStr">
        <is>
          <t>25754.87</t>
        </is>
      </c>
      <c r="I428" t="inlineStr">
        <is>
          <t>0.47%</t>
        </is>
      </c>
      <c r="J428" t="inlineStr">
        <is>
          <t>5506974.00</t>
        </is>
      </c>
      <c r="K428" t="inlineStr">
        <is>
          <t>220000</t>
        </is>
      </c>
      <c r="L428" t="inlineStr">
        <is>
          <t>22.000000000000</t>
        </is>
      </c>
      <c r="M428" t="inlineStr"/>
    </row>
    <row r="429">
      <c r="A429" t="inlineStr">
        <is>
          <t>06/25/2026</t>
        </is>
      </c>
      <c r="B429" t="inlineStr">
        <is>
          <t>CHYG</t>
        </is>
      </c>
      <c r="C429" s="1" t="inlineStr">
        <is>
          <t>78573XAA8</t>
        </is>
      </c>
      <c r="D429" s="1" t="inlineStr">
        <is>
          <t>78573XAA8</t>
        </is>
      </c>
      <c r="E429" t="inlineStr">
        <is>
          <t>Sabre Financial Borrower LLC 11.125% 06/15/2029</t>
        </is>
      </c>
      <c r="F429" t="inlineStr">
        <is>
          <t>33000.00000000</t>
        </is>
      </c>
      <c r="G429" t="inlineStr">
        <is>
          <t>104.976200</t>
        </is>
      </c>
      <c r="H429" t="inlineStr">
        <is>
          <t>34642.15</t>
        </is>
      </c>
      <c r="I429" t="inlineStr">
        <is>
          <t>0.63%</t>
        </is>
      </c>
      <c r="J429" t="inlineStr">
        <is>
          <t>5506974.00</t>
        </is>
      </c>
      <c r="K429" t="inlineStr">
        <is>
          <t>220000</t>
        </is>
      </c>
      <c r="L429" t="inlineStr">
        <is>
          <t>22.000000000000</t>
        </is>
      </c>
      <c r="M429" t="inlineStr"/>
    </row>
    <row r="430">
      <c r="A430" t="inlineStr">
        <is>
          <t>06/25/2026</t>
        </is>
      </c>
      <c r="B430" t="inlineStr">
        <is>
          <t>CHYG</t>
        </is>
      </c>
      <c r="C430" s="1" t="inlineStr">
        <is>
          <t>808625AA5</t>
        </is>
      </c>
      <c r="D430" s="1" t="inlineStr">
        <is>
          <t>808625AA5</t>
        </is>
      </c>
      <c r="E430" t="inlineStr">
        <is>
          <t>Science Applications International Corp 4.875% 04/01/2028</t>
        </is>
      </c>
      <c r="F430" t="inlineStr">
        <is>
          <t>30000.00000000</t>
        </is>
      </c>
      <c r="G430" t="inlineStr">
        <is>
          <t>99.586760</t>
        </is>
      </c>
      <c r="H430" t="inlineStr">
        <is>
          <t>29876.03</t>
        </is>
      </c>
      <c r="I430" t="inlineStr">
        <is>
          <t>0.54%</t>
        </is>
      </c>
      <c r="J430" t="inlineStr">
        <is>
          <t>5506974.00</t>
        </is>
      </c>
      <c r="K430" t="inlineStr">
        <is>
          <t>220000</t>
        </is>
      </c>
      <c r="L430" t="inlineStr">
        <is>
          <t>22.000000000000</t>
        </is>
      </c>
      <c r="M430" t="inlineStr"/>
    </row>
    <row r="431">
      <c r="A431" t="inlineStr">
        <is>
          <t>06/25/2026</t>
        </is>
      </c>
      <c r="B431" t="inlineStr">
        <is>
          <t>CHYG</t>
        </is>
      </c>
      <c r="C431" s="1" t="inlineStr">
        <is>
          <t>80874YBE9</t>
        </is>
      </c>
      <c r="D431" s="1" t="inlineStr">
        <is>
          <t>80874YBE9</t>
        </is>
      </c>
      <c r="E431" t="inlineStr">
        <is>
          <t>Light &amp; Wonder International Inc 7.25% 11/15/2029</t>
        </is>
      </c>
      <c r="F431" t="inlineStr">
        <is>
          <t>29000.00000000</t>
        </is>
      </c>
      <c r="G431" t="inlineStr">
        <is>
          <t>101.992500</t>
        </is>
      </c>
      <c r="H431" t="inlineStr">
        <is>
          <t>29577.83</t>
        </is>
      </c>
      <c r="I431" t="inlineStr">
        <is>
          <t>0.54%</t>
        </is>
      </c>
      <c r="J431" t="inlineStr">
        <is>
          <t>5506974.00</t>
        </is>
      </c>
      <c r="K431" t="inlineStr">
        <is>
          <t>220000</t>
        </is>
      </c>
      <c r="L431" t="inlineStr">
        <is>
          <t>22.000000000000</t>
        </is>
      </c>
      <c r="M431" t="inlineStr"/>
    </row>
    <row r="432">
      <c r="A432" t="inlineStr">
        <is>
          <t>06/25/2026</t>
        </is>
      </c>
      <c r="B432" t="inlineStr">
        <is>
          <t>CHYG</t>
        </is>
      </c>
      <c r="C432" s="1" t="inlineStr">
        <is>
          <t>81721MAM1</t>
        </is>
      </c>
      <c r="D432" s="1" t="inlineStr">
        <is>
          <t>81721MAM1</t>
        </is>
      </c>
      <c r="E432" t="inlineStr">
        <is>
          <t>Diversified Healthcare Trust 4.75% 02/15/2028</t>
        </is>
      </c>
      <c r="F432" t="inlineStr">
        <is>
          <t>30000.00000000</t>
        </is>
      </c>
      <c r="G432" t="inlineStr">
        <is>
          <t>97.788370</t>
        </is>
      </c>
      <c r="H432" t="inlineStr">
        <is>
          <t>29336.51</t>
        </is>
      </c>
      <c r="I432" t="inlineStr">
        <is>
          <t>0.53%</t>
        </is>
      </c>
      <c r="J432" t="inlineStr">
        <is>
          <t>5506974.00</t>
        </is>
      </c>
      <c r="K432" t="inlineStr">
        <is>
          <t>220000</t>
        </is>
      </c>
      <c r="L432" t="inlineStr">
        <is>
          <t>22.000000000000</t>
        </is>
      </c>
      <c r="M432" t="inlineStr"/>
    </row>
    <row r="433">
      <c r="A433" t="inlineStr">
        <is>
          <t>06/25/2026</t>
        </is>
      </c>
      <c r="B433" t="inlineStr">
        <is>
          <t>CHYG</t>
        </is>
      </c>
      <c r="C433" s="1" t="inlineStr">
        <is>
          <t>81761LAF9</t>
        </is>
      </c>
      <c r="D433" s="1" t="inlineStr">
        <is>
          <t>81761LAF9</t>
        </is>
      </c>
      <c r="E433" t="inlineStr">
        <is>
          <t>Service Properties Trust 0% 09/30/2027</t>
        </is>
      </c>
      <c r="F433" t="inlineStr">
        <is>
          <t>23000.00000000</t>
        </is>
      </c>
      <c r="G433" t="inlineStr">
        <is>
          <t>93.052410</t>
        </is>
      </c>
      <c r="H433" t="inlineStr">
        <is>
          <t>21402.05</t>
        </is>
      </c>
      <c r="I433" t="inlineStr">
        <is>
          <t>0.39%</t>
        </is>
      </c>
      <c r="J433" t="inlineStr">
        <is>
          <t>5506974.00</t>
        </is>
      </c>
      <c r="K433" t="inlineStr">
        <is>
          <t>220000</t>
        </is>
      </c>
      <c r="L433" t="inlineStr">
        <is>
          <t>22.000000000000</t>
        </is>
      </c>
      <c r="M433" t="inlineStr"/>
    </row>
    <row r="434">
      <c r="A434" t="inlineStr">
        <is>
          <t>06/25/2026</t>
        </is>
      </c>
      <c r="B434" t="inlineStr">
        <is>
          <t>CHYG</t>
        </is>
      </c>
      <c r="C434" s="1" t="inlineStr">
        <is>
          <t>82967NBA5</t>
        </is>
      </c>
      <c r="D434" s="1" t="inlineStr">
        <is>
          <t>82967NBA5</t>
        </is>
      </c>
      <c r="E434" t="inlineStr">
        <is>
          <t>Sirius XM Radio LLC 5% 08/01/2027</t>
        </is>
      </c>
      <c r="F434" t="inlineStr">
        <is>
          <t>25000.00000000</t>
        </is>
      </c>
      <c r="G434" t="inlineStr">
        <is>
          <t>99.701840</t>
        </is>
      </c>
      <c r="H434" t="inlineStr">
        <is>
          <t>24925.46</t>
        </is>
      </c>
      <c r="I434" t="inlineStr">
        <is>
          <t>0.45%</t>
        </is>
      </c>
      <c r="J434" t="inlineStr">
        <is>
          <t>5506974.00</t>
        </is>
      </c>
      <c r="K434" t="inlineStr">
        <is>
          <t>220000</t>
        </is>
      </c>
      <c r="L434" t="inlineStr">
        <is>
          <t>22.000000000000</t>
        </is>
      </c>
      <c r="M434" t="inlineStr"/>
    </row>
    <row r="435">
      <c r="A435" t="inlineStr">
        <is>
          <t>06/25/2026</t>
        </is>
      </c>
      <c r="B435" t="inlineStr">
        <is>
          <t>CHYG</t>
        </is>
      </c>
      <c r="C435" s="1" t="inlineStr">
        <is>
          <t>83001AAD4</t>
        </is>
      </c>
      <c r="D435" s="1" t="inlineStr">
        <is>
          <t>83001AAD4</t>
        </is>
      </c>
      <c r="E435" t="inlineStr">
        <is>
          <t>Six Flags Entertainment Corp 7.25% 05/15/2031</t>
        </is>
      </c>
      <c r="F435" t="inlineStr">
        <is>
          <t>25000.00000000</t>
        </is>
      </c>
      <c r="G435" t="inlineStr">
        <is>
          <t>100.233200</t>
        </is>
      </c>
      <c r="H435" t="inlineStr">
        <is>
          <t>25058.30</t>
        </is>
      </c>
      <c r="I435" t="inlineStr">
        <is>
          <t>0.46%</t>
        </is>
      </c>
      <c r="J435" t="inlineStr">
        <is>
          <t>5506974.00</t>
        </is>
      </c>
      <c r="K435" t="inlineStr">
        <is>
          <t>220000</t>
        </is>
      </c>
      <c r="L435" t="inlineStr">
        <is>
          <t>22.000000000000</t>
        </is>
      </c>
      <c r="M435" t="inlineStr"/>
    </row>
    <row r="436">
      <c r="A436" t="inlineStr">
        <is>
          <t>06/25/2026</t>
        </is>
      </c>
      <c r="B436" t="inlineStr">
        <is>
          <t>CHYG</t>
        </is>
      </c>
      <c r="C436" s="1" t="inlineStr">
        <is>
          <t>83419YAA4</t>
        </is>
      </c>
      <c r="D436" s="1" t="inlineStr">
        <is>
          <t>83419YAA4</t>
        </is>
      </c>
      <c r="E436" t="inlineStr">
        <is>
          <t>Solaris Energy Infrastructure LLC 6.375% 05/15/2031</t>
        </is>
      </c>
      <c r="F436" t="inlineStr">
        <is>
          <t>28000.00000000</t>
        </is>
      </c>
      <c r="G436" t="inlineStr">
        <is>
          <t>101.053600</t>
        </is>
      </c>
      <c r="H436" t="inlineStr">
        <is>
          <t>28295.01</t>
        </is>
      </c>
      <c r="I436" t="inlineStr">
        <is>
          <t>0.51%</t>
        </is>
      </c>
      <c r="J436" t="inlineStr">
        <is>
          <t>5506974.00</t>
        </is>
      </c>
      <c r="K436" t="inlineStr">
        <is>
          <t>220000</t>
        </is>
      </c>
      <c r="L436" t="inlineStr">
        <is>
          <t>22.000000000000</t>
        </is>
      </c>
      <c r="M436" t="inlineStr"/>
    </row>
    <row r="437">
      <c r="A437" t="inlineStr">
        <is>
          <t>06/25/2026</t>
        </is>
      </c>
      <c r="B437" t="inlineStr">
        <is>
          <t>CHYG</t>
        </is>
      </c>
      <c r="C437" s="1" t="inlineStr">
        <is>
          <t>835898AJ6</t>
        </is>
      </c>
      <c r="D437" s="1" t="inlineStr">
        <is>
          <t>835898AJ6</t>
        </is>
      </c>
      <c r="E437" t="inlineStr">
        <is>
          <t>Sotheby's 8.25% 04/15/2031</t>
        </is>
      </c>
      <c r="F437" t="inlineStr">
        <is>
          <t>30000.00000000</t>
        </is>
      </c>
      <c r="G437" t="inlineStr">
        <is>
          <t>98.097613</t>
        </is>
      </c>
      <c r="H437" t="inlineStr">
        <is>
          <t>29429.28</t>
        </is>
      </c>
      <c r="I437" t="inlineStr">
        <is>
          <t>0.53%</t>
        </is>
      </c>
      <c r="J437" t="inlineStr">
        <is>
          <t>5506974.00</t>
        </is>
      </c>
      <c r="K437" t="inlineStr">
        <is>
          <t>220000</t>
        </is>
      </c>
      <c r="L437" t="inlineStr">
        <is>
          <t>22.000000000000</t>
        </is>
      </c>
      <c r="M437" t="inlineStr"/>
    </row>
    <row r="438">
      <c r="A438" t="inlineStr">
        <is>
          <t>06/25/2026</t>
        </is>
      </c>
      <c r="B438" t="inlineStr">
        <is>
          <t>CHYG</t>
        </is>
      </c>
      <c r="C438" s="1" t="inlineStr">
        <is>
          <t>84779MAA2</t>
        </is>
      </c>
      <c r="D438" s="1" t="inlineStr">
        <is>
          <t>84779MAA2</t>
        </is>
      </c>
      <c r="E438" t="inlineStr">
        <is>
          <t>Speedway Motorsports LLC / Speedway Funding II Inc 4.875% 11/01/2027</t>
        </is>
      </c>
      <c r="F438" t="inlineStr">
        <is>
          <t>31000.00000000</t>
        </is>
      </c>
      <c r="G438" t="inlineStr">
        <is>
          <t>99.251130</t>
        </is>
      </c>
      <c r="H438" t="inlineStr">
        <is>
          <t>30767.85</t>
        </is>
      </c>
      <c r="I438" t="inlineStr">
        <is>
          <t>0.56%</t>
        </is>
      </c>
      <c r="J438" t="inlineStr">
        <is>
          <t>5506974.00</t>
        </is>
      </c>
      <c r="K438" t="inlineStr">
        <is>
          <t>220000</t>
        </is>
      </c>
      <c r="L438" t="inlineStr">
        <is>
          <t>22.000000000000</t>
        </is>
      </c>
      <c r="M438" t="inlineStr"/>
    </row>
    <row r="439">
      <c r="A439" t="inlineStr">
        <is>
          <t>06/25/2026</t>
        </is>
      </c>
      <c r="B439" t="inlineStr">
        <is>
          <t>CHYG</t>
        </is>
      </c>
      <c r="C439" s="1" t="inlineStr">
        <is>
          <t>85172FAR0</t>
        </is>
      </c>
      <c r="D439" s="1" t="inlineStr">
        <is>
          <t>85172FAR0</t>
        </is>
      </c>
      <c r="E439" t="inlineStr">
        <is>
          <t>OneMain Finance Corp 5.375% 11/15/2029</t>
        </is>
      </c>
      <c r="F439" t="inlineStr">
        <is>
          <t>25000.00000000</t>
        </is>
      </c>
      <c r="G439" t="inlineStr">
        <is>
          <t>98.059180</t>
        </is>
      </c>
      <c r="H439" t="inlineStr">
        <is>
          <t>24514.80</t>
        </is>
      </c>
      <c r="I439" t="inlineStr">
        <is>
          <t>0.45%</t>
        </is>
      </c>
      <c r="J439" t="inlineStr">
        <is>
          <t>5506974.00</t>
        </is>
      </c>
      <c r="K439" t="inlineStr">
        <is>
          <t>220000</t>
        </is>
      </c>
      <c r="L439" t="inlineStr">
        <is>
          <t>22.000000000000</t>
        </is>
      </c>
      <c r="M439" t="inlineStr"/>
    </row>
    <row r="440">
      <c r="A440" t="inlineStr">
        <is>
          <t>06/25/2026</t>
        </is>
      </c>
      <c r="B440" t="inlineStr">
        <is>
          <t>CHYG</t>
        </is>
      </c>
      <c r="C440" s="1" t="inlineStr">
        <is>
          <t>852234AT0</t>
        </is>
      </c>
      <c r="D440" s="1" t="inlineStr">
        <is>
          <t>852234AT0</t>
        </is>
      </c>
      <c r="E440" t="inlineStr">
        <is>
          <t>Block Inc 5.625% 08/15/2030</t>
        </is>
      </c>
      <c r="F440" t="inlineStr">
        <is>
          <t>30000.00000000</t>
        </is>
      </c>
      <c r="G440" t="inlineStr">
        <is>
          <t>100.146000</t>
        </is>
      </c>
      <c r="H440" t="inlineStr">
        <is>
          <t>30043.80</t>
        </is>
      </c>
      <c r="I440" t="inlineStr">
        <is>
          <t>0.55%</t>
        </is>
      </c>
      <c r="J440" t="inlineStr">
        <is>
          <t>5506974.00</t>
        </is>
      </c>
      <c r="K440" t="inlineStr">
        <is>
          <t>220000</t>
        </is>
      </c>
      <c r="L440" t="inlineStr">
        <is>
          <t>22.000000000000</t>
        </is>
      </c>
      <c r="M440" t="inlineStr"/>
    </row>
    <row r="441">
      <c r="A441" t="inlineStr">
        <is>
          <t>06/25/2026</t>
        </is>
      </c>
      <c r="B441" t="inlineStr">
        <is>
          <t>CHYG</t>
        </is>
      </c>
      <c r="C441" s="1" t="inlineStr">
        <is>
          <t>85236FAA1</t>
        </is>
      </c>
      <c r="D441" s="1" t="inlineStr">
        <is>
          <t>85236FAA1</t>
        </is>
      </c>
      <c r="E441" t="inlineStr">
        <is>
          <t>Smyrna Ready Mix Concrete LLC 6% 11/01/2028</t>
        </is>
      </c>
      <c r="F441" t="inlineStr">
        <is>
          <t>29000.00000000</t>
        </is>
      </c>
      <c r="G441" t="inlineStr">
        <is>
          <t>100.182442</t>
        </is>
      </c>
      <c r="H441" t="inlineStr">
        <is>
          <t>29052.91</t>
        </is>
      </c>
      <c r="I441" t="inlineStr">
        <is>
          <t>0.53%</t>
        </is>
      </c>
      <c r="J441" t="inlineStr">
        <is>
          <t>5506974.00</t>
        </is>
      </c>
      <c r="K441" t="inlineStr">
        <is>
          <t>220000</t>
        </is>
      </c>
      <c r="L441" t="inlineStr">
        <is>
          <t>22.000000000000</t>
        </is>
      </c>
      <c r="M441" t="inlineStr"/>
    </row>
    <row r="442">
      <c r="A442" t="inlineStr">
        <is>
          <t>06/25/2026</t>
        </is>
      </c>
      <c r="B442" t="inlineStr">
        <is>
          <t>CHYG</t>
        </is>
      </c>
      <c r="C442" s="1" t="inlineStr">
        <is>
          <t>853496AG2</t>
        </is>
      </c>
      <c r="D442" s="1" t="inlineStr">
        <is>
          <t>853496AG2</t>
        </is>
      </c>
      <c r="E442" t="inlineStr">
        <is>
          <t>Standard Industries Inc/NY 4.375% 07/15/2030</t>
        </is>
      </c>
      <c r="F442" t="inlineStr">
        <is>
          <t>25000.00000000</t>
        </is>
      </c>
      <c r="G442" t="inlineStr">
        <is>
          <t>94.791020</t>
        </is>
      </c>
      <c r="H442" t="inlineStr">
        <is>
          <t>23697.76</t>
        </is>
      </c>
      <c r="I442" t="inlineStr">
        <is>
          <t>0.43%</t>
        </is>
      </c>
      <c r="J442" t="inlineStr">
        <is>
          <t>5506974.00</t>
        </is>
      </c>
      <c r="K442" t="inlineStr">
        <is>
          <t>220000</t>
        </is>
      </c>
      <c r="L442" t="inlineStr">
        <is>
          <t>22.000000000000</t>
        </is>
      </c>
      <c r="M442" t="inlineStr"/>
    </row>
    <row r="443">
      <c r="A443" t="inlineStr">
        <is>
          <t>06/25/2026</t>
        </is>
      </c>
      <c r="B443" t="inlineStr">
        <is>
          <t>CHYG</t>
        </is>
      </c>
      <c r="C443" s="1" t="inlineStr">
        <is>
          <t>85571BBB0</t>
        </is>
      </c>
      <c r="D443" s="1" t="inlineStr">
        <is>
          <t>85571BBB0</t>
        </is>
      </c>
      <c r="E443" t="inlineStr">
        <is>
          <t>Starwood Property Trust Inc 7.25% 04/01/2029</t>
        </is>
      </c>
      <c r="F443" t="inlineStr">
        <is>
          <t>22000.00000000</t>
        </is>
      </c>
      <c r="G443" t="inlineStr">
        <is>
          <t>103.632800</t>
        </is>
      </c>
      <c r="H443" t="inlineStr">
        <is>
          <t>22799.22</t>
        </is>
      </c>
      <c r="I443" t="inlineStr">
        <is>
          <t>0.41%</t>
        </is>
      </c>
      <c r="J443" t="inlineStr">
        <is>
          <t>5506974.00</t>
        </is>
      </c>
      <c r="K443" t="inlineStr">
        <is>
          <t>220000</t>
        </is>
      </c>
      <c r="L443" t="inlineStr">
        <is>
          <t>22.000000000000</t>
        </is>
      </c>
      <c r="M443" t="inlineStr"/>
    </row>
    <row r="444">
      <c r="A444" t="inlineStr">
        <is>
          <t>06/25/2026</t>
        </is>
      </c>
      <c r="B444" t="inlineStr">
        <is>
          <t>CHYG</t>
        </is>
      </c>
      <c r="C444" s="1" t="inlineStr">
        <is>
          <t>86177CAA7</t>
        </is>
      </c>
      <c r="D444" s="1" t="inlineStr">
        <is>
          <t>86177CAA7</t>
        </is>
      </c>
      <c r="E444" t="inlineStr">
        <is>
          <t>Stonebriar ABF Issuer LLC 8.125% 12/15/2030</t>
        </is>
      </c>
      <c r="F444" t="inlineStr">
        <is>
          <t>23000.00000000</t>
        </is>
      </c>
      <c r="G444" t="inlineStr">
        <is>
          <t>104.503600</t>
        </is>
      </c>
      <c r="H444" t="inlineStr">
        <is>
          <t>24035.83</t>
        </is>
      </c>
      <c r="I444" t="inlineStr">
        <is>
          <t>0.44%</t>
        </is>
      </c>
      <c r="J444" t="inlineStr">
        <is>
          <t>5506974.00</t>
        </is>
      </c>
      <c r="K444" t="inlineStr">
        <is>
          <t>220000</t>
        </is>
      </c>
      <c r="L444" t="inlineStr">
        <is>
          <t>22.000000000000</t>
        </is>
      </c>
      <c r="M444" t="inlineStr"/>
    </row>
    <row r="445">
      <c r="A445" t="inlineStr">
        <is>
          <t>06/25/2026</t>
        </is>
      </c>
      <c r="B445" t="inlineStr">
        <is>
          <t>CHYG</t>
        </is>
      </c>
      <c r="C445" s="1" t="inlineStr">
        <is>
          <t>86184WAA4</t>
        </is>
      </c>
      <c r="D445" s="1" t="inlineStr">
        <is>
          <t>86184WAA4</t>
        </is>
      </c>
      <c r="E445" t="inlineStr">
        <is>
          <t>StoneMor Inc 8.5% 05/15/2029</t>
        </is>
      </c>
      <c r="F445" t="inlineStr">
        <is>
          <t>30000.00000000</t>
        </is>
      </c>
      <c r="G445" t="inlineStr">
        <is>
          <t>98.469590</t>
        </is>
      </c>
      <c r="H445" t="inlineStr">
        <is>
          <t>29540.88</t>
        </is>
      </c>
      <c r="I445" t="inlineStr">
        <is>
          <t>0.54%</t>
        </is>
      </c>
      <c r="J445" t="inlineStr">
        <is>
          <t>5506974.00</t>
        </is>
      </c>
      <c r="K445" t="inlineStr">
        <is>
          <t>220000</t>
        </is>
      </c>
      <c r="L445" t="inlineStr">
        <is>
          <t>22.000000000000</t>
        </is>
      </c>
      <c r="M445" t="inlineStr"/>
    </row>
    <row r="446">
      <c r="A446" t="inlineStr">
        <is>
          <t>06/25/2026</t>
        </is>
      </c>
      <c r="B446" t="inlineStr">
        <is>
          <t>CHYG</t>
        </is>
      </c>
      <c r="C446" s="1" t="inlineStr">
        <is>
          <t>861896AA6</t>
        </is>
      </c>
      <c r="D446" s="1" t="inlineStr">
        <is>
          <t>861896AA6</t>
        </is>
      </c>
      <c r="E446" t="inlineStr">
        <is>
          <t>StoneX Group Inc 7.875% 03/01/2031</t>
        </is>
      </c>
      <c r="F446" t="inlineStr">
        <is>
          <t>26000.00000000</t>
        </is>
      </c>
      <c r="G446" t="inlineStr">
        <is>
          <t>104.835600</t>
        </is>
      </c>
      <c r="H446" t="inlineStr">
        <is>
          <t>27257.26</t>
        </is>
      </c>
      <c r="I446" t="inlineStr">
        <is>
          <t>0.49%</t>
        </is>
      </c>
      <c r="J446" t="inlineStr">
        <is>
          <t>5506974.00</t>
        </is>
      </c>
      <c r="K446" t="inlineStr">
        <is>
          <t>220000</t>
        </is>
      </c>
      <c r="L446" t="inlineStr">
        <is>
          <t>22.000000000000</t>
        </is>
      </c>
      <c r="M446" t="inlineStr"/>
    </row>
    <row r="447">
      <c r="A447" t="inlineStr">
        <is>
          <t>06/25/2026</t>
        </is>
      </c>
      <c r="B447" t="inlineStr">
        <is>
          <t>CHYG</t>
        </is>
      </c>
      <c r="C447" s="1" t="inlineStr">
        <is>
          <t>86614JAA3</t>
        </is>
      </c>
      <c r="D447" s="1" t="inlineStr">
        <is>
          <t>86614JAA3</t>
        </is>
      </c>
      <c r="E447" t="inlineStr">
        <is>
          <t>Summit Midstream Holdings LLC 8.625% 10/31/2029</t>
        </is>
      </c>
      <c r="F447" t="inlineStr">
        <is>
          <t>28000.00000000</t>
        </is>
      </c>
      <c r="G447" t="inlineStr">
        <is>
          <t>104.279300</t>
        </is>
      </c>
      <c r="H447" t="inlineStr">
        <is>
          <t>29198.20</t>
        </is>
      </c>
      <c r="I447" t="inlineStr">
        <is>
          <t>0.53%</t>
        </is>
      </c>
      <c r="J447" t="inlineStr">
        <is>
          <t>5506974.00</t>
        </is>
      </c>
      <c r="K447" t="inlineStr">
        <is>
          <t>220000</t>
        </is>
      </c>
      <c r="L447" t="inlineStr">
        <is>
          <t>22.000000000000</t>
        </is>
      </c>
      <c r="M447" t="inlineStr"/>
    </row>
    <row r="448">
      <c r="A448" t="inlineStr">
        <is>
          <t>06/25/2026</t>
        </is>
      </c>
      <c r="B448" t="inlineStr">
        <is>
          <t>CHYG</t>
        </is>
      </c>
      <c r="C448" s="1" t="inlineStr">
        <is>
          <t>86765KAA7</t>
        </is>
      </c>
      <c r="D448" s="1" t="inlineStr">
        <is>
          <t>86765KAA7</t>
        </is>
      </c>
      <c r="E448" t="inlineStr">
        <is>
          <t>Sunoco LP / Sunoco Finance Corp 7% 09/15/2028</t>
        </is>
      </c>
      <c r="F448" t="inlineStr">
        <is>
          <t>28000.00000000</t>
        </is>
      </c>
      <c r="G448" t="inlineStr">
        <is>
          <t>102.089800</t>
        </is>
      </c>
      <c r="H448" t="inlineStr">
        <is>
          <t>28585.14</t>
        </is>
      </c>
      <c r="I448" t="inlineStr">
        <is>
          <t>0.52%</t>
        </is>
      </c>
      <c r="J448" t="inlineStr">
        <is>
          <t>5506974.00</t>
        </is>
      </c>
      <c r="K448" t="inlineStr">
        <is>
          <t>220000</t>
        </is>
      </c>
      <c r="L448" t="inlineStr">
        <is>
          <t>22.000000000000</t>
        </is>
      </c>
      <c r="M448" t="inlineStr"/>
    </row>
    <row r="449">
      <c r="A449" t="inlineStr">
        <is>
          <t>06/25/2026</t>
        </is>
      </c>
      <c r="B449" t="inlineStr">
        <is>
          <t>CHYG</t>
        </is>
      </c>
      <c r="C449" s="1" t="inlineStr">
        <is>
          <t>87165BAP8</t>
        </is>
      </c>
      <c r="D449" s="1" t="inlineStr">
        <is>
          <t>87165BAP8</t>
        </is>
      </c>
      <c r="E449" t="inlineStr">
        <is>
          <t>Synchrony Financial 5.15% 03/19/2029</t>
        </is>
      </c>
      <c r="F449" t="inlineStr">
        <is>
          <t>25000.00000000</t>
        </is>
      </c>
      <c r="G449" t="inlineStr">
        <is>
          <t>100.064490</t>
        </is>
      </c>
      <c r="H449" t="inlineStr">
        <is>
          <t>25016.12</t>
        </is>
      </c>
      <c r="I449" t="inlineStr">
        <is>
          <t>0.45%</t>
        </is>
      </c>
      <c r="J449" t="inlineStr">
        <is>
          <t>5506974.00</t>
        </is>
      </c>
      <c r="K449" t="inlineStr">
        <is>
          <t>220000</t>
        </is>
      </c>
      <c r="L449" t="inlineStr">
        <is>
          <t>22.000000000000</t>
        </is>
      </c>
      <c r="M449" t="inlineStr"/>
    </row>
    <row r="450">
      <c r="A450" t="inlineStr">
        <is>
          <t>06/25/2026</t>
        </is>
      </c>
      <c r="B450" t="inlineStr">
        <is>
          <t>CHYG</t>
        </is>
      </c>
      <c r="C450" s="1" t="inlineStr">
        <is>
          <t>87256YAG8</t>
        </is>
      </c>
      <c r="D450" s="1" t="inlineStr">
        <is>
          <t>87256YAG8</t>
        </is>
      </c>
      <c r="E450" t="inlineStr">
        <is>
          <t>TKC Holdings Inc 12% 02/15/2031</t>
        </is>
      </c>
      <c r="F450" t="inlineStr">
        <is>
          <t>27000.00000000</t>
        </is>
      </c>
      <c r="G450" t="inlineStr">
        <is>
          <t>105.638400</t>
        </is>
      </c>
      <c r="H450" t="inlineStr">
        <is>
          <t>28522.37</t>
        </is>
      </c>
      <c r="I450" t="inlineStr">
        <is>
          <t>0.52%</t>
        </is>
      </c>
      <c r="J450" t="inlineStr">
        <is>
          <t>5506974.00</t>
        </is>
      </c>
      <c r="K450" t="inlineStr">
        <is>
          <t>220000</t>
        </is>
      </c>
      <c r="L450" t="inlineStr">
        <is>
          <t>22.000000000000</t>
        </is>
      </c>
      <c r="M450" t="inlineStr"/>
    </row>
    <row r="451">
      <c r="A451" t="inlineStr">
        <is>
          <t>06/25/2026</t>
        </is>
      </c>
      <c r="B451" t="inlineStr">
        <is>
          <t>CHYG</t>
        </is>
      </c>
      <c r="C451" s="1" t="inlineStr">
        <is>
          <t>87265HAF6</t>
        </is>
      </c>
      <c r="D451" s="1" t="inlineStr">
        <is>
          <t>87265HAF6</t>
        </is>
      </c>
      <c r="E451" t="inlineStr">
        <is>
          <t>Tri Pointe Homes Inc 5.25% 06/01/2027</t>
        </is>
      </c>
      <c r="F451" t="inlineStr">
        <is>
          <t>25000.00000000</t>
        </is>
      </c>
      <c r="G451" t="inlineStr">
        <is>
          <t>100.040680</t>
        </is>
      </c>
      <c r="H451" t="inlineStr">
        <is>
          <t>25010.17</t>
        </is>
      </c>
      <c r="I451" t="inlineStr">
        <is>
          <t>0.45%</t>
        </is>
      </c>
      <c r="J451" t="inlineStr">
        <is>
          <t>5506974.00</t>
        </is>
      </c>
      <c r="K451" t="inlineStr">
        <is>
          <t>220000</t>
        </is>
      </c>
      <c r="L451" t="inlineStr">
        <is>
          <t>22.000000000000</t>
        </is>
      </c>
      <c r="M451" t="inlineStr"/>
    </row>
    <row r="452">
      <c r="A452" t="inlineStr">
        <is>
          <t>06/25/2026</t>
        </is>
      </c>
      <c r="B452" t="inlineStr">
        <is>
          <t>CHYG</t>
        </is>
      </c>
      <c r="C452" s="1" t="inlineStr">
        <is>
          <t>87422VAQ1</t>
        </is>
      </c>
      <c r="D452" s="1" t="inlineStr">
        <is>
          <t>87422VAQ1</t>
        </is>
      </c>
      <c r="E452" t="inlineStr">
        <is>
          <t>Talen Energy Supply LLC 6.125% 05/01/2031</t>
        </is>
      </c>
      <c r="F452" t="inlineStr">
        <is>
          <t>30000.00000000</t>
        </is>
      </c>
      <c r="G452" t="inlineStr">
        <is>
          <t>99.839190</t>
        </is>
      </c>
      <c r="H452" t="inlineStr">
        <is>
          <t>29951.76</t>
        </is>
      </c>
      <c r="I452" t="inlineStr">
        <is>
          <t>0.54%</t>
        </is>
      </c>
      <c r="J452" t="inlineStr">
        <is>
          <t>5506974.00</t>
        </is>
      </c>
      <c r="K452" t="inlineStr">
        <is>
          <t>220000</t>
        </is>
      </c>
      <c r="L452" t="inlineStr">
        <is>
          <t>22.000000000000</t>
        </is>
      </c>
      <c r="M452" t="inlineStr"/>
    </row>
    <row r="453">
      <c r="A453" t="inlineStr">
        <is>
          <t>06/25/2026</t>
        </is>
      </c>
      <c r="B453" t="inlineStr">
        <is>
          <t>CHYG</t>
        </is>
      </c>
      <c r="C453" s="1" t="inlineStr">
        <is>
          <t>88023UAH4</t>
        </is>
      </c>
      <c r="D453" s="1" t="inlineStr">
        <is>
          <t>88023UAH4</t>
        </is>
      </c>
      <c r="E453" t="inlineStr">
        <is>
          <t>Somnigroup International Inc 4% 04/15/2029</t>
        </is>
      </c>
      <c r="F453" t="inlineStr">
        <is>
          <t>31000.00000000</t>
        </is>
      </c>
      <c r="G453" t="inlineStr">
        <is>
          <t>96.273540</t>
        </is>
      </c>
      <c r="H453" t="inlineStr">
        <is>
          <t>29844.80</t>
        </is>
      </c>
      <c r="I453" t="inlineStr">
        <is>
          <t>0.54%</t>
        </is>
      </c>
      <c r="J453" t="inlineStr">
        <is>
          <t>5506974.00</t>
        </is>
      </c>
      <c r="K453" t="inlineStr">
        <is>
          <t>220000</t>
        </is>
      </c>
      <c r="L453" t="inlineStr">
        <is>
          <t>22.000000000000</t>
        </is>
      </c>
      <c r="M453" t="inlineStr"/>
    </row>
    <row r="454">
      <c r="A454" t="inlineStr">
        <is>
          <t>06/25/2026</t>
        </is>
      </c>
      <c r="B454" t="inlineStr">
        <is>
          <t>CHYG</t>
        </is>
      </c>
      <c r="C454" s="1" t="inlineStr">
        <is>
          <t>88033GDK3</t>
        </is>
      </c>
      <c r="D454" s="1" t="inlineStr">
        <is>
          <t>88033GDK3</t>
        </is>
      </c>
      <c r="E454" t="inlineStr">
        <is>
          <t>Tenet Healthcare Corp 6.125% 10/01/2028</t>
        </is>
      </c>
      <c r="F454" t="inlineStr">
        <is>
          <t>26000.00000000</t>
        </is>
      </c>
      <c r="G454" t="inlineStr">
        <is>
          <t>100.435218</t>
        </is>
      </c>
      <c r="H454" t="inlineStr">
        <is>
          <t>26113.16</t>
        </is>
      </c>
      <c r="I454" t="inlineStr">
        <is>
          <t>0.47%</t>
        </is>
      </c>
      <c r="J454" t="inlineStr">
        <is>
          <t>5506974.00</t>
        </is>
      </c>
      <c r="K454" t="inlineStr">
        <is>
          <t>220000</t>
        </is>
      </c>
      <c r="L454" t="inlineStr">
        <is>
          <t>22.000000000000</t>
        </is>
      </c>
      <c r="M454" t="inlineStr"/>
    </row>
    <row r="455">
      <c r="A455" t="inlineStr">
        <is>
          <t>06/25/2026</t>
        </is>
      </c>
      <c r="B455" t="inlineStr">
        <is>
          <t>CHYG</t>
        </is>
      </c>
      <c r="C455" s="1" t="inlineStr">
        <is>
          <t>880349AU9</t>
        </is>
      </c>
      <c r="D455" s="1" t="inlineStr">
        <is>
          <t>880349AU9</t>
        </is>
      </c>
      <c r="E455" t="inlineStr">
        <is>
          <t>Tenneco Inc 8% 11/17/2028</t>
        </is>
      </c>
      <c r="F455" t="inlineStr">
        <is>
          <t>30000.00000000</t>
        </is>
      </c>
      <c r="G455" t="inlineStr">
        <is>
          <t>100.438500</t>
        </is>
      </c>
      <c r="H455" t="inlineStr">
        <is>
          <t>30131.55</t>
        </is>
      </c>
      <c r="I455" t="inlineStr">
        <is>
          <t>0.55%</t>
        </is>
      </c>
      <c r="J455" t="inlineStr">
        <is>
          <t>5506974.00</t>
        </is>
      </c>
      <c r="K455" t="inlineStr">
        <is>
          <t>220000</t>
        </is>
      </c>
      <c r="L455" t="inlineStr">
        <is>
          <t>22.000000000000</t>
        </is>
      </c>
      <c r="M455" t="inlineStr"/>
    </row>
    <row r="456">
      <c r="A456" t="inlineStr">
        <is>
          <t>06/25/2026</t>
        </is>
      </c>
      <c r="B456" t="inlineStr">
        <is>
          <t>CHYG</t>
        </is>
      </c>
      <c r="C456" s="1" t="inlineStr">
        <is>
          <t>88642RAE9</t>
        </is>
      </c>
      <c r="D456" s="1" t="inlineStr">
        <is>
          <t>88642RAE9</t>
        </is>
      </c>
      <c r="E456" t="inlineStr">
        <is>
          <t>Tidewater Inc 9.125% 07/15/2030</t>
        </is>
      </c>
      <c r="F456" t="inlineStr">
        <is>
          <t>27000.00000000</t>
        </is>
      </c>
      <c r="G456" t="inlineStr">
        <is>
          <t>107.320200</t>
        </is>
      </c>
      <c r="H456" t="inlineStr">
        <is>
          <t>28976.45</t>
        </is>
      </c>
      <c r="I456" t="inlineStr">
        <is>
          <t>0.53%</t>
        </is>
      </c>
      <c r="J456" t="inlineStr">
        <is>
          <t>5506974.00</t>
        </is>
      </c>
      <c r="K456" t="inlineStr">
        <is>
          <t>220000</t>
        </is>
      </c>
      <c r="L456" t="inlineStr">
        <is>
          <t>22.000000000000</t>
        </is>
      </c>
      <c r="M456" t="inlineStr"/>
    </row>
    <row r="457">
      <c r="A457" t="inlineStr">
        <is>
          <t>06/25/2026</t>
        </is>
      </c>
      <c r="B457" t="inlineStr">
        <is>
          <t>CHYG</t>
        </is>
      </c>
      <c r="C457" s="1" t="inlineStr">
        <is>
          <t>893647BU0</t>
        </is>
      </c>
      <c r="D457" s="1" t="inlineStr">
        <is>
          <t>893647BU0</t>
        </is>
      </c>
      <c r="E457" t="inlineStr">
        <is>
          <t>TransDigm Inc 6.375% 03/01/2029</t>
        </is>
      </c>
      <c r="F457" t="inlineStr">
        <is>
          <t>26000.00000000</t>
        </is>
      </c>
      <c r="G457" t="inlineStr">
        <is>
          <t>101.671700</t>
        </is>
      </c>
      <c r="H457" t="inlineStr">
        <is>
          <t>26434.64</t>
        </is>
      </c>
      <c r="I457" t="inlineStr">
        <is>
          <t>0.48%</t>
        </is>
      </c>
      <c r="J457" t="inlineStr">
        <is>
          <t>5506974.00</t>
        </is>
      </c>
      <c r="K457" t="inlineStr">
        <is>
          <t>220000</t>
        </is>
      </c>
      <c r="L457" t="inlineStr">
        <is>
          <t>22.000000000000</t>
        </is>
      </c>
      <c r="M457" t="inlineStr"/>
    </row>
    <row r="458">
      <c r="A458" t="inlineStr">
        <is>
          <t>06/25/2026</t>
        </is>
      </c>
      <c r="B458" t="inlineStr">
        <is>
          <t>CHYG</t>
        </is>
      </c>
      <c r="C458" s="1" t="inlineStr">
        <is>
          <t>893830BY4</t>
        </is>
      </c>
      <c r="D458" s="1" t="inlineStr">
        <is>
          <t>893830BY4</t>
        </is>
      </c>
      <c r="E458" t="inlineStr">
        <is>
          <t>Transocean International Ltd 8.25% 05/15/2029</t>
        </is>
      </c>
      <c r="F458" t="inlineStr">
        <is>
          <t>29000.00000000</t>
        </is>
      </c>
      <c r="G458" t="inlineStr">
        <is>
          <t>103.272900</t>
        </is>
      </c>
      <c r="H458" t="inlineStr">
        <is>
          <t>29949.14</t>
        </is>
      </c>
      <c r="I458" t="inlineStr">
        <is>
          <t>0.54%</t>
        </is>
      </c>
      <c r="J458" t="inlineStr">
        <is>
          <t>5506974.00</t>
        </is>
      </c>
      <c r="K458" t="inlineStr">
        <is>
          <t>220000</t>
        </is>
      </c>
      <c r="L458" t="inlineStr">
        <is>
          <t>22.000000000000</t>
        </is>
      </c>
      <c r="M458" t="inlineStr"/>
    </row>
    <row r="459">
      <c r="A459" t="inlineStr">
        <is>
          <t>06/25/2026</t>
        </is>
      </c>
      <c r="B459" t="inlineStr">
        <is>
          <t>CHYG</t>
        </is>
      </c>
      <c r="C459" s="1" t="inlineStr">
        <is>
          <t>902104AC2</t>
        </is>
      </c>
      <c r="D459" s="1" t="inlineStr">
        <is>
          <t>902104AC2</t>
        </is>
      </c>
      <c r="E459" t="inlineStr">
        <is>
          <t>Coherent Corp 5% 12/15/2029</t>
        </is>
      </c>
      <c r="F459" t="inlineStr">
        <is>
          <t>30000.00000000</t>
        </is>
      </c>
      <c r="G459" t="inlineStr">
        <is>
          <t>98.605600</t>
        </is>
      </c>
      <c r="H459" t="inlineStr">
        <is>
          <t>29581.68</t>
        </is>
      </c>
      <c r="I459" t="inlineStr">
        <is>
          <t>0.54%</t>
        </is>
      </c>
      <c r="J459" t="inlineStr">
        <is>
          <t>5506974.00</t>
        </is>
      </c>
      <c r="K459" t="inlineStr">
        <is>
          <t>220000</t>
        </is>
      </c>
      <c r="L459" t="inlineStr">
        <is>
          <t>22.000000000000</t>
        </is>
      </c>
      <c r="M459" t="inlineStr"/>
    </row>
    <row r="460">
      <c r="A460" t="inlineStr">
        <is>
          <t>06/25/2026</t>
        </is>
      </c>
      <c r="B460" t="inlineStr">
        <is>
          <t>CHYG</t>
        </is>
      </c>
      <c r="C460" s="1" t="inlineStr">
        <is>
          <t>90279XAA0</t>
        </is>
      </c>
      <c r="D460" s="1" t="inlineStr">
        <is>
          <t>90279XAA0</t>
        </is>
      </c>
      <c r="E460" t="inlineStr">
        <is>
          <t>UKG Inc 6.875% 02/01/2031</t>
        </is>
      </c>
      <c r="F460" t="inlineStr">
        <is>
          <t>24000.00000000</t>
        </is>
      </c>
      <c r="G460" t="inlineStr">
        <is>
          <t>97.083840</t>
        </is>
      </c>
      <c r="H460" t="inlineStr">
        <is>
          <t>23300.12</t>
        </is>
      </c>
      <c r="I460" t="inlineStr">
        <is>
          <t>0.42%</t>
        </is>
      </c>
      <c r="J460" t="inlineStr">
        <is>
          <t>5506974.00</t>
        </is>
      </c>
      <c r="K460" t="inlineStr">
        <is>
          <t>220000</t>
        </is>
      </c>
      <c r="L460" t="inlineStr">
        <is>
          <t>22.000000000000</t>
        </is>
      </c>
      <c r="M460" t="inlineStr"/>
    </row>
    <row r="461">
      <c r="A461" t="inlineStr">
        <is>
          <t>06/25/2026</t>
        </is>
      </c>
      <c r="B461" t="inlineStr">
        <is>
          <t>CHYG</t>
        </is>
      </c>
      <c r="C461" s="1" t="inlineStr">
        <is>
          <t>910047AM1</t>
        </is>
      </c>
      <c r="D461" s="1" t="inlineStr">
        <is>
          <t>910047AM1</t>
        </is>
      </c>
      <c r="E461" t="inlineStr">
        <is>
          <t>United Airlines Holdings Inc 4.875% 03/01/2029</t>
        </is>
      </c>
      <c r="F461" t="inlineStr">
        <is>
          <t>29000.00000000</t>
        </is>
      </c>
      <c r="G461" t="inlineStr">
        <is>
          <t>99.219711</t>
        </is>
      </c>
      <c r="H461" t="inlineStr">
        <is>
          <t>28773.72</t>
        </is>
      </c>
      <c r="I461" t="inlineStr">
        <is>
          <t>0.52%</t>
        </is>
      </c>
      <c r="J461" t="inlineStr">
        <is>
          <t>5506974.00</t>
        </is>
      </c>
      <c r="K461" t="inlineStr">
        <is>
          <t>220000</t>
        </is>
      </c>
      <c r="L461" t="inlineStr">
        <is>
          <t>22.000000000000</t>
        </is>
      </c>
      <c r="M461" t="inlineStr"/>
    </row>
    <row r="462">
      <c r="A462" t="inlineStr">
        <is>
          <t>06/25/2026</t>
        </is>
      </c>
      <c r="B462" t="inlineStr">
        <is>
          <t>CHYG</t>
        </is>
      </c>
      <c r="C462" s="1" t="inlineStr">
        <is>
          <t>914906AX0</t>
        </is>
      </c>
      <c r="D462" s="1" t="inlineStr">
        <is>
          <t>914906AX0</t>
        </is>
      </c>
      <c r="E462" t="inlineStr">
        <is>
          <t>Univision Communications Inc 7.375% 06/30/2030</t>
        </is>
      </c>
      <c r="F462" t="inlineStr">
        <is>
          <t>28000.00000000</t>
        </is>
      </c>
      <c r="G462" t="inlineStr">
        <is>
          <t>100.136600</t>
        </is>
      </c>
      <c r="H462" t="inlineStr">
        <is>
          <t>28038.25</t>
        </is>
      </c>
      <c r="I462" t="inlineStr">
        <is>
          <t>0.51%</t>
        </is>
      </c>
      <c r="J462" t="inlineStr">
        <is>
          <t>5506974.00</t>
        </is>
      </c>
      <c r="K462" t="inlineStr">
        <is>
          <t>220000</t>
        </is>
      </c>
      <c r="L462" t="inlineStr">
        <is>
          <t>22.000000000000</t>
        </is>
      </c>
      <c r="M462" t="inlineStr"/>
    </row>
    <row r="463">
      <c r="A463" t="inlineStr">
        <is>
          <t>06/25/2026</t>
        </is>
      </c>
      <c r="B463" t="inlineStr">
        <is>
          <t>CHYG</t>
        </is>
      </c>
      <c r="C463" s="1" t="inlineStr">
        <is>
          <t>918204BC1</t>
        </is>
      </c>
      <c r="D463" s="1" t="inlineStr">
        <is>
          <t>918204BC1</t>
        </is>
      </c>
      <c r="E463" t="inlineStr">
        <is>
          <t>VF Corp 2.95% 04/23/2030</t>
        </is>
      </c>
      <c r="F463" t="inlineStr">
        <is>
          <t>32000.00000000</t>
        </is>
      </c>
      <c r="G463" t="inlineStr">
        <is>
          <t>91.254600</t>
        </is>
      </c>
      <c r="H463" t="inlineStr">
        <is>
          <t>29201.47</t>
        </is>
      </c>
      <c r="I463" t="inlineStr">
        <is>
          <t>0.53%</t>
        </is>
      </c>
      <c r="J463" t="inlineStr">
        <is>
          <t>5506974.00</t>
        </is>
      </c>
      <c r="K463" t="inlineStr">
        <is>
          <t>220000</t>
        </is>
      </c>
      <c r="L463" t="inlineStr">
        <is>
          <t>22.000000000000</t>
        </is>
      </c>
      <c r="M463" t="inlineStr"/>
    </row>
    <row r="464">
      <c r="A464" t="inlineStr">
        <is>
          <t>06/25/2026</t>
        </is>
      </c>
      <c r="B464" t="inlineStr">
        <is>
          <t>CHYG</t>
        </is>
      </c>
      <c r="C464" s="1" t="inlineStr">
        <is>
          <t>91911XAW4</t>
        </is>
      </c>
      <c r="D464" s="1" t="inlineStr">
        <is>
          <t>91911XAW4</t>
        </is>
      </c>
      <c r="E464" t="inlineStr">
        <is>
          <t>Bausch Health Americas Inc 8.5% 01/31/2027</t>
        </is>
      </c>
      <c r="F464" t="inlineStr">
        <is>
          <t>26000.00000000</t>
        </is>
      </c>
      <c r="G464" t="inlineStr">
        <is>
          <t>99.952500</t>
        </is>
      </c>
      <c r="H464" t="inlineStr">
        <is>
          <t>25987.65</t>
        </is>
      </c>
      <c r="I464" t="inlineStr">
        <is>
          <t>0.47%</t>
        </is>
      </c>
      <c r="J464" t="inlineStr">
        <is>
          <t>5506974.00</t>
        </is>
      </c>
      <c r="K464" t="inlineStr">
        <is>
          <t>220000</t>
        </is>
      </c>
      <c r="L464" t="inlineStr">
        <is>
          <t>22.000000000000</t>
        </is>
      </c>
      <c r="M464" t="inlineStr"/>
    </row>
    <row r="465">
      <c r="A465" t="inlineStr">
        <is>
          <t>06/25/2026</t>
        </is>
      </c>
      <c r="B465" t="inlineStr">
        <is>
          <t>CHYG</t>
        </is>
      </c>
      <c r="C465" s="1" t="inlineStr">
        <is>
          <t>922966AE6</t>
        </is>
      </c>
      <c r="D465" s="1" t="inlineStr">
        <is>
          <t>922966AE6</t>
        </is>
      </c>
      <c r="E465" t="inlineStr">
        <is>
          <t>Venture Global Plaquemines LNG LLC 6.125% 12/15/2030</t>
        </is>
      </c>
      <c r="F465" t="inlineStr">
        <is>
          <t>29000.00000000</t>
        </is>
      </c>
      <c r="G465" t="inlineStr">
        <is>
          <t>102.363000</t>
        </is>
      </c>
      <c r="H465" t="inlineStr">
        <is>
          <t>29685.27</t>
        </is>
      </c>
      <c r="I465" t="inlineStr">
        <is>
          <t>0.54%</t>
        </is>
      </c>
      <c r="J465" t="inlineStr">
        <is>
          <t>5506974.00</t>
        </is>
      </c>
      <c r="K465" t="inlineStr">
        <is>
          <t>220000</t>
        </is>
      </c>
      <c r="L465" t="inlineStr">
        <is>
          <t>22.000000000000</t>
        </is>
      </c>
      <c r="M465" t="inlineStr"/>
    </row>
    <row r="466">
      <c r="A466" t="inlineStr">
        <is>
          <t>06/25/2026</t>
        </is>
      </c>
      <c r="B466" t="inlineStr">
        <is>
          <t>CHYG</t>
        </is>
      </c>
      <c r="C466" s="1" t="inlineStr">
        <is>
          <t>92769VAJ8</t>
        </is>
      </c>
      <c r="D466" s="1" t="inlineStr">
        <is>
          <t>92769VAJ8</t>
        </is>
      </c>
      <c r="E466" t="inlineStr">
        <is>
          <t>Virgin Media Finance PLC 5% 07/15/2030</t>
        </is>
      </c>
      <c r="F466" t="inlineStr">
        <is>
          <t>36000.00000000</t>
        </is>
      </c>
      <c r="G466" t="inlineStr">
        <is>
          <t>78.918460</t>
        </is>
      </c>
      <c r="H466" t="inlineStr">
        <is>
          <t>28410.65</t>
        </is>
      </c>
      <c r="I466" t="inlineStr">
        <is>
          <t>0.52%</t>
        </is>
      </c>
      <c r="J466" t="inlineStr">
        <is>
          <t>5506974.00</t>
        </is>
      </c>
      <c r="K466" t="inlineStr">
        <is>
          <t>220000</t>
        </is>
      </c>
      <c r="L466" t="inlineStr">
        <is>
          <t>22.000000000000</t>
        </is>
      </c>
      <c r="M466" t="inlineStr"/>
    </row>
    <row r="467">
      <c r="A467" t="inlineStr">
        <is>
          <t>06/25/2026</t>
        </is>
      </c>
      <c r="B467" t="inlineStr">
        <is>
          <t>CHYG</t>
        </is>
      </c>
      <c r="C467" s="1" t="inlineStr">
        <is>
          <t>92840JAB5</t>
        </is>
      </c>
      <c r="D467" s="1" t="inlineStr">
        <is>
          <t>92840JAB5</t>
        </is>
      </c>
      <c r="E467" t="inlineStr">
        <is>
          <t>VistaJet Malta Finance PLC / Vista Management Holding Inc 6.375% 02/01/2030</t>
        </is>
      </c>
      <c r="F467" t="inlineStr">
        <is>
          <t>32000.00000000</t>
        </is>
      </c>
      <c r="G467" t="inlineStr">
        <is>
          <t>95.241010</t>
        </is>
      </c>
      <c r="H467" t="inlineStr">
        <is>
          <t>30477.12</t>
        </is>
      </c>
      <c r="I467" t="inlineStr">
        <is>
          <t>0.55%</t>
        </is>
      </c>
      <c r="J467" t="inlineStr">
        <is>
          <t>5506974.00</t>
        </is>
      </c>
      <c r="K467" t="inlineStr">
        <is>
          <t>220000</t>
        </is>
      </c>
      <c r="L467" t="inlineStr">
        <is>
          <t>22.000000000000</t>
        </is>
      </c>
      <c r="M467" t="inlineStr"/>
    </row>
    <row r="468">
      <c r="A468" t="inlineStr">
        <is>
          <t>06/25/2026</t>
        </is>
      </c>
      <c r="B468" t="inlineStr">
        <is>
          <t>CHYG</t>
        </is>
      </c>
      <c r="C468" s="1" t="inlineStr">
        <is>
          <t>92874BAA3</t>
        </is>
      </c>
      <c r="D468" s="1" t="inlineStr">
        <is>
          <t>92874BAA3</t>
        </is>
      </c>
      <c r="E468" t="inlineStr">
        <is>
          <t>VoltaGrid LLC 7.375% 11/01/2030</t>
        </is>
      </c>
      <c r="F468" t="inlineStr">
        <is>
          <t>29000.00000000</t>
        </is>
      </c>
      <c r="G468" t="inlineStr">
        <is>
          <t>103.728300</t>
        </is>
      </c>
      <c r="H468" t="inlineStr">
        <is>
          <t>30081.21</t>
        </is>
      </c>
      <c r="I468" t="inlineStr">
        <is>
          <t>0.55%</t>
        </is>
      </c>
      <c r="J468" t="inlineStr">
        <is>
          <t>5506974.00</t>
        </is>
      </c>
      <c r="K468" t="inlineStr">
        <is>
          <t>220000</t>
        </is>
      </c>
      <c r="L468" t="inlineStr">
        <is>
          <t>22.000000000000</t>
        </is>
      </c>
      <c r="M468" t="inlineStr"/>
    </row>
    <row r="469">
      <c r="A469" t="inlineStr">
        <is>
          <t>06/25/2026</t>
        </is>
      </c>
      <c r="B469" t="inlineStr">
        <is>
          <t>CHYG</t>
        </is>
      </c>
      <c r="C469" s="1" t="inlineStr">
        <is>
          <t>982911AA7</t>
        </is>
      </c>
      <c r="D469" s="1" t="inlineStr">
        <is>
          <t>982911AA7</t>
        </is>
      </c>
      <c r="E469" t="inlineStr">
        <is>
          <t>WULF Compute LLC 7.75% 10/15/2030</t>
        </is>
      </c>
      <c r="F469" t="inlineStr">
        <is>
          <t>23000.00000000</t>
        </is>
      </c>
      <c r="G469" t="inlineStr">
        <is>
          <t>105.293300</t>
        </is>
      </c>
      <c r="H469" t="inlineStr">
        <is>
          <t>24217.46</t>
        </is>
      </c>
      <c r="I469" t="inlineStr">
        <is>
          <t>0.44%</t>
        </is>
      </c>
      <c r="J469" t="inlineStr">
        <is>
          <t>5506974.00</t>
        </is>
      </c>
      <c r="K469" t="inlineStr">
        <is>
          <t>220000</t>
        </is>
      </c>
      <c r="L469" t="inlineStr">
        <is>
          <t>22.000000000000</t>
        </is>
      </c>
      <c r="M469" t="inlineStr"/>
    </row>
    <row r="470">
      <c r="A470" t="inlineStr">
        <is>
          <t>06/25/2026</t>
        </is>
      </c>
      <c r="B470" t="inlineStr">
        <is>
          <t>CHYG</t>
        </is>
      </c>
      <c r="C470" s="1" t="inlineStr">
        <is>
          <t>983133AC3</t>
        </is>
      </c>
      <c r="D470" s="1" t="inlineStr">
        <is>
          <t>983133AC3</t>
        </is>
      </c>
      <c r="E470" t="inlineStr">
        <is>
          <t>Wynn Resorts Finance LLC / Wynn Resorts Capital Corp 7.125% 02/15/2031</t>
        </is>
      </c>
      <c r="F470" t="inlineStr">
        <is>
          <t>27000.00000000</t>
        </is>
      </c>
      <c r="G470" t="inlineStr">
        <is>
          <t>105.941300</t>
        </is>
      </c>
      <c r="H470" t="inlineStr">
        <is>
          <t>28604.15</t>
        </is>
      </c>
      <c r="I470" t="inlineStr">
        <is>
          <t>0.52%</t>
        </is>
      </c>
      <c r="J470" t="inlineStr">
        <is>
          <t>5506974.00</t>
        </is>
      </c>
      <c r="K470" t="inlineStr">
        <is>
          <t>220000</t>
        </is>
      </c>
      <c r="L470" t="inlineStr">
        <is>
          <t>22.000000000000</t>
        </is>
      </c>
      <c r="M470" t="inlineStr"/>
    </row>
    <row r="471">
      <c r="A471" t="inlineStr">
        <is>
          <t>06/25/2026</t>
        </is>
      </c>
      <c r="B471" t="inlineStr">
        <is>
          <t>CHYG</t>
        </is>
      </c>
      <c r="C471" s="1" t="inlineStr">
        <is>
          <t>FGXXX</t>
        </is>
      </c>
      <c r="D471" s="1" t="inlineStr">
        <is>
          <t>31846V336</t>
        </is>
      </c>
      <c r="E471" t="inlineStr">
        <is>
          <t>First American Government Obligations Fund 12/01/2031</t>
        </is>
      </c>
      <c r="F471" t="inlineStr">
        <is>
          <t>19913.36000000</t>
        </is>
      </c>
      <c r="G471" t="inlineStr">
        <is>
          <t>100.000000</t>
        </is>
      </c>
      <c r="H471" t="inlineStr">
        <is>
          <t>19913.36</t>
        </is>
      </c>
      <c r="I471" t="inlineStr">
        <is>
          <t>0.36%</t>
        </is>
      </c>
      <c r="J471" t="inlineStr">
        <is>
          <t>5506974.00</t>
        </is>
      </c>
      <c r="K471" t="inlineStr">
        <is>
          <t>220000</t>
        </is>
      </c>
      <c r="L471" t="inlineStr">
        <is>
          <t>22.000000000000</t>
        </is>
      </c>
      <c r="M471" t="inlineStr">
        <is>
          <t>Y</t>
        </is>
      </c>
    </row>
    <row r="472">
      <c r="A472" t="inlineStr">
        <is>
          <t>06/25/2026</t>
        </is>
      </c>
      <c r="B472" t="inlineStr">
        <is>
          <t>CHYG</t>
        </is>
      </c>
      <c r="C472" s="1" t="inlineStr">
        <is>
          <t>Cash&amp;Other</t>
        </is>
      </c>
      <c r="D472" s="1" t="inlineStr">
        <is>
          <t>Cash&amp;Other</t>
        </is>
      </c>
      <c r="E472" t="inlineStr">
        <is>
          <t>Cash &amp; Other</t>
        </is>
      </c>
      <c r="F472" t="inlineStr">
        <is>
          <t>91814.63000000</t>
        </is>
      </c>
      <c r="G472" t="inlineStr">
        <is>
          <t>1.000000</t>
        </is>
      </c>
      <c r="H472" t="inlineStr">
        <is>
          <t>91814.63</t>
        </is>
      </c>
      <c r="I472" t="inlineStr">
        <is>
          <t>1.67%</t>
        </is>
      </c>
      <c r="J472" t="inlineStr">
        <is>
          <t>5506974.00</t>
        </is>
      </c>
      <c r="K472" t="inlineStr">
        <is>
          <t>220000</t>
        </is>
      </c>
      <c r="L472" t="inlineStr">
        <is>
          <t>22.000000000000</t>
        </is>
      </c>
      <c r="M472" t="inlineStr">
        <is>
          <t>Y</t>
        </is>
      </c>
    </row>
    <row r="473">
      <c r="A473" t="inlineStr">
        <is>
          <t>06/25/2026</t>
        </is>
      </c>
      <c r="B473" t="inlineStr">
        <is>
          <t>CIEI</t>
        </is>
      </c>
      <c r="C473" s="1" t="inlineStr">
        <is>
          <t>912810FM5</t>
        </is>
      </c>
      <c r="D473" s="1" t="inlineStr">
        <is>
          <t>912810FM5</t>
        </is>
      </c>
      <c r="E473" t="inlineStr">
        <is>
          <t>United States Treasury Note/Bond 6.25% 05/15/2030</t>
        </is>
      </c>
      <c r="F473" t="inlineStr">
        <is>
          <t>2000.00000000</t>
        </is>
      </c>
      <c r="G473" t="inlineStr">
        <is>
          <t>107.429688</t>
        </is>
      </c>
      <c r="H473" t="inlineStr">
        <is>
          <t>2148.59</t>
        </is>
      </c>
      <c r="I473" t="inlineStr">
        <is>
          <t>0.10%</t>
        </is>
      </c>
      <c r="J473" t="inlineStr">
        <is>
          <t>2258901.00</t>
        </is>
      </c>
      <c r="K473" t="inlineStr">
        <is>
          <t>90000</t>
        </is>
      </c>
      <c r="L473" t="inlineStr">
        <is>
          <t>9.000000000000</t>
        </is>
      </c>
      <c r="M473" t="inlineStr"/>
    </row>
    <row r="474">
      <c r="A474" t="inlineStr">
        <is>
          <t>06/25/2026</t>
        </is>
      </c>
      <c r="B474" t="inlineStr">
        <is>
          <t>CIEI</t>
        </is>
      </c>
      <c r="C474" s="1" t="inlineStr">
        <is>
          <t>912810FP8</t>
        </is>
      </c>
      <c r="D474" s="1" t="inlineStr">
        <is>
          <t>912810FP8</t>
        </is>
      </c>
      <c r="E474" t="inlineStr">
        <is>
          <t>United States Treasury Note/Bond 5.375% 02/15/2031</t>
        </is>
      </c>
      <c r="F474" t="inlineStr">
        <is>
          <t>5000.00000000</t>
        </is>
      </c>
      <c r="G474" t="inlineStr">
        <is>
          <t>105.125000</t>
        </is>
      </c>
      <c r="H474" t="inlineStr">
        <is>
          <t>5256.25</t>
        </is>
      </c>
      <c r="I474" t="inlineStr">
        <is>
          <t>0.23%</t>
        </is>
      </c>
      <c r="J474" t="inlineStr">
        <is>
          <t>2258901.00</t>
        </is>
      </c>
      <c r="K474" t="inlineStr">
        <is>
          <t>90000</t>
        </is>
      </c>
      <c r="L474" t="inlineStr">
        <is>
          <t>9.000000000000</t>
        </is>
      </c>
      <c r="M474" t="inlineStr"/>
    </row>
    <row r="475">
      <c r="A475" t="inlineStr">
        <is>
          <t>06/25/2026</t>
        </is>
      </c>
      <c r="B475" t="inlineStr">
        <is>
          <t>CIEI</t>
        </is>
      </c>
      <c r="C475" s="1" t="inlineStr">
        <is>
          <t>912828YB0</t>
        </is>
      </c>
      <c r="D475" s="1" t="inlineStr">
        <is>
          <t>912828YB0</t>
        </is>
      </c>
      <c r="E475" t="inlineStr">
        <is>
          <t>United States Treasury Note/Bond 1.625% 08/15/2029</t>
        </is>
      </c>
      <c r="F475" t="inlineStr">
        <is>
          <t>21000.00000000</t>
        </is>
      </c>
      <c r="G475" t="inlineStr">
        <is>
          <t>92.673828</t>
        </is>
      </c>
      <c r="H475" t="inlineStr">
        <is>
          <t>19461.50</t>
        </is>
      </c>
      <c r="I475" t="inlineStr">
        <is>
          <t>0.86%</t>
        </is>
      </c>
      <c r="J475" t="inlineStr">
        <is>
          <t>2258901.00</t>
        </is>
      </c>
      <c r="K475" t="inlineStr">
        <is>
          <t>90000</t>
        </is>
      </c>
      <c r="L475" t="inlineStr">
        <is>
          <t>9.000000000000</t>
        </is>
      </c>
      <c r="M475" t="inlineStr"/>
    </row>
    <row r="476">
      <c r="A476" t="inlineStr">
        <is>
          <t>06/25/2026</t>
        </is>
      </c>
      <c r="B476" t="inlineStr">
        <is>
          <t>CIEI</t>
        </is>
      </c>
      <c r="C476" s="1" t="inlineStr">
        <is>
          <t>912828YS3</t>
        </is>
      </c>
      <c r="D476" s="1" t="inlineStr">
        <is>
          <t>912828YS3</t>
        </is>
      </c>
      <c r="E476" t="inlineStr">
        <is>
          <t>United States Treasury Note/Bond 1.75% 11/15/2029</t>
        </is>
      </c>
      <c r="F476" t="inlineStr">
        <is>
          <t>16000.00000000</t>
        </is>
      </c>
      <c r="G476" t="inlineStr">
        <is>
          <t>92.503906</t>
        </is>
      </c>
      <c r="H476" t="inlineStr">
        <is>
          <t>14800.62</t>
        </is>
      </c>
      <c r="I476" t="inlineStr">
        <is>
          <t>0.66%</t>
        </is>
      </c>
      <c r="J476" t="inlineStr">
        <is>
          <t>2258901.00</t>
        </is>
      </c>
      <c r="K476" t="inlineStr">
        <is>
          <t>90000</t>
        </is>
      </c>
      <c r="L476" t="inlineStr">
        <is>
          <t>9.000000000000</t>
        </is>
      </c>
      <c r="M476" t="inlineStr"/>
    </row>
    <row r="477">
      <c r="A477" t="inlineStr">
        <is>
          <t>06/25/2026</t>
        </is>
      </c>
      <c r="B477" t="inlineStr">
        <is>
          <t>CIEI</t>
        </is>
      </c>
      <c r="C477" s="1" t="inlineStr">
        <is>
          <t>912828Z94</t>
        </is>
      </c>
      <c r="D477" s="1" t="inlineStr">
        <is>
          <t>912828Z94</t>
        </is>
      </c>
      <c r="E477" t="inlineStr">
        <is>
          <t>United States Treasury Note/Bond 1.5% 02/15/2030</t>
        </is>
      </c>
      <c r="F477" t="inlineStr">
        <is>
          <t>27000.00000000</t>
        </is>
      </c>
      <c r="G477" t="inlineStr">
        <is>
          <t>91.113281</t>
        </is>
      </c>
      <c r="H477" t="inlineStr">
        <is>
          <t>24600.59</t>
        </is>
      </c>
      <c r="I477" t="inlineStr">
        <is>
          <t>1.09%</t>
        </is>
      </c>
      <c r="J477" t="inlineStr">
        <is>
          <t>2258901.00</t>
        </is>
      </c>
      <c r="K477" t="inlineStr">
        <is>
          <t>90000</t>
        </is>
      </c>
      <c r="L477" t="inlineStr">
        <is>
          <t>9.000000000000</t>
        </is>
      </c>
      <c r="M477" t="inlineStr"/>
    </row>
    <row r="478">
      <c r="A478" t="inlineStr">
        <is>
          <t>06/25/2026</t>
        </is>
      </c>
      <c r="B478" t="inlineStr">
        <is>
          <t>CIEI</t>
        </is>
      </c>
      <c r="C478" s="1" t="inlineStr">
        <is>
          <t>912828ZQ6</t>
        </is>
      </c>
      <c r="D478" s="1" t="inlineStr">
        <is>
          <t>912828ZQ6</t>
        </is>
      </c>
      <c r="E478" t="inlineStr">
        <is>
          <t>United States Treasury Note/Bond 0.625% 05/15/2030</t>
        </is>
      </c>
      <c r="F478" t="inlineStr">
        <is>
          <t>36000.00000000</t>
        </is>
      </c>
      <c r="G478" t="inlineStr">
        <is>
          <t>87.396484</t>
        </is>
      </c>
      <c r="H478" t="inlineStr">
        <is>
          <t>31462.73</t>
        </is>
      </c>
      <c r="I478" t="inlineStr">
        <is>
          <t>1.39%</t>
        </is>
      </c>
      <c r="J478" t="inlineStr">
        <is>
          <t>2258901.00</t>
        </is>
      </c>
      <c r="K478" t="inlineStr">
        <is>
          <t>90000</t>
        </is>
      </c>
      <c r="L478" t="inlineStr">
        <is>
          <t>9.000000000000</t>
        </is>
      </c>
      <c r="M478" t="inlineStr"/>
    </row>
    <row r="479">
      <c r="A479" t="inlineStr">
        <is>
          <t>06/25/2026</t>
        </is>
      </c>
      <c r="B479" t="inlineStr">
        <is>
          <t>CIEI</t>
        </is>
      </c>
      <c r="C479" s="1" t="inlineStr">
        <is>
          <t>91282CAE1</t>
        </is>
      </c>
      <c r="D479" s="1" t="inlineStr">
        <is>
          <t>91282CAE1</t>
        </is>
      </c>
      <c r="E479" t="inlineStr">
        <is>
          <t>United States Treasury Note/Bond 0.625% 08/15/2030</t>
        </is>
      </c>
      <c r="F479" t="inlineStr">
        <is>
          <t>48000.00000000</t>
        </is>
      </c>
      <c r="G479" t="inlineStr">
        <is>
          <t>86.640625</t>
        </is>
      </c>
      <c r="H479" t="inlineStr">
        <is>
          <t>41587.50</t>
        </is>
      </c>
      <c r="I479" t="inlineStr">
        <is>
          <t>1.84%</t>
        </is>
      </c>
      <c r="J479" t="inlineStr">
        <is>
          <t>2258901.00</t>
        </is>
      </c>
      <c r="K479" t="inlineStr">
        <is>
          <t>90000</t>
        </is>
      </c>
      <c r="L479" t="inlineStr">
        <is>
          <t>9.000000000000</t>
        </is>
      </c>
      <c r="M479" t="inlineStr"/>
    </row>
    <row r="480">
      <c r="A480" t="inlineStr">
        <is>
          <t>06/25/2026</t>
        </is>
      </c>
      <c r="B480" t="inlineStr">
        <is>
          <t>CIEI</t>
        </is>
      </c>
      <c r="C480" s="1" t="inlineStr">
        <is>
          <t>91282CAV3</t>
        </is>
      </c>
      <c r="D480" s="1" t="inlineStr">
        <is>
          <t>91282CAV3</t>
        </is>
      </c>
      <c r="E480" t="inlineStr">
        <is>
          <t>United States Treasury Note/Bond 0.875% 11/15/2030</t>
        </is>
      </c>
      <c r="F480" t="inlineStr">
        <is>
          <t>50000.00000000</t>
        </is>
      </c>
      <c r="G480" t="inlineStr">
        <is>
          <t>86.890625</t>
        </is>
      </c>
      <c r="H480" t="inlineStr">
        <is>
          <t>43445.31</t>
        </is>
      </c>
      <c r="I480" t="inlineStr">
        <is>
          <t>1.92%</t>
        </is>
      </c>
      <c r="J480" t="inlineStr">
        <is>
          <t>2258901.00</t>
        </is>
      </c>
      <c r="K480" t="inlineStr">
        <is>
          <t>90000</t>
        </is>
      </c>
      <c r="L480" t="inlineStr">
        <is>
          <t>9.000000000000</t>
        </is>
      </c>
      <c r="M480" t="inlineStr"/>
    </row>
    <row r="481">
      <c r="A481" t="inlineStr">
        <is>
          <t>06/25/2026</t>
        </is>
      </c>
      <c r="B481" t="inlineStr">
        <is>
          <t>CIEI</t>
        </is>
      </c>
      <c r="C481" s="1" t="inlineStr">
        <is>
          <t>91282CBL4</t>
        </is>
      </c>
      <c r="D481" s="1" t="inlineStr">
        <is>
          <t>91282CBL4</t>
        </is>
      </c>
      <c r="E481" t="inlineStr">
        <is>
          <t>United States Treasury Note/Bond 1.125% 02/15/2031</t>
        </is>
      </c>
      <c r="F481" t="inlineStr">
        <is>
          <t>48000.00000000</t>
        </is>
      </c>
      <c r="G481" t="inlineStr">
        <is>
          <t>87.292969</t>
        </is>
      </c>
      <c r="H481" t="inlineStr">
        <is>
          <t>41900.63</t>
        </is>
      </c>
      <c r="I481" t="inlineStr">
        <is>
          <t>1.85%</t>
        </is>
      </c>
      <c r="J481" t="inlineStr">
        <is>
          <t>2258901.00</t>
        </is>
      </c>
      <c r="K481" t="inlineStr">
        <is>
          <t>90000</t>
        </is>
      </c>
      <c r="L481" t="inlineStr">
        <is>
          <t>9.000000000000</t>
        </is>
      </c>
      <c r="M481" t="inlineStr"/>
    </row>
    <row r="482">
      <c r="A482" t="inlineStr">
        <is>
          <t>06/25/2026</t>
        </is>
      </c>
      <c r="B482" t="inlineStr">
        <is>
          <t>CIEI</t>
        </is>
      </c>
      <c r="C482" s="1" t="inlineStr">
        <is>
          <t>91282CCB5</t>
        </is>
      </c>
      <c r="D482" s="1" t="inlineStr">
        <is>
          <t>91282CCB5</t>
        </is>
      </c>
      <c r="E482" t="inlineStr">
        <is>
          <t>United States Treasury Note/Bond 1.625% 05/15/2031</t>
        </is>
      </c>
      <c r="F482" t="inlineStr">
        <is>
          <t>48000.00000000</t>
        </is>
      </c>
      <c r="G482" t="inlineStr">
        <is>
          <t>88.763672</t>
        </is>
      </c>
      <c r="H482" t="inlineStr">
        <is>
          <t>42606.56</t>
        </is>
      </c>
      <c r="I482" t="inlineStr">
        <is>
          <t>1.89%</t>
        </is>
      </c>
      <c r="J482" t="inlineStr">
        <is>
          <t>2258901.00</t>
        </is>
      </c>
      <c r="K482" t="inlineStr">
        <is>
          <t>90000</t>
        </is>
      </c>
      <c r="L482" t="inlineStr">
        <is>
          <t>9.000000000000</t>
        </is>
      </c>
      <c r="M482" t="inlineStr"/>
    </row>
    <row r="483">
      <c r="A483" t="inlineStr">
        <is>
          <t>06/25/2026</t>
        </is>
      </c>
      <c r="B483" t="inlineStr">
        <is>
          <t>CIEI</t>
        </is>
      </c>
      <c r="C483" s="1" t="inlineStr">
        <is>
          <t>91282CCS8</t>
        </is>
      </c>
      <c r="D483" s="1" t="inlineStr">
        <is>
          <t>91282CCS8</t>
        </is>
      </c>
      <c r="E483" t="inlineStr">
        <is>
          <t>United States Treasury Note/Bond 1.25% 08/15/2031</t>
        </is>
      </c>
      <c r="F483" t="inlineStr">
        <is>
          <t>52000.00000000</t>
        </is>
      </c>
      <c r="G483" t="inlineStr">
        <is>
          <t>86.470703</t>
        </is>
      </c>
      <c r="H483" t="inlineStr">
        <is>
          <t>44964.77</t>
        </is>
      </c>
      <c r="I483" t="inlineStr">
        <is>
          <t>1.99%</t>
        </is>
      </c>
      <c r="J483" t="inlineStr">
        <is>
          <t>2258901.00</t>
        </is>
      </c>
      <c r="K483" t="inlineStr">
        <is>
          <t>90000</t>
        </is>
      </c>
      <c r="L483" t="inlineStr">
        <is>
          <t>9.000000000000</t>
        </is>
      </c>
      <c r="M483" t="inlineStr"/>
    </row>
    <row r="484">
      <c r="A484" t="inlineStr">
        <is>
          <t>06/25/2026</t>
        </is>
      </c>
      <c r="B484" t="inlineStr">
        <is>
          <t>CIEI</t>
        </is>
      </c>
      <c r="C484" s="1" t="inlineStr">
        <is>
          <t>91282CDJ7</t>
        </is>
      </c>
      <c r="D484" s="1" t="inlineStr">
        <is>
          <t>91282CDJ7</t>
        </is>
      </c>
      <c r="E484" t="inlineStr">
        <is>
          <t>United States Treasury Note/Bond 1.375% 11/15/2031</t>
        </is>
      </c>
      <c r="F484" t="inlineStr">
        <is>
          <t>50000.00000000</t>
        </is>
      </c>
      <c r="G484" t="inlineStr">
        <is>
          <t>86.433594</t>
        </is>
      </c>
      <c r="H484" t="inlineStr">
        <is>
          <t>43216.80</t>
        </is>
      </c>
      <c r="I484" t="inlineStr">
        <is>
          <t>1.91%</t>
        </is>
      </c>
      <c r="J484" t="inlineStr">
        <is>
          <t>2258901.00</t>
        </is>
      </c>
      <c r="K484" t="inlineStr">
        <is>
          <t>90000</t>
        </is>
      </c>
      <c r="L484" t="inlineStr">
        <is>
          <t>9.000000000000</t>
        </is>
      </c>
      <c r="M484" t="inlineStr"/>
    </row>
    <row r="485">
      <c r="A485" t="inlineStr">
        <is>
          <t>06/25/2026</t>
        </is>
      </c>
      <c r="B485" t="inlineStr">
        <is>
          <t>CIEI</t>
        </is>
      </c>
      <c r="C485" s="1" t="inlineStr">
        <is>
          <t>91282CDY4</t>
        </is>
      </c>
      <c r="D485" s="1" t="inlineStr">
        <is>
          <t>91282CDY4</t>
        </is>
      </c>
      <c r="E485" t="inlineStr">
        <is>
          <t>United States Treasury Note/Bond 1.875% 02/15/2032</t>
        </is>
      </c>
      <c r="F485" t="inlineStr">
        <is>
          <t>48000.00000000</t>
        </is>
      </c>
      <c r="G485" t="inlineStr">
        <is>
          <t>88.300781</t>
        </is>
      </c>
      <c r="H485" t="inlineStr">
        <is>
          <t>42384.37</t>
        </is>
      </c>
      <c r="I485" t="inlineStr">
        <is>
          <t>1.88%</t>
        </is>
      </c>
      <c r="J485" t="inlineStr">
        <is>
          <t>2258901.00</t>
        </is>
      </c>
      <c r="K485" t="inlineStr">
        <is>
          <t>90000</t>
        </is>
      </c>
      <c r="L485" t="inlineStr">
        <is>
          <t>9.000000000000</t>
        </is>
      </c>
      <c r="M485" t="inlineStr"/>
    </row>
    <row r="486">
      <c r="A486" t="inlineStr">
        <is>
          <t>06/25/2026</t>
        </is>
      </c>
      <c r="B486" t="inlineStr">
        <is>
          <t>CIEI</t>
        </is>
      </c>
      <c r="C486" s="1" t="inlineStr">
        <is>
          <t>91282CEP2</t>
        </is>
      </c>
      <c r="D486" s="1" t="inlineStr">
        <is>
          <t>91282CEP2</t>
        </is>
      </c>
      <c r="E486" t="inlineStr">
        <is>
          <t>United States Treasury Note/Bond 2.875% 05/15/2032</t>
        </is>
      </c>
      <c r="F486" t="inlineStr">
        <is>
          <t>40000.00000000</t>
        </is>
      </c>
      <c r="G486" t="inlineStr">
        <is>
          <t>92.960938</t>
        </is>
      </c>
      <c r="H486" t="inlineStr">
        <is>
          <t>37184.38</t>
        </is>
      </c>
      <c r="I486" t="inlineStr">
        <is>
          <t>1.65%</t>
        </is>
      </c>
      <c r="J486" t="inlineStr">
        <is>
          <t>2258901.00</t>
        </is>
      </c>
      <c r="K486" t="inlineStr">
        <is>
          <t>90000</t>
        </is>
      </c>
      <c r="L486" t="inlineStr">
        <is>
          <t>9.000000000000</t>
        </is>
      </c>
      <c r="M486" t="inlineStr"/>
    </row>
    <row r="487">
      <c r="A487" t="inlineStr">
        <is>
          <t>06/25/2026</t>
        </is>
      </c>
      <c r="B487" t="inlineStr">
        <is>
          <t>CIEI</t>
        </is>
      </c>
      <c r="C487" s="1" t="inlineStr">
        <is>
          <t>91282CES6</t>
        </is>
      </c>
      <c r="D487" s="1" t="inlineStr">
        <is>
          <t>91282CES6</t>
        </is>
      </c>
      <c r="E487" t="inlineStr">
        <is>
          <t>United States Treasury Note/Bond 2.75% 05/31/2029</t>
        </is>
      </c>
      <c r="F487" t="inlineStr">
        <is>
          <t>18000.00000000</t>
        </is>
      </c>
      <c r="G487" t="inlineStr">
        <is>
          <t>96.169922</t>
        </is>
      </c>
      <c r="H487" t="inlineStr">
        <is>
          <t>17310.59</t>
        </is>
      </c>
      <c r="I487" t="inlineStr">
        <is>
          <t>0.77%</t>
        </is>
      </c>
      <c r="J487" t="inlineStr">
        <is>
          <t>2258901.00</t>
        </is>
      </c>
      <c r="K487" t="inlineStr">
        <is>
          <t>90000</t>
        </is>
      </c>
      <c r="L487" t="inlineStr">
        <is>
          <t>9.000000000000</t>
        </is>
      </c>
      <c r="M487" t="inlineStr"/>
    </row>
    <row r="488">
      <c r="A488" t="inlineStr">
        <is>
          <t>06/25/2026</t>
        </is>
      </c>
      <c r="B488" t="inlineStr">
        <is>
          <t>CIEI</t>
        </is>
      </c>
      <c r="C488" s="1" t="inlineStr">
        <is>
          <t>91282CEV9</t>
        </is>
      </c>
      <c r="D488" s="1" t="inlineStr">
        <is>
          <t>91282CEV9</t>
        </is>
      </c>
      <c r="E488" t="inlineStr">
        <is>
          <t>United States Treasury Note/Bond 3.25% 06/30/2029</t>
        </is>
      </c>
      <c r="F488" t="inlineStr">
        <is>
          <t>18000.00000000</t>
        </is>
      </c>
      <c r="G488" t="inlineStr">
        <is>
          <t>97.470703</t>
        </is>
      </c>
      <c r="H488" t="inlineStr">
        <is>
          <t>17544.73</t>
        </is>
      </c>
      <c r="I488" t="inlineStr">
        <is>
          <t>0.78%</t>
        </is>
      </c>
      <c r="J488" t="inlineStr">
        <is>
          <t>2258901.00</t>
        </is>
      </c>
      <c r="K488" t="inlineStr">
        <is>
          <t>90000</t>
        </is>
      </c>
      <c r="L488" t="inlineStr">
        <is>
          <t>9.000000000000</t>
        </is>
      </c>
      <c r="M488" t="inlineStr"/>
    </row>
    <row r="489">
      <c r="A489" t="inlineStr">
        <is>
          <t>06/25/2026</t>
        </is>
      </c>
      <c r="B489" t="inlineStr">
        <is>
          <t>CIEI</t>
        </is>
      </c>
      <c r="C489" s="1" t="inlineStr">
        <is>
          <t>91282CFC0</t>
        </is>
      </c>
      <c r="D489" s="1" t="inlineStr">
        <is>
          <t>91282CFC0</t>
        </is>
      </c>
      <c r="E489" t="inlineStr">
        <is>
          <t>United States Treasury Note/Bond 2.625% 07/31/2029</t>
        </is>
      </c>
      <c r="F489" t="inlineStr">
        <is>
          <t>16000.00000000</t>
        </is>
      </c>
      <c r="G489" t="inlineStr">
        <is>
          <t>95.601562</t>
        </is>
      </c>
      <c r="H489" t="inlineStr">
        <is>
          <t>15296.25</t>
        </is>
      </c>
      <c r="I489" t="inlineStr">
        <is>
          <t>0.68%</t>
        </is>
      </c>
      <c r="J489" t="inlineStr">
        <is>
          <t>2258901.00</t>
        </is>
      </c>
      <c r="K489" t="inlineStr">
        <is>
          <t>90000</t>
        </is>
      </c>
      <c r="L489" t="inlineStr">
        <is>
          <t>9.000000000000</t>
        </is>
      </c>
      <c r="M489" t="inlineStr"/>
    </row>
    <row r="490">
      <c r="A490" t="inlineStr">
        <is>
          <t>06/25/2026</t>
        </is>
      </c>
      <c r="B490" t="inlineStr">
        <is>
          <t>CIEI</t>
        </is>
      </c>
      <c r="C490" s="1" t="inlineStr">
        <is>
          <t>91282CFF3</t>
        </is>
      </c>
      <c r="D490" s="1" t="inlineStr">
        <is>
          <t>91282CFF3</t>
        </is>
      </c>
      <c r="E490" t="inlineStr">
        <is>
          <t>United States Treasury Note/Bond 2.75% 08/15/2032</t>
        </is>
      </c>
      <c r="F490" t="inlineStr">
        <is>
          <t>46000.00000000</t>
        </is>
      </c>
      <c r="G490" t="inlineStr">
        <is>
          <t>91.960938</t>
        </is>
      </c>
      <c r="H490" t="inlineStr">
        <is>
          <t>42302.03</t>
        </is>
      </c>
      <c r="I490" t="inlineStr">
        <is>
          <t>1.87%</t>
        </is>
      </c>
      <c r="J490" t="inlineStr">
        <is>
          <t>2258901.00</t>
        </is>
      </c>
      <c r="K490" t="inlineStr">
        <is>
          <t>90000</t>
        </is>
      </c>
      <c r="L490" t="inlineStr">
        <is>
          <t>9.000000000000</t>
        </is>
      </c>
      <c r="M490" t="inlineStr"/>
    </row>
    <row r="491">
      <c r="A491" t="inlineStr">
        <is>
          <t>06/25/2026</t>
        </is>
      </c>
      <c r="B491" t="inlineStr">
        <is>
          <t>CIEI</t>
        </is>
      </c>
      <c r="C491" s="1" t="inlineStr">
        <is>
          <t>91282CFJ5</t>
        </is>
      </c>
      <c r="D491" s="1" t="inlineStr">
        <is>
          <t>91282CFJ5</t>
        </is>
      </c>
      <c r="E491" t="inlineStr">
        <is>
          <t>United States Treasury Note/Bond 3.125% 08/31/2029</t>
        </is>
      </c>
      <c r="F491" t="inlineStr">
        <is>
          <t>16000.00000000</t>
        </is>
      </c>
      <c r="G491" t="inlineStr">
        <is>
          <t>96.949219</t>
        </is>
      </c>
      <c r="H491" t="inlineStr">
        <is>
          <t>15511.88</t>
        </is>
      </c>
      <c r="I491" t="inlineStr">
        <is>
          <t>0.69%</t>
        </is>
      </c>
      <c r="J491" t="inlineStr">
        <is>
          <t>2258901.00</t>
        </is>
      </c>
      <c r="K491" t="inlineStr">
        <is>
          <t>90000</t>
        </is>
      </c>
      <c r="L491" t="inlineStr">
        <is>
          <t>9.000000000000</t>
        </is>
      </c>
      <c r="M491" t="inlineStr"/>
    </row>
    <row r="492">
      <c r="A492" t="inlineStr">
        <is>
          <t>06/25/2026</t>
        </is>
      </c>
      <c r="B492" t="inlineStr">
        <is>
          <t>CIEI</t>
        </is>
      </c>
      <c r="C492" s="1" t="inlineStr">
        <is>
          <t>91282CFL0</t>
        </is>
      </c>
      <c r="D492" s="1" t="inlineStr">
        <is>
          <t>91282CFL0</t>
        </is>
      </c>
      <c r="E492" t="inlineStr">
        <is>
          <t>United States Treasury Note/Bond 3.875% 09/30/2029</t>
        </is>
      </c>
      <c r="F492" t="inlineStr">
        <is>
          <t>16000.00000000</t>
        </is>
      </c>
      <c r="G492" t="inlineStr">
        <is>
          <t>99.148438</t>
        </is>
      </c>
      <c r="H492" t="inlineStr">
        <is>
          <t>15863.75</t>
        </is>
      </c>
      <c r="I492" t="inlineStr">
        <is>
          <t>0.70%</t>
        </is>
      </c>
      <c r="J492" t="inlineStr">
        <is>
          <t>2258901.00</t>
        </is>
      </c>
      <c r="K492" t="inlineStr">
        <is>
          <t>90000</t>
        </is>
      </c>
      <c r="L492" t="inlineStr">
        <is>
          <t>9.000000000000</t>
        </is>
      </c>
      <c r="M492" t="inlineStr"/>
    </row>
    <row r="493">
      <c r="A493" t="inlineStr">
        <is>
          <t>06/25/2026</t>
        </is>
      </c>
      <c r="B493" t="inlineStr">
        <is>
          <t>CIEI</t>
        </is>
      </c>
      <c r="C493" s="1" t="inlineStr">
        <is>
          <t>91282CFT3</t>
        </is>
      </c>
      <c r="D493" s="1" t="inlineStr">
        <is>
          <t>91282CFT3</t>
        </is>
      </c>
      <c r="E493" t="inlineStr">
        <is>
          <t>United States Treasury Note/Bond 4% 10/31/2029</t>
        </is>
      </c>
      <c r="F493" t="inlineStr">
        <is>
          <t>16000.00000000</t>
        </is>
      </c>
      <c r="G493" t="inlineStr">
        <is>
          <t>99.496094</t>
        </is>
      </c>
      <c r="H493" t="inlineStr">
        <is>
          <t>15919.38</t>
        </is>
      </c>
      <c r="I493" t="inlineStr">
        <is>
          <t>0.70%</t>
        </is>
      </c>
      <c r="J493" t="inlineStr">
        <is>
          <t>2258901.00</t>
        </is>
      </c>
      <c r="K493" t="inlineStr">
        <is>
          <t>90000</t>
        </is>
      </c>
      <c r="L493" t="inlineStr">
        <is>
          <t>9.000000000000</t>
        </is>
      </c>
      <c r="M493" t="inlineStr"/>
    </row>
    <row r="494">
      <c r="A494" t="inlineStr">
        <is>
          <t>06/25/2026</t>
        </is>
      </c>
      <c r="B494" t="inlineStr">
        <is>
          <t>CIEI</t>
        </is>
      </c>
      <c r="C494" s="1" t="inlineStr">
        <is>
          <t>91282CFV8</t>
        </is>
      </c>
      <c r="D494" s="1" t="inlineStr">
        <is>
          <t>91282CFV8</t>
        </is>
      </c>
      <c r="E494" t="inlineStr">
        <is>
          <t>United States Treasury Note/Bond 4.125% 11/15/2032</t>
        </is>
      </c>
      <c r="F494" t="inlineStr">
        <is>
          <t>46000.00000000</t>
        </is>
      </c>
      <c r="G494" t="inlineStr">
        <is>
          <t>99.269531</t>
        </is>
      </c>
      <c r="H494" t="inlineStr">
        <is>
          <t>45663.98</t>
        </is>
      </c>
      <c r="I494" t="inlineStr">
        <is>
          <t>2.02%</t>
        </is>
      </c>
      <c r="J494" t="inlineStr">
        <is>
          <t>2258901.00</t>
        </is>
      </c>
      <c r="K494" t="inlineStr">
        <is>
          <t>90000</t>
        </is>
      </c>
      <c r="L494" t="inlineStr">
        <is>
          <t>9.000000000000</t>
        </is>
      </c>
      <c r="M494" t="inlineStr"/>
    </row>
    <row r="495">
      <c r="A495" t="inlineStr">
        <is>
          <t>06/25/2026</t>
        </is>
      </c>
      <c r="B495" t="inlineStr">
        <is>
          <t>CIEI</t>
        </is>
      </c>
      <c r="C495" s="1" t="inlineStr">
        <is>
          <t>91282CFY2</t>
        </is>
      </c>
      <c r="D495" s="1" t="inlineStr">
        <is>
          <t>91282CFY2</t>
        </is>
      </c>
      <c r="E495" t="inlineStr">
        <is>
          <t>United States Treasury Note/Bond 3.875% 11/30/2029</t>
        </is>
      </c>
      <c r="F495" t="inlineStr">
        <is>
          <t>16000.00000000</t>
        </is>
      </c>
      <c r="G495" t="inlineStr">
        <is>
          <t>99.093750</t>
        </is>
      </c>
      <c r="H495" t="inlineStr">
        <is>
          <t>15855.00</t>
        </is>
      </c>
      <c r="I495" t="inlineStr">
        <is>
          <t>0.70%</t>
        </is>
      </c>
      <c r="J495" t="inlineStr">
        <is>
          <t>2258901.00</t>
        </is>
      </c>
      <c r="K495" t="inlineStr">
        <is>
          <t>90000</t>
        </is>
      </c>
      <c r="L495" t="inlineStr">
        <is>
          <t>9.000000000000</t>
        </is>
      </c>
      <c r="M495" t="inlineStr"/>
    </row>
    <row r="496">
      <c r="A496" t="inlineStr">
        <is>
          <t>06/25/2026</t>
        </is>
      </c>
      <c r="B496" t="inlineStr">
        <is>
          <t>CIEI</t>
        </is>
      </c>
      <c r="C496" s="1" t="inlineStr">
        <is>
          <t>91282CGB1</t>
        </is>
      </c>
      <c r="D496" s="1" t="inlineStr">
        <is>
          <t>91282CGB1</t>
        </is>
      </c>
      <c r="E496" t="inlineStr">
        <is>
          <t>United States Treasury Note/Bond 3.875% 12/31/2029</t>
        </is>
      </c>
      <c r="F496" t="inlineStr">
        <is>
          <t>16000.00000000</t>
        </is>
      </c>
      <c r="G496" t="inlineStr">
        <is>
          <t>99.070312</t>
        </is>
      </c>
      <c r="H496" t="inlineStr">
        <is>
          <t>15851.25</t>
        </is>
      </c>
      <c r="I496" t="inlineStr">
        <is>
          <t>0.70%</t>
        </is>
      </c>
      <c r="J496" t="inlineStr">
        <is>
          <t>2258901.00</t>
        </is>
      </c>
      <c r="K496" t="inlineStr">
        <is>
          <t>90000</t>
        </is>
      </c>
      <c r="L496" t="inlineStr">
        <is>
          <t>9.000000000000</t>
        </is>
      </c>
      <c r="M496" t="inlineStr"/>
    </row>
    <row r="497">
      <c r="A497" t="inlineStr">
        <is>
          <t>06/25/2026</t>
        </is>
      </c>
      <c r="B497" t="inlineStr">
        <is>
          <t>CIEI</t>
        </is>
      </c>
      <c r="C497" s="1" t="inlineStr">
        <is>
          <t>91282CGJ4</t>
        </is>
      </c>
      <c r="D497" s="1" t="inlineStr">
        <is>
          <t>91282CGJ4</t>
        </is>
      </c>
      <c r="E497" t="inlineStr">
        <is>
          <t>United States Treasury Note/Bond 3.5% 01/31/2030</t>
        </is>
      </c>
      <c r="F497" t="inlineStr">
        <is>
          <t>16000.00000000</t>
        </is>
      </c>
      <c r="G497" t="inlineStr">
        <is>
          <t>97.804688</t>
        </is>
      </c>
      <c r="H497" t="inlineStr">
        <is>
          <t>15648.75</t>
        </is>
      </c>
      <c r="I497" t="inlineStr">
        <is>
          <t>0.69%</t>
        </is>
      </c>
      <c r="J497" t="inlineStr">
        <is>
          <t>2258901.00</t>
        </is>
      </c>
      <c r="K497" t="inlineStr">
        <is>
          <t>90000</t>
        </is>
      </c>
      <c r="L497" t="inlineStr">
        <is>
          <t>9.000000000000</t>
        </is>
      </c>
      <c r="M497" t="inlineStr"/>
    </row>
    <row r="498">
      <c r="A498" t="inlineStr">
        <is>
          <t>06/25/2026</t>
        </is>
      </c>
      <c r="B498" t="inlineStr">
        <is>
          <t>CIEI</t>
        </is>
      </c>
      <c r="C498" s="1" t="inlineStr">
        <is>
          <t>91282CGM7</t>
        </is>
      </c>
      <c r="D498" s="1" t="inlineStr">
        <is>
          <t>91282CGM7</t>
        </is>
      </c>
      <c r="E498" t="inlineStr">
        <is>
          <t>United States Treasury Note/Bond 3.5% 02/15/2033</t>
        </is>
      </c>
      <c r="F498" t="inlineStr">
        <is>
          <t>46000.00000000</t>
        </is>
      </c>
      <c r="G498" t="inlineStr">
        <is>
          <t>95.570312</t>
        </is>
      </c>
      <c r="H498" t="inlineStr">
        <is>
          <t>43962.34</t>
        </is>
      </c>
      <c r="I498" t="inlineStr">
        <is>
          <t>1.95%</t>
        </is>
      </c>
      <c r="J498" t="inlineStr">
        <is>
          <t>2258901.00</t>
        </is>
      </c>
      <c r="K498" t="inlineStr">
        <is>
          <t>90000</t>
        </is>
      </c>
      <c r="L498" t="inlineStr">
        <is>
          <t>9.000000000000</t>
        </is>
      </c>
      <c r="M498" t="inlineStr"/>
    </row>
    <row r="499">
      <c r="A499" t="inlineStr">
        <is>
          <t>06/25/2026</t>
        </is>
      </c>
      <c r="B499" t="inlineStr">
        <is>
          <t>CIEI</t>
        </is>
      </c>
      <c r="C499" s="1" t="inlineStr">
        <is>
          <t>91282CGQ8</t>
        </is>
      </c>
      <c r="D499" s="1" t="inlineStr">
        <is>
          <t>91282CGQ8</t>
        </is>
      </c>
      <c r="E499" t="inlineStr">
        <is>
          <t>United States Treasury Note/Bond 4% 02/28/2030</t>
        </is>
      </c>
      <c r="F499" t="inlineStr">
        <is>
          <t>38000.00000000</t>
        </is>
      </c>
      <c r="G499" t="inlineStr">
        <is>
          <t>99.447266</t>
        </is>
      </c>
      <c r="H499" t="inlineStr">
        <is>
          <t>37789.96</t>
        </is>
      </c>
      <c r="I499" t="inlineStr">
        <is>
          <t>1.67%</t>
        </is>
      </c>
      <c r="J499" t="inlineStr">
        <is>
          <t>2258901.00</t>
        </is>
      </c>
      <c r="K499" t="inlineStr">
        <is>
          <t>90000</t>
        </is>
      </c>
      <c r="L499" t="inlineStr">
        <is>
          <t>9.000000000000</t>
        </is>
      </c>
      <c r="M499" t="inlineStr"/>
    </row>
    <row r="500">
      <c r="A500" t="inlineStr">
        <is>
          <t>06/25/2026</t>
        </is>
      </c>
      <c r="B500" t="inlineStr">
        <is>
          <t>CIEI</t>
        </is>
      </c>
      <c r="C500" s="1" t="inlineStr">
        <is>
          <t>91282CGS4</t>
        </is>
      </c>
      <c r="D500" s="1" t="inlineStr">
        <is>
          <t>91282CGS4</t>
        </is>
      </c>
      <c r="E500" t="inlineStr">
        <is>
          <t>United States Treasury Note/Bond 3.625% 03/31/2030</t>
        </is>
      </c>
      <c r="F500" t="inlineStr">
        <is>
          <t>16000.00000000</t>
        </is>
      </c>
      <c r="G500" t="inlineStr">
        <is>
          <t>98.128906</t>
        </is>
      </c>
      <c r="H500" t="inlineStr">
        <is>
          <t>15700.62</t>
        </is>
      </c>
      <c r="I500" t="inlineStr">
        <is>
          <t>0.70%</t>
        </is>
      </c>
      <c r="J500" t="inlineStr">
        <is>
          <t>2258901.00</t>
        </is>
      </c>
      <c r="K500" t="inlineStr">
        <is>
          <t>90000</t>
        </is>
      </c>
      <c r="L500" t="inlineStr">
        <is>
          <t>9.000000000000</t>
        </is>
      </c>
      <c r="M500" t="inlineStr"/>
    </row>
    <row r="501">
      <c r="A501" t="inlineStr">
        <is>
          <t>06/25/2026</t>
        </is>
      </c>
      <c r="B501" t="inlineStr">
        <is>
          <t>CIEI</t>
        </is>
      </c>
      <c r="C501" s="1" t="inlineStr">
        <is>
          <t>91282CGZ8</t>
        </is>
      </c>
      <c r="D501" s="1" t="inlineStr">
        <is>
          <t>91282CGZ8</t>
        </is>
      </c>
      <c r="E501" t="inlineStr">
        <is>
          <t>United States Treasury Note/Bond 3.5% 04/30/2030</t>
        </is>
      </c>
      <c r="F501" t="inlineStr">
        <is>
          <t>16000.00000000</t>
        </is>
      </c>
      <c r="G501" t="inlineStr">
        <is>
          <t>97.638672</t>
        </is>
      </c>
      <c r="H501" t="inlineStr">
        <is>
          <t>15622.19</t>
        </is>
      </c>
      <c r="I501" t="inlineStr">
        <is>
          <t>0.69%</t>
        </is>
      </c>
      <c r="J501" t="inlineStr">
        <is>
          <t>2258901.00</t>
        </is>
      </c>
      <c r="K501" t="inlineStr">
        <is>
          <t>90000</t>
        </is>
      </c>
      <c r="L501" t="inlineStr">
        <is>
          <t>9.000000000000</t>
        </is>
      </c>
      <c r="M501" t="inlineStr"/>
    </row>
    <row r="502">
      <c r="A502" t="inlineStr">
        <is>
          <t>06/25/2026</t>
        </is>
      </c>
      <c r="B502" t="inlineStr">
        <is>
          <t>CIEI</t>
        </is>
      </c>
      <c r="C502" s="1" t="inlineStr">
        <is>
          <t>91282CHC8</t>
        </is>
      </c>
      <c r="D502" s="1" t="inlineStr">
        <is>
          <t>91282CHC8</t>
        </is>
      </c>
      <c r="E502" t="inlineStr">
        <is>
          <t>United States Treasury Note/Bond 3.375% 05/15/2033</t>
        </is>
      </c>
      <c r="F502" t="inlineStr">
        <is>
          <t>44000.00000000</t>
        </is>
      </c>
      <c r="G502" t="inlineStr">
        <is>
          <t>94.613281</t>
        </is>
      </c>
      <c r="H502" t="inlineStr">
        <is>
          <t>41629.84</t>
        </is>
      </c>
      <c r="I502" t="inlineStr">
        <is>
          <t>1.84%</t>
        </is>
      </c>
      <c r="J502" t="inlineStr">
        <is>
          <t>2258901.00</t>
        </is>
      </c>
      <c r="K502" t="inlineStr">
        <is>
          <t>90000</t>
        </is>
      </c>
      <c r="L502" t="inlineStr">
        <is>
          <t>9.000000000000</t>
        </is>
      </c>
      <c r="M502" t="inlineStr"/>
    </row>
    <row r="503">
      <c r="A503" t="inlineStr">
        <is>
          <t>06/25/2026</t>
        </is>
      </c>
      <c r="B503" t="inlineStr">
        <is>
          <t>CIEI</t>
        </is>
      </c>
      <c r="C503" s="1" t="inlineStr">
        <is>
          <t>91282CHF1</t>
        </is>
      </c>
      <c r="D503" s="1" t="inlineStr">
        <is>
          <t>91282CHF1</t>
        </is>
      </c>
      <c r="E503" t="inlineStr">
        <is>
          <t>United States Treasury Note/Bond 3.75% 05/31/2030</t>
        </is>
      </c>
      <c r="F503" t="inlineStr">
        <is>
          <t>16000.00000000</t>
        </is>
      </c>
      <c r="G503" t="inlineStr">
        <is>
          <t>98.490234</t>
        </is>
      </c>
      <c r="H503" t="inlineStr">
        <is>
          <t>15758.44</t>
        </is>
      </c>
      <c r="I503" t="inlineStr">
        <is>
          <t>0.70%</t>
        </is>
      </c>
      <c r="J503" t="inlineStr">
        <is>
          <t>2258901.00</t>
        </is>
      </c>
      <c r="K503" t="inlineStr">
        <is>
          <t>90000</t>
        </is>
      </c>
      <c r="L503" t="inlineStr">
        <is>
          <t>9.000000000000</t>
        </is>
      </c>
      <c r="M503" t="inlineStr"/>
    </row>
    <row r="504">
      <c r="A504" t="inlineStr">
        <is>
          <t>06/25/2026</t>
        </is>
      </c>
      <c r="B504" t="inlineStr">
        <is>
          <t>CIEI</t>
        </is>
      </c>
      <c r="C504" s="1" t="inlineStr">
        <is>
          <t>91282CHJ3</t>
        </is>
      </c>
      <c r="D504" s="1" t="inlineStr">
        <is>
          <t>91282CHJ3</t>
        </is>
      </c>
      <c r="E504" t="inlineStr">
        <is>
          <t>United States Treasury Note/Bond 3.75% 06/30/2030</t>
        </is>
      </c>
      <c r="F504" t="inlineStr">
        <is>
          <t>16000.00000000</t>
        </is>
      </c>
      <c r="G504" t="inlineStr">
        <is>
          <t>98.443359</t>
        </is>
      </c>
      <c r="H504" t="inlineStr">
        <is>
          <t>15750.94</t>
        </is>
      </c>
      <c r="I504" t="inlineStr">
        <is>
          <t>0.70%</t>
        </is>
      </c>
      <c r="J504" t="inlineStr">
        <is>
          <t>2258901.00</t>
        </is>
      </c>
      <c r="K504" t="inlineStr">
        <is>
          <t>90000</t>
        </is>
      </c>
      <c r="L504" t="inlineStr">
        <is>
          <t>9.000000000000</t>
        </is>
      </c>
      <c r="M504" t="inlineStr"/>
    </row>
    <row r="505">
      <c r="A505" t="inlineStr">
        <is>
          <t>06/25/2026</t>
        </is>
      </c>
      <c r="B505" t="inlineStr">
        <is>
          <t>CIEI</t>
        </is>
      </c>
      <c r="C505" s="1" t="inlineStr">
        <is>
          <t>91282CHR5</t>
        </is>
      </c>
      <c r="D505" s="1" t="inlineStr">
        <is>
          <t>91282CHR5</t>
        </is>
      </c>
      <c r="E505" t="inlineStr">
        <is>
          <t>United States Treasury Note/Bond 4% 07/31/2030</t>
        </is>
      </c>
      <c r="F505" t="inlineStr">
        <is>
          <t>16000.00000000</t>
        </is>
      </c>
      <c r="G505" t="inlineStr">
        <is>
          <t>99.349609</t>
        </is>
      </c>
      <c r="H505" t="inlineStr">
        <is>
          <t>15895.94</t>
        </is>
      </c>
      <c r="I505" t="inlineStr">
        <is>
          <t>0.70%</t>
        </is>
      </c>
      <c r="J505" t="inlineStr">
        <is>
          <t>2258901.00</t>
        </is>
      </c>
      <c r="K505" t="inlineStr">
        <is>
          <t>90000</t>
        </is>
      </c>
      <c r="L505" t="inlineStr">
        <is>
          <t>9.000000000000</t>
        </is>
      </c>
      <c r="M505" t="inlineStr"/>
    </row>
    <row r="506">
      <c r="A506" t="inlineStr">
        <is>
          <t>06/25/2026</t>
        </is>
      </c>
      <c r="B506" t="inlineStr">
        <is>
          <t>CIEI</t>
        </is>
      </c>
      <c r="C506" s="1" t="inlineStr">
        <is>
          <t>91282CHW4</t>
        </is>
      </c>
      <c r="D506" s="1" t="inlineStr">
        <is>
          <t>91282CHW4</t>
        </is>
      </c>
      <c r="E506" t="inlineStr">
        <is>
          <t>United States Treasury Note/Bond 4.125% 08/31/2030</t>
        </is>
      </c>
      <c r="F506" t="inlineStr">
        <is>
          <t>16000.00000000</t>
        </is>
      </c>
      <c r="G506" t="inlineStr">
        <is>
          <t>99.787109</t>
        </is>
      </c>
      <c r="H506" t="inlineStr">
        <is>
          <t>15965.94</t>
        </is>
      </c>
      <c r="I506" t="inlineStr">
        <is>
          <t>0.71%</t>
        </is>
      </c>
      <c r="J506" t="inlineStr">
        <is>
          <t>2258901.00</t>
        </is>
      </c>
      <c r="K506" t="inlineStr">
        <is>
          <t>90000</t>
        </is>
      </c>
      <c r="L506" t="inlineStr">
        <is>
          <t>9.000000000000</t>
        </is>
      </c>
      <c r="M506" t="inlineStr"/>
    </row>
    <row r="507">
      <c r="A507" t="inlineStr">
        <is>
          <t>06/25/2026</t>
        </is>
      </c>
      <c r="B507" t="inlineStr">
        <is>
          <t>CIEI</t>
        </is>
      </c>
      <c r="C507" s="1" t="inlineStr">
        <is>
          <t>91282CHZ7</t>
        </is>
      </c>
      <c r="D507" s="1" t="inlineStr">
        <is>
          <t>91282CHZ7</t>
        </is>
      </c>
      <c r="E507" t="inlineStr">
        <is>
          <t>United States Treasury Note/Bond 4.625% 09/30/2030</t>
        </is>
      </c>
      <c r="F507" t="inlineStr">
        <is>
          <t>16000.00000000</t>
        </is>
      </c>
      <c r="G507" t="inlineStr">
        <is>
          <t>101.734375</t>
        </is>
      </c>
      <c r="H507" t="inlineStr">
        <is>
          <t>16277.50</t>
        </is>
      </c>
      <c r="I507" t="inlineStr">
        <is>
          <t>0.72%</t>
        </is>
      </c>
      <c r="J507" t="inlineStr">
        <is>
          <t>2258901.00</t>
        </is>
      </c>
      <c r="K507" t="inlineStr">
        <is>
          <t>90000</t>
        </is>
      </c>
      <c r="L507" t="inlineStr">
        <is>
          <t>9.000000000000</t>
        </is>
      </c>
      <c r="M507" t="inlineStr"/>
    </row>
    <row r="508">
      <c r="A508" t="inlineStr">
        <is>
          <t>06/25/2026</t>
        </is>
      </c>
      <c r="B508" t="inlineStr">
        <is>
          <t>CIEI</t>
        </is>
      </c>
      <c r="C508" s="1" t="inlineStr">
        <is>
          <t>91282CJG7</t>
        </is>
      </c>
      <c r="D508" s="1" t="inlineStr">
        <is>
          <t>91282CJG7</t>
        </is>
      </c>
      <c r="E508" t="inlineStr">
        <is>
          <t>United States Treasury Note/Bond 4.875% 10/31/2030</t>
        </is>
      </c>
      <c r="F508" t="inlineStr">
        <is>
          <t>18000.00000000</t>
        </is>
      </c>
      <c r="G508" t="inlineStr">
        <is>
          <t>102.734375</t>
        </is>
      </c>
      <c r="H508" t="inlineStr">
        <is>
          <t>18492.19</t>
        </is>
      </c>
      <c r="I508" t="inlineStr">
        <is>
          <t>0.82%</t>
        </is>
      </c>
      <c r="J508" t="inlineStr">
        <is>
          <t>2258901.00</t>
        </is>
      </c>
      <c r="K508" t="inlineStr">
        <is>
          <t>90000</t>
        </is>
      </c>
      <c r="L508" t="inlineStr">
        <is>
          <t>9.000000000000</t>
        </is>
      </c>
      <c r="M508" t="inlineStr"/>
    </row>
    <row r="509">
      <c r="A509" t="inlineStr">
        <is>
          <t>06/25/2026</t>
        </is>
      </c>
      <c r="B509" t="inlineStr">
        <is>
          <t>CIEI</t>
        </is>
      </c>
      <c r="C509" s="1" t="inlineStr">
        <is>
          <t>91282CJM4</t>
        </is>
      </c>
      <c r="D509" s="1" t="inlineStr">
        <is>
          <t>91282CJM4</t>
        </is>
      </c>
      <c r="E509" t="inlineStr">
        <is>
          <t>United States Treasury Note/Bond 4.375% 11/30/2030</t>
        </is>
      </c>
      <c r="F509" t="inlineStr">
        <is>
          <t>18000.00000000</t>
        </is>
      </c>
      <c r="G509" t="inlineStr">
        <is>
          <t>100.775391</t>
        </is>
      </c>
      <c r="H509" t="inlineStr">
        <is>
          <t>18139.57</t>
        </is>
      </c>
      <c r="I509" t="inlineStr">
        <is>
          <t>0.80%</t>
        </is>
      </c>
      <c r="J509" t="inlineStr">
        <is>
          <t>2258901.00</t>
        </is>
      </c>
      <c r="K509" t="inlineStr">
        <is>
          <t>90000</t>
        </is>
      </c>
      <c r="L509" t="inlineStr">
        <is>
          <t>9.000000000000</t>
        </is>
      </c>
      <c r="M509" t="inlineStr"/>
    </row>
    <row r="510">
      <c r="A510" t="inlineStr">
        <is>
          <t>06/25/2026</t>
        </is>
      </c>
      <c r="B510" t="inlineStr">
        <is>
          <t>CIEI</t>
        </is>
      </c>
      <c r="C510" s="1" t="inlineStr">
        <is>
          <t>91282CJQ5</t>
        </is>
      </c>
      <c r="D510" s="1" t="inlineStr">
        <is>
          <t>91282CJQ5</t>
        </is>
      </c>
      <c r="E510" t="inlineStr">
        <is>
          <t>United States Treasury Note/Bond 3.75% 12/31/2030</t>
        </is>
      </c>
      <c r="F510" t="inlineStr">
        <is>
          <t>18000.00000000</t>
        </is>
      </c>
      <c r="G510" t="inlineStr">
        <is>
          <t>98.228516</t>
        </is>
      </c>
      <c r="H510" t="inlineStr">
        <is>
          <t>17681.13</t>
        </is>
      </c>
      <c r="I510" t="inlineStr">
        <is>
          <t>0.78%</t>
        </is>
      </c>
      <c r="J510" t="inlineStr">
        <is>
          <t>2258901.00</t>
        </is>
      </c>
      <c r="K510" t="inlineStr">
        <is>
          <t>90000</t>
        </is>
      </c>
      <c r="L510" t="inlineStr">
        <is>
          <t>9.000000000000</t>
        </is>
      </c>
      <c r="M510" t="inlineStr"/>
    </row>
    <row r="511">
      <c r="A511" t="inlineStr">
        <is>
          <t>06/25/2026</t>
        </is>
      </c>
      <c r="B511" t="inlineStr">
        <is>
          <t>CIEI</t>
        </is>
      </c>
      <c r="C511" s="1" t="inlineStr">
        <is>
          <t>91282CJX0</t>
        </is>
      </c>
      <c r="D511" s="1" t="inlineStr">
        <is>
          <t>91282CJX0</t>
        </is>
      </c>
      <c r="E511" t="inlineStr">
        <is>
          <t>United States Treasury Note/Bond 4% 01/31/2031</t>
        </is>
      </c>
      <c r="F511" t="inlineStr">
        <is>
          <t>18000.00000000</t>
        </is>
      </c>
      <c r="G511" t="inlineStr">
        <is>
          <t>99.232422</t>
        </is>
      </c>
      <c r="H511" t="inlineStr">
        <is>
          <t>17861.84</t>
        </is>
      </c>
      <c r="I511" t="inlineStr">
        <is>
          <t>0.79%</t>
        </is>
      </c>
      <c r="J511" t="inlineStr">
        <is>
          <t>2258901.00</t>
        </is>
      </c>
      <c r="K511" t="inlineStr">
        <is>
          <t>90000</t>
        </is>
      </c>
      <c r="L511" t="inlineStr">
        <is>
          <t>9.000000000000</t>
        </is>
      </c>
      <c r="M511" t="inlineStr"/>
    </row>
    <row r="512">
      <c r="A512" t="inlineStr">
        <is>
          <t>06/25/2026</t>
        </is>
      </c>
      <c r="B512" t="inlineStr">
        <is>
          <t>CIEI</t>
        </is>
      </c>
      <c r="C512" s="1" t="inlineStr">
        <is>
          <t>91282CKC4</t>
        </is>
      </c>
      <c r="D512" s="1" t="inlineStr">
        <is>
          <t>91282CKC4</t>
        </is>
      </c>
      <c r="E512" t="inlineStr">
        <is>
          <t>United States Treasury Note/Bond 4.25% 02/28/2031</t>
        </is>
      </c>
      <c r="F512" t="inlineStr">
        <is>
          <t>18000.00000000</t>
        </is>
      </c>
      <c r="G512" t="inlineStr">
        <is>
          <t>100.275391</t>
        </is>
      </c>
      <c r="H512" t="inlineStr">
        <is>
          <t>18049.57</t>
        </is>
      </c>
      <c r="I512" t="inlineStr">
        <is>
          <t>0.80%</t>
        </is>
      </c>
      <c r="J512" t="inlineStr">
        <is>
          <t>2258901.00</t>
        </is>
      </c>
      <c r="K512" t="inlineStr">
        <is>
          <t>90000</t>
        </is>
      </c>
      <c r="L512" t="inlineStr">
        <is>
          <t>9.000000000000</t>
        </is>
      </c>
      <c r="M512" t="inlineStr"/>
    </row>
    <row r="513">
      <c r="A513" t="inlineStr">
        <is>
          <t>06/25/2026</t>
        </is>
      </c>
      <c r="B513" t="inlineStr">
        <is>
          <t>CIEI</t>
        </is>
      </c>
      <c r="C513" s="1" t="inlineStr">
        <is>
          <t>91282CKF7</t>
        </is>
      </c>
      <c r="D513" s="1" t="inlineStr">
        <is>
          <t>91282CKF7</t>
        </is>
      </c>
      <c r="E513" t="inlineStr">
        <is>
          <t>United States Treasury Note/Bond 4.125% 03/31/2031</t>
        </is>
      </c>
      <c r="F513" t="inlineStr">
        <is>
          <t>20000.00000000</t>
        </is>
      </c>
      <c r="G513" t="inlineStr">
        <is>
          <t>99.732422</t>
        </is>
      </c>
      <c r="H513" t="inlineStr">
        <is>
          <t>19946.48</t>
        </is>
      </c>
      <c r="I513" t="inlineStr">
        <is>
          <t>0.88%</t>
        </is>
      </c>
      <c r="J513" t="inlineStr">
        <is>
          <t>2258901.00</t>
        </is>
      </c>
      <c r="K513" t="inlineStr">
        <is>
          <t>90000</t>
        </is>
      </c>
      <c r="L513" t="inlineStr">
        <is>
          <t>9.000000000000</t>
        </is>
      </c>
      <c r="M513" t="inlineStr"/>
    </row>
    <row r="514">
      <c r="A514" t="inlineStr">
        <is>
          <t>06/25/2026</t>
        </is>
      </c>
      <c r="B514" t="inlineStr">
        <is>
          <t>CIEI</t>
        </is>
      </c>
      <c r="C514" s="1" t="inlineStr">
        <is>
          <t>91282CKN0</t>
        </is>
      </c>
      <c r="D514" s="1" t="inlineStr">
        <is>
          <t>91282CKN0</t>
        </is>
      </c>
      <c r="E514" t="inlineStr">
        <is>
          <t>United States Treasury Note/Bond 4.625% 04/30/2031</t>
        </is>
      </c>
      <c r="F514" t="inlineStr">
        <is>
          <t>20000.00000000</t>
        </is>
      </c>
      <c r="G514" t="inlineStr">
        <is>
          <t>101.898438</t>
        </is>
      </c>
      <c r="H514" t="inlineStr">
        <is>
          <t>20379.69</t>
        </is>
      </c>
      <c r="I514" t="inlineStr">
        <is>
          <t>0.90%</t>
        </is>
      </c>
      <c r="J514" t="inlineStr">
        <is>
          <t>2258901.00</t>
        </is>
      </c>
      <c r="K514" t="inlineStr">
        <is>
          <t>90000</t>
        </is>
      </c>
      <c r="L514" t="inlineStr">
        <is>
          <t>9.000000000000</t>
        </is>
      </c>
      <c r="M514" t="inlineStr"/>
    </row>
    <row r="515">
      <c r="A515" t="inlineStr">
        <is>
          <t>06/25/2026</t>
        </is>
      </c>
      <c r="B515" t="inlineStr">
        <is>
          <t>CIEI</t>
        </is>
      </c>
      <c r="C515" s="1" t="inlineStr">
        <is>
          <t>91282CKT7</t>
        </is>
      </c>
      <c r="D515" s="1" t="inlineStr">
        <is>
          <t>91282CKT7</t>
        </is>
      </c>
      <c r="E515" t="inlineStr">
        <is>
          <t>United States Treasury Note/Bond 4.5% 05/31/2029</t>
        </is>
      </c>
      <c r="F515" t="inlineStr">
        <is>
          <t>32000.00000000</t>
        </is>
      </c>
      <c r="G515" t="inlineStr">
        <is>
          <t>100.939453</t>
        </is>
      </c>
      <c r="H515" t="inlineStr">
        <is>
          <t>32300.62</t>
        </is>
      </c>
      <c r="I515" t="inlineStr">
        <is>
          <t>1.43%</t>
        </is>
      </c>
      <c r="J515" t="inlineStr">
        <is>
          <t>2258901.00</t>
        </is>
      </c>
      <c r="K515" t="inlineStr">
        <is>
          <t>90000</t>
        </is>
      </c>
      <c r="L515" t="inlineStr">
        <is>
          <t>9.000000000000</t>
        </is>
      </c>
      <c r="M515" t="inlineStr"/>
    </row>
    <row r="516">
      <c r="A516" t="inlineStr">
        <is>
          <t>06/25/2026</t>
        </is>
      </c>
      <c r="B516" t="inlineStr">
        <is>
          <t>CIEI</t>
        </is>
      </c>
      <c r="C516" s="1" t="inlineStr">
        <is>
          <t>91282CKU4</t>
        </is>
      </c>
      <c r="D516" s="1" t="inlineStr">
        <is>
          <t>91282CKU4</t>
        </is>
      </c>
      <c r="E516" t="inlineStr">
        <is>
          <t>United States Treasury Note/Bond 4.625% 05/31/2031</t>
        </is>
      </c>
      <c r="F516" t="inlineStr">
        <is>
          <t>20000.00000000</t>
        </is>
      </c>
      <c r="G516" t="inlineStr">
        <is>
          <t>101.912109</t>
        </is>
      </c>
      <c r="H516" t="inlineStr">
        <is>
          <t>20382.42</t>
        </is>
      </c>
      <c r="I516" t="inlineStr">
        <is>
          <t>0.90%</t>
        </is>
      </c>
      <c r="J516" t="inlineStr">
        <is>
          <t>2258901.00</t>
        </is>
      </c>
      <c r="K516" t="inlineStr">
        <is>
          <t>90000</t>
        </is>
      </c>
      <c r="L516" t="inlineStr">
        <is>
          <t>9.000000000000</t>
        </is>
      </c>
      <c r="M516" t="inlineStr"/>
    </row>
    <row r="517">
      <c r="A517" t="inlineStr">
        <is>
          <t>06/25/2026</t>
        </is>
      </c>
      <c r="B517" t="inlineStr">
        <is>
          <t>CIEI</t>
        </is>
      </c>
      <c r="C517" s="1" t="inlineStr">
        <is>
          <t>91282CKW0</t>
        </is>
      </c>
      <c r="D517" s="1" t="inlineStr">
        <is>
          <t>91282CKW0</t>
        </is>
      </c>
      <c r="E517" t="inlineStr">
        <is>
          <t>United States Treasury Note/Bond 4.25% 06/30/2031</t>
        </is>
      </c>
      <c r="F517" t="inlineStr">
        <is>
          <t>21000.00000000</t>
        </is>
      </c>
      <c r="G517" t="inlineStr">
        <is>
          <t>100.253906</t>
        </is>
      </c>
      <c r="H517" t="inlineStr">
        <is>
          <t>21053.32</t>
        </is>
      </c>
      <c r="I517" t="inlineStr">
        <is>
          <t>0.93%</t>
        </is>
      </c>
      <c r="J517" t="inlineStr">
        <is>
          <t>2258901.00</t>
        </is>
      </c>
      <c r="K517" t="inlineStr">
        <is>
          <t>90000</t>
        </is>
      </c>
      <c r="L517" t="inlineStr">
        <is>
          <t>9.000000000000</t>
        </is>
      </c>
      <c r="M517" t="inlineStr"/>
    </row>
    <row r="518">
      <c r="A518" t="inlineStr">
        <is>
          <t>06/25/2026</t>
        </is>
      </c>
      <c r="B518" t="inlineStr">
        <is>
          <t>CIEI</t>
        </is>
      </c>
      <c r="C518" s="1" t="inlineStr">
        <is>
          <t>91282CKX8</t>
        </is>
      </c>
      <c r="D518" s="1" t="inlineStr">
        <is>
          <t>91282CKX8</t>
        </is>
      </c>
      <c r="E518" t="inlineStr">
        <is>
          <t>United States Treasury Note/Bond 4.25% 06/30/2029</t>
        </is>
      </c>
      <c r="F518" t="inlineStr">
        <is>
          <t>27000.00000000</t>
        </is>
      </c>
      <c r="G518" t="inlineStr">
        <is>
          <t>100.259766</t>
        </is>
      </c>
      <c r="H518" t="inlineStr">
        <is>
          <t>27070.14</t>
        </is>
      </c>
      <c r="I518" t="inlineStr">
        <is>
          <t>1.20%</t>
        </is>
      </c>
      <c r="J518" t="inlineStr">
        <is>
          <t>2258901.00</t>
        </is>
      </c>
      <c r="K518" t="inlineStr">
        <is>
          <t>90000</t>
        </is>
      </c>
      <c r="L518" t="inlineStr">
        <is>
          <t>9.000000000000</t>
        </is>
      </c>
      <c r="M518" t="inlineStr"/>
    </row>
    <row r="519">
      <c r="A519" t="inlineStr">
        <is>
          <t>06/25/2026</t>
        </is>
      </c>
      <c r="B519" t="inlineStr">
        <is>
          <t>CIEI</t>
        </is>
      </c>
      <c r="C519" s="1" t="inlineStr">
        <is>
          <t>91282CLC3</t>
        </is>
      </c>
      <c r="D519" s="1" t="inlineStr">
        <is>
          <t>91282CLC3</t>
        </is>
      </c>
      <c r="E519" t="inlineStr">
        <is>
          <t>United States Treasury Note/Bond 4% 07/31/2029</t>
        </is>
      </c>
      <c r="F519" t="inlineStr">
        <is>
          <t>32000.00000000</t>
        </is>
      </c>
      <c r="G519" t="inlineStr">
        <is>
          <t>99.552734</t>
        </is>
      </c>
      <c r="H519" t="inlineStr">
        <is>
          <t>31856.87</t>
        </is>
      </c>
      <c r="I519" t="inlineStr">
        <is>
          <t>1.41%</t>
        </is>
      </c>
      <c r="J519" t="inlineStr">
        <is>
          <t>2258901.00</t>
        </is>
      </c>
      <c r="K519" t="inlineStr">
        <is>
          <t>90000</t>
        </is>
      </c>
      <c r="L519" t="inlineStr">
        <is>
          <t>9.000000000000</t>
        </is>
      </c>
      <c r="M519" t="inlineStr"/>
    </row>
    <row r="520">
      <c r="A520" t="inlineStr">
        <is>
          <t>06/25/2026</t>
        </is>
      </c>
      <c r="B520" t="inlineStr">
        <is>
          <t>CIEI</t>
        </is>
      </c>
      <c r="C520" s="1" t="inlineStr">
        <is>
          <t>91282CLD1</t>
        </is>
      </c>
      <c r="D520" s="1" t="inlineStr">
        <is>
          <t>91282CLD1</t>
        </is>
      </c>
      <c r="E520" t="inlineStr">
        <is>
          <t>United States Treasury Note/Bond 4.125% 07/31/2031</t>
        </is>
      </c>
      <c r="F520" t="inlineStr">
        <is>
          <t>20000.00000000</t>
        </is>
      </c>
      <c r="G520" t="inlineStr">
        <is>
          <t>99.677734</t>
        </is>
      </c>
      <c r="H520" t="inlineStr">
        <is>
          <t>19935.55</t>
        </is>
      </c>
      <c r="I520" t="inlineStr">
        <is>
          <t>0.88%</t>
        </is>
      </c>
      <c r="J520" t="inlineStr">
        <is>
          <t>2258901.00</t>
        </is>
      </c>
      <c r="K520" t="inlineStr">
        <is>
          <t>90000</t>
        </is>
      </c>
      <c r="L520" t="inlineStr">
        <is>
          <t>9.000000000000</t>
        </is>
      </c>
      <c r="M520" t="inlineStr"/>
    </row>
    <row r="521">
      <c r="A521" t="inlineStr">
        <is>
          <t>06/25/2026</t>
        </is>
      </c>
      <c r="B521" t="inlineStr">
        <is>
          <t>CIEI</t>
        </is>
      </c>
      <c r="C521" s="1" t="inlineStr">
        <is>
          <t>91282CLJ8</t>
        </is>
      </c>
      <c r="D521" s="1" t="inlineStr">
        <is>
          <t>91282CLJ8</t>
        </is>
      </c>
      <c r="E521" t="inlineStr">
        <is>
          <t>United States Treasury Note/Bond 3.75% 08/31/2031</t>
        </is>
      </c>
      <c r="F521" t="inlineStr">
        <is>
          <t>21000.00000000</t>
        </is>
      </c>
      <c r="G521" t="inlineStr">
        <is>
          <t>97.906250</t>
        </is>
      </c>
      <c r="H521" t="inlineStr">
        <is>
          <t>20560.31</t>
        </is>
      </c>
      <c r="I521" t="inlineStr">
        <is>
          <t>0.91%</t>
        </is>
      </c>
      <c r="J521" t="inlineStr">
        <is>
          <t>2258901.00</t>
        </is>
      </c>
      <c r="K521" t="inlineStr">
        <is>
          <t>90000</t>
        </is>
      </c>
      <c r="L521" t="inlineStr">
        <is>
          <t>9.000000000000</t>
        </is>
      </c>
      <c r="M521" t="inlineStr"/>
    </row>
    <row r="522">
      <c r="A522" t="inlineStr">
        <is>
          <t>06/25/2026</t>
        </is>
      </c>
      <c r="B522" t="inlineStr">
        <is>
          <t>CIEI</t>
        </is>
      </c>
      <c r="C522" s="1" t="inlineStr">
        <is>
          <t>91282CLK5</t>
        </is>
      </c>
      <c r="D522" s="1" t="inlineStr">
        <is>
          <t>91282CLK5</t>
        </is>
      </c>
      <c r="E522" t="inlineStr">
        <is>
          <t>United States Treasury Note/Bond 3.625% 08/31/2029</t>
        </is>
      </c>
      <c r="F522" t="inlineStr">
        <is>
          <t>32000.00000000</t>
        </is>
      </c>
      <c r="G522" t="inlineStr">
        <is>
          <t>98.427734</t>
        </is>
      </c>
      <c r="H522" t="inlineStr">
        <is>
          <t>31496.87</t>
        </is>
      </c>
      <c r="I522" t="inlineStr">
        <is>
          <t>1.39%</t>
        </is>
      </c>
      <c r="J522" t="inlineStr">
        <is>
          <t>2258901.00</t>
        </is>
      </c>
      <c r="K522" t="inlineStr">
        <is>
          <t>90000</t>
        </is>
      </c>
      <c r="L522" t="inlineStr">
        <is>
          <t>9.000000000000</t>
        </is>
      </c>
      <c r="M522" t="inlineStr"/>
    </row>
    <row r="523">
      <c r="A523" t="inlineStr">
        <is>
          <t>06/25/2026</t>
        </is>
      </c>
      <c r="B523" t="inlineStr">
        <is>
          <t>CIEI</t>
        </is>
      </c>
      <c r="C523" s="1" t="inlineStr">
        <is>
          <t>91282CLM1</t>
        </is>
      </c>
      <c r="D523" s="1" t="inlineStr">
        <is>
          <t>91282CLM1</t>
        </is>
      </c>
      <c r="E523" t="inlineStr">
        <is>
          <t>United States Treasury Note/Bond 3.625% 09/30/2031</t>
        </is>
      </c>
      <c r="F523" t="inlineStr">
        <is>
          <t>21000.00000000</t>
        </is>
      </c>
      <c r="G523" t="inlineStr">
        <is>
          <t>97.300781</t>
        </is>
      </c>
      <c r="H523" t="inlineStr">
        <is>
          <t>20433.16</t>
        </is>
      </c>
      <c r="I523" t="inlineStr">
        <is>
          <t>0.90%</t>
        </is>
      </c>
      <c r="J523" t="inlineStr">
        <is>
          <t>2258901.00</t>
        </is>
      </c>
      <c r="K523" t="inlineStr">
        <is>
          <t>90000</t>
        </is>
      </c>
      <c r="L523" t="inlineStr">
        <is>
          <t>9.000000000000</t>
        </is>
      </c>
      <c r="M523" t="inlineStr"/>
    </row>
    <row r="524">
      <c r="A524" t="inlineStr">
        <is>
          <t>06/25/2026</t>
        </is>
      </c>
      <c r="B524" t="inlineStr">
        <is>
          <t>CIEI</t>
        </is>
      </c>
      <c r="C524" s="1" t="inlineStr">
        <is>
          <t>91282CLN9</t>
        </is>
      </c>
      <c r="D524" s="1" t="inlineStr">
        <is>
          <t>91282CLN9</t>
        </is>
      </c>
      <c r="E524" t="inlineStr">
        <is>
          <t>United States Treasury Note/Bond 3.5% 09/30/2029</t>
        </is>
      </c>
      <c r="F524" t="inlineStr">
        <is>
          <t>32000.00000000</t>
        </is>
      </c>
      <c r="G524" t="inlineStr">
        <is>
          <t>98.011719</t>
        </is>
      </c>
      <c r="H524" t="inlineStr">
        <is>
          <t>31363.75</t>
        </is>
      </c>
      <c r="I524" t="inlineStr">
        <is>
          <t>1.39%</t>
        </is>
      </c>
      <c r="J524" t="inlineStr">
        <is>
          <t>2258901.00</t>
        </is>
      </c>
      <c r="K524" t="inlineStr">
        <is>
          <t>90000</t>
        </is>
      </c>
      <c r="L524" t="inlineStr">
        <is>
          <t>9.000000000000</t>
        </is>
      </c>
      <c r="M524" t="inlineStr"/>
    </row>
    <row r="525">
      <c r="A525" t="inlineStr">
        <is>
          <t>06/25/2026</t>
        </is>
      </c>
      <c r="B525" t="inlineStr">
        <is>
          <t>CIEI</t>
        </is>
      </c>
      <c r="C525" s="1" t="inlineStr">
        <is>
          <t>91282CLR0</t>
        </is>
      </c>
      <c r="D525" s="1" t="inlineStr">
        <is>
          <t>91282CLR0</t>
        </is>
      </c>
      <c r="E525" t="inlineStr">
        <is>
          <t>United States Treasury Note/Bond 4.125% 10/31/2029</t>
        </is>
      </c>
      <c r="F525" t="inlineStr">
        <is>
          <t>32000.00000000</t>
        </is>
      </c>
      <c r="G525" t="inlineStr">
        <is>
          <t>99.886719</t>
        </is>
      </c>
      <c r="H525" t="inlineStr">
        <is>
          <t>31963.75</t>
        </is>
      </c>
      <c r="I525" t="inlineStr">
        <is>
          <t>1.42%</t>
        </is>
      </c>
      <c r="J525" t="inlineStr">
        <is>
          <t>2258901.00</t>
        </is>
      </c>
      <c r="K525" t="inlineStr">
        <is>
          <t>90000</t>
        </is>
      </c>
      <c r="L525" t="inlineStr">
        <is>
          <t>9.000000000000</t>
        </is>
      </c>
      <c r="M525" t="inlineStr"/>
    </row>
    <row r="526">
      <c r="A526" t="inlineStr">
        <is>
          <t>06/25/2026</t>
        </is>
      </c>
      <c r="B526" t="inlineStr">
        <is>
          <t>CIEI</t>
        </is>
      </c>
      <c r="C526" s="1" t="inlineStr">
        <is>
          <t>91282CLU3</t>
        </is>
      </c>
      <c r="D526" s="1" t="inlineStr">
        <is>
          <t>91282CLU3</t>
        </is>
      </c>
      <c r="E526" t="inlineStr">
        <is>
          <t>United States Treasury Note/Bond 4.125% 10/31/2031</t>
        </is>
      </c>
      <c r="F526" t="inlineStr">
        <is>
          <t>20000.00000000</t>
        </is>
      </c>
      <c r="G526" t="inlineStr">
        <is>
          <t>99.607422</t>
        </is>
      </c>
      <c r="H526" t="inlineStr">
        <is>
          <t>19921.48</t>
        </is>
      </c>
      <c r="I526" t="inlineStr">
        <is>
          <t>0.88%</t>
        </is>
      </c>
      <c r="J526" t="inlineStr">
        <is>
          <t>2258901.00</t>
        </is>
      </c>
      <c r="K526" t="inlineStr">
        <is>
          <t>90000</t>
        </is>
      </c>
      <c r="L526" t="inlineStr">
        <is>
          <t>9.000000000000</t>
        </is>
      </c>
      <c r="M526" t="inlineStr"/>
    </row>
    <row r="527">
      <c r="A527" t="inlineStr">
        <is>
          <t>06/25/2026</t>
        </is>
      </c>
      <c r="B527" t="inlineStr">
        <is>
          <t>CIEI</t>
        </is>
      </c>
      <c r="C527" s="1" t="inlineStr">
        <is>
          <t>91282CLZ2</t>
        </is>
      </c>
      <c r="D527" s="1" t="inlineStr">
        <is>
          <t>91282CLZ2</t>
        </is>
      </c>
      <c r="E527" t="inlineStr">
        <is>
          <t>United States Treasury Note/Bond 4.125% 11/30/2031</t>
        </is>
      </c>
      <c r="F527" t="inlineStr">
        <is>
          <t>21000.00000000</t>
        </is>
      </c>
      <c r="G527" t="inlineStr">
        <is>
          <t>99.589844</t>
        </is>
      </c>
      <c r="H527" t="inlineStr">
        <is>
          <t>20913.87</t>
        </is>
      </c>
      <c r="I527" t="inlineStr">
        <is>
          <t>0.93%</t>
        </is>
      </c>
      <c r="J527" t="inlineStr">
        <is>
          <t>2258901.00</t>
        </is>
      </c>
      <c r="K527" t="inlineStr">
        <is>
          <t>90000</t>
        </is>
      </c>
      <c r="L527" t="inlineStr">
        <is>
          <t>9.000000000000</t>
        </is>
      </c>
      <c r="M527" t="inlineStr"/>
    </row>
    <row r="528">
      <c r="A528" t="inlineStr">
        <is>
          <t>06/25/2026</t>
        </is>
      </c>
      <c r="B528" t="inlineStr">
        <is>
          <t>CIEI</t>
        </is>
      </c>
      <c r="C528" s="1" t="inlineStr">
        <is>
          <t>91282CMA6</t>
        </is>
      </c>
      <c r="D528" s="1" t="inlineStr">
        <is>
          <t>91282CMA6</t>
        </is>
      </c>
      <c r="E528" t="inlineStr">
        <is>
          <t>United States Treasury Note/Bond 4.125% 11/30/2029</t>
        </is>
      </c>
      <c r="F528" t="inlineStr">
        <is>
          <t>32000.00000000</t>
        </is>
      </c>
      <c r="G528" t="inlineStr">
        <is>
          <t>99.890625</t>
        </is>
      </c>
      <c r="H528" t="inlineStr">
        <is>
          <t>31965.00</t>
        </is>
      </c>
      <c r="I528" t="inlineStr">
        <is>
          <t>1.42%</t>
        </is>
      </c>
      <c r="J528" t="inlineStr">
        <is>
          <t>2258901.00</t>
        </is>
      </c>
      <c r="K528" t="inlineStr">
        <is>
          <t>90000</t>
        </is>
      </c>
      <c r="L528" t="inlineStr">
        <is>
          <t>9.000000000000</t>
        </is>
      </c>
      <c r="M528" t="inlineStr"/>
    </row>
    <row r="529">
      <c r="A529" t="inlineStr">
        <is>
          <t>06/25/2026</t>
        </is>
      </c>
      <c r="B529" t="inlineStr">
        <is>
          <t>CIEI</t>
        </is>
      </c>
      <c r="C529" s="1" t="inlineStr">
        <is>
          <t>91282CMC2</t>
        </is>
      </c>
      <c r="D529" s="1" t="inlineStr">
        <is>
          <t>91282CMC2</t>
        </is>
      </c>
      <c r="E529" t="inlineStr">
        <is>
          <t>United States Treasury Note/Bond 4.5% 12/31/2031</t>
        </is>
      </c>
      <c r="F529" t="inlineStr">
        <is>
          <t>21000.00000000</t>
        </is>
      </c>
      <c r="G529" t="inlineStr">
        <is>
          <t>101.408203</t>
        </is>
      </c>
      <c r="H529" t="inlineStr">
        <is>
          <t>21295.72</t>
        </is>
      </c>
      <c r="I529" t="inlineStr">
        <is>
          <t>0.94%</t>
        </is>
      </c>
      <c r="J529" t="inlineStr">
        <is>
          <t>2258901.00</t>
        </is>
      </c>
      <c r="K529" t="inlineStr">
        <is>
          <t>90000</t>
        </is>
      </c>
      <c r="L529" t="inlineStr">
        <is>
          <t>9.000000000000</t>
        </is>
      </c>
      <c r="M529" t="inlineStr"/>
    </row>
    <row r="530">
      <c r="A530" t="inlineStr">
        <is>
          <t>06/25/2026</t>
        </is>
      </c>
      <c r="B530" t="inlineStr">
        <is>
          <t>CIEI</t>
        </is>
      </c>
      <c r="C530" s="1" t="inlineStr">
        <is>
          <t>91282CMD0</t>
        </is>
      </c>
      <c r="D530" s="1" t="inlineStr">
        <is>
          <t>91282CMD0</t>
        </is>
      </c>
      <c r="E530" t="inlineStr">
        <is>
          <t>United States Treasury Note/Bond 4.375% 12/31/2029</t>
        </is>
      </c>
      <c r="F530" t="inlineStr">
        <is>
          <t>32000.00000000</t>
        </is>
      </c>
      <c r="G530" t="inlineStr">
        <is>
          <t>100.695312</t>
        </is>
      </c>
      <c r="H530" t="inlineStr">
        <is>
          <t>32222.50</t>
        </is>
      </c>
      <c r="I530" t="inlineStr">
        <is>
          <t>1.43%</t>
        </is>
      </c>
      <c r="J530" t="inlineStr">
        <is>
          <t>2258901.00</t>
        </is>
      </c>
      <c r="K530" t="inlineStr">
        <is>
          <t>90000</t>
        </is>
      </c>
      <c r="L530" t="inlineStr">
        <is>
          <t>9.000000000000</t>
        </is>
      </c>
      <c r="M530" t="inlineStr"/>
    </row>
    <row r="531">
      <c r="A531" t="inlineStr">
        <is>
          <t>06/25/2026</t>
        </is>
      </c>
      <c r="B531" t="inlineStr">
        <is>
          <t>CIEI</t>
        </is>
      </c>
      <c r="C531" s="1" t="inlineStr">
        <is>
          <t>91282CMG3</t>
        </is>
      </c>
      <c r="D531" s="1" t="inlineStr">
        <is>
          <t>91282CMG3</t>
        </is>
      </c>
      <c r="E531" t="inlineStr">
        <is>
          <t>United States Treasury Note/Bond 4.25% 01/31/2030</t>
        </is>
      </c>
      <c r="F531" t="inlineStr">
        <is>
          <t>32000.00000000</t>
        </is>
      </c>
      <c r="G531" t="inlineStr">
        <is>
          <t>100.267578</t>
        </is>
      </c>
      <c r="H531" t="inlineStr">
        <is>
          <t>32085.62</t>
        </is>
      </c>
      <c r="I531" t="inlineStr">
        <is>
          <t>1.42%</t>
        </is>
      </c>
      <c r="J531" t="inlineStr">
        <is>
          <t>2258901.00</t>
        </is>
      </c>
      <c r="K531" t="inlineStr">
        <is>
          <t>90000</t>
        </is>
      </c>
      <c r="L531" t="inlineStr">
        <is>
          <t>9.000000000000</t>
        </is>
      </c>
      <c r="M531" t="inlineStr"/>
    </row>
    <row r="532">
      <c r="A532" t="inlineStr">
        <is>
          <t>06/25/2026</t>
        </is>
      </c>
      <c r="B532" t="inlineStr">
        <is>
          <t>CIEI</t>
        </is>
      </c>
      <c r="C532" s="1" t="inlineStr">
        <is>
          <t>91282CMK4</t>
        </is>
      </c>
      <c r="D532" s="1" t="inlineStr">
        <is>
          <t>91282CMK4</t>
        </is>
      </c>
      <c r="E532" t="inlineStr">
        <is>
          <t>United States Treasury Note/Bond 4.375% 01/31/2032</t>
        </is>
      </c>
      <c r="F532" t="inlineStr">
        <is>
          <t>20000.00000000</t>
        </is>
      </c>
      <c r="G532" t="inlineStr">
        <is>
          <t>100.765625</t>
        </is>
      </c>
      <c r="H532" t="inlineStr">
        <is>
          <t>20153.13</t>
        </is>
      </c>
      <c r="I532" t="inlineStr">
        <is>
          <t>0.89%</t>
        </is>
      </c>
      <c r="J532" t="inlineStr">
        <is>
          <t>2258901.00</t>
        </is>
      </c>
      <c r="K532" t="inlineStr">
        <is>
          <t>90000</t>
        </is>
      </c>
      <c r="L532" t="inlineStr">
        <is>
          <t>9.000000000000</t>
        </is>
      </c>
      <c r="M532" t="inlineStr"/>
    </row>
    <row r="533">
      <c r="A533" t="inlineStr">
        <is>
          <t>06/25/2026</t>
        </is>
      </c>
      <c r="B533" t="inlineStr">
        <is>
          <t>CIEI</t>
        </is>
      </c>
      <c r="C533" s="1" t="inlineStr">
        <is>
          <t>91282CMR9</t>
        </is>
      </c>
      <c r="D533" s="1" t="inlineStr">
        <is>
          <t>91282CMR9</t>
        </is>
      </c>
      <c r="E533" t="inlineStr">
        <is>
          <t>United States Treasury Note/Bond 4.125% 02/29/2032</t>
        </is>
      </c>
      <c r="F533" t="inlineStr">
        <is>
          <t>20000.00000000</t>
        </is>
      </c>
      <c r="G533" t="inlineStr">
        <is>
          <t>99.519531</t>
        </is>
      </c>
      <c r="H533" t="inlineStr">
        <is>
          <t>19903.91</t>
        </is>
      </c>
      <c r="I533" t="inlineStr">
        <is>
          <t>0.88%</t>
        </is>
      </c>
      <c r="J533" t="inlineStr">
        <is>
          <t>2258901.00</t>
        </is>
      </c>
      <c r="K533" t="inlineStr">
        <is>
          <t>90000</t>
        </is>
      </c>
      <c r="L533" t="inlineStr">
        <is>
          <t>9.000000000000</t>
        </is>
      </c>
      <c r="M533" t="inlineStr"/>
    </row>
    <row r="534">
      <c r="A534" t="inlineStr">
        <is>
          <t>06/25/2026</t>
        </is>
      </c>
      <c r="B534" t="inlineStr">
        <is>
          <t>CIEI</t>
        </is>
      </c>
      <c r="C534" s="1" t="inlineStr">
        <is>
          <t>91282CMT5</t>
        </is>
      </c>
      <c r="D534" s="1" t="inlineStr">
        <is>
          <t>91282CMT5</t>
        </is>
      </c>
      <c r="E534" t="inlineStr">
        <is>
          <t>United States Treasury Note/Bond 4.125% 03/31/2032</t>
        </is>
      </c>
      <c r="F534" t="inlineStr">
        <is>
          <t>20000.00000000</t>
        </is>
      </c>
      <c r="G534" t="inlineStr">
        <is>
          <t>99.494141</t>
        </is>
      </c>
      <c r="H534" t="inlineStr">
        <is>
          <t>19898.83</t>
        </is>
      </c>
      <c r="I534" t="inlineStr">
        <is>
          <t>0.88%</t>
        </is>
      </c>
      <c r="J534" t="inlineStr">
        <is>
          <t>2258901.00</t>
        </is>
      </c>
      <c r="K534" t="inlineStr">
        <is>
          <t>90000</t>
        </is>
      </c>
      <c r="L534" t="inlineStr">
        <is>
          <t>9.000000000000</t>
        </is>
      </c>
      <c r="M534" t="inlineStr"/>
    </row>
    <row r="535">
      <c r="A535" t="inlineStr">
        <is>
          <t>06/25/2026</t>
        </is>
      </c>
      <c r="B535" t="inlineStr">
        <is>
          <t>CIEI</t>
        </is>
      </c>
      <c r="C535" s="1" t="inlineStr">
        <is>
          <t>91282CMU2</t>
        </is>
      </c>
      <c r="D535" s="1" t="inlineStr">
        <is>
          <t>91282CMU2</t>
        </is>
      </c>
      <c r="E535" t="inlineStr">
        <is>
          <t>United States Treasury Note/Bond 4% 03/31/2030</t>
        </is>
      </c>
      <c r="F535" t="inlineStr">
        <is>
          <t>32000.00000000</t>
        </is>
      </c>
      <c r="G535" t="inlineStr">
        <is>
          <t>99.427734</t>
        </is>
      </c>
      <c r="H535" t="inlineStr">
        <is>
          <t>31816.87</t>
        </is>
      </c>
      <c r="I535" t="inlineStr">
        <is>
          <t>1.41%</t>
        </is>
      </c>
      <c r="J535" t="inlineStr">
        <is>
          <t>2258901.00</t>
        </is>
      </c>
      <c r="K535" t="inlineStr">
        <is>
          <t>90000</t>
        </is>
      </c>
      <c r="L535" t="inlineStr">
        <is>
          <t>9.000000000000</t>
        </is>
      </c>
      <c r="M535" t="inlineStr"/>
    </row>
    <row r="536">
      <c r="A536" t="inlineStr">
        <is>
          <t>06/25/2026</t>
        </is>
      </c>
      <c r="B536" t="inlineStr">
        <is>
          <t>CIEI</t>
        </is>
      </c>
      <c r="C536" s="1" t="inlineStr">
        <is>
          <t>91282CMZ1</t>
        </is>
      </c>
      <c r="D536" s="1" t="inlineStr">
        <is>
          <t>91282CMZ1</t>
        </is>
      </c>
      <c r="E536" t="inlineStr">
        <is>
          <t>United States Treasury Note/Bond 3.875% 04/30/2030</t>
        </is>
      </c>
      <c r="F536" t="inlineStr">
        <is>
          <t>32000.00000000</t>
        </is>
      </c>
      <c r="G536" t="inlineStr">
        <is>
          <t>98.966797</t>
        </is>
      </c>
      <c r="H536" t="inlineStr">
        <is>
          <t>31669.38</t>
        </is>
      </c>
      <c r="I536" t="inlineStr">
        <is>
          <t>1.40%</t>
        </is>
      </c>
      <c r="J536" t="inlineStr">
        <is>
          <t>2258901.00</t>
        </is>
      </c>
      <c r="K536" t="inlineStr">
        <is>
          <t>90000</t>
        </is>
      </c>
      <c r="L536" t="inlineStr">
        <is>
          <t>9.000000000000</t>
        </is>
      </c>
      <c r="M536" t="inlineStr"/>
    </row>
    <row r="537">
      <c r="A537" t="inlineStr">
        <is>
          <t>06/25/2026</t>
        </is>
      </c>
      <c r="B537" t="inlineStr">
        <is>
          <t>CIEI</t>
        </is>
      </c>
      <c r="C537" s="1" t="inlineStr">
        <is>
          <t>91282CNA5</t>
        </is>
      </c>
      <c r="D537" s="1" t="inlineStr">
        <is>
          <t>91282CNA5</t>
        </is>
      </c>
      <c r="E537" t="inlineStr">
        <is>
          <t>United States Treasury Note/Bond 4% 04/30/2032</t>
        </is>
      </c>
      <c r="F537" t="inlineStr">
        <is>
          <t>20000.00000000</t>
        </is>
      </c>
      <c r="G537" t="inlineStr">
        <is>
          <t>98.814453</t>
        </is>
      </c>
      <c r="H537" t="inlineStr">
        <is>
          <t>19762.89</t>
        </is>
      </c>
      <c r="I537" t="inlineStr">
        <is>
          <t>0.87%</t>
        </is>
      </c>
      <c r="J537" t="inlineStr">
        <is>
          <t>2258901.00</t>
        </is>
      </c>
      <c r="K537" t="inlineStr">
        <is>
          <t>90000</t>
        </is>
      </c>
      <c r="L537" t="inlineStr">
        <is>
          <t>9.000000000000</t>
        </is>
      </c>
      <c r="M537" t="inlineStr"/>
    </row>
    <row r="538">
      <c r="A538" t="inlineStr">
        <is>
          <t>06/25/2026</t>
        </is>
      </c>
      <c r="B538" t="inlineStr">
        <is>
          <t>CIEI</t>
        </is>
      </c>
      <c r="C538" s="1" t="inlineStr">
        <is>
          <t>91282CNF4</t>
        </is>
      </c>
      <c r="D538" s="1" t="inlineStr">
        <is>
          <t>91282CNF4</t>
        </is>
      </c>
      <c r="E538" t="inlineStr">
        <is>
          <t>United States Treasury Note/Bond 4.125% 05/31/2032</t>
        </is>
      </c>
      <c r="F538" t="inlineStr">
        <is>
          <t>20000.00000000</t>
        </is>
      </c>
      <c r="G538" t="inlineStr">
        <is>
          <t>99.431641</t>
        </is>
      </c>
      <c r="H538" t="inlineStr">
        <is>
          <t>19886.33</t>
        </is>
      </c>
      <c r="I538" t="inlineStr">
        <is>
          <t>0.88%</t>
        </is>
      </c>
      <c r="J538" t="inlineStr">
        <is>
          <t>2258901.00</t>
        </is>
      </c>
      <c r="K538" t="inlineStr">
        <is>
          <t>90000</t>
        </is>
      </c>
      <c r="L538" t="inlineStr">
        <is>
          <t>9.000000000000</t>
        </is>
      </c>
      <c r="M538" t="inlineStr"/>
    </row>
    <row r="539">
      <c r="A539" t="inlineStr">
        <is>
          <t>06/25/2026</t>
        </is>
      </c>
      <c r="B539" t="inlineStr">
        <is>
          <t>CIEI</t>
        </is>
      </c>
      <c r="C539" s="1" t="inlineStr">
        <is>
          <t>91282CNG2</t>
        </is>
      </c>
      <c r="D539" s="1" t="inlineStr">
        <is>
          <t>91282CNG2</t>
        </is>
      </c>
      <c r="E539" t="inlineStr">
        <is>
          <t>United States Treasury Note/Bond 4% 05/31/2030</t>
        </is>
      </c>
      <c r="F539" t="inlineStr">
        <is>
          <t>32000.00000000</t>
        </is>
      </c>
      <c r="G539" t="inlineStr">
        <is>
          <t>99.388672</t>
        </is>
      </c>
      <c r="H539" t="inlineStr">
        <is>
          <t>31804.38</t>
        </is>
      </c>
      <c r="I539" t="inlineStr">
        <is>
          <t>1.41%</t>
        </is>
      </c>
      <c r="J539" t="inlineStr">
        <is>
          <t>2258901.00</t>
        </is>
      </c>
      <c r="K539" t="inlineStr">
        <is>
          <t>90000</t>
        </is>
      </c>
      <c r="L539" t="inlineStr">
        <is>
          <t>9.000000000000</t>
        </is>
      </c>
      <c r="M539" t="inlineStr"/>
    </row>
    <row r="540">
      <c r="A540" t="inlineStr">
        <is>
          <t>06/25/2026</t>
        </is>
      </c>
      <c r="B540" t="inlineStr">
        <is>
          <t>CIEI</t>
        </is>
      </c>
      <c r="C540" s="1" t="inlineStr">
        <is>
          <t>91282CNJ6</t>
        </is>
      </c>
      <c r="D540" s="1" t="inlineStr">
        <is>
          <t>91282CNJ6</t>
        </is>
      </c>
      <c r="E540" t="inlineStr">
        <is>
          <t>United States Treasury Note/Bond 4% 06/30/2032</t>
        </is>
      </c>
      <c r="F540" t="inlineStr">
        <is>
          <t>20000.00000000</t>
        </is>
      </c>
      <c r="G540" t="inlineStr">
        <is>
          <t>98.757812</t>
        </is>
      </c>
      <c r="H540" t="inlineStr">
        <is>
          <t>19751.56</t>
        </is>
      </c>
      <c r="I540" t="inlineStr">
        <is>
          <t>0.87%</t>
        </is>
      </c>
      <c r="J540" t="inlineStr">
        <is>
          <t>2258901.00</t>
        </is>
      </c>
      <c r="K540" t="inlineStr">
        <is>
          <t>90000</t>
        </is>
      </c>
      <c r="L540" t="inlineStr">
        <is>
          <t>9.000000000000</t>
        </is>
      </c>
      <c r="M540" t="inlineStr"/>
    </row>
    <row r="541">
      <c r="A541" t="inlineStr">
        <is>
          <t>06/25/2026</t>
        </is>
      </c>
      <c r="B541" t="inlineStr">
        <is>
          <t>CIEI</t>
        </is>
      </c>
      <c r="C541" s="1" t="inlineStr">
        <is>
          <t>91282CNK3</t>
        </is>
      </c>
      <c r="D541" s="1" t="inlineStr">
        <is>
          <t>91282CNK3</t>
        </is>
      </c>
      <c r="E541" t="inlineStr">
        <is>
          <t>United States Treasury Note/Bond 3.875% 06/30/2030</t>
        </is>
      </c>
      <c r="F541" t="inlineStr">
        <is>
          <t>32000.00000000</t>
        </is>
      </c>
      <c r="G541" t="inlineStr">
        <is>
          <t>98.906250</t>
        </is>
      </c>
      <c r="H541" t="inlineStr">
        <is>
          <t>31650.00</t>
        </is>
      </c>
      <c r="I541" t="inlineStr">
        <is>
          <t>1.40%</t>
        </is>
      </c>
      <c r="J541" t="inlineStr">
        <is>
          <t>2258901.00</t>
        </is>
      </c>
      <c r="K541" t="inlineStr">
        <is>
          <t>90000</t>
        </is>
      </c>
      <c r="L541" t="inlineStr">
        <is>
          <t>9.000000000000</t>
        </is>
      </c>
      <c r="M541" t="inlineStr"/>
    </row>
    <row r="542">
      <c r="A542" t="inlineStr">
        <is>
          <t>06/25/2026</t>
        </is>
      </c>
      <c r="B542" t="inlineStr">
        <is>
          <t>CIEI</t>
        </is>
      </c>
      <c r="C542" s="1" t="inlineStr">
        <is>
          <t>91282CNN7</t>
        </is>
      </c>
      <c r="D542" s="1" t="inlineStr">
        <is>
          <t>91282CNN7</t>
        </is>
      </c>
      <c r="E542" t="inlineStr">
        <is>
          <t>United States Treasury Note/Bond 3.875% 07/31/2030</t>
        </is>
      </c>
      <c r="F542" t="inlineStr">
        <is>
          <t>32000.00000000</t>
        </is>
      </c>
      <c r="G542" t="inlineStr">
        <is>
          <t>98.890625</t>
        </is>
      </c>
      <c r="H542" t="inlineStr">
        <is>
          <t>31645.00</t>
        </is>
      </c>
      <c r="I542" t="inlineStr">
        <is>
          <t>1.40%</t>
        </is>
      </c>
      <c r="J542" t="inlineStr">
        <is>
          <t>2258901.00</t>
        </is>
      </c>
      <c r="K542" t="inlineStr">
        <is>
          <t>90000</t>
        </is>
      </c>
      <c r="L542" t="inlineStr">
        <is>
          <t>9.000000000000</t>
        </is>
      </c>
      <c r="M542" t="inlineStr"/>
    </row>
    <row r="543">
      <c r="A543" t="inlineStr">
        <is>
          <t>06/25/2026</t>
        </is>
      </c>
      <c r="B543" t="inlineStr">
        <is>
          <t>CIEI</t>
        </is>
      </c>
      <c r="C543" s="1" t="inlineStr">
        <is>
          <t>91282CNR8</t>
        </is>
      </c>
      <c r="D543" s="1" t="inlineStr">
        <is>
          <t>91282CNR8</t>
        </is>
      </c>
      <c r="E543" t="inlineStr">
        <is>
          <t>United States Treasury Note/Bond 4% 07/31/2032</t>
        </is>
      </c>
      <c r="F543" t="inlineStr">
        <is>
          <t>21000.00000000</t>
        </is>
      </c>
      <c r="G543" t="inlineStr">
        <is>
          <t>98.701172</t>
        </is>
      </c>
      <c r="H543" t="inlineStr">
        <is>
          <t>20727.25</t>
        </is>
      </c>
      <c r="I543" t="inlineStr">
        <is>
          <t>0.92%</t>
        </is>
      </c>
      <c r="J543" t="inlineStr">
        <is>
          <t>2258901.00</t>
        </is>
      </c>
      <c r="K543" t="inlineStr">
        <is>
          <t>90000</t>
        </is>
      </c>
      <c r="L543" t="inlineStr">
        <is>
          <t>9.000000000000</t>
        </is>
      </c>
      <c r="M543" t="inlineStr"/>
    </row>
    <row r="544">
      <c r="A544" t="inlineStr">
        <is>
          <t>06/25/2026</t>
        </is>
      </c>
      <c r="B544" t="inlineStr">
        <is>
          <t>CIEI</t>
        </is>
      </c>
      <c r="C544" s="1" t="inlineStr">
        <is>
          <t>91282CNW7</t>
        </is>
      </c>
      <c r="D544" s="1" t="inlineStr">
        <is>
          <t>91282CNW7</t>
        </is>
      </c>
      <c r="E544" t="inlineStr">
        <is>
          <t>United States Treasury Note/Bond 3.875% 08/31/2032</t>
        </is>
      </c>
      <c r="F544" t="inlineStr">
        <is>
          <t>21000.00000000</t>
        </is>
      </c>
      <c r="G544" t="inlineStr">
        <is>
          <t>97.992188</t>
        </is>
      </c>
      <c r="H544" t="inlineStr">
        <is>
          <t>20578.36</t>
        </is>
      </c>
      <c r="I544" t="inlineStr">
        <is>
          <t>0.91%</t>
        </is>
      </c>
      <c r="J544" t="inlineStr">
        <is>
          <t>2258901.00</t>
        </is>
      </c>
      <c r="K544" t="inlineStr">
        <is>
          <t>90000</t>
        </is>
      </c>
      <c r="L544" t="inlineStr">
        <is>
          <t>9.000000000000</t>
        </is>
      </c>
      <c r="M544" t="inlineStr"/>
    </row>
    <row r="545">
      <c r="A545" t="inlineStr">
        <is>
          <t>06/25/2026</t>
        </is>
      </c>
      <c r="B545" t="inlineStr">
        <is>
          <t>CIEI</t>
        </is>
      </c>
      <c r="C545" s="1" t="inlineStr">
        <is>
          <t>91282CNX5</t>
        </is>
      </c>
      <c r="D545" s="1" t="inlineStr">
        <is>
          <t>91282CNX5</t>
        </is>
      </c>
      <c r="E545" t="inlineStr">
        <is>
          <t>United States Treasury Note/Bond 3.625% 08/31/2030</t>
        </is>
      </c>
      <c r="F545" t="inlineStr">
        <is>
          <t>32000.00000000</t>
        </is>
      </c>
      <c r="G545" t="inlineStr">
        <is>
          <t>97.892578</t>
        </is>
      </c>
      <c r="H545" t="inlineStr">
        <is>
          <t>31325.62</t>
        </is>
      </c>
      <c r="I545" t="inlineStr">
        <is>
          <t>1.39%</t>
        </is>
      </c>
      <c r="J545" t="inlineStr">
        <is>
          <t>2258901.00</t>
        </is>
      </c>
      <c r="K545" t="inlineStr">
        <is>
          <t>90000</t>
        </is>
      </c>
      <c r="L545" t="inlineStr">
        <is>
          <t>9.000000000000</t>
        </is>
      </c>
      <c r="M545" t="inlineStr"/>
    </row>
    <row r="546">
      <c r="A546" t="inlineStr">
        <is>
          <t>06/25/2026</t>
        </is>
      </c>
      <c r="B546" t="inlineStr">
        <is>
          <t>CIEI</t>
        </is>
      </c>
      <c r="C546" s="1" t="inlineStr">
        <is>
          <t>91282CNZ0</t>
        </is>
      </c>
      <c r="D546" s="1" t="inlineStr">
        <is>
          <t>91282CNZ0</t>
        </is>
      </c>
      <c r="E546" t="inlineStr">
        <is>
          <t>United States Treasury Note/Bond 3.875% 09/30/2032</t>
        </is>
      </c>
      <c r="F546" t="inlineStr">
        <is>
          <t>20000.00000000</t>
        </is>
      </c>
      <c r="G546" t="inlineStr">
        <is>
          <t>97.949219</t>
        </is>
      </c>
      <c r="H546" t="inlineStr">
        <is>
          <t>19589.84</t>
        </is>
      </c>
      <c r="I546" t="inlineStr">
        <is>
          <t>0.87%</t>
        </is>
      </c>
      <c r="J546" t="inlineStr">
        <is>
          <t>2258901.00</t>
        </is>
      </c>
      <c r="K546" t="inlineStr">
        <is>
          <t>90000</t>
        </is>
      </c>
      <c r="L546" t="inlineStr">
        <is>
          <t>9.000000000000</t>
        </is>
      </c>
      <c r="M546" t="inlineStr"/>
    </row>
    <row r="547">
      <c r="A547" t="inlineStr">
        <is>
          <t>06/25/2026</t>
        </is>
      </c>
      <c r="B547" t="inlineStr">
        <is>
          <t>CIEI</t>
        </is>
      </c>
      <c r="C547" s="1" t="inlineStr">
        <is>
          <t>91282CPA3</t>
        </is>
      </c>
      <c r="D547" s="1" t="inlineStr">
        <is>
          <t>91282CPA3</t>
        </is>
      </c>
      <c r="E547" t="inlineStr">
        <is>
          <t>United States Treasury Note/Bond 3.625% 09/30/2030</t>
        </is>
      </c>
      <c r="F547" t="inlineStr">
        <is>
          <t>32000.00000000</t>
        </is>
      </c>
      <c r="G547" t="inlineStr">
        <is>
          <t>97.871094</t>
        </is>
      </c>
      <c r="H547" t="inlineStr">
        <is>
          <t>31318.75</t>
        </is>
      </c>
      <c r="I547" t="inlineStr">
        <is>
          <t>1.39%</t>
        </is>
      </c>
      <c r="J547" t="inlineStr">
        <is>
          <t>2258901.00</t>
        </is>
      </c>
      <c r="K547" t="inlineStr">
        <is>
          <t>90000</t>
        </is>
      </c>
      <c r="L547" t="inlineStr">
        <is>
          <t>9.000000000000</t>
        </is>
      </c>
      <c r="M547" t="inlineStr"/>
    </row>
    <row r="548">
      <c r="A548" t="inlineStr">
        <is>
          <t>06/25/2026</t>
        </is>
      </c>
      <c r="B548" t="inlineStr">
        <is>
          <t>CIEI</t>
        </is>
      </c>
      <c r="C548" s="1" t="inlineStr">
        <is>
          <t>91282CPD7</t>
        </is>
      </c>
      <c r="D548" s="1" t="inlineStr">
        <is>
          <t>91282CPD7</t>
        </is>
      </c>
      <c r="E548" t="inlineStr">
        <is>
          <t>United States Treasury Note/Bond 3.625% 10/31/2030</t>
        </is>
      </c>
      <c r="F548" t="inlineStr">
        <is>
          <t>32000.00000000</t>
        </is>
      </c>
      <c r="G548" t="inlineStr">
        <is>
          <t>97.816406</t>
        </is>
      </c>
      <c r="H548" t="inlineStr">
        <is>
          <t>31301.25</t>
        </is>
      </c>
      <c r="I548" t="inlineStr">
        <is>
          <t>1.39%</t>
        </is>
      </c>
      <c r="J548" t="inlineStr">
        <is>
          <t>2258901.00</t>
        </is>
      </c>
      <c r="K548" t="inlineStr">
        <is>
          <t>90000</t>
        </is>
      </c>
      <c r="L548" t="inlineStr">
        <is>
          <t>9.000000000000</t>
        </is>
      </c>
      <c r="M548" t="inlineStr"/>
    </row>
    <row r="549">
      <c r="A549" t="inlineStr">
        <is>
          <t>06/25/2026</t>
        </is>
      </c>
      <c r="B549" t="inlineStr">
        <is>
          <t>CIEI</t>
        </is>
      </c>
      <c r="C549" s="1" t="inlineStr">
        <is>
          <t>91282CPF2</t>
        </is>
      </c>
      <c r="D549" s="1" t="inlineStr">
        <is>
          <t>91282CPF2</t>
        </is>
      </c>
      <c r="E549" t="inlineStr">
        <is>
          <t>United States Treasury Note/Bond 3.75% 10/31/2032</t>
        </is>
      </c>
      <c r="F549" t="inlineStr">
        <is>
          <t>20000.00000000</t>
        </is>
      </c>
      <c r="G549" t="inlineStr">
        <is>
          <t>97.207031</t>
        </is>
      </c>
      <c r="H549" t="inlineStr">
        <is>
          <t>19441.41</t>
        </is>
      </c>
      <c r="I549" t="inlineStr">
        <is>
          <t>0.86%</t>
        </is>
      </c>
      <c r="J549" t="inlineStr">
        <is>
          <t>2258901.00</t>
        </is>
      </c>
      <c r="K549" t="inlineStr">
        <is>
          <t>90000</t>
        </is>
      </c>
      <c r="L549" t="inlineStr">
        <is>
          <t>9.000000000000</t>
        </is>
      </c>
      <c r="M549" t="inlineStr"/>
    </row>
    <row r="550">
      <c r="A550" t="inlineStr">
        <is>
          <t>06/25/2026</t>
        </is>
      </c>
      <c r="B550" t="inlineStr">
        <is>
          <t>CIEI</t>
        </is>
      </c>
      <c r="C550" s="1" t="inlineStr">
        <is>
          <t>91282CPM7</t>
        </is>
      </c>
      <c r="D550" s="1" t="inlineStr">
        <is>
          <t>91282CPM7</t>
        </is>
      </c>
      <c r="E550" t="inlineStr">
        <is>
          <t>United States Treasury Note/Bond 3.75% 11/30/2032</t>
        </is>
      </c>
      <c r="F550" t="inlineStr">
        <is>
          <t>20000.00000000</t>
        </is>
      </c>
      <c r="G550" t="inlineStr">
        <is>
          <t>97.162109</t>
        </is>
      </c>
      <c r="H550" t="inlineStr">
        <is>
          <t>19432.42</t>
        </is>
      </c>
      <c r="I550" t="inlineStr">
        <is>
          <t>0.86%</t>
        </is>
      </c>
      <c r="J550" t="inlineStr">
        <is>
          <t>2258901.00</t>
        </is>
      </c>
      <c r="K550" t="inlineStr">
        <is>
          <t>90000</t>
        </is>
      </c>
      <c r="L550" t="inlineStr">
        <is>
          <t>9.000000000000</t>
        </is>
      </c>
      <c r="M550" t="inlineStr"/>
    </row>
    <row r="551">
      <c r="A551" t="inlineStr">
        <is>
          <t>06/25/2026</t>
        </is>
      </c>
      <c r="B551" t="inlineStr">
        <is>
          <t>CIEI</t>
        </is>
      </c>
      <c r="C551" s="1" t="inlineStr">
        <is>
          <t>91282CPN5</t>
        </is>
      </c>
      <c r="D551" s="1" t="inlineStr">
        <is>
          <t>91282CPN5</t>
        </is>
      </c>
      <c r="E551" t="inlineStr">
        <is>
          <t>United States Treasury Note/Bond 3.5% 11/30/2030</t>
        </is>
      </c>
      <c r="F551" t="inlineStr">
        <is>
          <t>32000.00000000</t>
        </is>
      </c>
      <c r="G551" t="inlineStr">
        <is>
          <t>97.279297</t>
        </is>
      </c>
      <c r="H551" t="inlineStr">
        <is>
          <t>31129.38</t>
        </is>
      </c>
      <c r="I551" t="inlineStr">
        <is>
          <t>1.38%</t>
        </is>
      </c>
      <c r="J551" t="inlineStr">
        <is>
          <t>2258901.00</t>
        </is>
      </c>
      <c r="K551" t="inlineStr">
        <is>
          <t>90000</t>
        </is>
      </c>
      <c r="L551" t="inlineStr">
        <is>
          <t>9.000000000000</t>
        </is>
      </c>
      <c r="M551" t="inlineStr"/>
    </row>
    <row r="552">
      <c r="A552" t="inlineStr">
        <is>
          <t>06/25/2026</t>
        </is>
      </c>
      <c r="B552" t="inlineStr">
        <is>
          <t>CIEI</t>
        </is>
      </c>
      <c r="C552" s="1" t="inlineStr">
        <is>
          <t>91282CPQ8</t>
        </is>
      </c>
      <c r="D552" s="1" t="inlineStr">
        <is>
          <t>91282CPQ8</t>
        </is>
      </c>
      <c r="E552" t="inlineStr">
        <is>
          <t>United States Treasury Note/Bond 3.875% 12/31/2032</t>
        </is>
      </c>
      <c r="F552" t="inlineStr">
        <is>
          <t>20000.00000000</t>
        </is>
      </c>
      <c r="G552" t="inlineStr">
        <is>
          <t>97.814453</t>
        </is>
      </c>
      <c r="H552" t="inlineStr">
        <is>
          <t>19562.89</t>
        </is>
      </c>
      <c r="I552" t="inlineStr">
        <is>
          <t>0.87%</t>
        </is>
      </c>
      <c r="J552" t="inlineStr">
        <is>
          <t>2258901.00</t>
        </is>
      </c>
      <c r="K552" t="inlineStr">
        <is>
          <t>90000</t>
        </is>
      </c>
      <c r="L552" t="inlineStr">
        <is>
          <t>9.000000000000</t>
        </is>
      </c>
      <c r="M552" t="inlineStr"/>
    </row>
    <row r="553">
      <c r="A553" t="inlineStr">
        <is>
          <t>06/25/2026</t>
        </is>
      </c>
      <c r="B553" t="inlineStr">
        <is>
          <t>CIEI</t>
        </is>
      </c>
      <c r="C553" s="1" t="inlineStr">
        <is>
          <t>91282CPR6</t>
        </is>
      </c>
      <c r="D553" s="1" t="inlineStr">
        <is>
          <t>91282CPR6</t>
        </is>
      </c>
      <c r="E553" t="inlineStr">
        <is>
          <t>United States Treasury Note/Bond 3.625% 12/31/2030</t>
        </is>
      </c>
      <c r="F553" t="inlineStr">
        <is>
          <t>32000.00000000</t>
        </is>
      </c>
      <c r="G553" t="inlineStr">
        <is>
          <t>97.734375</t>
        </is>
      </c>
      <c r="H553" t="inlineStr">
        <is>
          <t>31275.00</t>
        </is>
      </c>
      <c r="I553" t="inlineStr">
        <is>
          <t>1.38%</t>
        </is>
      </c>
      <c r="J553" t="inlineStr">
        <is>
          <t>2258901.00</t>
        </is>
      </c>
      <c r="K553" t="inlineStr">
        <is>
          <t>90000</t>
        </is>
      </c>
      <c r="L553" t="inlineStr">
        <is>
          <t>9.000000000000</t>
        </is>
      </c>
      <c r="M553" t="inlineStr"/>
    </row>
    <row r="554">
      <c r="A554" t="inlineStr">
        <is>
          <t>06/25/2026</t>
        </is>
      </c>
      <c r="B554" t="inlineStr">
        <is>
          <t>CIEI</t>
        </is>
      </c>
      <c r="C554" s="1" t="inlineStr">
        <is>
          <t>91282CPW5</t>
        </is>
      </c>
      <c r="D554" s="1" t="inlineStr">
        <is>
          <t>91282CPW5</t>
        </is>
      </c>
      <c r="E554" t="inlineStr">
        <is>
          <t>United States Treasury Note/Bond 3.75% 01/31/2031</t>
        </is>
      </c>
      <c r="F554" t="inlineStr">
        <is>
          <t>32000.00000000</t>
        </is>
      </c>
      <c r="G554" t="inlineStr">
        <is>
          <t>98.201172</t>
        </is>
      </c>
      <c r="H554" t="inlineStr">
        <is>
          <t>31424.38</t>
        </is>
      </c>
      <c r="I554" t="inlineStr">
        <is>
          <t>1.39%</t>
        </is>
      </c>
      <c r="J554" t="inlineStr">
        <is>
          <t>2258901.00</t>
        </is>
      </c>
      <c r="K554" t="inlineStr">
        <is>
          <t>90000</t>
        </is>
      </c>
      <c r="L554" t="inlineStr">
        <is>
          <t>9.000000000000</t>
        </is>
      </c>
      <c r="M554" t="inlineStr"/>
    </row>
    <row r="555">
      <c r="A555" t="inlineStr">
        <is>
          <t>06/25/2026</t>
        </is>
      </c>
      <c r="B555" t="inlineStr">
        <is>
          <t>CIEI</t>
        </is>
      </c>
      <c r="C555" s="1" t="inlineStr">
        <is>
          <t>91282CPY1</t>
        </is>
      </c>
      <c r="D555" s="1" t="inlineStr">
        <is>
          <t>91282CPY1</t>
        </is>
      </c>
      <c r="E555" t="inlineStr">
        <is>
          <t>United States Treasury Note/Bond 4% 01/31/2033</t>
        </is>
      </c>
      <c r="F555" t="inlineStr">
        <is>
          <t>21000.00000000</t>
        </is>
      </c>
      <c r="G555" t="inlineStr">
        <is>
          <t>98.480469</t>
        </is>
      </c>
      <c r="H555" t="inlineStr">
        <is>
          <t>20680.90</t>
        </is>
      </c>
      <c r="I555" t="inlineStr">
        <is>
          <t>0.92%</t>
        </is>
      </c>
      <c r="J555" t="inlineStr">
        <is>
          <t>2258901.00</t>
        </is>
      </c>
      <c r="K555" t="inlineStr">
        <is>
          <t>90000</t>
        </is>
      </c>
      <c r="L555" t="inlineStr">
        <is>
          <t>9.000000000000</t>
        </is>
      </c>
      <c r="M555" t="inlineStr"/>
    </row>
    <row r="556">
      <c r="A556" t="inlineStr">
        <is>
          <t>06/25/2026</t>
        </is>
      </c>
      <c r="B556" t="inlineStr">
        <is>
          <t>CIEI</t>
        </is>
      </c>
      <c r="C556" s="1" t="inlineStr">
        <is>
          <t>91282CQC8</t>
        </is>
      </c>
      <c r="D556" s="1" t="inlineStr">
        <is>
          <t>91282CQC8</t>
        </is>
      </c>
      <c r="E556" t="inlineStr">
        <is>
          <t>United States Treasury Note/Bond 3.75% 02/28/2033</t>
        </is>
      </c>
      <c r="F556" t="inlineStr">
        <is>
          <t>20000.00000000</t>
        </is>
      </c>
      <c r="G556" t="inlineStr">
        <is>
          <t>97.019531</t>
        </is>
      </c>
      <c r="H556" t="inlineStr">
        <is>
          <t>19403.91</t>
        </is>
      </c>
      <c r="I556" t="inlineStr">
        <is>
          <t>0.86%</t>
        </is>
      </c>
      <c r="J556" t="inlineStr">
        <is>
          <t>2258901.00</t>
        </is>
      </c>
      <c r="K556" t="inlineStr">
        <is>
          <t>90000</t>
        </is>
      </c>
      <c r="L556" t="inlineStr">
        <is>
          <t>9.000000000000</t>
        </is>
      </c>
      <c r="M556" t="inlineStr"/>
    </row>
    <row r="557">
      <c r="A557" t="inlineStr">
        <is>
          <t>06/25/2026</t>
        </is>
      </c>
      <c r="B557" t="inlineStr">
        <is>
          <t>CIEI</t>
        </is>
      </c>
      <c r="C557" s="1" t="inlineStr">
        <is>
          <t>91282CQD6</t>
        </is>
      </c>
      <c r="D557" s="1" t="inlineStr">
        <is>
          <t>91282CQD6</t>
        </is>
      </c>
      <c r="E557" t="inlineStr">
        <is>
          <t>United States Treasury Note/Bond 3.5% 02/28/2031</t>
        </is>
      </c>
      <c r="F557" t="inlineStr">
        <is>
          <t>32000.00000000</t>
        </is>
      </c>
      <c r="G557" t="inlineStr">
        <is>
          <t>97.148438</t>
        </is>
      </c>
      <c r="H557" t="inlineStr">
        <is>
          <t>31087.50</t>
        </is>
      </c>
      <c r="I557" t="inlineStr">
        <is>
          <t>1.38%</t>
        </is>
      </c>
      <c r="J557" t="inlineStr">
        <is>
          <t>2258901.00</t>
        </is>
      </c>
      <c r="K557" t="inlineStr">
        <is>
          <t>90000</t>
        </is>
      </c>
      <c r="L557" t="inlineStr">
        <is>
          <t>9.000000000000</t>
        </is>
      </c>
      <c r="M557" t="inlineStr"/>
    </row>
    <row r="558">
      <c r="A558" t="inlineStr">
        <is>
          <t>06/25/2026</t>
        </is>
      </c>
      <c r="B558" t="inlineStr">
        <is>
          <t>CIEI</t>
        </is>
      </c>
      <c r="C558" s="1" t="inlineStr">
        <is>
          <t>91282CQF1</t>
        </is>
      </c>
      <c r="D558" s="1" t="inlineStr">
        <is>
          <t>91282CQF1</t>
        </is>
      </c>
      <c r="E558" t="inlineStr">
        <is>
          <t>United States Treasury Note/Bond 4.25% 03/31/2033</t>
        </is>
      </c>
      <c r="F558" t="inlineStr">
        <is>
          <t>20000.00000000</t>
        </is>
      </c>
      <c r="G558" t="inlineStr">
        <is>
          <t>99.859375</t>
        </is>
      </c>
      <c r="H558" t="inlineStr">
        <is>
          <t>19971.88</t>
        </is>
      </c>
      <c r="I558" t="inlineStr">
        <is>
          <t>0.88%</t>
        </is>
      </c>
      <c r="J558" t="inlineStr">
        <is>
          <t>2258901.00</t>
        </is>
      </c>
      <c r="K558" t="inlineStr">
        <is>
          <t>90000</t>
        </is>
      </c>
      <c r="L558" t="inlineStr">
        <is>
          <t>9.000000000000</t>
        </is>
      </c>
      <c r="M558" t="inlineStr"/>
    </row>
    <row r="559">
      <c r="A559" t="inlineStr">
        <is>
          <t>06/25/2026</t>
        </is>
      </c>
      <c r="B559" t="inlineStr">
        <is>
          <t>CIEI</t>
        </is>
      </c>
      <c r="C559" s="1" t="inlineStr">
        <is>
          <t>91282CQG9</t>
        </is>
      </c>
      <c r="D559" s="1" t="inlineStr">
        <is>
          <t>91282CQG9</t>
        </is>
      </c>
      <c r="E559" t="inlineStr">
        <is>
          <t>United States Treasury Note/Bond 3.875% 03/31/2031</t>
        </is>
      </c>
      <c r="F559" t="inlineStr">
        <is>
          <t>24000.00000000</t>
        </is>
      </c>
      <c r="G559" t="inlineStr">
        <is>
          <t>98.679688</t>
        </is>
      </c>
      <c r="H559" t="inlineStr">
        <is>
          <t>23683.13</t>
        </is>
      </c>
      <c r="I559" t="inlineStr">
        <is>
          <t>1.05%</t>
        </is>
      </c>
      <c r="J559" t="inlineStr">
        <is>
          <t>2258901.00</t>
        </is>
      </c>
      <c r="K559" t="inlineStr">
        <is>
          <t>90000</t>
        </is>
      </c>
      <c r="L559" t="inlineStr">
        <is>
          <t>9.000000000000</t>
        </is>
      </c>
      <c r="M559" t="inlineStr"/>
    </row>
    <row r="560">
      <c r="A560" t="inlineStr">
        <is>
          <t>06/25/2026</t>
        </is>
      </c>
      <c r="B560" t="inlineStr">
        <is>
          <t>CIEI</t>
        </is>
      </c>
      <c r="C560" s="1" t="inlineStr">
        <is>
          <t>91282CQK0</t>
        </is>
      </c>
      <c r="D560" s="1" t="inlineStr">
        <is>
          <t>91282CQK0</t>
        </is>
      </c>
      <c r="E560" t="inlineStr">
        <is>
          <t>United States Treasury Note/Bond 3.875% 04/30/2031</t>
        </is>
      </c>
      <c r="F560" t="inlineStr">
        <is>
          <t>32000.00000000</t>
        </is>
      </c>
      <c r="G560" t="inlineStr">
        <is>
          <t>98.656250</t>
        </is>
      </c>
      <c r="H560" t="inlineStr">
        <is>
          <t>31570.00</t>
        </is>
      </c>
      <c r="I560" t="inlineStr">
        <is>
          <t>1.40%</t>
        </is>
      </c>
      <c r="J560" t="inlineStr">
        <is>
          <t>2258901.00</t>
        </is>
      </c>
      <c r="K560" t="inlineStr">
        <is>
          <t>90000</t>
        </is>
      </c>
      <c r="L560" t="inlineStr">
        <is>
          <t>9.000000000000</t>
        </is>
      </c>
      <c r="M560" t="inlineStr"/>
    </row>
    <row r="561">
      <c r="A561" t="inlineStr">
        <is>
          <t>06/25/2026</t>
        </is>
      </c>
      <c r="B561" t="inlineStr">
        <is>
          <t>CIEI</t>
        </is>
      </c>
      <c r="C561" s="1" t="inlineStr">
        <is>
          <t>91282CQN4</t>
        </is>
      </c>
      <c r="D561" s="1" t="inlineStr">
        <is>
          <t>91282CQN4</t>
        </is>
      </c>
      <c r="E561" t="inlineStr">
        <is>
          <t>United States Treasury Note/Bond 4.125% 04/30/2033</t>
        </is>
      </c>
      <c r="F561" t="inlineStr">
        <is>
          <t>21000.00000000</t>
        </is>
      </c>
      <c r="G561" t="inlineStr">
        <is>
          <t>99.078125</t>
        </is>
      </c>
      <c r="H561" t="inlineStr">
        <is>
          <t>20806.41</t>
        </is>
      </c>
      <c r="I561" t="inlineStr">
        <is>
          <t>0.92%</t>
        </is>
      </c>
      <c r="J561" t="inlineStr">
        <is>
          <t>2258901.00</t>
        </is>
      </c>
      <c r="K561" t="inlineStr">
        <is>
          <t>90000</t>
        </is>
      </c>
      <c r="L561" t="inlineStr">
        <is>
          <t>9.000000000000</t>
        </is>
      </c>
      <c r="M561" t="inlineStr"/>
    </row>
    <row r="562">
      <c r="A562" t="inlineStr">
        <is>
          <t>06/25/2026</t>
        </is>
      </c>
      <c r="B562" t="inlineStr">
        <is>
          <t>CIEI</t>
        </is>
      </c>
      <c r="C562" s="1" t="inlineStr">
        <is>
          <t>FGXXX</t>
        </is>
      </c>
      <c r="D562" s="1" t="inlineStr">
        <is>
          <t>31846V336</t>
        </is>
      </c>
      <c r="E562" t="inlineStr">
        <is>
          <t>First American Government Obligations Fund 12/01/2031</t>
        </is>
      </c>
      <c r="F562" t="inlineStr">
        <is>
          <t>6410.17000000</t>
        </is>
      </c>
      <c r="G562" t="inlineStr">
        <is>
          <t>100.000000</t>
        </is>
      </c>
      <c r="H562" t="inlineStr">
        <is>
          <t>6410.17</t>
        </is>
      </c>
      <c r="I562" t="inlineStr">
        <is>
          <t>0.28%</t>
        </is>
      </c>
      <c r="J562" t="inlineStr">
        <is>
          <t>2258901.00</t>
        </is>
      </c>
      <c r="K562" t="inlineStr">
        <is>
          <t>90000</t>
        </is>
      </c>
      <c r="L562" t="inlineStr">
        <is>
          <t>9.000000000000</t>
        </is>
      </c>
      <c r="M562" t="inlineStr">
        <is>
          <t>Y</t>
        </is>
      </c>
    </row>
    <row r="563">
      <c r="A563" t="inlineStr">
        <is>
          <t>06/25/2026</t>
        </is>
      </c>
      <c r="B563" t="inlineStr">
        <is>
          <t>CIEI</t>
        </is>
      </c>
      <c r="C563" s="1" t="inlineStr">
        <is>
          <t>Cash&amp;Other</t>
        </is>
      </c>
      <c r="D563" s="1" t="inlineStr">
        <is>
          <t>Cash&amp;Other</t>
        </is>
      </c>
      <c r="E563" t="inlineStr">
        <is>
          <t>Cash &amp; Other</t>
        </is>
      </c>
      <c r="F563" t="inlineStr">
        <is>
          <t>20935.39000000</t>
        </is>
      </c>
      <c r="G563" t="inlineStr">
        <is>
          <t>1.000000</t>
        </is>
      </c>
      <c r="H563" t="inlineStr">
        <is>
          <t>20935.39</t>
        </is>
      </c>
      <c r="I563" t="inlineStr">
        <is>
          <t>0.93%</t>
        </is>
      </c>
      <c r="J563" t="inlineStr">
        <is>
          <t>2258901.00</t>
        </is>
      </c>
      <c r="K563" t="inlineStr">
        <is>
          <t>90000</t>
        </is>
      </c>
      <c r="L563" t="inlineStr">
        <is>
          <t>9.000000000000</t>
        </is>
      </c>
      <c r="M563" t="inlineStr">
        <is>
          <t>Y</t>
        </is>
      </c>
    </row>
    <row r="564">
      <c r="A564" t="inlineStr">
        <is>
          <t>06/25/2026</t>
        </is>
      </c>
      <c r="B564" t="inlineStr">
        <is>
          <t>CIVG</t>
        </is>
      </c>
      <c r="C564" s="1" t="inlineStr">
        <is>
          <t>00206RKG6</t>
        </is>
      </c>
      <c r="D564" s="1" t="inlineStr">
        <is>
          <t>00206RKG6</t>
        </is>
      </c>
      <c r="E564" t="inlineStr">
        <is>
          <t>AT&amp;T Inc 1.65% 02/01/2028</t>
        </is>
      </c>
      <c r="F564" t="inlineStr">
        <is>
          <t>39000.00000000</t>
        </is>
      </c>
      <c r="G564" t="inlineStr">
        <is>
          <t>95.598323</t>
        </is>
      </c>
      <c r="H564" t="inlineStr">
        <is>
          <t>37283.35</t>
        </is>
      </c>
      <c r="I564" t="inlineStr">
        <is>
          <t>0.88%</t>
        </is>
      </c>
      <c r="J564" t="inlineStr">
        <is>
          <t>4258415.00</t>
        </is>
      </c>
      <c r="K564" t="inlineStr">
        <is>
          <t>170000</t>
        </is>
      </c>
      <c r="L564" t="inlineStr">
        <is>
          <t>17.000000000000</t>
        </is>
      </c>
      <c r="M564" t="inlineStr"/>
    </row>
    <row r="565">
      <c r="A565" t="inlineStr">
        <is>
          <t>06/25/2026</t>
        </is>
      </c>
      <c r="B565" t="inlineStr">
        <is>
          <t>CIVG</t>
        </is>
      </c>
      <c r="C565" s="1" t="inlineStr">
        <is>
          <t>002824BS8</t>
        </is>
      </c>
      <c r="D565" s="1" t="inlineStr">
        <is>
          <t>002824BS8</t>
        </is>
      </c>
      <c r="E565" t="inlineStr">
        <is>
          <t>Abbott Laboratories 4% 03/15/2031</t>
        </is>
      </c>
      <c r="F565" t="inlineStr">
        <is>
          <t>21000.00000000</t>
        </is>
      </c>
      <c r="G565" t="inlineStr">
        <is>
          <t>97.502415</t>
        </is>
      </c>
      <c r="H565" t="inlineStr">
        <is>
          <t>20475.51</t>
        </is>
      </c>
      <c r="I565" t="inlineStr">
        <is>
          <t>0.48%</t>
        </is>
      </c>
      <c r="J565" t="inlineStr">
        <is>
          <t>4258415.00</t>
        </is>
      </c>
      <c r="K565" t="inlineStr">
        <is>
          <t>170000</t>
        </is>
      </c>
      <c r="L565" t="inlineStr">
        <is>
          <t>17.000000000000</t>
        </is>
      </c>
      <c r="M565" t="inlineStr"/>
    </row>
    <row r="566">
      <c r="A566" t="inlineStr">
        <is>
          <t>06/25/2026</t>
        </is>
      </c>
      <c r="B566" t="inlineStr">
        <is>
          <t>CIVG</t>
        </is>
      </c>
      <c r="C566" s="1" t="inlineStr">
        <is>
          <t>00287YBX6</t>
        </is>
      </c>
      <c r="D566" s="1" t="inlineStr">
        <is>
          <t>00287YBX6</t>
        </is>
      </c>
      <c r="E566" t="inlineStr">
        <is>
          <t>AbbVie Inc 3.2% 11/21/2029</t>
        </is>
      </c>
      <c r="F566" t="inlineStr">
        <is>
          <t>21000.00000000</t>
        </is>
      </c>
      <c r="G566" t="inlineStr">
        <is>
          <t>95.786344</t>
        </is>
      </c>
      <c r="H566" t="inlineStr">
        <is>
          <t>20115.13</t>
        </is>
      </c>
      <c r="I566" t="inlineStr">
        <is>
          <t>0.47%</t>
        </is>
      </c>
      <c r="J566" t="inlineStr">
        <is>
          <t>4258415.00</t>
        </is>
      </c>
      <c r="K566" t="inlineStr">
        <is>
          <t>170000</t>
        </is>
      </c>
      <c r="L566" t="inlineStr">
        <is>
          <t>17.000000000000</t>
        </is>
      </c>
      <c r="M566" t="inlineStr"/>
    </row>
    <row r="567">
      <c r="A567" t="inlineStr">
        <is>
          <t>06/25/2026</t>
        </is>
      </c>
      <c r="B567" t="inlineStr">
        <is>
          <t>CIVG</t>
        </is>
      </c>
      <c r="C567" s="1" t="inlineStr">
        <is>
          <t>00724PAD1</t>
        </is>
      </c>
      <c r="D567" s="1" t="inlineStr">
        <is>
          <t>00724PAD1</t>
        </is>
      </c>
      <c r="E567" t="inlineStr">
        <is>
          <t>Adobe Inc 2.3% 02/01/2030</t>
        </is>
      </c>
      <c r="F567" t="inlineStr">
        <is>
          <t>22000.00000000</t>
        </is>
      </c>
      <c r="G567" t="inlineStr">
        <is>
          <t>92.399638</t>
        </is>
      </c>
      <c r="H567" t="inlineStr">
        <is>
          <t>20327.92</t>
        </is>
      </c>
      <c r="I567" t="inlineStr">
        <is>
          <t>0.48%</t>
        </is>
      </c>
      <c r="J567" t="inlineStr">
        <is>
          <t>4258415.00</t>
        </is>
      </c>
      <c r="K567" t="inlineStr">
        <is>
          <t>170000</t>
        </is>
      </c>
      <c r="L567" t="inlineStr">
        <is>
          <t>17.000000000000</t>
        </is>
      </c>
      <c r="M567" t="inlineStr"/>
    </row>
    <row r="568">
      <c r="A568" t="inlineStr">
        <is>
          <t>06/25/2026</t>
        </is>
      </c>
      <c r="B568" t="inlineStr">
        <is>
          <t>CIVG</t>
        </is>
      </c>
      <c r="C568" s="1" t="inlineStr">
        <is>
          <t>015271AU3</t>
        </is>
      </c>
      <c r="D568" s="1" t="inlineStr">
        <is>
          <t>015271AU3</t>
        </is>
      </c>
      <c r="E568" t="inlineStr">
        <is>
          <t>Alexandria Real Estate Equities Inc 4.9% 12/15/2030</t>
        </is>
      </c>
      <c r="F568" t="inlineStr">
        <is>
          <t>20000.00000000</t>
        </is>
      </c>
      <c r="G568" t="inlineStr">
        <is>
          <t>99.922085</t>
        </is>
      </c>
      <c r="H568" t="inlineStr">
        <is>
          <t>19984.42</t>
        </is>
      </c>
      <c r="I568" t="inlineStr">
        <is>
          <t>0.47%</t>
        </is>
      </c>
      <c r="J568" t="inlineStr">
        <is>
          <t>4258415.00</t>
        </is>
      </c>
      <c r="K568" t="inlineStr">
        <is>
          <t>170000</t>
        </is>
      </c>
      <c r="L568" t="inlineStr">
        <is>
          <t>17.000000000000</t>
        </is>
      </c>
      <c r="M568" t="inlineStr"/>
    </row>
    <row r="569">
      <c r="A569" t="inlineStr">
        <is>
          <t>06/25/2026</t>
        </is>
      </c>
      <c r="B569" t="inlineStr">
        <is>
          <t>CIVG</t>
        </is>
      </c>
      <c r="C569" s="1" t="inlineStr">
        <is>
          <t>01609WAT9</t>
        </is>
      </c>
      <c r="D569" s="1" t="inlineStr">
        <is>
          <t>01609WAT9</t>
        </is>
      </c>
      <c r="E569" t="inlineStr">
        <is>
          <t>Alibaba Group Holding Ltd 3.4% 12/06/2027</t>
        </is>
      </c>
      <c r="F569" t="inlineStr">
        <is>
          <t>20000.00000000</t>
        </is>
      </c>
      <c r="G569" t="inlineStr">
        <is>
          <t>98.756437</t>
        </is>
      </c>
      <c r="H569" t="inlineStr">
        <is>
          <t>19751.29</t>
        </is>
      </c>
      <c r="I569" t="inlineStr">
        <is>
          <t>0.46%</t>
        </is>
      </c>
      <c r="J569" t="inlineStr">
        <is>
          <t>4258415.00</t>
        </is>
      </c>
      <c r="K569" t="inlineStr">
        <is>
          <t>170000</t>
        </is>
      </c>
      <c r="L569" t="inlineStr">
        <is>
          <t>17.000000000000</t>
        </is>
      </c>
      <c r="M569" t="inlineStr"/>
    </row>
    <row r="570">
      <c r="A570" t="inlineStr">
        <is>
          <t>06/25/2026</t>
        </is>
      </c>
      <c r="B570" t="inlineStr">
        <is>
          <t>CIVG</t>
        </is>
      </c>
      <c r="C570" s="1" t="inlineStr">
        <is>
          <t>017175AE0</t>
        </is>
      </c>
      <c r="D570" s="1" t="inlineStr">
        <is>
          <t>017175AE0</t>
        </is>
      </c>
      <c r="E570" t="inlineStr">
        <is>
          <t>Alleghany Corp 3.625% 05/15/2030</t>
        </is>
      </c>
      <c r="F570" t="inlineStr">
        <is>
          <t>21000.00000000</t>
        </is>
      </c>
      <c r="G570" t="inlineStr">
        <is>
          <t>96.828824</t>
        </is>
      </c>
      <c r="H570" t="inlineStr">
        <is>
          <t>20334.05</t>
        </is>
      </c>
      <c r="I570" t="inlineStr">
        <is>
          <t>0.48%</t>
        </is>
      </c>
      <c r="J570" t="inlineStr">
        <is>
          <t>4258415.00</t>
        </is>
      </c>
      <c r="K570" t="inlineStr">
        <is>
          <t>170000</t>
        </is>
      </c>
      <c r="L570" t="inlineStr">
        <is>
          <t>17.000000000000</t>
        </is>
      </c>
      <c r="M570" t="inlineStr"/>
    </row>
    <row r="571">
      <c r="A571" t="inlineStr">
        <is>
          <t>06/25/2026</t>
        </is>
      </c>
      <c r="B571" t="inlineStr">
        <is>
          <t>CIVG</t>
        </is>
      </c>
      <c r="C571" s="1" t="inlineStr">
        <is>
          <t>02079KBK2</t>
        </is>
      </c>
      <c r="D571" s="1" t="inlineStr">
        <is>
          <t>02079KBK2</t>
        </is>
      </c>
      <c r="E571" t="inlineStr">
        <is>
          <t>Alphabet Inc 4.1% 02/15/2031</t>
        </is>
      </c>
      <c r="F571" t="inlineStr">
        <is>
          <t>21000.00000000</t>
        </is>
      </c>
      <c r="G571" t="inlineStr">
        <is>
          <t>98.327981</t>
        </is>
      </c>
      <c r="H571" t="inlineStr">
        <is>
          <t>20648.88</t>
        </is>
      </c>
      <c r="I571" t="inlineStr">
        <is>
          <t>0.48%</t>
        </is>
      </c>
      <c r="J571" t="inlineStr">
        <is>
          <t>4258415.00</t>
        </is>
      </c>
      <c r="K571" t="inlineStr">
        <is>
          <t>170000</t>
        </is>
      </c>
      <c r="L571" t="inlineStr">
        <is>
          <t>17.000000000000</t>
        </is>
      </c>
      <c r="M571" t="inlineStr"/>
    </row>
    <row r="572">
      <c r="A572" t="inlineStr">
        <is>
          <t>06/25/2026</t>
        </is>
      </c>
      <c r="B572" t="inlineStr">
        <is>
          <t>CIVG</t>
        </is>
      </c>
      <c r="C572" s="1" t="inlineStr">
        <is>
          <t>02209SBD4</t>
        </is>
      </c>
      <c r="D572" s="1" t="inlineStr">
        <is>
          <t>02209SBD4</t>
        </is>
      </c>
      <c r="E572" t="inlineStr">
        <is>
          <t>Altria Group Inc 4.8% 02/14/2029</t>
        </is>
      </c>
      <c r="F572" t="inlineStr">
        <is>
          <t>20000.00000000</t>
        </is>
      </c>
      <c r="G572" t="inlineStr">
        <is>
          <t>100.369950</t>
        </is>
      </c>
      <c r="H572" t="inlineStr">
        <is>
          <t>20073.99</t>
        </is>
      </c>
      <c r="I572" t="inlineStr">
        <is>
          <t>0.47%</t>
        </is>
      </c>
      <c r="J572" t="inlineStr">
        <is>
          <t>4258415.00</t>
        </is>
      </c>
      <c r="K572" t="inlineStr">
        <is>
          <t>170000</t>
        </is>
      </c>
      <c r="L572" t="inlineStr">
        <is>
          <t>17.000000000000</t>
        </is>
      </c>
      <c r="M572" t="inlineStr"/>
    </row>
    <row r="573">
      <c r="A573" t="inlineStr">
        <is>
          <t>06/25/2026</t>
        </is>
      </c>
      <c r="B573" t="inlineStr">
        <is>
          <t>CIVG</t>
        </is>
      </c>
      <c r="C573" s="1" t="inlineStr">
        <is>
          <t>023135DD5</t>
        </is>
      </c>
      <c r="D573" s="1" t="inlineStr">
        <is>
          <t>023135DD5</t>
        </is>
      </c>
      <c r="E573" t="inlineStr">
        <is>
          <t>Amazon.com Inc 4.25% 03/13/2031</t>
        </is>
      </c>
      <c r="F573" t="inlineStr">
        <is>
          <t>13000.00000000</t>
        </is>
      </c>
      <c r="G573" t="inlineStr">
        <is>
          <t>98.585231</t>
        </is>
      </c>
      <c r="H573" t="inlineStr">
        <is>
          <t>12816.08</t>
        </is>
      </c>
      <c r="I573" t="inlineStr">
        <is>
          <t>0.30%</t>
        </is>
      </c>
      <c r="J573" t="inlineStr">
        <is>
          <t>4258415.00</t>
        </is>
      </c>
      <c r="K573" t="inlineStr">
        <is>
          <t>170000</t>
        </is>
      </c>
      <c r="L573" t="inlineStr">
        <is>
          <t>17.000000000000</t>
        </is>
      </c>
      <c r="M573" t="inlineStr"/>
    </row>
    <row r="574">
      <c r="A574" t="inlineStr">
        <is>
          <t>06/25/2026</t>
        </is>
      </c>
      <c r="B574" t="inlineStr">
        <is>
          <t>CIVG</t>
        </is>
      </c>
      <c r="C574" s="1" t="inlineStr">
        <is>
          <t>025816ED7</t>
        </is>
      </c>
      <c r="D574" s="1" t="inlineStr">
        <is>
          <t>025816ED7</t>
        </is>
      </c>
      <c r="E574" t="inlineStr">
        <is>
          <t>American Express Co 4.731% 04/25/2029</t>
        </is>
      </c>
      <c r="F574" t="inlineStr">
        <is>
          <t>20000.00000000</t>
        </is>
      </c>
      <c r="G574" t="inlineStr">
        <is>
          <t>100.265853</t>
        </is>
      </c>
      <c r="H574" t="inlineStr">
        <is>
          <t>20053.17</t>
        </is>
      </c>
      <c r="I574" t="inlineStr">
        <is>
          <t>0.47%</t>
        </is>
      </c>
      <c r="J574" t="inlineStr">
        <is>
          <t>4258415.00</t>
        </is>
      </c>
      <c r="K574" t="inlineStr">
        <is>
          <t>170000</t>
        </is>
      </c>
      <c r="L574" t="inlineStr">
        <is>
          <t>17.000000000000</t>
        </is>
      </c>
      <c r="M574" t="inlineStr"/>
    </row>
    <row r="575">
      <c r="A575" t="inlineStr">
        <is>
          <t>06/25/2026</t>
        </is>
      </c>
      <c r="B575" t="inlineStr">
        <is>
          <t>CIVG</t>
        </is>
      </c>
      <c r="C575" s="1" t="inlineStr">
        <is>
          <t>03040WAS4</t>
        </is>
      </c>
      <c r="D575" s="1" t="inlineStr">
        <is>
          <t>03040WAS4</t>
        </is>
      </c>
      <c r="E575" t="inlineStr">
        <is>
          <t>American Water Capital Corp 3.75% 09/01/2028</t>
        </is>
      </c>
      <c r="F575" t="inlineStr">
        <is>
          <t>21000.00000000</t>
        </is>
      </c>
      <c r="G575" t="inlineStr">
        <is>
          <t>98.464219</t>
        </is>
      </c>
      <c r="H575" t="inlineStr">
        <is>
          <t>20677.49</t>
        </is>
      </c>
      <c r="I575" t="inlineStr">
        <is>
          <t>0.49%</t>
        </is>
      </c>
      <c r="J575" t="inlineStr">
        <is>
          <t>4258415.00</t>
        </is>
      </c>
      <c r="K575" t="inlineStr">
        <is>
          <t>170000</t>
        </is>
      </c>
      <c r="L575" t="inlineStr">
        <is>
          <t>17.000000000000</t>
        </is>
      </c>
      <c r="M575" t="inlineStr"/>
    </row>
    <row r="576">
      <c r="A576" t="inlineStr">
        <is>
          <t>06/25/2026</t>
        </is>
      </c>
      <c r="B576" t="inlineStr">
        <is>
          <t>CIVG</t>
        </is>
      </c>
      <c r="C576" s="1" t="inlineStr">
        <is>
          <t>031162DP2</t>
        </is>
      </c>
      <c r="D576" s="1" t="inlineStr">
        <is>
          <t>031162DP2</t>
        </is>
      </c>
      <c r="E576" t="inlineStr">
        <is>
          <t>Amgen Inc 5.15% 03/02/2028</t>
        </is>
      </c>
      <c r="F576" t="inlineStr">
        <is>
          <t>20000.00000000</t>
        </is>
      </c>
      <c r="G576" t="inlineStr">
        <is>
          <t>100.993918</t>
        </is>
      </c>
      <c r="H576" t="inlineStr">
        <is>
          <t>20198.78</t>
        </is>
      </c>
      <c r="I576" t="inlineStr">
        <is>
          <t>0.47%</t>
        </is>
      </c>
      <c r="J576" t="inlineStr">
        <is>
          <t>4258415.00</t>
        </is>
      </c>
      <c r="K576" t="inlineStr">
        <is>
          <t>170000</t>
        </is>
      </c>
      <c r="L576" t="inlineStr">
        <is>
          <t>17.000000000000</t>
        </is>
      </c>
      <c r="M576" t="inlineStr"/>
    </row>
    <row r="577">
      <c r="A577" t="inlineStr">
        <is>
          <t>06/25/2026</t>
        </is>
      </c>
      <c r="B577" t="inlineStr">
        <is>
          <t>CIVG</t>
        </is>
      </c>
      <c r="C577" s="1" t="inlineStr">
        <is>
          <t>032095AT8</t>
        </is>
      </c>
      <c r="D577" s="1" t="inlineStr">
        <is>
          <t>032095AT8</t>
        </is>
      </c>
      <c r="E577" t="inlineStr">
        <is>
          <t>Amphenol Corp 4.375% 06/12/2028</t>
        </is>
      </c>
      <c r="F577" t="inlineStr">
        <is>
          <t>20000.00000000</t>
        </is>
      </c>
      <c r="G577" t="inlineStr">
        <is>
          <t>99.901839</t>
        </is>
      </c>
      <c r="H577" t="inlineStr">
        <is>
          <t>19980.37</t>
        </is>
      </c>
      <c r="I577" t="inlineStr">
        <is>
          <t>0.47%</t>
        </is>
      </c>
      <c r="J577" t="inlineStr">
        <is>
          <t>4258415.00</t>
        </is>
      </c>
      <c r="K577" t="inlineStr">
        <is>
          <t>170000</t>
        </is>
      </c>
      <c r="L577" t="inlineStr">
        <is>
          <t>17.000000000000</t>
        </is>
      </c>
      <c r="M577" t="inlineStr"/>
    </row>
    <row r="578">
      <c r="A578" t="inlineStr">
        <is>
          <t>06/25/2026</t>
        </is>
      </c>
      <c r="B578" t="inlineStr">
        <is>
          <t>CIVG</t>
        </is>
      </c>
      <c r="C578" s="1" t="inlineStr">
        <is>
          <t>035240AV2</t>
        </is>
      </c>
      <c r="D578" s="1" t="inlineStr">
        <is>
          <t>035240AV2</t>
        </is>
      </c>
      <c r="E578" t="inlineStr">
        <is>
          <t>Anheuser-Busch InBev Worldwide Inc 3.5% 06/01/2030</t>
        </is>
      </c>
      <c r="F578" t="inlineStr">
        <is>
          <t>41000.00000000</t>
        </is>
      </c>
      <c r="G578" t="inlineStr">
        <is>
          <t>96.541255</t>
        </is>
      </c>
      <c r="H578" t="inlineStr">
        <is>
          <t>39581.91</t>
        </is>
      </c>
      <c r="I578" t="inlineStr">
        <is>
          <t>0.93%</t>
        </is>
      </c>
      <c r="J578" t="inlineStr">
        <is>
          <t>4258415.00</t>
        </is>
      </c>
      <c r="K578" t="inlineStr">
        <is>
          <t>170000</t>
        </is>
      </c>
      <c r="L578" t="inlineStr">
        <is>
          <t>17.000000000000</t>
        </is>
      </c>
      <c r="M578" t="inlineStr"/>
    </row>
    <row r="579">
      <c r="A579" t="inlineStr">
        <is>
          <t>06/25/2026</t>
        </is>
      </c>
      <c r="B579" t="inlineStr">
        <is>
          <t>CIVG</t>
        </is>
      </c>
      <c r="C579" s="1" t="inlineStr">
        <is>
          <t>036752AP8</t>
        </is>
      </c>
      <c r="D579" s="1" t="inlineStr">
        <is>
          <t>036752AP8</t>
        </is>
      </c>
      <c r="E579" t="inlineStr">
        <is>
          <t>Elevance Health Inc 2.55% 03/15/2031</t>
        </is>
      </c>
      <c r="F579" t="inlineStr">
        <is>
          <t>22000.00000000</t>
        </is>
      </c>
      <c r="G579" t="inlineStr">
        <is>
          <t>90.808484</t>
        </is>
      </c>
      <c r="H579" t="inlineStr">
        <is>
          <t>19977.87</t>
        </is>
      </c>
      <c r="I579" t="inlineStr">
        <is>
          <t>0.47%</t>
        </is>
      </c>
      <c r="J579" t="inlineStr">
        <is>
          <t>4258415.00</t>
        </is>
      </c>
      <c r="K579" t="inlineStr">
        <is>
          <t>170000</t>
        </is>
      </c>
      <c r="L579" t="inlineStr">
        <is>
          <t>17.000000000000</t>
        </is>
      </c>
      <c r="M579" t="inlineStr"/>
    </row>
    <row r="580">
      <c r="A580" t="inlineStr">
        <is>
          <t>06/25/2026</t>
        </is>
      </c>
      <c r="B580" t="inlineStr">
        <is>
          <t>CIVG</t>
        </is>
      </c>
      <c r="C580" s="1" t="inlineStr">
        <is>
          <t>037833ED8</t>
        </is>
      </c>
      <c r="D580" s="1" t="inlineStr">
        <is>
          <t>037833ED8</t>
        </is>
      </c>
      <c r="E580" t="inlineStr">
        <is>
          <t>Apple Inc 1.65% 02/08/2031</t>
        </is>
      </c>
      <c r="F580" t="inlineStr">
        <is>
          <t>23000.00000000</t>
        </is>
      </c>
      <c r="G580" t="inlineStr">
        <is>
          <t>88.916288</t>
        </is>
      </c>
      <c r="H580" t="inlineStr">
        <is>
          <t>20450.75</t>
        </is>
      </c>
      <c r="I580" t="inlineStr">
        <is>
          <t>0.48%</t>
        </is>
      </c>
      <c r="J580" t="inlineStr">
        <is>
          <t>4258415.00</t>
        </is>
      </c>
      <c r="K580" t="inlineStr">
        <is>
          <t>170000</t>
        </is>
      </c>
      <c r="L580" t="inlineStr">
        <is>
          <t>17.000000000000</t>
        </is>
      </c>
      <c r="M580" t="inlineStr"/>
    </row>
    <row r="581">
      <c r="A581" t="inlineStr">
        <is>
          <t>06/25/2026</t>
        </is>
      </c>
      <c r="B581" t="inlineStr">
        <is>
          <t>CIVG</t>
        </is>
      </c>
      <c r="C581" s="1" t="inlineStr">
        <is>
          <t>04010LBB8</t>
        </is>
      </c>
      <c r="D581" s="1" t="inlineStr">
        <is>
          <t>04010LBB8</t>
        </is>
      </c>
      <c r="E581" t="inlineStr">
        <is>
          <t>Ares Capital Corp 2.875% 06/15/2028</t>
        </is>
      </c>
      <c r="F581" t="inlineStr">
        <is>
          <t>21000.00000000</t>
        </is>
      </c>
      <c r="G581" t="inlineStr">
        <is>
          <t>95.677443</t>
        </is>
      </c>
      <c r="H581" t="inlineStr">
        <is>
          <t>20092.26</t>
        </is>
      </c>
      <c r="I581" t="inlineStr">
        <is>
          <t>0.47%</t>
        </is>
      </c>
      <c r="J581" t="inlineStr">
        <is>
          <t>4258415.00</t>
        </is>
      </c>
      <c r="K581" t="inlineStr">
        <is>
          <t>170000</t>
        </is>
      </c>
      <c r="L581" t="inlineStr">
        <is>
          <t>17.000000000000</t>
        </is>
      </c>
      <c r="M581" t="inlineStr"/>
    </row>
    <row r="582">
      <c r="A582" t="inlineStr">
        <is>
          <t>06/25/2026</t>
        </is>
      </c>
      <c r="B582" t="inlineStr">
        <is>
          <t>CIVG</t>
        </is>
      </c>
      <c r="C582" s="1" t="inlineStr">
        <is>
          <t>04010LBF9</t>
        </is>
      </c>
      <c r="D582" s="1" t="inlineStr">
        <is>
          <t>04010LBF9</t>
        </is>
      </c>
      <c r="E582" t="inlineStr">
        <is>
          <t>Ares Capital Corp 5.875% 03/01/2029</t>
        </is>
      </c>
      <c r="F582" t="inlineStr">
        <is>
          <t>19000.00000000</t>
        </is>
      </c>
      <c r="G582" t="inlineStr">
        <is>
          <t>100.751152</t>
        </is>
      </c>
      <c r="H582" t="inlineStr">
        <is>
          <t>19142.72</t>
        </is>
      </c>
      <c r="I582" t="inlineStr">
        <is>
          <t>0.45%</t>
        </is>
      </c>
      <c r="J582" t="inlineStr">
        <is>
          <t>4258415.00</t>
        </is>
      </c>
      <c r="K582" t="inlineStr">
        <is>
          <t>170000</t>
        </is>
      </c>
      <c r="L582" t="inlineStr">
        <is>
          <t>17.000000000000</t>
        </is>
      </c>
      <c r="M582" t="inlineStr"/>
    </row>
    <row r="583">
      <c r="A583" t="inlineStr">
        <is>
          <t>06/25/2026</t>
        </is>
      </c>
      <c r="B583" t="inlineStr">
        <is>
          <t>CIVG</t>
        </is>
      </c>
      <c r="C583" s="1" t="inlineStr">
        <is>
          <t>04636NAF0</t>
        </is>
      </c>
      <c r="D583" s="1" t="inlineStr">
        <is>
          <t>04636NAF0</t>
        </is>
      </c>
      <c r="E583" t="inlineStr">
        <is>
          <t>Astrazeneca Finance LLC 4.875% 03/03/2028</t>
        </is>
      </c>
      <c r="F583" t="inlineStr">
        <is>
          <t>20000.00000000</t>
        </is>
      </c>
      <c r="G583" t="inlineStr">
        <is>
          <t>100.905651</t>
        </is>
      </c>
      <c r="H583" t="inlineStr">
        <is>
          <t>20181.13</t>
        </is>
      </c>
      <c r="I583" t="inlineStr">
        <is>
          <t>0.47%</t>
        </is>
      </c>
      <c r="J583" t="inlineStr">
        <is>
          <t>4258415.00</t>
        </is>
      </c>
      <c r="K583" t="inlineStr">
        <is>
          <t>170000</t>
        </is>
      </c>
      <c r="L583" t="inlineStr">
        <is>
          <t>17.000000000000</t>
        </is>
      </c>
      <c r="M583" t="inlineStr"/>
    </row>
    <row r="584">
      <c r="A584" t="inlineStr">
        <is>
          <t>06/25/2026</t>
        </is>
      </c>
      <c r="B584" t="inlineStr">
        <is>
          <t>CIVG</t>
        </is>
      </c>
      <c r="C584" s="1" t="inlineStr">
        <is>
          <t>051473AD8</t>
        </is>
      </c>
      <c r="D584" s="1" t="inlineStr">
        <is>
          <t>051473AD8</t>
        </is>
      </c>
      <c r="E584" t="inlineStr">
        <is>
          <t>Augusta SpinCo Corp 4.656% 03/23/2031</t>
        </is>
      </c>
      <c r="F584" t="inlineStr">
        <is>
          <t>21000.00000000</t>
        </is>
      </c>
      <c r="G584" t="inlineStr">
        <is>
          <t>99.360915</t>
        </is>
      </c>
      <c r="H584" t="inlineStr">
        <is>
          <t>20865.79</t>
        </is>
      </c>
      <c r="I584" t="inlineStr">
        <is>
          <t>0.49%</t>
        </is>
      </c>
      <c r="J584" t="inlineStr">
        <is>
          <t>4258415.00</t>
        </is>
      </c>
      <c r="K584" t="inlineStr">
        <is>
          <t>170000</t>
        </is>
      </c>
      <c r="L584" t="inlineStr">
        <is>
          <t>17.000000000000</t>
        </is>
      </c>
      <c r="M584" t="inlineStr"/>
    </row>
    <row r="585">
      <c r="A585" t="inlineStr">
        <is>
          <t>06/25/2026</t>
        </is>
      </c>
      <c r="B585" t="inlineStr">
        <is>
          <t>CIVG</t>
        </is>
      </c>
      <c r="C585" s="1" t="inlineStr">
        <is>
          <t>05351WAB9</t>
        </is>
      </c>
      <c r="D585" s="1" t="inlineStr">
        <is>
          <t>05351WAB9</t>
        </is>
      </c>
      <c r="E585" t="inlineStr">
        <is>
          <t>Avangrid Inc 3.8% 06/01/2029</t>
        </is>
      </c>
      <c r="F585" t="inlineStr">
        <is>
          <t>21000.00000000</t>
        </is>
      </c>
      <c r="G585" t="inlineStr">
        <is>
          <t>97.237900</t>
        </is>
      </c>
      <c r="H585" t="inlineStr">
        <is>
          <t>20419.96</t>
        </is>
      </c>
      <c r="I585" t="inlineStr">
        <is>
          <t>0.48%</t>
        </is>
      </c>
      <c r="J585" t="inlineStr">
        <is>
          <t>4258415.00</t>
        </is>
      </c>
      <c r="K585" t="inlineStr">
        <is>
          <t>170000</t>
        </is>
      </c>
      <c r="L585" t="inlineStr">
        <is>
          <t>17.000000000000</t>
        </is>
      </c>
      <c r="M585" t="inlineStr"/>
    </row>
    <row r="586">
      <c r="A586" t="inlineStr">
        <is>
          <t>06/25/2026</t>
        </is>
      </c>
      <c r="B586" t="inlineStr">
        <is>
          <t>CIVG</t>
        </is>
      </c>
      <c r="C586" s="1" t="inlineStr">
        <is>
          <t>054989AA6</t>
        </is>
      </c>
      <c r="D586" s="1" t="inlineStr">
        <is>
          <t>054989AA6</t>
        </is>
      </c>
      <c r="E586" t="inlineStr">
        <is>
          <t>BAT Capital Corp 6.343% 08/02/2030</t>
        </is>
      </c>
      <c r="F586" t="inlineStr">
        <is>
          <t>19000.00000000</t>
        </is>
      </c>
      <c r="G586" t="inlineStr">
        <is>
          <t>105.717820</t>
        </is>
      </c>
      <c r="H586" t="inlineStr">
        <is>
          <t>20086.39</t>
        </is>
      </c>
      <c r="I586" t="inlineStr">
        <is>
          <t>0.47%</t>
        </is>
      </c>
      <c r="J586" t="inlineStr">
        <is>
          <t>4258415.00</t>
        </is>
      </c>
      <c r="K586" t="inlineStr">
        <is>
          <t>170000</t>
        </is>
      </c>
      <c r="L586" t="inlineStr">
        <is>
          <t>17.000000000000</t>
        </is>
      </c>
      <c r="M586" t="inlineStr"/>
    </row>
    <row r="587">
      <c r="A587" t="inlineStr">
        <is>
          <t>06/25/2026</t>
        </is>
      </c>
      <c r="B587" t="inlineStr">
        <is>
          <t>CIVG</t>
        </is>
      </c>
      <c r="C587" s="1" t="inlineStr">
        <is>
          <t>05555LAD3</t>
        </is>
      </c>
      <c r="D587" s="1" t="inlineStr">
        <is>
          <t>05555LAD3</t>
        </is>
      </c>
      <c r="E587" t="inlineStr">
        <is>
          <t>BGC Group Inc 6.15% 04/02/2030</t>
        </is>
      </c>
      <c r="F587" t="inlineStr">
        <is>
          <t>12000.00000000</t>
        </is>
      </c>
      <c r="G587" t="inlineStr">
        <is>
          <t>102.057818</t>
        </is>
      </c>
      <c r="H587" t="inlineStr">
        <is>
          <t>12246.94</t>
        </is>
      </c>
      <c r="I587" t="inlineStr">
        <is>
          <t>0.29%</t>
        </is>
      </c>
      <c r="J587" t="inlineStr">
        <is>
          <t>4258415.00</t>
        </is>
      </c>
      <c r="K587" t="inlineStr">
        <is>
          <t>170000</t>
        </is>
      </c>
      <c r="L587" t="inlineStr">
        <is>
          <t>17.000000000000</t>
        </is>
      </c>
      <c r="M587" t="inlineStr"/>
    </row>
    <row r="588">
      <c r="A588" t="inlineStr">
        <is>
          <t>06/25/2026</t>
        </is>
      </c>
      <c r="B588" t="inlineStr">
        <is>
          <t>CIVG</t>
        </is>
      </c>
      <c r="C588" s="1" t="inlineStr">
        <is>
          <t>05946KAX9</t>
        </is>
      </c>
      <c r="D588" s="1" t="inlineStr">
        <is>
          <t>05946KAX9</t>
        </is>
      </c>
      <c r="E588" t="inlineStr">
        <is>
          <t>Banco Bilbao Vizcaya Argentaria SA 4.968% 05/08/2031</t>
        </is>
      </c>
      <c r="F588" t="inlineStr">
        <is>
          <t>19000.00000000</t>
        </is>
      </c>
      <c r="G588" t="inlineStr">
        <is>
          <t>99.900806</t>
        </is>
      </c>
      <c r="H588" t="inlineStr">
        <is>
          <t>18981.15</t>
        </is>
      </c>
      <c r="I588" t="inlineStr">
        <is>
          <t>0.45%</t>
        </is>
      </c>
      <c r="J588" t="inlineStr">
        <is>
          <t>4258415.00</t>
        </is>
      </c>
      <c r="K588" t="inlineStr">
        <is>
          <t>170000</t>
        </is>
      </c>
      <c r="L588" t="inlineStr">
        <is>
          <t>17.000000000000</t>
        </is>
      </c>
      <c r="M588" t="inlineStr"/>
    </row>
    <row r="589">
      <c r="A589" t="inlineStr">
        <is>
          <t>06/25/2026</t>
        </is>
      </c>
      <c r="B589" t="inlineStr">
        <is>
          <t>CIVG</t>
        </is>
      </c>
      <c r="C589" s="1" t="inlineStr">
        <is>
          <t>06051GHD4</t>
        </is>
      </c>
      <c r="D589" s="1" t="inlineStr">
        <is>
          <t>06051GHD4</t>
        </is>
      </c>
      <c r="E589" t="inlineStr">
        <is>
          <t>Bank of America Corp 3.419% 12/20/2028</t>
        </is>
      </c>
      <c r="F589" t="inlineStr">
        <is>
          <t>75000.00000000</t>
        </is>
      </c>
      <c r="G589" t="inlineStr">
        <is>
          <t>98.383237</t>
        </is>
      </c>
      <c r="H589" t="inlineStr">
        <is>
          <t>73787.43</t>
        </is>
      </c>
      <c r="I589" t="inlineStr">
        <is>
          <t>1.73%</t>
        </is>
      </c>
      <c r="J589" t="inlineStr">
        <is>
          <t>4258415.00</t>
        </is>
      </c>
      <c r="K589" t="inlineStr">
        <is>
          <t>170000</t>
        </is>
      </c>
      <c r="L589" t="inlineStr">
        <is>
          <t>17.000000000000</t>
        </is>
      </c>
      <c r="M589" t="inlineStr"/>
    </row>
    <row r="590">
      <c r="A590" t="inlineStr">
        <is>
          <t>06/25/2026</t>
        </is>
      </c>
      <c r="B590" t="inlineStr">
        <is>
          <t>CIVG</t>
        </is>
      </c>
      <c r="C590" s="1" t="inlineStr">
        <is>
          <t>06051GJT7</t>
        </is>
      </c>
      <c r="D590" s="1" t="inlineStr">
        <is>
          <t>06051GJT7</t>
        </is>
      </c>
      <c r="E590" t="inlineStr">
        <is>
          <t>Bank of America Corp 2.687% 04/22/2032</t>
        </is>
      </c>
      <c r="F590" t="inlineStr">
        <is>
          <t>21000.00000000</t>
        </is>
      </c>
      <c r="G590" t="inlineStr">
        <is>
          <t>90.746179</t>
        </is>
      </c>
      <c r="H590" t="inlineStr">
        <is>
          <t>19056.70</t>
        </is>
      </c>
      <c r="I590" t="inlineStr">
        <is>
          <t>0.45%</t>
        </is>
      </c>
      <c r="J590" t="inlineStr">
        <is>
          <t>4258415.00</t>
        </is>
      </c>
      <c r="K590" t="inlineStr">
        <is>
          <t>170000</t>
        </is>
      </c>
      <c r="L590" t="inlineStr">
        <is>
          <t>17.000000000000</t>
        </is>
      </c>
      <c r="M590" t="inlineStr"/>
    </row>
    <row r="591">
      <c r="A591" t="inlineStr">
        <is>
          <t>06/25/2026</t>
        </is>
      </c>
      <c r="B591" t="inlineStr">
        <is>
          <t>CIVG</t>
        </is>
      </c>
      <c r="C591" s="1" t="inlineStr">
        <is>
          <t>06368LGV2</t>
        </is>
      </c>
      <c r="D591" s="1" t="inlineStr">
        <is>
          <t>06368LGV2</t>
        </is>
      </c>
      <c r="E591" t="inlineStr">
        <is>
          <t>Bank of Montreal 5.203% 02/01/2028</t>
        </is>
      </c>
      <c r="F591" t="inlineStr">
        <is>
          <t>20000.00000000</t>
        </is>
      </c>
      <c r="G591" t="inlineStr">
        <is>
          <t>101.111831</t>
        </is>
      </c>
      <c r="H591" t="inlineStr">
        <is>
          <t>20222.37</t>
        </is>
      </c>
      <c r="I591" t="inlineStr">
        <is>
          <t>0.47%</t>
        </is>
      </c>
      <c r="J591" t="inlineStr">
        <is>
          <t>4258415.00</t>
        </is>
      </c>
      <c r="K591" t="inlineStr">
        <is>
          <t>170000</t>
        </is>
      </c>
      <c r="L591" t="inlineStr">
        <is>
          <t>17.000000000000</t>
        </is>
      </c>
      <c r="M591" t="inlineStr"/>
    </row>
    <row r="592">
      <c r="A592" t="inlineStr">
        <is>
          <t>06/25/2026</t>
        </is>
      </c>
      <c r="B592" t="inlineStr">
        <is>
          <t>CIVG</t>
        </is>
      </c>
      <c r="C592" s="1" t="inlineStr">
        <is>
          <t>06406RCB1</t>
        </is>
      </c>
      <c r="D592" s="1" t="inlineStr">
        <is>
          <t>06406RCB1</t>
        </is>
      </c>
      <c r="E592" t="inlineStr">
        <is>
          <t>Bank of New York Mellon Corp/The 4.942% 02/11/2031</t>
        </is>
      </c>
      <c r="F592" t="inlineStr">
        <is>
          <t>20000.00000000</t>
        </is>
      </c>
      <c r="G592" t="inlineStr">
        <is>
          <t>100.977536</t>
        </is>
      </c>
      <c r="H592" t="inlineStr">
        <is>
          <t>20195.51</t>
        </is>
      </c>
      <c r="I592" t="inlineStr">
        <is>
          <t>0.47%</t>
        </is>
      </c>
      <c r="J592" t="inlineStr">
        <is>
          <t>4258415.00</t>
        </is>
      </c>
      <c r="K592" t="inlineStr">
        <is>
          <t>170000</t>
        </is>
      </c>
      <c r="L592" t="inlineStr">
        <is>
          <t>17.000000000000</t>
        </is>
      </c>
      <c r="M592" t="inlineStr"/>
    </row>
    <row r="593">
      <c r="A593" t="inlineStr">
        <is>
          <t>06/25/2026</t>
        </is>
      </c>
      <c r="B593" t="inlineStr">
        <is>
          <t>CIVG</t>
        </is>
      </c>
      <c r="C593" s="1" t="inlineStr">
        <is>
          <t>06418GAQ0</t>
        </is>
      </c>
      <c r="D593" s="1" t="inlineStr">
        <is>
          <t>06418GAQ0</t>
        </is>
      </c>
      <c r="E593" t="inlineStr">
        <is>
          <t>Bank of Nova Scotia/The 5.13% 02/14/2031</t>
        </is>
      </c>
      <c r="F593" t="inlineStr">
        <is>
          <t>36000.00000000</t>
        </is>
      </c>
      <c r="G593" t="inlineStr">
        <is>
          <t>101.190393</t>
        </is>
      </c>
      <c r="H593" t="inlineStr">
        <is>
          <t>36428.54</t>
        </is>
      </c>
      <c r="I593" t="inlineStr">
        <is>
          <t>0.86%</t>
        </is>
      </c>
      <c r="J593" t="inlineStr">
        <is>
          <t>4258415.00</t>
        </is>
      </c>
      <c r="K593" t="inlineStr">
        <is>
          <t>170000</t>
        </is>
      </c>
      <c r="L593" t="inlineStr">
        <is>
          <t>17.000000000000</t>
        </is>
      </c>
      <c r="M593" t="inlineStr"/>
    </row>
    <row r="594">
      <c r="A594" t="inlineStr">
        <is>
          <t>06/25/2026</t>
        </is>
      </c>
      <c r="B594" t="inlineStr">
        <is>
          <t>CIVG</t>
        </is>
      </c>
      <c r="C594" s="1" t="inlineStr">
        <is>
          <t>06738ECY9</t>
        </is>
      </c>
      <c r="D594" s="1" t="inlineStr">
        <is>
          <t>06738ECY9</t>
        </is>
      </c>
      <c r="E594" t="inlineStr">
        <is>
          <t>Barclays PLC 5.367% 02/25/2031</t>
        </is>
      </c>
      <c r="F594" t="inlineStr">
        <is>
          <t>15000.00000000</t>
        </is>
      </c>
      <c r="G594" t="inlineStr">
        <is>
          <t>101.578884</t>
        </is>
      </c>
      <c r="H594" t="inlineStr">
        <is>
          <t>15236.83</t>
        </is>
      </c>
      <c r="I594" t="inlineStr">
        <is>
          <t>0.36%</t>
        </is>
      </c>
      <c r="J594" t="inlineStr">
        <is>
          <t>4258415.00</t>
        </is>
      </c>
      <c r="K594" t="inlineStr">
        <is>
          <t>170000</t>
        </is>
      </c>
      <c r="L594" t="inlineStr">
        <is>
          <t>17.000000000000</t>
        </is>
      </c>
      <c r="M594" t="inlineStr"/>
    </row>
    <row r="595">
      <c r="A595" t="inlineStr">
        <is>
          <t>06/25/2026</t>
        </is>
      </c>
      <c r="B595" t="inlineStr">
        <is>
          <t>CIVG</t>
        </is>
      </c>
      <c r="C595" s="1" t="inlineStr">
        <is>
          <t>09247XAQ4</t>
        </is>
      </c>
      <c r="D595" s="1" t="inlineStr">
        <is>
          <t>09247XAQ4</t>
        </is>
      </c>
      <c r="E595" t="inlineStr">
        <is>
          <t>Blackrock Inc 2.4% 04/30/2030</t>
        </is>
      </c>
      <c r="F595" t="inlineStr">
        <is>
          <t>22000.00000000</t>
        </is>
      </c>
      <c r="G595" t="inlineStr">
        <is>
          <t>92.690470</t>
        </is>
      </c>
      <c r="H595" t="inlineStr">
        <is>
          <t>20391.90</t>
        </is>
      </c>
      <c r="I595" t="inlineStr">
        <is>
          <t>0.48%</t>
        </is>
      </c>
      <c r="J595" t="inlineStr">
        <is>
          <t>4258415.00</t>
        </is>
      </c>
      <c r="K595" t="inlineStr">
        <is>
          <t>170000</t>
        </is>
      </c>
      <c r="L595" t="inlineStr">
        <is>
          <t>17.000000000000</t>
        </is>
      </c>
      <c r="M595" t="inlineStr"/>
    </row>
    <row r="596">
      <c r="A596" t="inlineStr">
        <is>
          <t>06/25/2026</t>
        </is>
      </c>
      <c r="B596" t="inlineStr">
        <is>
          <t>CIVG</t>
        </is>
      </c>
      <c r="C596" s="1" t="inlineStr">
        <is>
          <t>09261HCC9</t>
        </is>
      </c>
      <c r="D596" s="1" t="inlineStr">
        <is>
          <t>09261HCC9</t>
        </is>
      </c>
      <c r="E596" t="inlineStr">
        <is>
          <t>Blackstone Private Credit Fund 5.95% 05/15/2031</t>
        </is>
      </c>
      <c r="F596" t="inlineStr">
        <is>
          <t>21000.00000000</t>
        </is>
      </c>
      <c r="G596" t="inlineStr">
        <is>
          <t>98.623362</t>
        </is>
      </c>
      <c r="H596" t="inlineStr">
        <is>
          <t>20710.91</t>
        </is>
      </c>
      <c r="I596" t="inlineStr">
        <is>
          <t>0.49%</t>
        </is>
      </c>
      <c r="J596" t="inlineStr">
        <is>
          <t>4258415.00</t>
        </is>
      </c>
      <c r="K596" t="inlineStr">
        <is>
          <t>170000</t>
        </is>
      </c>
      <c r="L596" t="inlineStr">
        <is>
          <t>17.000000000000</t>
        </is>
      </c>
      <c r="M596" t="inlineStr"/>
    </row>
    <row r="597">
      <c r="A597" t="inlineStr">
        <is>
          <t>06/25/2026</t>
        </is>
      </c>
      <c r="B597" t="inlineStr">
        <is>
          <t>CIVG</t>
        </is>
      </c>
      <c r="C597" s="1" t="inlineStr">
        <is>
          <t>09261XAJ1</t>
        </is>
      </c>
      <c r="D597" s="1" t="inlineStr">
        <is>
          <t>09261XAJ1</t>
        </is>
      </c>
      <c r="E597" t="inlineStr">
        <is>
          <t>Blackstone Secured Lending Fund 5.35% 04/13/2028</t>
        </is>
      </c>
      <c r="F597" t="inlineStr">
        <is>
          <t>20000.00000000</t>
        </is>
      </c>
      <c r="G597" t="inlineStr">
        <is>
          <t>99.640722</t>
        </is>
      </c>
      <c r="H597" t="inlineStr">
        <is>
          <t>19928.14</t>
        </is>
      </c>
      <c r="I597" t="inlineStr">
        <is>
          <t>0.47%</t>
        </is>
      </c>
      <c r="J597" t="inlineStr">
        <is>
          <t>4258415.00</t>
        </is>
      </c>
      <c r="K597" t="inlineStr">
        <is>
          <t>170000</t>
        </is>
      </c>
      <c r="L597" t="inlineStr">
        <is>
          <t>17.000000000000</t>
        </is>
      </c>
      <c r="M597" t="inlineStr"/>
    </row>
    <row r="598">
      <c r="A598" t="inlineStr">
        <is>
          <t>06/25/2026</t>
        </is>
      </c>
      <c r="B598" t="inlineStr">
        <is>
          <t>CIVG</t>
        </is>
      </c>
      <c r="C598" s="1" t="inlineStr">
        <is>
          <t>097023CY9</t>
        </is>
      </c>
      <c r="D598" s="1" t="inlineStr">
        <is>
          <t>097023CY9</t>
        </is>
      </c>
      <c r="E598" t="inlineStr">
        <is>
          <t>Boeing Co/The 5.15% 05/01/2030</t>
        </is>
      </c>
      <c r="F598" t="inlineStr">
        <is>
          <t>18000.00000000</t>
        </is>
      </c>
      <c r="G598" t="inlineStr">
        <is>
          <t>101.349453</t>
        </is>
      </c>
      <c r="H598" t="inlineStr">
        <is>
          <t>18242.90</t>
        </is>
      </c>
      <c r="I598" t="inlineStr">
        <is>
          <t>0.43%</t>
        </is>
      </c>
      <c r="J598" t="inlineStr">
        <is>
          <t>4258415.00</t>
        </is>
      </c>
      <c r="K598" t="inlineStr">
        <is>
          <t>170000</t>
        </is>
      </c>
      <c r="L598" t="inlineStr">
        <is>
          <t>17.000000000000</t>
        </is>
      </c>
      <c r="M598" t="inlineStr"/>
    </row>
    <row r="599">
      <c r="A599" t="inlineStr">
        <is>
          <t>06/25/2026</t>
        </is>
      </c>
      <c r="B599" t="inlineStr">
        <is>
          <t>CIVG</t>
        </is>
      </c>
      <c r="C599" s="1" t="inlineStr">
        <is>
          <t>10112RBD5</t>
        </is>
      </c>
      <c r="D599" s="1" t="inlineStr">
        <is>
          <t>10112RBD5</t>
        </is>
      </c>
      <c r="E599" t="inlineStr">
        <is>
          <t>Boston Properties LP 3.25% 01/30/2031</t>
        </is>
      </c>
      <c r="F599" t="inlineStr">
        <is>
          <t>14000.00000000</t>
        </is>
      </c>
      <c r="G599" t="inlineStr">
        <is>
          <t>92.822598</t>
        </is>
      </c>
      <c r="H599" t="inlineStr">
        <is>
          <t>12995.16</t>
        </is>
      </c>
      <c r="I599" t="inlineStr">
        <is>
          <t>0.31%</t>
        </is>
      </c>
      <c r="J599" t="inlineStr">
        <is>
          <t>4258415.00</t>
        </is>
      </c>
      <c r="K599" t="inlineStr">
        <is>
          <t>170000</t>
        </is>
      </c>
      <c r="L599" t="inlineStr">
        <is>
          <t>17.000000000000</t>
        </is>
      </c>
      <c r="M599" t="inlineStr"/>
    </row>
    <row r="600">
      <c r="A600" t="inlineStr">
        <is>
          <t>06/25/2026</t>
        </is>
      </c>
      <c r="B600" t="inlineStr">
        <is>
          <t>CIVG</t>
        </is>
      </c>
      <c r="C600" s="1" t="inlineStr">
        <is>
          <t>10373QAE0</t>
        </is>
      </c>
      <c r="D600" s="1" t="inlineStr">
        <is>
          <t>10373QAE0</t>
        </is>
      </c>
      <c r="E600" t="inlineStr">
        <is>
          <t>BP Capital Markets America Inc 4.234% 11/06/2028</t>
        </is>
      </c>
      <c r="F600" t="inlineStr">
        <is>
          <t>15000.00000000</t>
        </is>
      </c>
      <c r="G600" t="inlineStr">
        <is>
          <t>99.387371</t>
        </is>
      </c>
      <c r="H600" t="inlineStr">
        <is>
          <t>14908.11</t>
        </is>
      </c>
      <c r="I600" t="inlineStr">
        <is>
          <t>0.35%</t>
        </is>
      </c>
      <c r="J600" t="inlineStr">
        <is>
          <t>4258415.00</t>
        </is>
      </c>
      <c r="K600" t="inlineStr">
        <is>
          <t>170000</t>
        </is>
      </c>
      <c r="L600" t="inlineStr">
        <is>
          <t>17.000000000000</t>
        </is>
      </c>
      <c r="M600" t="inlineStr"/>
    </row>
    <row r="601">
      <c r="A601" t="inlineStr">
        <is>
          <t>06/25/2026</t>
        </is>
      </c>
      <c r="B601" t="inlineStr">
        <is>
          <t>CIVG</t>
        </is>
      </c>
      <c r="C601" s="1" t="inlineStr">
        <is>
          <t>111021AE1</t>
        </is>
      </c>
      <c r="D601" s="1" t="inlineStr">
        <is>
          <t>111021AE1</t>
        </is>
      </c>
      <c r="E601" t="inlineStr">
        <is>
          <t>British Telecommunications PLC 9.625% 12/15/2030</t>
        </is>
      </c>
      <c r="F601" t="inlineStr">
        <is>
          <t>17000.00000000</t>
        </is>
      </c>
      <c r="G601" t="inlineStr">
        <is>
          <t>118.478998</t>
        </is>
      </c>
      <c r="H601" t="inlineStr">
        <is>
          <t>20141.43</t>
        </is>
      </c>
      <c r="I601" t="inlineStr">
        <is>
          <t>0.47%</t>
        </is>
      </c>
      <c r="J601" t="inlineStr">
        <is>
          <t>4258415.00</t>
        </is>
      </c>
      <c r="K601" t="inlineStr">
        <is>
          <t>170000</t>
        </is>
      </c>
      <c r="L601" t="inlineStr">
        <is>
          <t>17.000000000000</t>
        </is>
      </c>
      <c r="M601" t="inlineStr"/>
    </row>
    <row r="602">
      <c r="A602" t="inlineStr">
        <is>
          <t>06/25/2026</t>
        </is>
      </c>
      <c r="B602" t="inlineStr">
        <is>
          <t>CIVG</t>
        </is>
      </c>
      <c r="C602" s="1" t="inlineStr">
        <is>
          <t>11120VAH6</t>
        </is>
      </c>
      <c r="D602" s="1" t="inlineStr">
        <is>
          <t>11120VAH6</t>
        </is>
      </c>
      <c r="E602" t="inlineStr">
        <is>
          <t>Brixmor Operating Partnership LP 4.125% 05/15/2029</t>
        </is>
      </c>
      <c r="F602" t="inlineStr">
        <is>
          <t>21000.00000000</t>
        </is>
      </c>
      <c r="G602" t="inlineStr">
        <is>
          <t>98.586127</t>
        </is>
      </c>
      <c r="H602" t="inlineStr">
        <is>
          <t>20703.09</t>
        </is>
      </c>
      <c r="I602" t="inlineStr">
        <is>
          <t>0.49%</t>
        </is>
      </c>
      <c r="J602" t="inlineStr">
        <is>
          <t>4258415.00</t>
        </is>
      </c>
      <c r="K602" t="inlineStr">
        <is>
          <t>170000</t>
        </is>
      </c>
      <c r="L602" t="inlineStr">
        <is>
          <t>17.000000000000</t>
        </is>
      </c>
      <c r="M602" t="inlineStr"/>
    </row>
    <row r="603">
      <c r="A603" t="inlineStr">
        <is>
          <t>06/25/2026</t>
        </is>
      </c>
      <c r="B603" t="inlineStr">
        <is>
          <t>CIVG</t>
        </is>
      </c>
      <c r="C603" s="1" t="inlineStr">
        <is>
          <t>11135FCB5</t>
        </is>
      </c>
      <c r="D603" s="1" t="inlineStr">
        <is>
          <t>11135FCB5</t>
        </is>
      </c>
      <c r="E603" t="inlineStr">
        <is>
          <t>Broadcom Inc 4.35% 02/15/2030</t>
        </is>
      </c>
      <c r="F603" t="inlineStr">
        <is>
          <t>15000.00000000</t>
        </is>
      </c>
      <c r="G603" t="inlineStr">
        <is>
          <t>99.099654</t>
        </is>
      </c>
      <c r="H603" t="inlineStr">
        <is>
          <t>14864.95</t>
        </is>
      </c>
      <c r="I603" t="inlineStr">
        <is>
          <t>0.35%</t>
        </is>
      </c>
      <c r="J603" t="inlineStr">
        <is>
          <t>4258415.00</t>
        </is>
      </c>
      <c r="K603" t="inlineStr">
        <is>
          <t>170000</t>
        </is>
      </c>
      <c r="L603" t="inlineStr">
        <is>
          <t>17.000000000000</t>
        </is>
      </c>
      <c r="M603" t="inlineStr"/>
    </row>
    <row r="604">
      <c r="A604" t="inlineStr">
        <is>
          <t>06/25/2026</t>
        </is>
      </c>
      <c r="B604" t="inlineStr">
        <is>
          <t>CIVG</t>
        </is>
      </c>
      <c r="C604" s="1" t="inlineStr">
        <is>
          <t>12541WAA8</t>
        </is>
      </c>
      <c r="D604" s="1" t="inlineStr">
        <is>
          <t>12541WAA8</t>
        </is>
      </c>
      <c r="E604" t="inlineStr">
        <is>
          <t>CH Robinson Worldwide Inc 4.2% 04/15/2028</t>
        </is>
      </c>
      <c r="F604" t="inlineStr">
        <is>
          <t>21000.00000000</t>
        </is>
      </c>
      <c r="G604" t="inlineStr">
        <is>
          <t>99.258602</t>
        </is>
      </c>
      <c r="H604" t="inlineStr">
        <is>
          <t>20844.31</t>
        </is>
      </c>
      <c r="I604" t="inlineStr">
        <is>
          <t>0.49%</t>
        </is>
      </c>
      <c r="J604" t="inlineStr">
        <is>
          <t>4258415.00</t>
        </is>
      </c>
      <c r="K604" t="inlineStr">
        <is>
          <t>170000</t>
        </is>
      </c>
      <c r="L604" t="inlineStr">
        <is>
          <t>17.000000000000</t>
        </is>
      </c>
      <c r="M604" t="inlineStr"/>
    </row>
    <row r="605">
      <c r="A605" t="inlineStr">
        <is>
          <t>06/25/2026</t>
        </is>
      </c>
      <c r="B605" t="inlineStr">
        <is>
          <t>CIVG</t>
        </is>
      </c>
      <c r="C605" s="1" t="inlineStr">
        <is>
          <t>125523AH3</t>
        </is>
      </c>
      <c r="D605" s="1" t="inlineStr">
        <is>
          <t>125523AH3</t>
        </is>
      </c>
      <c r="E605" t="inlineStr">
        <is>
          <t>Cigna Group/The 4.375% 10/15/2028</t>
        </is>
      </c>
      <c r="F605" t="inlineStr">
        <is>
          <t>20000.00000000</t>
        </is>
      </c>
      <c r="G605" t="inlineStr">
        <is>
          <t>99.594686</t>
        </is>
      </c>
      <c r="H605" t="inlineStr">
        <is>
          <t>19918.94</t>
        </is>
      </c>
      <c r="I605" t="inlineStr">
        <is>
          <t>0.47%</t>
        </is>
      </c>
      <c r="J605" t="inlineStr">
        <is>
          <t>4258415.00</t>
        </is>
      </c>
      <c r="K605" t="inlineStr">
        <is>
          <t>170000</t>
        </is>
      </c>
      <c r="L605" t="inlineStr">
        <is>
          <t>17.000000000000</t>
        </is>
      </c>
      <c r="M605" t="inlineStr"/>
    </row>
    <row r="606">
      <c r="A606" t="inlineStr">
        <is>
          <t>06/25/2026</t>
        </is>
      </c>
      <c r="B606" t="inlineStr">
        <is>
          <t>CIVG</t>
        </is>
      </c>
      <c r="C606" s="1" t="inlineStr">
        <is>
          <t>125896BU3</t>
        </is>
      </c>
      <c r="D606" s="1" t="inlineStr">
        <is>
          <t>125896BU3</t>
        </is>
      </c>
      <c r="E606" t="inlineStr">
        <is>
          <t>CMS Energy Corp 4.75% 06/01/2050</t>
        </is>
      </c>
      <c r="F606" t="inlineStr">
        <is>
          <t>20000.00000000</t>
        </is>
      </c>
      <c r="G606" t="inlineStr">
        <is>
          <t>97.682440</t>
        </is>
      </c>
      <c r="H606" t="inlineStr">
        <is>
          <t>19536.49</t>
        </is>
      </c>
      <c r="I606" t="inlineStr">
        <is>
          <t>0.46%</t>
        </is>
      </c>
      <c r="J606" t="inlineStr">
        <is>
          <t>4258415.00</t>
        </is>
      </c>
      <c r="K606" t="inlineStr">
        <is>
          <t>170000</t>
        </is>
      </c>
      <c r="L606" t="inlineStr">
        <is>
          <t>17.000000000000</t>
        </is>
      </c>
      <c r="M606" t="inlineStr"/>
    </row>
    <row r="607">
      <c r="A607" t="inlineStr">
        <is>
          <t>06/25/2026</t>
        </is>
      </c>
      <c r="B607" t="inlineStr">
        <is>
          <t>CIVG</t>
        </is>
      </c>
      <c r="C607" s="1" t="inlineStr">
        <is>
          <t>126650CX6</t>
        </is>
      </c>
      <c r="D607" s="1" t="inlineStr">
        <is>
          <t>126650CX6</t>
        </is>
      </c>
      <c r="E607" t="inlineStr">
        <is>
          <t>CVS Health Corp 4.3% 03/25/2028</t>
        </is>
      </c>
      <c r="F607" t="inlineStr">
        <is>
          <t>13000.00000000</t>
        </is>
      </c>
      <c r="G607" t="inlineStr">
        <is>
          <t>99.502336</t>
        </is>
      </c>
      <c r="H607" t="inlineStr">
        <is>
          <t>12935.30</t>
        </is>
      </c>
      <c r="I607" t="inlineStr">
        <is>
          <t>0.30%</t>
        </is>
      </c>
      <c r="J607" t="inlineStr">
        <is>
          <t>4258415.00</t>
        </is>
      </c>
      <c r="K607" t="inlineStr">
        <is>
          <t>170000</t>
        </is>
      </c>
      <c r="L607" t="inlineStr">
        <is>
          <t>17.000000000000</t>
        </is>
      </c>
      <c r="M607" t="inlineStr"/>
    </row>
    <row r="608">
      <c r="A608" t="inlineStr">
        <is>
          <t>06/25/2026</t>
        </is>
      </c>
      <c r="B608" t="inlineStr">
        <is>
          <t>CIVG</t>
        </is>
      </c>
      <c r="C608" s="1" t="inlineStr">
        <is>
          <t>13607LNG4</t>
        </is>
      </c>
      <c r="D608" s="1" t="inlineStr">
        <is>
          <t>13607LNG4</t>
        </is>
      </c>
      <c r="E608" t="inlineStr">
        <is>
          <t>Canadian Imperial Bank of Commerce 5.001% 04/28/2028</t>
        </is>
      </c>
      <c r="F608" t="inlineStr">
        <is>
          <t>20000.00000000</t>
        </is>
      </c>
      <c r="G608" t="inlineStr">
        <is>
          <t>100.931544</t>
        </is>
      </c>
      <c r="H608" t="inlineStr">
        <is>
          <t>20186.31</t>
        </is>
      </c>
      <c r="I608" t="inlineStr">
        <is>
          <t>0.47%</t>
        </is>
      </c>
      <c r="J608" t="inlineStr">
        <is>
          <t>4258415.00</t>
        </is>
      </c>
      <c r="K608" t="inlineStr">
        <is>
          <t>170000</t>
        </is>
      </c>
      <c r="L608" t="inlineStr">
        <is>
          <t>17.000000000000</t>
        </is>
      </c>
      <c r="M608" t="inlineStr"/>
    </row>
    <row r="609">
      <c r="A609" t="inlineStr">
        <is>
          <t>06/25/2026</t>
        </is>
      </c>
      <c r="B609" t="inlineStr">
        <is>
          <t>CIVG</t>
        </is>
      </c>
      <c r="C609" s="1" t="inlineStr">
        <is>
          <t>13607QWB4</t>
        </is>
      </c>
      <c r="D609" s="1" t="inlineStr">
        <is>
          <t>13607QWB4</t>
        </is>
      </c>
      <c r="E609" t="inlineStr">
        <is>
          <t>Canadian Imperial Bank of Commerce 4.283% 01/29/2030</t>
        </is>
      </c>
      <c r="F609" t="inlineStr">
        <is>
          <t>14000.00000000</t>
        </is>
      </c>
      <c r="G609" t="inlineStr">
        <is>
          <t>98.903874</t>
        </is>
      </c>
      <c r="H609" t="inlineStr">
        <is>
          <t>13846.54</t>
        </is>
      </c>
      <c r="I609" t="inlineStr">
        <is>
          <t>0.33%</t>
        </is>
      </c>
      <c r="J609" t="inlineStr">
        <is>
          <t>4258415.00</t>
        </is>
      </c>
      <c r="K609" t="inlineStr">
        <is>
          <t>170000</t>
        </is>
      </c>
      <c r="L609" t="inlineStr">
        <is>
          <t>17.000000000000</t>
        </is>
      </c>
      <c r="M609" t="inlineStr"/>
    </row>
    <row r="610">
      <c r="A610" t="inlineStr">
        <is>
          <t>06/25/2026</t>
        </is>
      </c>
      <c r="B610" t="inlineStr">
        <is>
          <t>CIVG</t>
        </is>
      </c>
      <c r="C610" s="1" t="inlineStr">
        <is>
          <t>14040HCN3</t>
        </is>
      </c>
      <c r="D610" s="1" t="inlineStr">
        <is>
          <t>14040HCN3</t>
        </is>
      </c>
      <c r="E610" t="inlineStr">
        <is>
          <t>Capital One Financial Corp 3.273% 03/01/2030</t>
        </is>
      </c>
      <c r="F610" t="inlineStr">
        <is>
          <t>14000.00000000</t>
        </is>
      </c>
      <c r="G610" t="inlineStr">
        <is>
          <t>96.282367</t>
        </is>
      </c>
      <c r="H610" t="inlineStr">
        <is>
          <t>13479.53</t>
        </is>
      </c>
      <c r="I610" t="inlineStr">
        <is>
          <t>0.32%</t>
        </is>
      </c>
      <c r="J610" t="inlineStr">
        <is>
          <t>4258415.00</t>
        </is>
      </c>
      <c r="K610" t="inlineStr">
        <is>
          <t>170000</t>
        </is>
      </c>
      <c r="L610" t="inlineStr">
        <is>
          <t>17.000000000000</t>
        </is>
      </c>
      <c r="M610" t="inlineStr"/>
    </row>
    <row r="611">
      <c r="A611" t="inlineStr">
        <is>
          <t>06/25/2026</t>
        </is>
      </c>
      <c r="B611" t="inlineStr">
        <is>
          <t>CIVG</t>
        </is>
      </c>
      <c r="C611" s="1" t="inlineStr">
        <is>
          <t>14040HCZ6</t>
        </is>
      </c>
      <c r="D611" s="1" t="inlineStr">
        <is>
          <t>14040HCZ6</t>
        </is>
      </c>
      <c r="E611" t="inlineStr">
        <is>
          <t>Capital One Financial Corp 6.312% 06/08/2029</t>
        </is>
      </c>
      <c r="F611" t="inlineStr">
        <is>
          <t>19000.00000000</t>
        </is>
      </c>
      <c r="G611" t="inlineStr">
        <is>
          <t>102.856736</t>
        </is>
      </c>
      <c r="H611" t="inlineStr">
        <is>
          <t>19542.78</t>
        </is>
      </c>
      <c r="I611" t="inlineStr">
        <is>
          <t>0.46%</t>
        </is>
      </c>
      <c r="J611" t="inlineStr">
        <is>
          <t>4258415.00</t>
        </is>
      </c>
      <c r="K611" t="inlineStr">
        <is>
          <t>170000</t>
        </is>
      </c>
      <c r="L611" t="inlineStr">
        <is>
          <t>17.000000000000</t>
        </is>
      </c>
      <c r="M611" t="inlineStr"/>
    </row>
    <row r="612">
      <c r="A612" t="inlineStr">
        <is>
          <t>06/25/2026</t>
        </is>
      </c>
      <c r="B612" t="inlineStr">
        <is>
          <t>CIVG</t>
        </is>
      </c>
      <c r="C612" s="1" t="inlineStr">
        <is>
          <t>14149YBN7</t>
        </is>
      </c>
      <c r="D612" s="1" t="inlineStr">
        <is>
          <t>14149YBN7</t>
        </is>
      </c>
      <c r="E612" t="inlineStr">
        <is>
          <t>Cardinal Health Inc 5.125% 02/15/2029</t>
        </is>
      </c>
      <c r="F612" t="inlineStr">
        <is>
          <t>20000.00000000</t>
        </is>
      </c>
      <c r="G612" t="inlineStr">
        <is>
          <t>101.206956</t>
        </is>
      </c>
      <c r="H612" t="inlineStr">
        <is>
          <t>20241.39</t>
        </is>
      </c>
      <c r="I612" t="inlineStr">
        <is>
          <t>0.48%</t>
        </is>
      </c>
      <c r="J612" t="inlineStr">
        <is>
          <t>4258415.00</t>
        </is>
      </c>
      <c r="K612" t="inlineStr">
        <is>
          <t>170000</t>
        </is>
      </c>
      <c r="L612" t="inlineStr">
        <is>
          <t>17.000000000000</t>
        </is>
      </c>
      <c r="M612" t="inlineStr"/>
    </row>
    <row r="613">
      <c r="A613" t="inlineStr">
        <is>
          <t>06/25/2026</t>
        </is>
      </c>
      <c r="B613" t="inlineStr">
        <is>
          <t>CIVG</t>
        </is>
      </c>
      <c r="C613" s="1" t="inlineStr">
        <is>
          <t>14913V2D9</t>
        </is>
      </c>
      <c r="D613" s="1" t="inlineStr">
        <is>
          <t>14913V2D9</t>
        </is>
      </c>
      <c r="E613" t="inlineStr">
        <is>
          <t>Caterpillar Financial Services Corp 4.5% 05/15/2031</t>
        </is>
      </c>
      <c r="F613" t="inlineStr">
        <is>
          <t>21000.00000000</t>
        </is>
      </c>
      <c r="G613" t="inlineStr">
        <is>
          <t>99.542890</t>
        </is>
      </c>
      <c r="H613" t="inlineStr">
        <is>
          <t>20904.01</t>
        </is>
      </c>
      <c r="I613" t="inlineStr">
        <is>
          <t>0.49%</t>
        </is>
      </c>
      <c r="J613" t="inlineStr">
        <is>
          <t>4258415.00</t>
        </is>
      </c>
      <c r="K613" t="inlineStr">
        <is>
          <t>170000</t>
        </is>
      </c>
      <c r="L613" t="inlineStr">
        <is>
          <t>17.000000000000</t>
        </is>
      </c>
      <c r="M613" t="inlineStr"/>
    </row>
    <row r="614">
      <c r="A614" t="inlineStr">
        <is>
          <t>06/25/2026</t>
        </is>
      </c>
      <c r="B614" t="inlineStr">
        <is>
          <t>CIVG</t>
        </is>
      </c>
      <c r="C614" s="1" t="inlineStr">
        <is>
          <t>166764BY5</t>
        </is>
      </c>
      <c r="D614" s="1" t="inlineStr">
        <is>
          <t>166764BY5</t>
        </is>
      </c>
      <c r="E614" t="inlineStr">
        <is>
          <t>Chevron Corp 2.236% 05/11/2030</t>
        </is>
      </c>
      <c r="F614" t="inlineStr">
        <is>
          <t>22000.00000000</t>
        </is>
      </c>
      <c r="G614" t="inlineStr">
        <is>
          <t>92.101104</t>
        </is>
      </c>
      <c r="H614" t="inlineStr">
        <is>
          <t>20262.24</t>
        </is>
      </c>
      <c r="I614" t="inlineStr">
        <is>
          <t>0.48%</t>
        </is>
      </c>
      <c r="J614" t="inlineStr">
        <is>
          <t>4258415.00</t>
        </is>
      </c>
      <c r="K614" t="inlineStr">
        <is>
          <t>170000</t>
        </is>
      </c>
      <c r="L614" t="inlineStr">
        <is>
          <t>17.000000000000</t>
        </is>
      </c>
      <c r="M614" t="inlineStr"/>
    </row>
    <row r="615">
      <c r="A615" t="inlineStr">
        <is>
          <t>06/25/2026</t>
        </is>
      </c>
      <c r="B615" t="inlineStr">
        <is>
          <t>CIVG</t>
        </is>
      </c>
      <c r="C615" s="1" t="inlineStr">
        <is>
          <t>17275RBR2</t>
        </is>
      </c>
      <c r="D615" s="1" t="inlineStr">
        <is>
          <t>17275RBR2</t>
        </is>
      </c>
      <c r="E615" t="inlineStr">
        <is>
          <t>Cisco Systems Inc 4.85% 02/26/2029</t>
        </is>
      </c>
      <c r="F615" t="inlineStr">
        <is>
          <t>14000.00000000</t>
        </is>
      </c>
      <c r="G615" t="inlineStr">
        <is>
          <t>101.184506</t>
        </is>
      </c>
      <c r="H615" t="inlineStr">
        <is>
          <t>14165.83</t>
        </is>
      </c>
      <c r="I615" t="inlineStr">
        <is>
          <t>0.33%</t>
        </is>
      </c>
      <c r="J615" t="inlineStr">
        <is>
          <t>4258415.00</t>
        </is>
      </c>
      <c r="K615" t="inlineStr">
        <is>
          <t>170000</t>
        </is>
      </c>
      <c r="L615" t="inlineStr">
        <is>
          <t>17.000000000000</t>
        </is>
      </c>
      <c r="M615" t="inlineStr"/>
    </row>
    <row r="616">
      <c r="A616" t="inlineStr">
        <is>
          <t>06/25/2026</t>
        </is>
      </c>
      <c r="B616" t="inlineStr">
        <is>
          <t>CIVG</t>
        </is>
      </c>
      <c r="C616" s="1" t="inlineStr">
        <is>
          <t>17275RBS0</t>
        </is>
      </c>
      <c r="D616" s="1" t="inlineStr">
        <is>
          <t>17275RBS0</t>
        </is>
      </c>
      <c r="E616" t="inlineStr">
        <is>
          <t>Cisco Systems Inc 4.95% 02/26/2031</t>
        </is>
      </c>
      <c r="F616" t="inlineStr">
        <is>
          <t>20000.00000000</t>
        </is>
      </c>
      <c r="G616" t="inlineStr">
        <is>
          <t>101.810912</t>
        </is>
      </c>
      <c r="H616" t="inlineStr">
        <is>
          <t>20362.18</t>
        </is>
      </c>
      <c r="I616" t="inlineStr">
        <is>
          <t>0.48%</t>
        </is>
      </c>
      <c r="J616" t="inlineStr">
        <is>
          <t>4258415.00</t>
        </is>
      </c>
      <c r="K616" t="inlineStr">
        <is>
          <t>170000</t>
        </is>
      </c>
      <c r="L616" t="inlineStr">
        <is>
          <t>17.000000000000</t>
        </is>
      </c>
      <c r="M616" t="inlineStr"/>
    </row>
    <row r="617">
      <c r="A617" t="inlineStr">
        <is>
          <t>06/25/2026</t>
        </is>
      </c>
      <c r="B617" t="inlineStr">
        <is>
          <t>CIVG</t>
        </is>
      </c>
      <c r="C617" s="1" t="inlineStr">
        <is>
          <t>172967KA8</t>
        </is>
      </c>
      <c r="D617" s="1" t="inlineStr">
        <is>
          <t>172967KA8</t>
        </is>
      </c>
      <c r="E617" t="inlineStr">
        <is>
          <t>Citigroup Inc 4.45% 09/29/2027</t>
        </is>
      </c>
      <c r="F617" t="inlineStr">
        <is>
          <t>16000.00000000</t>
        </is>
      </c>
      <c r="G617" t="inlineStr">
        <is>
          <t>99.919543</t>
        </is>
      </c>
      <c r="H617" t="inlineStr">
        <is>
          <t>15987.13</t>
        </is>
      </c>
      <c r="I617" t="inlineStr">
        <is>
          <t>0.38%</t>
        </is>
      </c>
      <c r="J617" t="inlineStr">
        <is>
          <t>4258415.00</t>
        </is>
      </c>
      <c r="K617" t="inlineStr">
        <is>
          <t>170000</t>
        </is>
      </c>
      <c r="L617" t="inlineStr">
        <is>
          <t>17.000000000000</t>
        </is>
      </c>
      <c r="M617" t="inlineStr"/>
    </row>
    <row r="618">
      <c r="A618" t="inlineStr">
        <is>
          <t>06/25/2026</t>
        </is>
      </c>
      <c r="B618" t="inlineStr">
        <is>
          <t>CIVG</t>
        </is>
      </c>
      <c r="C618" s="1" t="inlineStr">
        <is>
          <t>172967MP3</t>
        </is>
      </c>
      <c r="D618" s="1" t="inlineStr">
        <is>
          <t>172967MP3</t>
        </is>
      </c>
      <c r="E618" t="inlineStr">
        <is>
          <t>Citigroup Inc 4.412% 03/31/2031</t>
        </is>
      </c>
      <c r="F618" t="inlineStr">
        <is>
          <t>27000.00000000</t>
        </is>
      </c>
      <c r="G618" t="inlineStr">
        <is>
          <t>98.772375</t>
        </is>
      </c>
      <c r="H618" t="inlineStr">
        <is>
          <t>26668.54</t>
        </is>
      </c>
      <c r="I618" t="inlineStr">
        <is>
          <t>0.63%</t>
        </is>
      </c>
      <c r="J618" t="inlineStr">
        <is>
          <t>4258415.00</t>
        </is>
      </c>
      <c r="K618" t="inlineStr">
        <is>
          <t>170000</t>
        </is>
      </c>
      <c r="L618" t="inlineStr">
        <is>
          <t>17.000000000000</t>
        </is>
      </c>
      <c r="M618" t="inlineStr"/>
    </row>
    <row r="619">
      <c r="A619" t="inlineStr">
        <is>
          <t>06/25/2026</t>
        </is>
      </c>
      <c r="B619" t="inlineStr">
        <is>
          <t>CIVG</t>
        </is>
      </c>
      <c r="C619" s="1" t="inlineStr">
        <is>
          <t>174610BF1</t>
        </is>
      </c>
      <c r="D619" s="1" t="inlineStr">
        <is>
          <t>174610BF1</t>
        </is>
      </c>
      <c r="E619" t="inlineStr">
        <is>
          <t>Citizens Financial Group Inc 5.841% 01/23/2030</t>
        </is>
      </c>
      <c r="F619" t="inlineStr">
        <is>
          <t>20000.00000000</t>
        </is>
      </c>
      <c r="G619" t="inlineStr">
        <is>
          <t>102.487522</t>
        </is>
      </c>
      <c r="H619" t="inlineStr">
        <is>
          <t>20497.50</t>
        </is>
      </c>
      <c r="I619" t="inlineStr">
        <is>
          <t>0.48%</t>
        </is>
      </c>
      <c r="J619" t="inlineStr">
        <is>
          <t>4258415.00</t>
        </is>
      </c>
      <c r="K619" t="inlineStr">
        <is>
          <t>170000</t>
        </is>
      </c>
      <c r="L619" t="inlineStr">
        <is>
          <t>17.000000000000</t>
        </is>
      </c>
      <c r="M619" t="inlineStr"/>
    </row>
    <row r="620">
      <c r="A620" t="inlineStr">
        <is>
          <t>06/25/2026</t>
        </is>
      </c>
      <c r="B620" t="inlineStr">
        <is>
          <t>CIVG</t>
        </is>
      </c>
      <c r="C620" s="1" t="inlineStr">
        <is>
          <t>200340AT4</t>
        </is>
      </c>
      <c r="D620" s="1" t="inlineStr">
        <is>
          <t>200340AT4</t>
        </is>
      </c>
      <c r="E620" t="inlineStr">
        <is>
          <t>Fifth Third Financial Corp 4% 02/01/2029</t>
        </is>
      </c>
      <c r="F620" t="inlineStr">
        <is>
          <t>21000.00000000</t>
        </is>
      </c>
      <c r="G620" t="inlineStr">
        <is>
          <t>98.149517</t>
        </is>
      </c>
      <c r="H620" t="inlineStr">
        <is>
          <t>20611.40</t>
        </is>
      </c>
      <c r="I620" t="inlineStr">
        <is>
          <t>0.48%</t>
        </is>
      </c>
      <c r="J620" t="inlineStr">
        <is>
          <t>4258415.00</t>
        </is>
      </c>
      <c r="K620" t="inlineStr">
        <is>
          <t>170000</t>
        </is>
      </c>
      <c r="L620" t="inlineStr">
        <is>
          <t>17.000000000000</t>
        </is>
      </c>
      <c r="M620" t="inlineStr"/>
    </row>
    <row r="621">
      <c r="A621" t="inlineStr">
        <is>
          <t>06/25/2026</t>
        </is>
      </c>
      <c r="B621" t="inlineStr">
        <is>
          <t>CIVG</t>
        </is>
      </c>
      <c r="C621" s="1" t="inlineStr">
        <is>
          <t>205887CC4</t>
        </is>
      </c>
      <c r="D621" s="1" t="inlineStr">
        <is>
          <t>205887CC4</t>
        </is>
      </c>
      <c r="E621" t="inlineStr">
        <is>
          <t>Conagra Brands Inc 4.85% 11/01/2028</t>
        </is>
      </c>
      <c r="F621" t="inlineStr">
        <is>
          <t>20000.00000000</t>
        </is>
      </c>
      <c r="G621" t="inlineStr">
        <is>
          <t>100.061069</t>
        </is>
      </c>
      <c r="H621" t="inlineStr">
        <is>
          <t>20012.21</t>
        </is>
      </c>
      <c r="I621" t="inlineStr">
        <is>
          <t>0.47%</t>
        </is>
      </c>
      <c r="J621" t="inlineStr">
        <is>
          <t>4258415.00</t>
        </is>
      </c>
      <c r="K621" t="inlineStr">
        <is>
          <t>170000</t>
        </is>
      </c>
      <c r="L621" t="inlineStr">
        <is>
          <t>17.000000000000</t>
        </is>
      </c>
      <c r="M621" t="inlineStr"/>
    </row>
    <row r="622">
      <c r="A622" t="inlineStr">
        <is>
          <t>06/25/2026</t>
        </is>
      </c>
      <c r="B622" t="inlineStr">
        <is>
          <t>CIVG</t>
        </is>
      </c>
      <c r="C622" s="1" t="inlineStr">
        <is>
          <t>225401AP3</t>
        </is>
      </c>
      <c r="D622" s="1" t="inlineStr">
        <is>
          <t>225401AP3</t>
        </is>
      </c>
      <c r="E622" t="inlineStr">
        <is>
          <t>UBS Group AG 4.194% 04/01/2031</t>
        </is>
      </c>
      <c r="F622" t="inlineStr">
        <is>
          <t>17000.00000000</t>
        </is>
      </c>
      <c r="G622" t="inlineStr">
        <is>
          <t>97.703395</t>
        </is>
      </c>
      <c r="H622" t="inlineStr">
        <is>
          <t>16609.58</t>
        </is>
      </c>
      <c r="I622" t="inlineStr">
        <is>
          <t>0.39%</t>
        </is>
      </c>
      <c r="J622" t="inlineStr">
        <is>
          <t>4258415.00</t>
        </is>
      </c>
      <c r="K622" t="inlineStr">
        <is>
          <t>170000</t>
        </is>
      </c>
      <c r="L622" t="inlineStr">
        <is>
          <t>17.000000000000</t>
        </is>
      </c>
      <c r="M622" t="inlineStr"/>
    </row>
    <row r="623">
      <c r="A623" t="inlineStr">
        <is>
          <t>06/25/2026</t>
        </is>
      </c>
      <c r="B623" t="inlineStr">
        <is>
          <t>CIVG</t>
        </is>
      </c>
      <c r="C623" s="1" t="inlineStr">
        <is>
          <t>22822VAK7</t>
        </is>
      </c>
      <c r="D623" s="1" t="inlineStr">
        <is>
          <t>22822VAK7</t>
        </is>
      </c>
      <c r="E623" t="inlineStr">
        <is>
          <t>Crown Castle Inc 3.8% 02/15/2028</t>
        </is>
      </c>
      <c r="F623" t="inlineStr">
        <is>
          <t>21000.00000000</t>
        </is>
      </c>
      <c r="G623" t="inlineStr">
        <is>
          <t>98.762749</t>
        </is>
      </c>
      <c r="H623" t="inlineStr">
        <is>
          <t>20740.18</t>
        </is>
      </c>
      <c r="I623" t="inlineStr">
        <is>
          <t>0.49%</t>
        </is>
      </c>
      <c r="J623" t="inlineStr">
        <is>
          <t>4258415.00</t>
        </is>
      </c>
      <c r="K623" t="inlineStr">
        <is>
          <t>170000</t>
        </is>
      </c>
      <c r="L623" t="inlineStr">
        <is>
          <t>17.000000000000</t>
        </is>
      </c>
      <c r="M623" t="inlineStr"/>
    </row>
    <row r="624">
      <c r="A624" t="inlineStr">
        <is>
          <t>06/25/2026</t>
        </is>
      </c>
      <c r="B624" t="inlineStr">
        <is>
          <t>CIVG</t>
        </is>
      </c>
      <c r="C624" s="1" t="inlineStr">
        <is>
          <t>233331BK2</t>
        </is>
      </c>
      <c r="D624" s="1" t="inlineStr">
        <is>
          <t>233331BK2</t>
        </is>
      </c>
      <c r="E624" t="inlineStr">
        <is>
          <t>DTE Energy Co 5.1% 03/01/2029</t>
        </is>
      </c>
      <c r="F624" t="inlineStr">
        <is>
          <t>20000.00000000</t>
        </is>
      </c>
      <c r="G624" t="inlineStr">
        <is>
          <t>101.205608</t>
        </is>
      </c>
      <c r="H624" t="inlineStr">
        <is>
          <t>20241.12</t>
        </is>
      </c>
      <c r="I624" t="inlineStr">
        <is>
          <t>0.48%</t>
        </is>
      </c>
      <c r="J624" t="inlineStr">
        <is>
          <t>4258415.00</t>
        </is>
      </c>
      <c r="K624" t="inlineStr">
        <is>
          <t>170000</t>
        </is>
      </c>
      <c r="L624" t="inlineStr">
        <is>
          <t>17.000000000000</t>
        </is>
      </c>
      <c r="M624" t="inlineStr"/>
    </row>
    <row r="625">
      <c r="A625" t="inlineStr">
        <is>
          <t>06/25/2026</t>
        </is>
      </c>
      <c r="B625" t="inlineStr">
        <is>
          <t>CIVG</t>
        </is>
      </c>
      <c r="C625" s="1" t="inlineStr">
        <is>
          <t>24422EWR6</t>
        </is>
      </c>
      <c r="D625" s="1" t="inlineStr">
        <is>
          <t>24422EWR6</t>
        </is>
      </c>
      <c r="E625" t="inlineStr">
        <is>
          <t>John Deere Capital Corp 4.75% 01/20/2028</t>
        </is>
      </c>
      <c r="F625" t="inlineStr">
        <is>
          <t>11000.00000000</t>
        </is>
      </c>
      <c r="G625" t="inlineStr">
        <is>
          <t>100.752243</t>
        </is>
      </c>
      <c r="H625" t="inlineStr">
        <is>
          <t>11082.75</t>
        </is>
      </c>
      <c r="I625" t="inlineStr">
        <is>
          <t>0.26%</t>
        </is>
      </c>
      <c r="J625" t="inlineStr">
        <is>
          <t>4258415.00</t>
        </is>
      </c>
      <c r="K625" t="inlineStr">
        <is>
          <t>170000</t>
        </is>
      </c>
      <c r="L625" t="inlineStr">
        <is>
          <t>17.000000000000</t>
        </is>
      </c>
      <c r="M625" t="inlineStr"/>
    </row>
    <row r="626">
      <c r="A626" t="inlineStr">
        <is>
          <t>06/25/2026</t>
        </is>
      </c>
      <c r="B626" t="inlineStr">
        <is>
          <t>CIVG</t>
        </is>
      </c>
      <c r="C626" s="1" t="inlineStr">
        <is>
          <t>251526CU1</t>
        </is>
      </c>
      <c r="D626" s="1" t="inlineStr">
        <is>
          <t>251526CU1</t>
        </is>
      </c>
      <c r="E626" t="inlineStr">
        <is>
          <t>Deutsche Bank AG/New York NY 6.819% 11/20/2029</t>
        </is>
      </c>
      <c r="F626" t="inlineStr">
        <is>
          <t>12000.00000000</t>
        </is>
      </c>
      <c r="G626" t="inlineStr">
        <is>
          <t>104.642999</t>
        </is>
      </c>
      <c r="H626" t="inlineStr">
        <is>
          <t>12557.16</t>
        </is>
      </c>
      <c r="I626" t="inlineStr">
        <is>
          <t>0.29%</t>
        </is>
      </c>
      <c r="J626" t="inlineStr">
        <is>
          <t>4258415.00</t>
        </is>
      </c>
      <c r="K626" t="inlineStr">
        <is>
          <t>170000</t>
        </is>
      </c>
      <c r="L626" t="inlineStr">
        <is>
          <t>17.000000000000</t>
        </is>
      </c>
      <c r="M626" t="inlineStr"/>
    </row>
    <row r="627">
      <c r="A627" t="inlineStr">
        <is>
          <t>06/25/2026</t>
        </is>
      </c>
      <c r="B627" t="inlineStr">
        <is>
          <t>CIVG</t>
        </is>
      </c>
      <c r="C627" s="1" t="inlineStr">
        <is>
          <t>254687FX9</t>
        </is>
      </c>
      <c r="D627" s="1" t="inlineStr">
        <is>
          <t>254687FX9</t>
        </is>
      </c>
      <c r="E627" t="inlineStr">
        <is>
          <t>Walt Disney Co/The 2.65% 01/13/2031</t>
        </is>
      </c>
      <c r="F627" t="inlineStr">
        <is>
          <t>22000.00000000</t>
        </is>
      </c>
      <c r="G627" t="inlineStr">
        <is>
          <t>92.467608</t>
        </is>
      </c>
      <c r="H627" t="inlineStr">
        <is>
          <t>20342.87</t>
        </is>
      </c>
      <c r="I627" t="inlineStr">
        <is>
          <t>0.48%</t>
        </is>
      </c>
      <c r="J627" t="inlineStr">
        <is>
          <t>4258415.00</t>
        </is>
      </c>
      <c r="K627" t="inlineStr">
        <is>
          <t>170000</t>
        </is>
      </c>
      <c r="L627" t="inlineStr">
        <is>
          <t>17.000000000000</t>
        </is>
      </c>
      <c r="M627" t="inlineStr"/>
    </row>
    <row r="628">
      <c r="A628" t="inlineStr">
        <is>
          <t>06/25/2026</t>
        </is>
      </c>
      <c r="B628" t="inlineStr">
        <is>
          <t>CIVG</t>
        </is>
      </c>
      <c r="C628" s="1" t="inlineStr">
        <is>
          <t>256677AG0</t>
        </is>
      </c>
      <c r="D628" s="1" t="inlineStr">
        <is>
          <t>256677AG0</t>
        </is>
      </c>
      <c r="E628" t="inlineStr">
        <is>
          <t>Dollar General Corp 3.5% 04/03/2030</t>
        </is>
      </c>
      <c r="F628" t="inlineStr">
        <is>
          <t>42000.00000000</t>
        </is>
      </c>
      <c r="G628" t="inlineStr">
        <is>
          <t>95.538698</t>
        </is>
      </c>
      <c r="H628" t="inlineStr">
        <is>
          <t>40126.25</t>
        </is>
      </c>
      <c r="I628" t="inlineStr">
        <is>
          <t>0.94%</t>
        </is>
      </c>
      <c r="J628" t="inlineStr">
        <is>
          <t>4258415.00</t>
        </is>
      </c>
      <c r="K628" t="inlineStr">
        <is>
          <t>170000</t>
        </is>
      </c>
      <c r="L628" t="inlineStr">
        <is>
          <t>17.000000000000</t>
        </is>
      </c>
      <c r="M628" t="inlineStr"/>
    </row>
    <row r="629">
      <c r="A629" t="inlineStr">
        <is>
          <t>06/25/2026</t>
        </is>
      </c>
      <c r="B629" t="inlineStr">
        <is>
          <t>CIVG</t>
        </is>
      </c>
      <c r="C629" s="1" t="inlineStr">
        <is>
          <t>256746AH1</t>
        </is>
      </c>
      <c r="D629" s="1" t="inlineStr">
        <is>
          <t>256746AH1</t>
        </is>
      </c>
      <c r="E629" t="inlineStr">
        <is>
          <t>Dollar Tree Inc 4.2% 05/15/2028</t>
        </is>
      </c>
      <c r="F629" t="inlineStr">
        <is>
          <t>21000.00000000</t>
        </is>
      </c>
      <c r="G629" t="inlineStr">
        <is>
          <t>99.282269</t>
        </is>
      </c>
      <c r="H629" t="inlineStr">
        <is>
          <t>20849.28</t>
        </is>
      </c>
      <c r="I629" t="inlineStr">
        <is>
          <t>0.49%</t>
        </is>
      </c>
      <c r="J629" t="inlineStr">
        <is>
          <t>4258415.00</t>
        </is>
      </c>
      <c r="K629" t="inlineStr">
        <is>
          <t>170000</t>
        </is>
      </c>
      <c r="L629" t="inlineStr">
        <is>
          <t>17.000000000000</t>
        </is>
      </c>
      <c r="M629" t="inlineStr"/>
    </row>
    <row r="630">
      <c r="A630" t="inlineStr">
        <is>
          <t>06/25/2026</t>
        </is>
      </c>
      <c r="B630" t="inlineStr">
        <is>
          <t>CIVG</t>
        </is>
      </c>
      <c r="C630" s="1" t="inlineStr">
        <is>
          <t>26442CAX2</t>
        </is>
      </c>
      <c r="D630" s="1" t="inlineStr">
        <is>
          <t>26442CAX2</t>
        </is>
      </c>
      <c r="E630" t="inlineStr">
        <is>
          <t>Duke Energy Carolinas LLC 3.95% 11/15/2028</t>
        </is>
      </c>
      <c r="F630" t="inlineStr">
        <is>
          <t>21000.00000000</t>
        </is>
      </c>
      <c r="G630" t="inlineStr">
        <is>
          <t>98.902221</t>
        </is>
      </c>
      <c r="H630" t="inlineStr">
        <is>
          <t>20769.47</t>
        </is>
      </c>
      <c r="I630" t="inlineStr">
        <is>
          <t>0.49%</t>
        </is>
      </c>
      <c r="J630" t="inlineStr">
        <is>
          <t>4258415.00</t>
        </is>
      </c>
      <c r="K630" t="inlineStr">
        <is>
          <t>170000</t>
        </is>
      </c>
      <c r="L630" t="inlineStr">
        <is>
          <t>17.000000000000</t>
        </is>
      </c>
      <c r="M630" t="inlineStr"/>
    </row>
    <row r="631">
      <c r="A631" t="inlineStr">
        <is>
          <t>06/25/2026</t>
        </is>
      </c>
      <c r="B631" t="inlineStr">
        <is>
          <t>CIVG</t>
        </is>
      </c>
      <c r="C631" s="1" t="inlineStr">
        <is>
          <t>26884LBD0</t>
        </is>
      </c>
      <c r="D631" s="1" t="inlineStr">
        <is>
          <t>26884LBD0</t>
        </is>
      </c>
      <c r="E631" t="inlineStr">
        <is>
          <t>EQT Corp 4.75% 01/15/2031</t>
        </is>
      </c>
      <c r="F631" t="inlineStr">
        <is>
          <t>20000.00000000</t>
        </is>
      </c>
      <c r="G631" t="inlineStr">
        <is>
          <t>99.170466</t>
        </is>
      </c>
      <c r="H631" t="inlineStr">
        <is>
          <t>19834.09</t>
        </is>
      </c>
      <c r="I631" t="inlineStr">
        <is>
          <t>0.47%</t>
        </is>
      </c>
      <c r="J631" t="inlineStr">
        <is>
          <t>4258415.00</t>
        </is>
      </c>
      <c r="K631" t="inlineStr">
        <is>
          <t>170000</t>
        </is>
      </c>
      <c r="L631" t="inlineStr">
        <is>
          <t>17.000000000000</t>
        </is>
      </c>
      <c r="M631" t="inlineStr"/>
    </row>
    <row r="632">
      <c r="A632" t="inlineStr">
        <is>
          <t>06/25/2026</t>
        </is>
      </c>
      <c r="B632" t="inlineStr">
        <is>
          <t>CIVG</t>
        </is>
      </c>
      <c r="C632" s="1" t="inlineStr">
        <is>
          <t>277432AZ3</t>
        </is>
      </c>
      <c r="D632" s="1" t="inlineStr">
        <is>
          <t>277432AZ3</t>
        </is>
      </c>
      <c r="E632" t="inlineStr">
        <is>
          <t>Eastman Chemical Co 5% 08/01/2029</t>
        </is>
      </c>
      <c r="F632" t="inlineStr">
        <is>
          <t>19000.00000000</t>
        </is>
      </c>
      <c r="G632" t="inlineStr">
        <is>
          <t>100.623584</t>
        </is>
      </c>
      <c r="H632" t="inlineStr">
        <is>
          <t>19118.48</t>
        </is>
      </c>
      <c r="I632" t="inlineStr">
        <is>
          <t>0.45%</t>
        </is>
      </c>
      <c r="J632" t="inlineStr">
        <is>
          <t>4258415.00</t>
        </is>
      </c>
      <c r="K632" t="inlineStr">
        <is>
          <t>170000</t>
        </is>
      </c>
      <c r="L632" t="inlineStr">
        <is>
          <t>17.000000000000</t>
        </is>
      </c>
      <c r="M632" t="inlineStr"/>
    </row>
    <row r="633">
      <c r="A633" t="inlineStr">
        <is>
          <t>06/25/2026</t>
        </is>
      </c>
      <c r="B633" t="inlineStr">
        <is>
          <t>CIVG</t>
        </is>
      </c>
      <c r="C633" s="1" t="inlineStr">
        <is>
          <t>278058DW9</t>
        </is>
      </c>
      <c r="D633" s="1" t="inlineStr">
        <is>
          <t>278058DW9</t>
        </is>
      </c>
      <c r="E633" t="inlineStr">
        <is>
          <t>Eaton Corp 3.95% 03/06/2029</t>
        </is>
      </c>
      <c r="F633" t="inlineStr">
        <is>
          <t>12000.00000000</t>
        </is>
      </c>
      <c r="G633" t="inlineStr">
        <is>
          <t>98.601911</t>
        </is>
      </c>
      <c r="H633" t="inlineStr">
        <is>
          <t>11832.23</t>
        </is>
      </c>
      <c r="I633" t="inlineStr">
        <is>
          <t>0.28%</t>
        </is>
      </c>
      <c r="J633" t="inlineStr">
        <is>
          <t>4258415.00</t>
        </is>
      </c>
      <c r="K633" t="inlineStr">
        <is>
          <t>170000</t>
        </is>
      </c>
      <c r="L633" t="inlineStr">
        <is>
          <t>17.000000000000</t>
        </is>
      </c>
      <c r="M633" t="inlineStr"/>
    </row>
    <row r="634">
      <c r="A634" t="inlineStr">
        <is>
          <t>06/25/2026</t>
        </is>
      </c>
      <c r="B634" t="inlineStr">
        <is>
          <t>CIVG</t>
        </is>
      </c>
      <c r="C634" s="1" t="inlineStr">
        <is>
          <t>278642AW3</t>
        </is>
      </c>
      <c r="D634" s="1" t="inlineStr">
        <is>
          <t>278642AW3</t>
        </is>
      </c>
      <c r="E634" t="inlineStr">
        <is>
          <t>eBay Inc 2.7% 03/11/2030</t>
        </is>
      </c>
      <c r="F634" t="inlineStr">
        <is>
          <t>22000.00000000</t>
        </is>
      </c>
      <c r="G634" t="inlineStr">
        <is>
          <t>92.940205</t>
        </is>
      </c>
      <c r="H634" t="inlineStr">
        <is>
          <t>20446.85</t>
        </is>
      </c>
      <c r="I634" t="inlineStr">
        <is>
          <t>0.48%</t>
        </is>
      </c>
      <c r="J634" t="inlineStr">
        <is>
          <t>4258415.00</t>
        </is>
      </c>
      <c r="K634" t="inlineStr">
        <is>
          <t>170000</t>
        </is>
      </c>
      <c r="L634" t="inlineStr">
        <is>
          <t>17.000000000000</t>
        </is>
      </c>
      <c r="M634" t="inlineStr"/>
    </row>
    <row r="635">
      <c r="A635" t="inlineStr">
        <is>
          <t>06/25/2026</t>
        </is>
      </c>
      <c r="B635" t="inlineStr">
        <is>
          <t>CIVG</t>
        </is>
      </c>
      <c r="C635" s="1" t="inlineStr">
        <is>
          <t>29249EAA7</t>
        </is>
      </c>
      <c r="D635" s="1" t="inlineStr">
        <is>
          <t>29249EAA7</t>
        </is>
      </c>
      <c r="E635" t="inlineStr">
        <is>
          <t>Enact Holdings Inc 6.25% 05/28/2029</t>
        </is>
      </c>
      <c r="F635" t="inlineStr">
        <is>
          <t>33000.00000000</t>
        </is>
      </c>
      <c r="G635" t="inlineStr">
        <is>
          <t>102.997121</t>
        </is>
      </c>
      <c r="H635" t="inlineStr">
        <is>
          <t>33989.05</t>
        </is>
      </c>
      <c r="I635" t="inlineStr">
        <is>
          <t>0.80%</t>
        </is>
      </c>
      <c r="J635" t="inlineStr">
        <is>
          <t>4258415.00</t>
        </is>
      </c>
      <c r="K635" t="inlineStr">
        <is>
          <t>170000</t>
        </is>
      </c>
      <c r="L635" t="inlineStr">
        <is>
          <t>17.000000000000</t>
        </is>
      </c>
      <c r="M635" t="inlineStr"/>
    </row>
    <row r="636">
      <c r="A636" t="inlineStr">
        <is>
          <t>06/25/2026</t>
        </is>
      </c>
      <c r="B636" t="inlineStr">
        <is>
          <t>CIVG</t>
        </is>
      </c>
      <c r="C636" s="1" t="inlineStr">
        <is>
          <t>29278DAA3</t>
        </is>
      </c>
      <c r="D636" s="1" t="inlineStr">
        <is>
          <t>29278DAA3</t>
        </is>
      </c>
      <c r="E636" t="inlineStr">
        <is>
          <t>Enel Chile SA 4.875% 06/12/2028</t>
        </is>
      </c>
      <c r="F636" t="inlineStr">
        <is>
          <t>20000.00000000</t>
        </is>
      </c>
      <c r="G636" t="inlineStr">
        <is>
          <t>100.456331</t>
        </is>
      </c>
      <c r="H636" t="inlineStr">
        <is>
          <t>20091.27</t>
        </is>
      </c>
      <c r="I636" t="inlineStr">
        <is>
          <t>0.47%</t>
        </is>
      </c>
      <c r="J636" t="inlineStr">
        <is>
          <t>4258415.00</t>
        </is>
      </c>
      <c r="K636" t="inlineStr">
        <is>
          <t>170000</t>
        </is>
      </c>
      <c r="L636" t="inlineStr">
        <is>
          <t>17.000000000000</t>
        </is>
      </c>
      <c r="M636" t="inlineStr"/>
    </row>
    <row r="637">
      <c r="A637" t="inlineStr">
        <is>
          <t>06/25/2026</t>
        </is>
      </c>
      <c r="B637" t="inlineStr">
        <is>
          <t>CIVG</t>
        </is>
      </c>
      <c r="C637" s="1" t="inlineStr">
        <is>
          <t>29278NAG8</t>
        </is>
      </c>
      <c r="D637" s="1" t="inlineStr">
        <is>
          <t>29278NAG8</t>
        </is>
      </c>
      <c r="E637" t="inlineStr">
        <is>
          <t>Energy Transfer LP 5.25% 04/15/2029</t>
        </is>
      </c>
      <c r="F637" t="inlineStr">
        <is>
          <t>11000.00000000</t>
        </is>
      </c>
      <c r="G637" t="inlineStr">
        <is>
          <t>101.448317</t>
        </is>
      </c>
      <c r="H637" t="inlineStr">
        <is>
          <t>11159.31</t>
        </is>
      </c>
      <c r="I637" t="inlineStr">
        <is>
          <t>0.26%</t>
        </is>
      </c>
      <c r="J637" t="inlineStr">
        <is>
          <t>4258415.00</t>
        </is>
      </c>
      <c r="K637" t="inlineStr">
        <is>
          <t>170000</t>
        </is>
      </c>
      <c r="L637" t="inlineStr">
        <is>
          <t>17.000000000000</t>
        </is>
      </c>
      <c r="M637" t="inlineStr"/>
    </row>
    <row r="638">
      <c r="A638" t="inlineStr">
        <is>
          <t>06/25/2026</t>
        </is>
      </c>
      <c r="B638" t="inlineStr">
        <is>
          <t>CIVG</t>
        </is>
      </c>
      <c r="C638" s="1" t="inlineStr">
        <is>
          <t>29379VBV4</t>
        </is>
      </c>
      <c r="D638" s="1" t="inlineStr">
        <is>
          <t>29379VBV4</t>
        </is>
      </c>
      <c r="E638" t="inlineStr">
        <is>
          <t>Enterprise Products Operating LLC 3.125% 07/31/2029</t>
        </is>
      </c>
      <c r="F638" t="inlineStr">
        <is>
          <t>21000.00000000</t>
        </is>
      </c>
      <c r="G638" t="inlineStr">
        <is>
          <t>95.889138</t>
        </is>
      </c>
      <c r="H638" t="inlineStr">
        <is>
          <t>20136.72</t>
        </is>
      </c>
      <c r="I638" t="inlineStr">
        <is>
          <t>0.47%</t>
        </is>
      </c>
      <c r="J638" t="inlineStr">
        <is>
          <t>4258415.00</t>
        </is>
      </c>
      <c r="K638" t="inlineStr">
        <is>
          <t>170000</t>
        </is>
      </c>
      <c r="L638" t="inlineStr">
        <is>
          <t>17.000000000000</t>
        </is>
      </c>
      <c r="M638" t="inlineStr"/>
    </row>
    <row r="639">
      <c r="A639" t="inlineStr">
        <is>
          <t>06/25/2026</t>
        </is>
      </c>
      <c r="B639" t="inlineStr">
        <is>
          <t>CIVG</t>
        </is>
      </c>
      <c r="C639" s="1" t="inlineStr">
        <is>
          <t>30040WAT5</t>
        </is>
      </c>
      <c r="D639" s="1" t="inlineStr">
        <is>
          <t>30040WAT5</t>
        </is>
      </c>
      <c r="E639" t="inlineStr">
        <is>
          <t>Eversource Energy 5.45% 03/01/2028</t>
        </is>
      </c>
      <c r="F639" t="inlineStr">
        <is>
          <t>39000.00000000</t>
        </is>
      </c>
      <c r="G639" t="inlineStr">
        <is>
          <t>101.178791</t>
        </is>
      </c>
      <c r="H639" t="inlineStr">
        <is>
          <t>39459.73</t>
        </is>
      </c>
      <c r="I639" t="inlineStr">
        <is>
          <t>0.93%</t>
        </is>
      </c>
      <c r="J639" t="inlineStr">
        <is>
          <t>4258415.00</t>
        </is>
      </c>
      <c r="K639" t="inlineStr">
        <is>
          <t>170000</t>
        </is>
      </c>
      <c r="L639" t="inlineStr">
        <is>
          <t>17.000000000000</t>
        </is>
      </c>
      <c r="M639" t="inlineStr"/>
    </row>
    <row r="640">
      <c r="A640" t="inlineStr">
        <is>
          <t>06/25/2026</t>
        </is>
      </c>
      <c r="B640" t="inlineStr">
        <is>
          <t>CIVG</t>
        </is>
      </c>
      <c r="C640" s="1" t="inlineStr">
        <is>
          <t>30225VAK3</t>
        </is>
      </c>
      <c r="D640" s="1" t="inlineStr">
        <is>
          <t>30225VAK3</t>
        </is>
      </c>
      <c r="E640" t="inlineStr">
        <is>
          <t>Extra Space Storage LP 5.5% 07/01/2030</t>
        </is>
      </c>
      <c r="F640" t="inlineStr">
        <is>
          <t>20000.00000000</t>
        </is>
      </c>
      <c r="G640" t="inlineStr">
        <is>
          <t>102.497220</t>
        </is>
      </c>
      <c r="H640" t="inlineStr">
        <is>
          <t>20499.44</t>
        </is>
      </c>
      <c r="I640" t="inlineStr">
        <is>
          <t>0.48%</t>
        </is>
      </c>
      <c r="J640" t="inlineStr">
        <is>
          <t>4258415.00</t>
        </is>
      </c>
      <c r="K640" t="inlineStr">
        <is>
          <t>170000</t>
        </is>
      </c>
      <c r="L640" t="inlineStr">
        <is>
          <t>17.000000000000</t>
        </is>
      </c>
      <c r="M640" t="inlineStr"/>
    </row>
    <row r="641">
      <c r="A641" t="inlineStr">
        <is>
          <t>06/25/2026</t>
        </is>
      </c>
      <c r="B641" t="inlineStr">
        <is>
          <t>CIVG</t>
        </is>
      </c>
      <c r="C641" s="1" t="inlineStr">
        <is>
          <t>30231GBK7</t>
        </is>
      </c>
      <c r="D641" s="1" t="inlineStr">
        <is>
          <t>30231GBK7</t>
        </is>
      </c>
      <c r="E641" t="inlineStr">
        <is>
          <t>Exxon Mobil Corp 3.482% 03/19/2030</t>
        </is>
      </c>
      <c r="F641" t="inlineStr">
        <is>
          <t>21000.00000000</t>
        </is>
      </c>
      <c r="G641" t="inlineStr">
        <is>
          <t>96.845472</t>
        </is>
      </c>
      <c r="H641" t="inlineStr">
        <is>
          <t>20337.55</t>
        </is>
      </c>
      <c r="I641" t="inlineStr">
        <is>
          <t>0.48%</t>
        </is>
      </c>
      <c r="J641" t="inlineStr">
        <is>
          <t>4258415.00</t>
        </is>
      </c>
      <c r="K641" t="inlineStr">
        <is>
          <t>170000</t>
        </is>
      </c>
      <c r="L641" t="inlineStr">
        <is>
          <t>17.000000000000</t>
        </is>
      </c>
      <c r="M641" t="inlineStr"/>
    </row>
    <row r="642">
      <c r="A642" t="inlineStr">
        <is>
          <t>06/25/2026</t>
        </is>
      </c>
      <c r="B642" t="inlineStr">
        <is>
          <t>CIVG</t>
        </is>
      </c>
      <c r="C642" s="1" t="inlineStr">
        <is>
          <t>30303M8L9</t>
        </is>
      </c>
      <c r="D642" s="1" t="inlineStr">
        <is>
          <t>30303M8L9</t>
        </is>
      </c>
      <c r="E642" t="inlineStr">
        <is>
          <t>Meta Platforms Inc 4.6% 05/15/2028</t>
        </is>
      </c>
      <c r="F642" t="inlineStr">
        <is>
          <t>16000.00000000</t>
        </is>
      </c>
      <c r="G642" t="inlineStr">
        <is>
          <t>100.554194</t>
        </is>
      </c>
      <c r="H642" t="inlineStr">
        <is>
          <t>16088.67</t>
        </is>
      </c>
      <c r="I642" t="inlineStr">
        <is>
          <t>0.38%</t>
        </is>
      </c>
      <c r="J642" t="inlineStr">
        <is>
          <t>4258415.00</t>
        </is>
      </c>
      <c r="K642" t="inlineStr">
        <is>
          <t>170000</t>
        </is>
      </c>
      <c r="L642" t="inlineStr">
        <is>
          <t>17.000000000000</t>
        </is>
      </c>
      <c r="M642" t="inlineStr"/>
    </row>
    <row r="643">
      <c r="A643" t="inlineStr">
        <is>
          <t>06/25/2026</t>
        </is>
      </c>
      <c r="B643" t="inlineStr">
        <is>
          <t>CIVG</t>
        </is>
      </c>
      <c r="C643" s="1" t="inlineStr">
        <is>
          <t>30303MAB8</t>
        </is>
      </c>
      <c r="D643" s="1" t="inlineStr">
        <is>
          <t>30303MAB8</t>
        </is>
      </c>
      <c r="E643" t="inlineStr">
        <is>
          <t>Meta Platforms Inc 4.2% 11/15/2030</t>
        </is>
      </c>
      <c r="F643" t="inlineStr">
        <is>
          <t>21000.00000000</t>
        </is>
      </c>
      <c r="G643" t="inlineStr">
        <is>
          <t>98.486624</t>
        </is>
      </c>
      <c r="H643" t="inlineStr">
        <is>
          <t>20682.19</t>
        </is>
      </c>
      <c r="I643" t="inlineStr">
        <is>
          <t>0.49%</t>
        </is>
      </c>
      <c r="J643" t="inlineStr">
        <is>
          <t>4258415.00</t>
        </is>
      </c>
      <c r="K643" t="inlineStr">
        <is>
          <t>170000</t>
        </is>
      </c>
      <c r="L643" t="inlineStr">
        <is>
          <t>17.000000000000</t>
        </is>
      </c>
      <c r="M643" t="inlineStr"/>
    </row>
    <row r="644">
      <c r="A644" t="inlineStr">
        <is>
          <t>06/25/2026</t>
        </is>
      </c>
      <c r="B644" t="inlineStr">
        <is>
          <t>CIVG</t>
        </is>
      </c>
      <c r="C644" s="1" t="inlineStr">
        <is>
          <t>31488VAB3</t>
        </is>
      </c>
      <c r="D644" s="1" t="inlineStr">
        <is>
          <t>31488VAB3</t>
        </is>
      </c>
      <c r="E644" t="inlineStr">
        <is>
          <t>Ferguson Enterprises Inc 4.35% 03/15/2031</t>
        </is>
      </c>
      <c r="F644" t="inlineStr">
        <is>
          <t>21000.00000000</t>
        </is>
      </c>
      <c r="G644" t="inlineStr">
        <is>
          <t>98.350338</t>
        </is>
      </c>
      <c r="H644" t="inlineStr">
        <is>
          <t>20653.57</t>
        </is>
      </c>
      <c r="I644" t="inlineStr">
        <is>
          <t>0.49%</t>
        </is>
      </c>
      <c r="J644" t="inlineStr">
        <is>
          <t>4258415.00</t>
        </is>
      </c>
      <c r="K644" t="inlineStr">
        <is>
          <t>170000</t>
        </is>
      </c>
      <c r="L644" t="inlineStr">
        <is>
          <t>17.000000000000</t>
        </is>
      </c>
      <c r="M644" t="inlineStr"/>
    </row>
    <row r="645">
      <c r="A645" t="inlineStr">
        <is>
          <t>06/25/2026</t>
        </is>
      </c>
      <c r="B645" t="inlineStr">
        <is>
          <t>CIVG</t>
        </is>
      </c>
      <c r="C645" s="1" t="inlineStr">
        <is>
          <t>31620MCA2</t>
        </is>
      </c>
      <c r="D645" s="1" t="inlineStr">
        <is>
          <t>31620MCA2</t>
        </is>
      </c>
      <c r="E645" t="inlineStr">
        <is>
          <t>Fidelity National Information Services Inc 4.45% 03/10/2028</t>
        </is>
      </c>
      <c r="F645" t="inlineStr">
        <is>
          <t>20000.00000000</t>
        </is>
      </c>
      <c r="G645" t="inlineStr">
        <is>
          <t>99.646783</t>
        </is>
      </c>
      <c r="H645" t="inlineStr">
        <is>
          <t>19929.36</t>
        </is>
      </c>
      <c r="I645" t="inlineStr">
        <is>
          <t>0.47%</t>
        </is>
      </c>
      <c r="J645" t="inlineStr">
        <is>
          <t>4258415.00</t>
        </is>
      </c>
      <c r="K645" t="inlineStr">
        <is>
          <t>170000</t>
        </is>
      </c>
      <c r="L645" t="inlineStr">
        <is>
          <t>17.000000000000</t>
        </is>
      </c>
      <c r="M645" t="inlineStr"/>
    </row>
    <row r="646">
      <c r="A646" t="inlineStr">
        <is>
          <t>06/25/2026</t>
        </is>
      </c>
      <c r="B646" t="inlineStr">
        <is>
          <t>CIVG</t>
        </is>
      </c>
      <c r="C646" s="1" t="inlineStr">
        <is>
          <t>31620MCD6</t>
        </is>
      </c>
      <c r="D646" s="1" t="inlineStr">
        <is>
          <t>31620MCD6</t>
        </is>
      </c>
      <c r="E646" t="inlineStr">
        <is>
          <t>Fidelity National Information Services Inc 4.55% 03/10/2029</t>
        </is>
      </c>
      <c r="F646" t="inlineStr">
        <is>
          <t>19000.00000000</t>
        </is>
      </c>
      <c r="G646" t="inlineStr">
        <is>
          <t>99.229372</t>
        </is>
      </c>
      <c r="H646" t="inlineStr">
        <is>
          <t>18853.58</t>
        </is>
      </c>
      <c r="I646" t="inlineStr">
        <is>
          <t>0.44%</t>
        </is>
      </c>
      <c r="J646" t="inlineStr">
        <is>
          <t>4258415.00</t>
        </is>
      </c>
      <c r="K646" t="inlineStr">
        <is>
          <t>170000</t>
        </is>
      </c>
      <c r="L646" t="inlineStr">
        <is>
          <t>17.000000000000</t>
        </is>
      </c>
      <c r="M646" t="inlineStr"/>
    </row>
    <row r="647">
      <c r="A647" t="inlineStr">
        <is>
          <t>06/25/2026</t>
        </is>
      </c>
      <c r="B647" t="inlineStr">
        <is>
          <t>CIVG</t>
        </is>
      </c>
      <c r="C647" s="1" t="inlineStr">
        <is>
          <t>320517AE5</t>
        </is>
      </c>
      <c r="D647" s="1" t="inlineStr">
        <is>
          <t>320517AE5</t>
        </is>
      </c>
      <c r="E647" t="inlineStr">
        <is>
          <t>First Horizon Corp 5.514% 03/07/2031</t>
        </is>
      </c>
      <c r="F647" t="inlineStr">
        <is>
          <t>20000.00000000</t>
        </is>
      </c>
      <c r="G647" t="inlineStr">
        <is>
          <t>101.316910</t>
        </is>
      </c>
      <c r="H647" t="inlineStr">
        <is>
          <t>20263.38</t>
        </is>
      </c>
      <c r="I647" t="inlineStr">
        <is>
          <t>0.48%</t>
        </is>
      </c>
      <c r="J647" t="inlineStr">
        <is>
          <t>4258415.00</t>
        </is>
      </c>
      <c r="K647" t="inlineStr">
        <is>
          <t>170000</t>
        </is>
      </c>
      <c r="L647" t="inlineStr">
        <is>
          <t>17.000000000000</t>
        </is>
      </c>
      <c r="M647" t="inlineStr"/>
    </row>
    <row r="648">
      <c r="A648" t="inlineStr">
        <is>
          <t>06/25/2026</t>
        </is>
      </c>
      <c r="B648" t="inlineStr">
        <is>
          <t>CIVG</t>
        </is>
      </c>
      <c r="C648" s="1" t="inlineStr">
        <is>
          <t>337738AU2</t>
        </is>
      </c>
      <c r="D648" s="1" t="inlineStr">
        <is>
          <t>337738AU2</t>
        </is>
      </c>
      <c r="E648" t="inlineStr">
        <is>
          <t>Fiserv Inc 3.5% 07/01/2029</t>
        </is>
      </c>
      <c r="F648" t="inlineStr">
        <is>
          <t>21000.00000000</t>
        </is>
      </c>
      <c r="G648" t="inlineStr">
        <is>
          <t>95.933510</t>
        </is>
      </c>
      <c r="H648" t="inlineStr">
        <is>
          <t>20146.04</t>
        </is>
      </c>
      <c r="I648" t="inlineStr">
        <is>
          <t>0.47%</t>
        </is>
      </c>
      <c r="J648" t="inlineStr">
        <is>
          <t>4258415.00</t>
        </is>
      </c>
      <c r="K648" t="inlineStr">
        <is>
          <t>170000</t>
        </is>
      </c>
      <c r="L648" t="inlineStr">
        <is>
          <t>17.000000000000</t>
        </is>
      </c>
      <c r="M648" t="inlineStr"/>
    </row>
    <row r="649">
      <c r="A649" t="inlineStr">
        <is>
          <t>06/25/2026</t>
        </is>
      </c>
      <c r="B649" t="inlineStr">
        <is>
          <t>CIVG</t>
        </is>
      </c>
      <c r="C649" s="1" t="inlineStr">
        <is>
          <t>345397ZR7</t>
        </is>
      </c>
      <c r="D649" s="1" t="inlineStr">
        <is>
          <t>345397ZR7</t>
        </is>
      </c>
      <c r="E649" t="inlineStr">
        <is>
          <t>Ford Motor Credit Co LLC 5.113% 05/03/2029</t>
        </is>
      </c>
      <c r="F649" t="inlineStr">
        <is>
          <t>27000.00000000</t>
        </is>
      </c>
      <c r="G649" t="inlineStr">
        <is>
          <t>99.297150</t>
        </is>
      </c>
      <c r="H649" t="inlineStr">
        <is>
          <t>26810.23</t>
        </is>
      </c>
      <c r="I649" t="inlineStr">
        <is>
          <t>0.63%</t>
        </is>
      </c>
      <c r="J649" t="inlineStr">
        <is>
          <t>4258415.00</t>
        </is>
      </c>
      <c r="K649" t="inlineStr">
        <is>
          <t>170000</t>
        </is>
      </c>
      <c r="L649" t="inlineStr">
        <is>
          <t>17.000000000000</t>
        </is>
      </c>
      <c r="M649" t="inlineStr"/>
    </row>
    <row r="650">
      <c r="A650" t="inlineStr">
        <is>
          <t>06/25/2026</t>
        </is>
      </c>
      <c r="B650" t="inlineStr">
        <is>
          <t>CIVG</t>
        </is>
      </c>
      <c r="C650" s="1" t="inlineStr">
        <is>
          <t>369604BZ5</t>
        </is>
      </c>
      <c r="D650" s="1" t="inlineStr">
        <is>
          <t>369604BZ5</t>
        </is>
      </c>
      <c r="E650" t="inlineStr">
        <is>
          <t>General Electric Co 4.3% 07/29/2030</t>
        </is>
      </c>
      <c r="F650" t="inlineStr">
        <is>
          <t>20000.00000000</t>
        </is>
      </c>
      <c r="G650" t="inlineStr">
        <is>
          <t>99.231552</t>
        </is>
      </c>
      <c r="H650" t="inlineStr">
        <is>
          <t>19846.31</t>
        </is>
      </c>
      <c r="I650" t="inlineStr">
        <is>
          <t>0.47%</t>
        </is>
      </c>
      <c r="J650" t="inlineStr">
        <is>
          <t>4258415.00</t>
        </is>
      </c>
      <c r="K650" t="inlineStr">
        <is>
          <t>170000</t>
        </is>
      </c>
      <c r="L650" t="inlineStr">
        <is>
          <t>17.000000000000</t>
        </is>
      </c>
      <c r="M650" t="inlineStr"/>
    </row>
    <row r="651">
      <c r="A651" t="inlineStr">
        <is>
          <t>06/25/2026</t>
        </is>
      </c>
      <c r="B651" t="inlineStr">
        <is>
          <t>CIVG</t>
        </is>
      </c>
      <c r="C651" s="1" t="inlineStr">
        <is>
          <t>370334CG7</t>
        </is>
      </c>
      <c r="D651" s="1" t="inlineStr">
        <is>
          <t>370334CG7</t>
        </is>
      </c>
      <c r="E651" t="inlineStr">
        <is>
          <t>General Mills Inc 4.2% 04/17/2028</t>
        </is>
      </c>
      <c r="F651" t="inlineStr">
        <is>
          <t>20000.00000000</t>
        </is>
      </c>
      <c r="G651" t="inlineStr">
        <is>
          <t>99.346180</t>
        </is>
      </c>
      <c r="H651" t="inlineStr">
        <is>
          <t>19869.24</t>
        </is>
      </c>
      <c r="I651" t="inlineStr">
        <is>
          <t>0.47%</t>
        </is>
      </c>
      <c r="J651" t="inlineStr">
        <is>
          <t>4258415.00</t>
        </is>
      </c>
      <c r="K651" t="inlineStr">
        <is>
          <t>170000</t>
        </is>
      </c>
      <c r="L651" t="inlineStr">
        <is>
          <t>17.000000000000</t>
        </is>
      </c>
      <c r="M651" t="inlineStr"/>
    </row>
    <row r="652">
      <c r="A652" t="inlineStr">
        <is>
          <t>06/25/2026</t>
        </is>
      </c>
      <c r="B652" t="inlineStr">
        <is>
          <t>CIVG</t>
        </is>
      </c>
      <c r="C652" s="1" t="inlineStr">
        <is>
          <t>37045XEB8</t>
        </is>
      </c>
      <c r="D652" s="1" t="inlineStr">
        <is>
          <t>37045XEB8</t>
        </is>
      </c>
      <c r="E652" t="inlineStr">
        <is>
          <t>General Motors Financial Co Inc 6% 01/09/2028</t>
        </is>
      </c>
      <c r="F652" t="inlineStr">
        <is>
          <t>20000.00000000</t>
        </is>
      </c>
      <c r="G652" t="inlineStr">
        <is>
          <t>101.923538</t>
        </is>
      </c>
      <c r="H652" t="inlineStr">
        <is>
          <t>20384.71</t>
        </is>
      </c>
      <c r="I652" t="inlineStr">
        <is>
          <t>0.48%</t>
        </is>
      </c>
      <c r="J652" t="inlineStr">
        <is>
          <t>4258415.00</t>
        </is>
      </c>
      <c r="K652" t="inlineStr">
        <is>
          <t>170000</t>
        </is>
      </c>
      <c r="L652" t="inlineStr">
        <is>
          <t>17.000000000000</t>
        </is>
      </c>
      <c r="M652" t="inlineStr"/>
    </row>
    <row r="653">
      <c r="A653" t="inlineStr">
        <is>
          <t>06/25/2026</t>
        </is>
      </c>
      <c r="B653" t="inlineStr">
        <is>
          <t>CIVG</t>
        </is>
      </c>
      <c r="C653" s="1" t="inlineStr">
        <is>
          <t>373334KY6</t>
        </is>
      </c>
      <c r="D653" s="1" t="inlineStr">
        <is>
          <t>373334KY6</t>
        </is>
      </c>
      <c r="E653" t="inlineStr">
        <is>
          <t>Georgia Power Co 4.55% 03/15/2030</t>
        </is>
      </c>
      <c r="F653" t="inlineStr">
        <is>
          <t>20000.00000000</t>
        </is>
      </c>
      <c r="G653" t="inlineStr">
        <is>
          <t>99.869846</t>
        </is>
      </c>
      <c r="H653" t="inlineStr">
        <is>
          <t>19973.97</t>
        </is>
      </c>
      <c r="I653" t="inlineStr">
        <is>
          <t>0.47%</t>
        </is>
      </c>
      <c r="J653" t="inlineStr">
        <is>
          <t>4258415.00</t>
        </is>
      </c>
      <c r="K653" t="inlineStr">
        <is>
          <t>170000</t>
        </is>
      </c>
      <c r="L653" t="inlineStr">
        <is>
          <t>17.000000000000</t>
        </is>
      </c>
      <c r="M653" t="inlineStr"/>
    </row>
    <row r="654">
      <c r="A654" t="inlineStr">
        <is>
          <t>06/25/2026</t>
        </is>
      </c>
      <c r="B654" t="inlineStr">
        <is>
          <t>CIVG</t>
        </is>
      </c>
      <c r="C654" s="1" t="inlineStr">
        <is>
          <t>377372AN7</t>
        </is>
      </c>
      <c r="D654" s="1" t="inlineStr">
        <is>
          <t>377372AN7</t>
        </is>
      </c>
      <c r="E654" t="inlineStr">
        <is>
          <t>GlaxoSmithKline Capital Inc 3.875% 05/15/2028</t>
        </is>
      </c>
      <c r="F654" t="inlineStr">
        <is>
          <t>21000.00000000</t>
        </is>
      </c>
      <c r="G654" t="inlineStr">
        <is>
          <t>99.254710</t>
        </is>
      </c>
      <c r="H654" t="inlineStr">
        <is>
          <t>20843.49</t>
        </is>
      </c>
      <c r="I654" t="inlineStr">
        <is>
          <t>0.49%</t>
        </is>
      </c>
      <c r="J654" t="inlineStr">
        <is>
          <t>4258415.00</t>
        </is>
      </c>
      <c r="K654" t="inlineStr">
        <is>
          <t>170000</t>
        </is>
      </c>
      <c r="L654" t="inlineStr">
        <is>
          <t>17.000000000000</t>
        </is>
      </c>
      <c r="M654" t="inlineStr"/>
    </row>
    <row r="655">
      <c r="A655" t="inlineStr">
        <is>
          <t>06/25/2026</t>
        </is>
      </c>
      <c r="B655" t="inlineStr">
        <is>
          <t>CIVG</t>
        </is>
      </c>
      <c r="C655" s="1" t="inlineStr">
        <is>
          <t>38141GA87</t>
        </is>
      </c>
      <c r="D655" s="1" t="inlineStr">
        <is>
          <t>38141GA87</t>
        </is>
      </c>
      <c r="E655" t="inlineStr">
        <is>
          <t>Goldman Sachs Group Inc/The 5.727% 04/25/2030</t>
        </is>
      </c>
      <c r="F655" t="inlineStr">
        <is>
          <t>16000.00000000</t>
        </is>
      </c>
      <c r="G655" t="inlineStr">
        <is>
          <t>102.514589</t>
        </is>
      </c>
      <c r="H655" t="inlineStr">
        <is>
          <t>16402.33</t>
        </is>
      </c>
      <c r="I655" t="inlineStr">
        <is>
          <t>0.39%</t>
        </is>
      </c>
      <c r="J655" t="inlineStr">
        <is>
          <t>4258415.00</t>
        </is>
      </c>
      <c r="K655" t="inlineStr">
        <is>
          <t>170000</t>
        </is>
      </c>
      <c r="L655" t="inlineStr">
        <is>
          <t>17.000000000000</t>
        </is>
      </c>
      <c r="M655" t="inlineStr"/>
    </row>
    <row r="656">
      <c r="A656" t="inlineStr">
        <is>
          <t>06/25/2026</t>
        </is>
      </c>
      <c r="B656" t="inlineStr">
        <is>
          <t>CIVG</t>
        </is>
      </c>
      <c r="C656" s="1" t="inlineStr">
        <is>
          <t>38145GAP5</t>
        </is>
      </c>
      <c r="D656" s="1" t="inlineStr">
        <is>
          <t>38145GAP5</t>
        </is>
      </c>
      <c r="E656" t="inlineStr">
        <is>
          <t>Goldman Sachs Group Inc/The 4.148% 01/21/2029</t>
        </is>
      </c>
      <c r="F656" t="inlineStr">
        <is>
          <t>55000.00000000</t>
        </is>
      </c>
      <c r="G656" t="inlineStr">
        <is>
          <t>99.137882</t>
        </is>
      </c>
      <c r="H656" t="inlineStr">
        <is>
          <t>54525.84</t>
        </is>
      </c>
      <c r="I656" t="inlineStr">
        <is>
          <t>1.28%</t>
        </is>
      </c>
      <c r="J656" t="inlineStr">
        <is>
          <t>4258415.00</t>
        </is>
      </c>
      <c r="K656" t="inlineStr">
        <is>
          <t>170000</t>
        </is>
      </c>
      <c r="L656" t="inlineStr">
        <is>
          <t>17.000000000000</t>
        </is>
      </c>
      <c r="M656" t="inlineStr"/>
    </row>
    <row r="657">
      <c r="A657" t="inlineStr">
        <is>
          <t>06/25/2026</t>
        </is>
      </c>
      <c r="B657" t="inlineStr">
        <is>
          <t>CIVG</t>
        </is>
      </c>
      <c r="C657" s="1" t="inlineStr">
        <is>
          <t>38152BAH4</t>
        </is>
      </c>
      <c r="D657" s="1" t="inlineStr">
        <is>
          <t>38152BAH4</t>
        </is>
      </c>
      <c r="E657" t="inlineStr">
        <is>
          <t>Goldman Sachs Private Credit Corp 5.875% 01/31/2031</t>
        </is>
      </c>
      <c r="F657" t="inlineStr">
        <is>
          <t>20000.00000000</t>
        </is>
      </c>
      <c r="G657" t="inlineStr">
        <is>
          <t>98.731715</t>
        </is>
      </c>
      <c r="H657" t="inlineStr">
        <is>
          <t>19746.34</t>
        </is>
      </c>
      <c r="I657" t="inlineStr">
        <is>
          <t>0.46%</t>
        </is>
      </c>
      <c r="J657" t="inlineStr">
        <is>
          <t>4258415.00</t>
        </is>
      </c>
      <c r="K657" t="inlineStr">
        <is>
          <t>170000</t>
        </is>
      </c>
      <c r="L657" t="inlineStr">
        <is>
          <t>17.000000000000</t>
        </is>
      </c>
      <c r="M657" t="inlineStr"/>
    </row>
    <row r="658">
      <c r="A658" t="inlineStr">
        <is>
          <t>06/25/2026</t>
        </is>
      </c>
      <c r="B658" t="inlineStr">
        <is>
          <t>CIVG</t>
        </is>
      </c>
      <c r="C658" s="1" t="inlineStr">
        <is>
          <t>404119CA5</t>
        </is>
      </c>
      <c r="D658" s="1" t="inlineStr">
        <is>
          <t>404119CA5</t>
        </is>
      </c>
      <c r="E658" t="inlineStr">
        <is>
          <t>HCA Inc 3.5% 09/01/2030</t>
        </is>
      </c>
      <c r="F658" t="inlineStr">
        <is>
          <t>41000.00000000</t>
        </is>
      </c>
      <c r="G658" t="inlineStr">
        <is>
          <t>94.951829</t>
        </is>
      </c>
      <c r="H658" t="inlineStr">
        <is>
          <t>38930.25</t>
        </is>
      </c>
      <c r="I658" t="inlineStr">
        <is>
          <t>0.91%</t>
        </is>
      </c>
      <c r="J658" t="inlineStr">
        <is>
          <t>4258415.00</t>
        </is>
      </c>
      <c r="K658" t="inlineStr">
        <is>
          <t>170000</t>
        </is>
      </c>
      <c r="L658" t="inlineStr">
        <is>
          <t>17.000000000000</t>
        </is>
      </c>
      <c r="M658" t="inlineStr"/>
    </row>
    <row r="659">
      <c r="A659" t="inlineStr">
        <is>
          <t>06/25/2026</t>
        </is>
      </c>
      <c r="B659" t="inlineStr">
        <is>
          <t>CIVG</t>
        </is>
      </c>
      <c r="C659" s="1" t="inlineStr">
        <is>
          <t>404280CC1</t>
        </is>
      </c>
      <c r="D659" s="1" t="inlineStr">
        <is>
          <t>404280CC1</t>
        </is>
      </c>
      <c r="E659" t="inlineStr">
        <is>
          <t>HSBC Holdings PLC 3.973% 05/22/2030</t>
        </is>
      </c>
      <c r="F659" t="inlineStr">
        <is>
          <t>14000.00000000</t>
        </is>
      </c>
      <c r="G659" t="inlineStr">
        <is>
          <t>97.678563</t>
        </is>
      </c>
      <c r="H659" t="inlineStr">
        <is>
          <t>13675.00</t>
        </is>
      </c>
      <c r="I659" t="inlineStr">
        <is>
          <t>0.32%</t>
        </is>
      </c>
      <c r="J659" t="inlineStr">
        <is>
          <t>4258415.00</t>
        </is>
      </c>
      <c r="K659" t="inlineStr">
        <is>
          <t>170000</t>
        </is>
      </c>
      <c r="L659" t="inlineStr">
        <is>
          <t>17.000000000000</t>
        </is>
      </c>
      <c r="M659" t="inlineStr"/>
    </row>
    <row r="660">
      <c r="A660" t="inlineStr">
        <is>
          <t>06/25/2026</t>
        </is>
      </c>
      <c r="B660" t="inlineStr">
        <is>
          <t>CIVG</t>
        </is>
      </c>
      <c r="C660" s="1" t="inlineStr">
        <is>
          <t>404280CL1</t>
        </is>
      </c>
      <c r="D660" s="1" t="inlineStr">
        <is>
          <t>404280CL1</t>
        </is>
      </c>
      <c r="E660" t="inlineStr">
        <is>
          <t>HSBC Holdings PLC 2.013% 09/22/2028</t>
        </is>
      </c>
      <c r="F660" t="inlineStr">
        <is>
          <t>17000.00000000</t>
        </is>
      </c>
      <c r="G660" t="inlineStr">
        <is>
          <t>96.859475</t>
        </is>
      </c>
      <c r="H660" t="inlineStr">
        <is>
          <t>16466.11</t>
        </is>
      </c>
      <c r="I660" t="inlineStr">
        <is>
          <t>0.39%</t>
        </is>
      </c>
      <c r="J660" t="inlineStr">
        <is>
          <t>4258415.00</t>
        </is>
      </c>
      <c r="K660" t="inlineStr">
        <is>
          <t>170000</t>
        </is>
      </c>
      <c r="L660" t="inlineStr">
        <is>
          <t>17.000000000000</t>
        </is>
      </c>
      <c r="M660" t="inlineStr"/>
    </row>
    <row r="661">
      <c r="A661" t="inlineStr">
        <is>
          <t>06/25/2026</t>
        </is>
      </c>
      <c r="B661" t="inlineStr">
        <is>
          <t>CIVG</t>
        </is>
      </c>
      <c r="C661" s="1" t="inlineStr">
        <is>
          <t>413875AW5</t>
        </is>
      </c>
      <c r="D661" s="1" t="inlineStr">
        <is>
          <t>413875AW5</t>
        </is>
      </c>
      <c r="E661" t="inlineStr">
        <is>
          <t>L3Harris Technologies Inc 4.4% 06/15/2028</t>
        </is>
      </c>
      <c r="F661" t="inlineStr">
        <is>
          <t>20000.00000000</t>
        </is>
      </c>
      <c r="G661" t="inlineStr">
        <is>
          <t>99.669193</t>
        </is>
      </c>
      <c r="H661" t="inlineStr">
        <is>
          <t>19933.84</t>
        </is>
      </c>
      <c r="I661" t="inlineStr">
        <is>
          <t>0.47%</t>
        </is>
      </c>
      <c r="J661" t="inlineStr">
        <is>
          <t>4258415.00</t>
        </is>
      </c>
      <c r="K661" t="inlineStr">
        <is>
          <t>170000</t>
        </is>
      </c>
      <c r="L661" t="inlineStr">
        <is>
          <t>17.000000000000</t>
        </is>
      </c>
      <c r="M661" t="inlineStr"/>
    </row>
    <row r="662">
      <c r="A662" t="inlineStr">
        <is>
          <t>06/25/2026</t>
        </is>
      </c>
      <c r="B662" t="inlineStr">
        <is>
          <t>CIVG</t>
        </is>
      </c>
      <c r="C662" s="1" t="inlineStr">
        <is>
          <t>42824CBT5</t>
        </is>
      </c>
      <c r="D662" s="1" t="inlineStr">
        <is>
          <t>42824CBT5</t>
        </is>
      </c>
      <c r="E662" t="inlineStr">
        <is>
          <t>Hewlett Packard Enterprise Co 4.55% 10/15/2029</t>
        </is>
      </c>
      <c r="F662" t="inlineStr">
        <is>
          <t>12000.00000000</t>
        </is>
      </c>
      <c r="G662" t="inlineStr">
        <is>
          <t>99.545664</t>
        </is>
      </c>
      <c r="H662" t="inlineStr">
        <is>
          <t>11945.48</t>
        </is>
      </c>
      <c r="I662" t="inlineStr">
        <is>
          <t>0.28%</t>
        </is>
      </c>
      <c r="J662" t="inlineStr">
        <is>
          <t>4258415.00</t>
        </is>
      </c>
      <c r="K662" t="inlineStr">
        <is>
          <t>170000</t>
        </is>
      </c>
      <c r="L662" t="inlineStr">
        <is>
          <t>17.000000000000</t>
        </is>
      </c>
      <c r="M662" t="inlineStr"/>
    </row>
    <row r="663">
      <c r="A663" t="inlineStr">
        <is>
          <t>06/25/2026</t>
        </is>
      </c>
      <c r="B663" t="inlineStr">
        <is>
          <t>CIVG</t>
        </is>
      </c>
      <c r="C663" s="1" t="inlineStr">
        <is>
          <t>437076BY7</t>
        </is>
      </c>
      <c r="D663" s="1" t="inlineStr">
        <is>
          <t>437076BY7</t>
        </is>
      </c>
      <c r="E663" t="inlineStr">
        <is>
          <t>Home Depot Inc/The 2.95% 06/15/2029</t>
        </is>
      </c>
      <c r="F663" t="inlineStr">
        <is>
          <t>14000.00000000</t>
        </is>
      </c>
      <c r="G663" t="inlineStr">
        <is>
          <t>95.999905</t>
        </is>
      </c>
      <c r="H663" t="inlineStr">
        <is>
          <t>13439.99</t>
        </is>
      </c>
      <c r="I663" t="inlineStr">
        <is>
          <t>0.32%</t>
        </is>
      </c>
      <c r="J663" t="inlineStr">
        <is>
          <t>4258415.00</t>
        </is>
      </c>
      <c r="K663" t="inlineStr">
        <is>
          <t>170000</t>
        </is>
      </c>
      <c r="L663" t="inlineStr">
        <is>
          <t>17.000000000000</t>
        </is>
      </c>
      <c r="M663" t="inlineStr"/>
    </row>
    <row r="664">
      <c r="A664" t="inlineStr">
        <is>
          <t>06/25/2026</t>
        </is>
      </c>
      <c r="B664" t="inlineStr">
        <is>
          <t>CIVG</t>
        </is>
      </c>
      <c r="C664" s="1" t="inlineStr">
        <is>
          <t>437076CF7</t>
        </is>
      </c>
      <c r="D664" s="1" t="inlineStr">
        <is>
          <t>437076CF7</t>
        </is>
      </c>
      <c r="E664" t="inlineStr">
        <is>
          <t>Home Depot Inc/The 1.375% 03/15/2031</t>
        </is>
      </c>
      <c r="F664" t="inlineStr">
        <is>
          <t>24000.00000000</t>
        </is>
      </c>
      <c r="G664" t="inlineStr">
        <is>
          <t>86.617716</t>
        </is>
      </c>
      <c r="H664" t="inlineStr">
        <is>
          <t>20788.25</t>
        </is>
      </c>
      <c r="I664" t="inlineStr">
        <is>
          <t>0.49%</t>
        </is>
      </c>
      <c r="J664" t="inlineStr">
        <is>
          <t>4258415.00</t>
        </is>
      </c>
      <c r="K664" t="inlineStr">
        <is>
          <t>170000</t>
        </is>
      </c>
      <c r="L664" t="inlineStr">
        <is>
          <t>17.000000000000</t>
        </is>
      </c>
      <c r="M664" t="inlineStr"/>
    </row>
    <row r="665">
      <c r="A665" t="inlineStr">
        <is>
          <t>06/25/2026</t>
        </is>
      </c>
      <c r="B665" t="inlineStr">
        <is>
          <t>CIVG</t>
        </is>
      </c>
      <c r="C665" s="1" t="inlineStr">
        <is>
          <t>43849RAE5</t>
        </is>
      </c>
      <c r="D665" s="1" t="inlineStr">
        <is>
          <t>43849RAE5</t>
        </is>
      </c>
      <c r="E665" t="inlineStr">
        <is>
          <t>Honeywell Aerospace Inc 4.3% 03/16/2031</t>
        </is>
      </c>
      <c r="F665" t="inlineStr">
        <is>
          <t>21000.00000000</t>
        </is>
      </c>
      <c r="G665" t="inlineStr">
        <is>
          <t>98.458090</t>
        </is>
      </c>
      <c r="H665" t="inlineStr">
        <is>
          <t>20676.20</t>
        </is>
      </c>
      <c r="I665" t="inlineStr">
        <is>
          <t>0.49%</t>
        </is>
      </c>
      <c r="J665" t="inlineStr">
        <is>
          <t>4258415.00</t>
        </is>
      </c>
      <c r="K665" t="inlineStr">
        <is>
          <t>170000</t>
        </is>
      </c>
      <c r="L665" t="inlineStr">
        <is>
          <t>17.000000000000</t>
        </is>
      </c>
      <c r="M665" t="inlineStr"/>
    </row>
    <row r="666">
      <c r="A666" t="inlineStr">
        <is>
          <t>06/25/2026</t>
        </is>
      </c>
      <c r="B666" t="inlineStr">
        <is>
          <t>CIVG</t>
        </is>
      </c>
      <c r="C666" s="1" t="inlineStr">
        <is>
          <t>443201AB4</t>
        </is>
      </c>
      <c r="D666" s="1" t="inlineStr">
        <is>
          <t>443201AB4</t>
        </is>
      </c>
      <c r="E666" t="inlineStr">
        <is>
          <t>Howmet Aerospace Inc 3% 01/15/2029</t>
        </is>
      </c>
      <c r="F666" t="inlineStr">
        <is>
          <t>21000.00000000</t>
        </is>
      </c>
      <c r="G666" t="inlineStr">
        <is>
          <t>96.300364</t>
        </is>
      </c>
      <c r="H666" t="inlineStr">
        <is>
          <t>20223.08</t>
        </is>
      </c>
      <c r="I666" t="inlineStr">
        <is>
          <t>0.47%</t>
        </is>
      </c>
      <c r="J666" t="inlineStr">
        <is>
          <t>4258415.00</t>
        </is>
      </c>
      <c r="K666" t="inlineStr">
        <is>
          <t>170000</t>
        </is>
      </c>
      <c r="L666" t="inlineStr">
        <is>
          <t>17.000000000000</t>
        </is>
      </c>
      <c r="M666" t="inlineStr"/>
    </row>
    <row r="667">
      <c r="A667" t="inlineStr">
        <is>
          <t>06/25/2026</t>
        </is>
      </c>
      <c r="B667" t="inlineStr">
        <is>
          <t>CIVG</t>
        </is>
      </c>
      <c r="C667" s="1" t="inlineStr">
        <is>
          <t>446150BC7</t>
        </is>
      </c>
      <c r="D667" s="1" t="inlineStr">
        <is>
          <t>446150BC7</t>
        </is>
      </c>
      <c r="E667" t="inlineStr">
        <is>
          <t>Huntington Bancshares Inc/OH 6.208% 08/21/2029</t>
        </is>
      </c>
      <c r="F667" t="inlineStr">
        <is>
          <t>20000.00000000</t>
        </is>
      </c>
      <c r="G667" t="inlineStr">
        <is>
          <t>103.010170</t>
        </is>
      </c>
      <c r="H667" t="inlineStr">
        <is>
          <t>20602.03</t>
        </is>
      </c>
      <c r="I667" t="inlineStr">
        <is>
          <t>0.48%</t>
        </is>
      </c>
      <c r="J667" t="inlineStr">
        <is>
          <t>4258415.00</t>
        </is>
      </c>
      <c r="K667" t="inlineStr">
        <is>
          <t>170000</t>
        </is>
      </c>
      <c r="L667" t="inlineStr">
        <is>
          <t>17.000000000000</t>
        </is>
      </c>
      <c r="M667" t="inlineStr"/>
    </row>
    <row r="668">
      <c r="A668" t="inlineStr">
        <is>
          <t>06/25/2026</t>
        </is>
      </c>
      <c r="B668" t="inlineStr">
        <is>
          <t>CIVG</t>
        </is>
      </c>
      <c r="C668" s="1" t="inlineStr">
        <is>
          <t>456837BU6</t>
        </is>
      </c>
      <c r="D668" s="1" t="inlineStr">
        <is>
          <t>456837BU6</t>
        </is>
      </c>
      <c r="E668" t="inlineStr">
        <is>
          <t>ING Groep NV 4.803% 03/23/2032</t>
        </is>
      </c>
      <c r="F668" t="inlineStr">
        <is>
          <t>20000.00000000</t>
        </is>
      </c>
      <c r="G668" t="inlineStr">
        <is>
          <t>99.453436</t>
        </is>
      </c>
      <c r="H668" t="inlineStr">
        <is>
          <t>19890.69</t>
        </is>
      </c>
      <c r="I668" t="inlineStr">
        <is>
          <t>0.47%</t>
        </is>
      </c>
      <c r="J668" t="inlineStr">
        <is>
          <t>4258415.00</t>
        </is>
      </c>
      <c r="K668" t="inlineStr">
        <is>
          <t>170000</t>
        </is>
      </c>
      <c r="L668" t="inlineStr">
        <is>
          <t>17.000000000000</t>
        </is>
      </c>
      <c r="M668" t="inlineStr"/>
    </row>
    <row r="669">
      <c r="A669" t="inlineStr">
        <is>
          <t>06/25/2026</t>
        </is>
      </c>
      <c r="B669" t="inlineStr">
        <is>
          <t>CIVG</t>
        </is>
      </c>
      <c r="C669" s="1" t="inlineStr">
        <is>
          <t>45866FAV6</t>
        </is>
      </c>
      <c r="D669" s="1" t="inlineStr">
        <is>
          <t>45866FAV6</t>
        </is>
      </c>
      <c r="E669" t="inlineStr">
        <is>
          <t>Intercontinental Exchange Inc 4.35% 06/15/2029</t>
        </is>
      </c>
      <c r="F669" t="inlineStr">
        <is>
          <t>20000.00000000</t>
        </is>
      </c>
      <c r="G669" t="inlineStr">
        <is>
          <t>99.297900</t>
        </is>
      </c>
      <c r="H669" t="inlineStr">
        <is>
          <t>19859.58</t>
        </is>
      </c>
      <c r="I669" t="inlineStr">
        <is>
          <t>0.47%</t>
        </is>
      </c>
      <c r="J669" t="inlineStr">
        <is>
          <t>4258415.00</t>
        </is>
      </c>
      <c r="K669" t="inlineStr">
        <is>
          <t>170000</t>
        </is>
      </c>
      <c r="L669" t="inlineStr">
        <is>
          <t>17.000000000000</t>
        </is>
      </c>
      <c r="M669" t="inlineStr"/>
    </row>
    <row r="670">
      <c r="A670" t="inlineStr">
        <is>
          <t>06/25/2026</t>
        </is>
      </c>
      <c r="B670" t="inlineStr">
        <is>
          <t>CIVG</t>
        </is>
      </c>
      <c r="C670" s="1" t="inlineStr">
        <is>
          <t>459200KA8</t>
        </is>
      </c>
      <c r="D670" s="1" t="inlineStr">
        <is>
          <t>459200KA8</t>
        </is>
      </c>
      <c r="E670" t="inlineStr">
        <is>
          <t>International Business Machines Corp 3.5% 05/15/2029</t>
        </is>
      </c>
      <c r="F670" t="inlineStr">
        <is>
          <t>21000.00000000</t>
        </is>
      </c>
      <c r="G670" t="inlineStr">
        <is>
          <t>97.163153</t>
        </is>
      </c>
      <c r="H670" t="inlineStr">
        <is>
          <t>20404.26</t>
        </is>
      </c>
      <c r="I670" t="inlineStr">
        <is>
          <t>0.48%</t>
        </is>
      </c>
      <c r="J670" t="inlineStr">
        <is>
          <t>4258415.00</t>
        </is>
      </c>
      <c r="K670" t="inlineStr">
        <is>
          <t>170000</t>
        </is>
      </c>
      <c r="L670" t="inlineStr">
        <is>
          <t>17.000000000000</t>
        </is>
      </c>
      <c r="M670" t="inlineStr"/>
    </row>
    <row r="671">
      <c r="A671" t="inlineStr">
        <is>
          <t>06/25/2026</t>
        </is>
      </c>
      <c r="B671" t="inlineStr">
        <is>
          <t>CIVG</t>
        </is>
      </c>
      <c r="C671" s="1" t="inlineStr">
        <is>
          <t>46647PDG8</t>
        </is>
      </c>
      <c r="D671" s="1" t="inlineStr">
        <is>
          <t>46647PDG8</t>
        </is>
      </c>
      <c r="E671" t="inlineStr">
        <is>
          <t>JPMorgan Chase &amp; Co 4.851% 07/25/2028</t>
        </is>
      </c>
      <c r="F671" t="inlineStr">
        <is>
          <t>89000.00000000</t>
        </is>
      </c>
      <c r="G671" t="inlineStr">
        <is>
          <t>100.319239</t>
        </is>
      </c>
      <c r="H671" t="inlineStr">
        <is>
          <t>89284.12</t>
        </is>
      </c>
      <c r="I671" t="inlineStr">
        <is>
          <t>2.10%</t>
        </is>
      </c>
      <c r="J671" t="inlineStr">
        <is>
          <t>4258415.00</t>
        </is>
      </c>
      <c r="K671" t="inlineStr">
        <is>
          <t>170000</t>
        </is>
      </c>
      <c r="L671" t="inlineStr">
        <is>
          <t>17.000000000000</t>
        </is>
      </c>
      <c r="M671" t="inlineStr"/>
    </row>
    <row r="672">
      <c r="A672" t="inlineStr">
        <is>
          <t>06/25/2026</t>
        </is>
      </c>
      <c r="B672" t="inlineStr">
        <is>
          <t>CIVG</t>
        </is>
      </c>
      <c r="C672" s="1" t="inlineStr">
        <is>
          <t>49271VAF7</t>
        </is>
      </c>
      <c r="D672" s="1" t="inlineStr">
        <is>
          <t>49271VAF7</t>
        </is>
      </c>
      <c r="E672" t="inlineStr">
        <is>
          <t>Keurig Dr Pepper Inc 4.597% 05/25/2028</t>
        </is>
      </c>
      <c r="F672" t="inlineStr">
        <is>
          <t>20000.00000000</t>
        </is>
      </c>
      <c r="G672" t="inlineStr">
        <is>
          <t>99.971748</t>
        </is>
      </c>
      <c r="H672" t="inlineStr">
        <is>
          <t>19994.35</t>
        </is>
      </c>
      <c r="I672" t="inlineStr">
        <is>
          <t>0.47%</t>
        </is>
      </c>
      <c r="J672" t="inlineStr">
        <is>
          <t>4258415.00</t>
        </is>
      </c>
      <c r="K672" t="inlineStr">
        <is>
          <t>170000</t>
        </is>
      </c>
      <c r="L672" t="inlineStr">
        <is>
          <t>17.000000000000</t>
        </is>
      </c>
      <c r="M672" t="inlineStr"/>
    </row>
    <row r="673">
      <c r="A673" t="inlineStr">
        <is>
          <t>06/25/2026</t>
        </is>
      </c>
      <c r="B673" t="inlineStr">
        <is>
          <t>CIVG</t>
        </is>
      </c>
      <c r="C673" s="1" t="inlineStr">
        <is>
          <t>49271VAU4</t>
        </is>
      </c>
      <c r="D673" s="1" t="inlineStr">
        <is>
          <t>49271VAU4</t>
        </is>
      </c>
      <c r="E673" t="inlineStr">
        <is>
          <t>Keurig Dr Pepper Inc 5.2% 03/15/2031</t>
        </is>
      </c>
      <c r="F673" t="inlineStr">
        <is>
          <t>11000.00000000</t>
        </is>
      </c>
      <c r="G673" t="inlineStr">
        <is>
          <t>101.147565</t>
        </is>
      </c>
      <c r="H673" t="inlineStr">
        <is>
          <t>11126.23</t>
        </is>
      </c>
      <c r="I673" t="inlineStr">
        <is>
          <t>0.26%</t>
        </is>
      </c>
      <c r="J673" t="inlineStr">
        <is>
          <t>4258415.00</t>
        </is>
      </c>
      <c r="K673" t="inlineStr">
        <is>
          <t>170000</t>
        </is>
      </c>
      <c r="L673" t="inlineStr">
        <is>
          <t>17.000000000000</t>
        </is>
      </c>
      <c r="M673" t="inlineStr"/>
    </row>
    <row r="674">
      <c r="A674" t="inlineStr">
        <is>
          <t>06/25/2026</t>
        </is>
      </c>
      <c r="B674" t="inlineStr">
        <is>
          <t>CIVG</t>
        </is>
      </c>
      <c r="C674" s="1" t="inlineStr">
        <is>
          <t>49326EEQ2</t>
        </is>
      </c>
      <c r="D674" s="1" t="inlineStr">
        <is>
          <t>49326EEQ2</t>
        </is>
      </c>
      <c r="E674" t="inlineStr">
        <is>
          <t>KeyCorp 5.121% 04/04/2031</t>
        </is>
      </c>
      <c r="F674" t="inlineStr">
        <is>
          <t>20000.00000000</t>
        </is>
      </c>
      <c r="G674" t="inlineStr">
        <is>
          <t>100.817645</t>
        </is>
      </c>
      <c r="H674" t="inlineStr">
        <is>
          <t>20163.53</t>
        </is>
      </c>
      <c r="I674" t="inlineStr">
        <is>
          <t>0.47%</t>
        </is>
      </c>
      <c r="J674" t="inlineStr">
        <is>
          <t>4258415.00</t>
        </is>
      </c>
      <c r="K674" t="inlineStr">
        <is>
          <t>170000</t>
        </is>
      </c>
      <c r="L674" t="inlineStr">
        <is>
          <t>17.000000000000</t>
        </is>
      </c>
      <c r="M674" t="inlineStr"/>
    </row>
    <row r="675">
      <c r="A675" t="inlineStr">
        <is>
          <t>06/25/2026</t>
        </is>
      </c>
      <c r="B675" t="inlineStr">
        <is>
          <t>CIVG</t>
        </is>
      </c>
      <c r="C675" s="1" t="inlineStr">
        <is>
          <t>52532XAH8</t>
        </is>
      </c>
      <c r="D675" s="1" t="inlineStr">
        <is>
          <t>52532XAH8</t>
        </is>
      </c>
      <c r="E675" t="inlineStr">
        <is>
          <t>Leidos Inc 2.3% 02/15/2031</t>
        </is>
      </c>
      <c r="F675" t="inlineStr">
        <is>
          <t>23000.00000000</t>
        </is>
      </c>
      <c r="G675" t="inlineStr">
        <is>
          <t>89.157098</t>
        </is>
      </c>
      <c r="H675" t="inlineStr">
        <is>
          <t>20506.13</t>
        </is>
      </c>
      <c r="I675" t="inlineStr">
        <is>
          <t>0.48%</t>
        </is>
      </c>
      <c r="J675" t="inlineStr">
        <is>
          <t>4258415.00</t>
        </is>
      </c>
      <c r="K675" t="inlineStr">
        <is>
          <t>170000</t>
        </is>
      </c>
      <c r="L675" t="inlineStr">
        <is>
          <t>17.000000000000</t>
        </is>
      </c>
      <c r="M675" t="inlineStr"/>
    </row>
    <row r="676">
      <c r="A676" t="inlineStr">
        <is>
          <t>06/25/2026</t>
        </is>
      </c>
      <c r="B676" t="inlineStr">
        <is>
          <t>CIVG</t>
        </is>
      </c>
      <c r="C676" s="1" t="inlineStr">
        <is>
          <t>539439AQ2</t>
        </is>
      </c>
      <c r="D676" s="1" t="inlineStr">
        <is>
          <t>539439AQ2</t>
        </is>
      </c>
      <c r="E676" t="inlineStr">
        <is>
          <t>Lloyds Banking Group PLC 3.574% 11/07/2028</t>
        </is>
      </c>
      <c r="F676" t="inlineStr">
        <is>
          <t>14000.00000000</t>
        </is>
      </c>
      <c r="G676" t="inlineStr">
        <is>
          <t>98.705901</t>
        </is>
      </c>
      <c r="H676" t="inlineStr">
        <is>
          <t>13818.83</t>
        </is>
      </c>
      <c r="I676" t="inlineStr">
        <is>
          <t>0.32%</t>
        </is>
      </c>
      <c r="J676" t="inlineStr">
        <is>
          <t>4258415.00</t>
        </is>
      </c>
      <c r="K676" t="inlineStr">
        <is>
          <t>170000</t>
        </is>
      </c>
      <c r="L676" t="inlineStr">
        <is>
          <t>17.000000000000</t>
        </is>
      </c>
      <c r="M676" t="inlineStr"/>
    </row>
    <row r="677">
      <c r="A677" t="inlineStr">
        <is>
          <t>06/25/2026</t>
        </is>
      </c>
      <c r="B677" t="inlineStr">
        <is>
          <t>CIVG</t>
        </is>
      </c>
      <c r="C677" s="1" t="inlineStr">
        <is>
          <t>548661EA1</t>
        </is>
      </c>
      <c r="D677" s="1" t="inlineStr">
        <is>
          <t>548661EA1</t>
        </is>
      </c>
      <c r="E677" t="inlineStr">
        <is>
          <t>Lowe's Cos Inc 2.625% 04/01/2031</t>
        </is>
      </c>
      <c r="F677" t="inlineStr">
        <is>
          <t>22000.00000000</t>
        </is>
      </c>
      <c r="G677" t="inlineStr">
        <is>
          <t>91.258887</t>
        </is>
      </c>
      <c r="H677" t="inlineStr">
        <is>
          <t>20076.96</t>
        </is>
      </c>
      <c r="I677" t="inlineStr">
        <is>
          <t>0.47%</t>
        </is>
      </c>
      <c r="J677" t="inlineStr">
        <is>
          <t>4258415.00</t>
        </is>
      </c>
      <c r="K677" t="inlineStr">
        <is>
          <t>170000</t>
        </is>
      </c>
      <c r="L677" t="inlineStr">
        <is>
          <t>17.000000000000</t>
        </is>
      </c>
      <c r="M677" t="inlineStr"/>
    </row>
    <row r="678">
      <c r="A678" t="inlineStr">
        <is>
          <t>06/25/2026</t>
        </is>
      </c>
      <c r="B678" t="inlineStr">
        <is>
          <t>CIVG</t>
        </is>
      </c>
      <c r="C678" s="1" t="inlineStr">
        <is>
          <t>55261FAS3</t>
        </is>
      </c>
      <c r="D678" s="1" t="inlineStr">
        <is>
          <t>55261FAS3</t>
        </is>
      </c>
      <c r="E678" t="inlineStr">
        <is>
          <t>M&amp;T Bank Corp 7.413% 10/30/2029</t>
        </is>
      </c>
      <c r="F678" t="inlineStr">
        <is>
          <t>19000.00000000</t>
        </is>
      </c>
      <c r="G678" t="inlineStr">
        <is>
          <t>105.889341</t>
        </is>
      </c>
      <c r="H678" t="inlineStr">
        <is>
          <t>20118.97</t>
        </is>
      </c>
      <c r="I678" t="inlineStr">
        <is>
          <t>0.47%</t>
        </is>
      </c>
      <c r="J678" t="inlineStr">
        <is>
          <t>4258415.00</t>
        </is>
      </c>
      <c r="K678" t="inlineStr">
        <is>
          <t>170000</t>
        </is>
      </c>
      <c r="L678" t="inlineStr">
        <is>
          <t>17.000000000000</t>
        </is>
      </c>
      <c r="M678" t="inlineStr"/>
    </row>
    <row r="679">
      <c r="A679" t="inlineStr">
        <is>
          <t>06/25/2026</t>
        </is>
      </c>
      <c r="B679" t="inlineStr">
        <is>
          <t>CIVG</t>
        </is>
      </c>
      <c r="C679" s="1" t="inlineStr">
        <is>
          <t>55261FAT1</t>
        </is>
      </c>
      <c r="D679" s="1" t="inlineStr">
        <is>
          <t>55261FAT1</t>
        </is>
      </c>
      <c r="E679" t="inlineStr">
        <is>
          <t>M&amp;T Bank Corp 6.082% 03/13/2032</t>
        </is>
      </c>
      <c r="F679" t="inlineStr">
        <is>
          <t>12000.00000000</t>
        </is>
      </c>
      <c r="G679" t="inlineStr">
        <is>
          <t>104.411412</t>
        </is>
      </c>
      <c r="H679" t="inlineStr">
        <is>
          <t>12529.37</t>
        </is>
      </c>
      <c r="I679" t="inlineStr">
        <is>
          <t>0.29%</t>
        </is>
      </c>
      <c r="J679" t="inlineStr">
        <is>
          <t>4258415.00</t>
        </is>
      </c>
      <c r="K679" t="inlineStr">
        <is>
          <t>170000</t>
        </is>
      </c>
      <c r="L679" t="inlineStr">
        <is>
          <t>17.000000000000</t>
        </is>
      </c>
      <c r="M679" t="inlineStr"/>
    </row>
    <row r="680">
      <c r="A680" t="inlineStr">
        <is>
          <t>06/25/2026</t>
        </is>
      </c>
      <c r="B680" t="inlineStr">
        <is>
          <t>CIVG</t>
        </is>
      </c>
      <c r="C680" s="1" t="inlineStr">
        <is>
          <t>55336VCA6</t>
        </is>
      </c>
      <c r="D680" s="1" t="inlineStr">
        <is>
          <t>55336VCA6</t>
        </is>
      </c>
      <c r="E680" t="inlineStr">
        <is>
          <t>MPLX LP 4.8% 02/15/2031</t>
        </is>
      </c>
      <c r="F680" t="inlineStr">
        <is>
          <t>20000.00000000</t>
        </is>
      </c>
      <c r="G680" t="inlineStr">
        <is>
          <t>99.786573</t>
        </is>
      </c>
      <c r="H680" t="inlineStr">
        <is>
          <t>19957.31</t>
        </is>
      </c>
      <c r="I680" t="inlineStr">
        <is>
          <t>0.47%</t>
        </is>
      </c>
      <c r="J680" t="inlineStr">
        <is>
          <t>4258415.00</t>
        </is>
      </c>
      <c r="K680" t="inlineStr">
        <is>
          <t>170000</t>
        </is>
      </c>
      <c r="L680" t="inlineStr">
        <is>
          <t>17.000000000000</t>
        </is>
      </c>
      <c r="M680" t="inlineStr"/>
    </row>
    <row r="681">
      <c r="A681" t="inlineStr">
        <is>
          <t>06/25/2026</t>
        </is>
      </c>
      <c r="B681" t="inlineStr">
        <is>
          <t>CIVG</t>
        </is>
      </c>
      <c r="C681" s="1" t="inlineStr">
        <is>
          <t>571748BG6</t>
        </is>
      </c>
      <c r="D681" s="1" t="inlineStr">
        <is>
          <t>571748BG6</t>
        </is>
      </c>
      <c r="E681" t="inlineStr">
        <is>
          <t>Marsh &amp; McLennan Cos Inc 4.375% 03/15/2029</t>
        </is>
      </c>
      <c r="F681" t="inlineStr">
        <is>
          <t>20000.00000000</t>
        </is>
      </c>
      <c r="G681" t="inlineStr">
        <is>
          <t>99.682781</t>
        </is>
      </c>
      <c r="H681" t="inlineStr">
        <is>
          <t>19936.56</t>
        </is>
      </c>
      <c r="I681" t="inlineStr">
        <is>
          <t>0.47%</t>
        </is>
      </c>
      <c r="J681" t="inlineStr">
        <is>
          <t>4258415.00</t>
        </is>
      </c>
      <c r="K681" t="inlineStr">
        <is>
          <t>170000</t>
        </is>
      </c>
      <c r="L681" t="inlineStr">
        <is>
          <t>17.000000000000</t>
        </is>
      </c>
      <c r="M681" t="inlineStr"/>
    </row>
    <row r="682">
      <c r="A682" t="inlineStr">
        <is>
          <t>06/25/2026</t>
        </is>
      </c>
      <c r="B682" t="inlineStr">
        <is>
          <t>CIVG</t>
        </is>
      </c>
      <c r="C682" s="1" t="inlineStr">
        <is>
          <t>571903BE2</t>
        </is>
      </c>
      <c r="D682" s="1" t="inlineStr">
        <is>
          <t>571903BE2</t>
        </is>
      </c>
      <c r="E682" t="inlineStr">
        <is>
          <t>Marriott International Inc/MD 4.625% 06/15/2030</t>
        </is>
      </c>
      <c r="F682" t="inlineStr">
        <is>
          <t>20000.00000000</t>
        </is>
      </c>
      <c r="G682" t="inlineStr">
        <is>
          <t>99.887040</t>
        </is>
      </c>
      <c r="H682" t="inlineStr">
        <is>
          <t>19977.41</t>
        </is>
      </c>
      <c r="I682" t="inlineStr">
        <is>
          <t>0.47%</t>
        </is>
      </c>
      <c r="J682" t="inlineStr">
        <is>
          <t>4258415.00</t>
        </is>
      </c>
      <c r="K682" t="inlineStr">
        <is>
          <t>170000</t>
        </is>
      </c>
      <c r="L682" t="inlineStr">
        <is>
          <t>17.000000000000</t>
        </is>
      </c>
      <c r="M682" t="inlineStr"/>
    </row>
    <row r="683">
      <c r="A683" t="inlineStr">
        <is>
          <t>06/25/2026</t>
        </is>
      </c>
      <c r="B683" t="inlineStr">
        <is>
          <t>CIVG</t>
        </is>
      </c>
      <c r="C683" s="1" t="inlineStr">
        <is>
          <t>57636QAM6</t>
        </is>
      </c>
      <c r="D683" s="1" t="inlineStr">
        <is>
          <t>57636QAM6</t>
        </is>
      </c>
      <c r="E683" t="inlineStr">
        <is>
          <t>Mastercard Inc 2.95% 06/01/2029</t>
        </is>
      </c>
      <c r="F683" t="inlineStr">
        <is>
          <t>21000.00000000</t>
        </is>
      </c>
      <c r="G683" t="inlineStr">
        <is>
          <t>96.219089</t>
        </is>
      </c>
      <c r="H683" t="inlineStr">
        <is>
          <t>20206.01</t>
        </is>
      </c>
      <c r="I683" t="inlineStr">
        <is>
          <t>0.47%</t>
        </is>
      </c>
      <c r="J683" t="inlineStr">
        <is>
          <t>4258415.00</t>
        </is>
      </c>
      <c r="K683" t="inlineStr">
        <is>
          <t>170000</t>
        </is>
      </c>
      <c r="L683" t="inlineStr">
        <is>
          <t>17.000000000000</t>
        </is>
      </c>
      <c r="M683" t="inlineStr"/>
    </row>
    <row r="684">
      <c r="A684" t="inlineStr">
        <is>
          <t>06/25/2026</t>
        </is>
      </c>
      <c r="B684" t="inlineStr">
        <is>
          <t>CIVG</t>
        </is>
      </c>
      <c r="C684" s="1" t="inlineStr">
        <is>
          <t>58933YAX3</t>
        </is>
      </c>
      <c r="D684" s="1" t="inlineStr">
        <is>
          <t>58933YAX3</t>
        </is>
      </c>
      <c r="E684" t="inlineStr">
        <is>
          <t>Merck &amp; Co Inc 3.4% 03/07/2029</t>
        </is>
      </c>
      <c r="F684" t="inlineStr">
        <is>
          <t>21000.00000000</t>
        </is>
      </c>
      <c r="G684" t="inlineStr">
        <is>
          <t>97.603502</t>
        </is>
      </c>
      <c r="H684" t="inlineStr">
        <is>
          <t>20496.74</t>
        </is>
      </c>
      <c r="I684" t="inlineStr">
        <is>
          <t>0.48%</t>
        </is>
      </c>
      <c r="J684" t="inlineStr">
        <is>
          <t>4258415.00</t>
        </is>
      </c>
      <c r="K684" t="inlineStr">
        <is>
          <t>170000</t>
        </is>
      </c>
      <c r="L684" t="inlineStr">
        <is>
          <t>17.000000000000</t>
        </is>
      </c>
      <c r="M684" t="inlineStr"/>
    </row>
    <row r="685">
      <c r="A685" t="inlineStr">
        <is>
          <t>06/25/2026</t>
        </is>
      </c>
      <c r="B685" t="inlineStr">
        <is>
          <t>CIVG</t>
        </is>
      </c>
      <c r="C685" s="1" t="inlineStr">
        <is>
          <t>595017BE3</t>
        </is>
      </c>
      <c r="D685" s="1" t="inlineStr">
        <is>
          <t>595017BE3</t>
        </is>
      </c>
      <c r="E685" t="inlineStr">
        <is>
          <t>Microchip Technology Inc 5.05% 03/15/2029</t>
        </is>
      </c>
      <c r="F685" t="inlineStr">
        <is>
          <t>20000.00000000</t>
        </is>
      </c>
      <c r="G685" t="inlineStr">
        <is>
          <t>100.912138</t>
        </is>
      </c>
      <c r="H685" t="inlineStr">
        <is>
          <t>20182.43</t>
        </is>
      </c>
      <c r="I685" t="inlineStr">
        <is>
          <t>0.47%</t>
        </is>
      </c>
      <c r="J685" t="inlineStr">
        <is>
          <t>4258415.00</t>
        </is>
      </c>
      <c r="K685" t="inlineStr">
        <is>
          <t>170000</t>
        </is>
      </c>
      <c r="L685" t="inlineStr">
        <is>
          <t>17.000000000000</t>
        </is>
      </c>
      <c r="M685" t="inlineStr"/>
    </row>
    <row r="686">
      <c r="A686" t="inlineStr">
        <is>
          <t>06/25/2026</t>
        </is>
      </c>
      <c r="B686" t="inlineStr">
        <is>
          <t>CIVG</t>
        </is>
      </c>
      <c r="C686" s="1" t="inlineStr">
        <is>
          <t>595620AT2</t>
        </is>
      </c>
      <c r="D686" s="1" t="inlineStr">
        <is>
          <t>595620AT2</t>
        </is>
      </c>
      <c r="E686" t="inlineStr">
        <is>
          <t>MidAmerican Energy Co 3.65% 04/15/2029</t>
        </is>
      </c>
      <c r="F686" t="inlineStr">
        <is>
          <t>17000.00000000</t>
        </is>
      </c>
      <c r="G686" t="inlineStr">
        <is>
          <t>97.832043</t>
        </is>
      </c>
      <c r="H686" t="inlineStr">
        <is>
          <t>16631.45</t>
        </is>
      </c>
      <c r="I686" t="inlineStr">
        <is>
          <t>0.39%</t>
        </is>
      </c>
      <c r="J686" t="inlineStr">
        <is>
          <t>4258415.00</t>
        </is>
      </c>
      <c r="K686" t="inlineStr">
        <is>
          <t>170000</t>
        </is>
      </c>
      <c r="L686" t="inlineStr">
        <is>
          <t>17.000000000000</t>
        </is>
      </c>
      <c r="M686" t="inlineStr"/>
    </row>
    <row r="687">
      <c r="A687" t="inlineStr">
        <is>
          <t>06/25/2026</t>
        </is>
      </c>
      <c r="B687" t="inlineStr">
        <is>
          <t>CIVG</t>
        </is>
      </c>
      <c r="C687" s="1" t="inlineStr">
        <is>
          <t>606822BM5</t>
        </is>
      </c>
      <c r="D687" s="1" t="inlineStr">
        <is>
          <t>606822BM5</t>
        </is>
      </c>
      <c r="E687" t="inlineStr">
        <is>
          <t>Mitsubishi UFJ Financial Group Inc 3.195% 07/18/2029</t>
        </is>
      </c>
      <c r="F687" t="inlineStr">
        <is>
          <t>16000.00000000</t>
        </is>
      </c>
      <c r="G687" t="inlineStr">
        <is>
          <t>95.789194</t>
        </is>
      </c>
      <c r="H687" t="inlineStr">
        <is>
          <t>15326.27</t>
        </is>
      </c>
      <c r="I687" t="inlineStr">
        <is>
          <t>0.36%</t>
        </is>
      </c>
      <c r="J687" t="inlineStr">
        <is>
          <t>4258415.00</t>
        </is>
      </c>
      <c r="K687" t="inlineStr">
        <is>
          <t>170000</t>
        </is>
      </c>
      <c r="L687" t="inlineStr">
        <is>
          <t>17.000000000000</t>
        </is>
      </c>
      <c r="M687" t="inlineStr"/>
    </row>
    <row r="688">
      <c r="A688" t="inlineStr">
        <is>
          <t>06/25/2026</t>
        </is>
      </c>
      <c r="B688" t="inlineStr">
        <is>
          <t>CIVG</t>
        </is>
      </c>
      <c r="C688" s="1" t="inlineStr">
        <is>
          <t>606822DW1</t>
        </is>
      </c>
      <c r="D688" s="1" t="inlineStr">
        <is>
          <t>606822DW1</t>
        </is>
      </c>
      <c r="E688" t="inlineStr">
        <is>
          <t>Mitsubishi UFJ Financial Group Inc 4.847% 04/21/2032</t>
        </is>
      </c>
      <c r="F688" t="inlineStr">
        <is>
          <t>13000.00000000</t>
        </is>
      </c>
      <c r="G688" t="inlineStr">
        <is>
          <t>99.649982</t>
        </is>
      </c>
      <c r="H688" t="inlineStr">
        <is>
          <t>12954.50</t>
        </is>
      </c>
      <c r="I688" t="inlineStr">
        <is>
          <t>0.30%</t>
        </is>
      </c>
      <c r="J688" t="inlineStr">
        <is>
          <t>4258415.00</t>
        </is>
      </c>
      <c r="K688" t="inlineStr">
        <is>
          <t>170000</t>
        </is>
      </c>
      <c r="L688" t="inlineStr">
        <is>
          <t>17.000000000000</t>
        </is>
      </c>
      <c r="M688" t="inlineStr"/>
    </row>
    <row r="689">
      <c r="A689" t="inlineStr">
        <is>
          <t>06/25/2026</t>
        </is>
      </c>
      <c r="B689" t="inlineStr">
        <is>
          <t>CIVG</t>
        </is>
      </c>
      <c r="C689" s="1" t="inlineStr">
        <is>
          <t>60687YCR8</t>
        </is>
      </c>
      <c r="D689" s="1" t="inlineStr">
        <is>
          <t>60687YCR8</t>
        </is>
      </c>
      <c r="E689" t="inlineStr">
        <is>
          <t>Mizuho Financial Group Inc 5.739% 05/27/2031</t>
        </is>
      </c>
      <c r="F689" t="inlineStr">
        <is>
          <t>20000.00000000</t>
        </is>
      </c>
      <c r="G689" t="inlineStr">
        <is>
          <t>103.366671</t>
        </is>
      </c>
      <c r="H689" t="inlineStr">
        <is>
          <t>20673.33</t>
        </is>
      </c>
      <c r="I689" t="inlineStr">
        <is>
          <t>0.49%</t>
        </is>
      </c>
      <c r="J689" t="inlineStr">
        <is>
          <t>4258415.00</t>
        </is>
      </c>
      <c r="K689" t="inlineStr">
        <is>
          <t>170000</t>
        </is>
      </c>
      <c r="L689" t="inlineStr">
        <is>
          <t>17.000000000000</t>
        </is>
      </c>
      <c r="M689" t="inlineStr"/>
    </row>
    <row r="690">
      <c r="A690" t="inlineStr">
        <is>
          <t>06/25/2026</t>
        </is>
      </c>
      <c r="B690" t="inlineStr">
        <is>
          <t>CIVG</t>
        </is>
      </c>
      <c r="C690" s="1" t="inlineStr">
        <is>
          <t>6174468G7</t>
        </is>
      </c>
      <c r="D690" s="1" t="inlineStr">
        <is>
          <t>6174468G7</t>
        </is>
      </c>
      <c r="E690" t="inlineStr">
        <is>
          <t>Morgan Stanley 4.431% 01/23/2030</t>
        </is>
      </c>
      <c r="F690" t="inlineStr">
        <is>
          <t>79000.00000000</t>
        </is>
      </c>
      <c r="G690" t="inlineStr">
        <is>
          <t>99.116702</t>
        </is>
      </c>
      <c r="H690" t="inlineStr">
        <is>
          <t>78302.19</t>
        </is>
      </c>
      <c r="I690" t="inlineStr">
        <is>
          <t>1.84%</t>
        </is>
      </c>
      <c r="J690" t="inlineStr">
        <is>
          <t>4258415.00</t>
        </is>
      </c>
      <c r="K690" t="inlineStr">
        <is>
          <t>170000</t>
        </is>
      </c>
      <c r="L690" t="inlineStr">
        <is>
          <t>17.000000000000</t>
        </is>
      </c>
      <c r="M690" t="inlineStr"/>
    </row>
    <row r="691">
      <c r="A691" t="inlineStr">
        <is>
          <t>06/25/2026</t>
        </is>
      </c>
      <c r="B691" t="inlineStr">
        <is>
          <t>CIVG</t>
        </is>
      </c>
      <c r="C691" s="1" t="inlineStr">
        <is>
          <t>61744YAP3</t>
        </is>
      </c>
      <c r="D691" s="1" t="inlineStr">
        <is>
          <t>61744YAP3</t>
        </is>
      </c>
      <c r="E691" t="inlineStr">
        <is>
          <t>Morgan Stanley 3.772% 01/24/2029</t>
        </is>
      </c>
      <c r="F691" t="inlineStr">
        <is>
          <t>14000.00000000</t>
        </is>
      </c>
      <c r="G691" t="inlineStr">
        <is>
          <t>98.658338</t>
        </is>
      </c>
      <c r="H691" t="inlineStr">
        <is>
          <t>13812.17</t>
        </is>
      </c>
      <c r="I691" t="inlineStr">
        <is>
          <t>0.32%</t>
        </is>
      </c>
      <c r="J691" t="inlineStr">
        <is>
          <t>4258415.00</t>
        </is>
      </c>
      <c r="K691" t="inlineStr">
        <is>
          <t>170000</t>
        </is>
      </c>
      <c r="L691" t="inlineStr">
        <is>
          <t>17.000000000000</t>
        </is>
      </c>
      <c r="M691" t="inlineStr"/>
    </row>
    <row r="692">
      <c r="A692" t="inlineStr">
        <is>
          <t>06/25/2026</t>
        </is>
      </c>
      <c r="B692" t="inlineStr">
        <is>
          <t>CIVG</t>
        </is>
      </c>
      <c r="C692" s="1" t="inlineStr">
        <is>
          <t>62954HBA5</t>
        </is>
      </c>
      <c r="D692" s="1" t="inlineStr">
        <is>
          <t>62954HBA5</t>
        </is>
      </c>
      <c r="E692" t="inlineStr">
        <is>
          <t>NXP BV / NXP Funding LLC / NXP USA Inc 2.5% 05/11/2031</t>
        </is>
      </c>
      <c r="F692" t="inlineStr">
        <is>
          <t>23000.00000000</t>
        </is>
      </c>
      <c r="G692" t="inlineStr">
        <is>
          <t>89.837524</t>
        </is>
      </c>
      <c r="H692" t="inlineStr">
        <is>
          <t>20662.63</t>
        </is>
      </c>
      <c r="I692" t="inlineStr">
        <is>
          <t>0.49%</t>
        </is>
      </c>
      <c r="J692" t="inlineStr">
        <is>
          <t>4258415.00</t>
        </is>
      </c>
      <c r="K692" t="inlineStr">
        <is>
          <t>170000</t>
        </is>
      </c>
      <c r="L692" t="inlineStr">
        <is>
          <t>17.000000000000</t>
        </is>
      </c>
      <c r="M692" t="inlineStr"/>
    </row>
    <row r="693">
      <c r="A693" t="inlineStr">
        <is>
          <t>06/25/2026</t>
        </is>
      </c>
      <c r="B693" t="inlineStr">
        <is>
          <t>CIVG</t>
        </is>
      </c>
      <c r="C693" s="1" t="inlineStr">
        <is>
          <t>637432NP6</t>
        </is>
      </c>
      <c r="D693" s="1" t="inlineStr">
        <is>
          <t>637432NP6</t>
        </is>
      </c>
      <c r="E693" t="inlineStr">
        <is>
          <t>National Rural Utilities Cooperative Finance Corp 3.4% 02/07/2028</t>
        </is>
      </c>
      <c r="F693" t="inlineStr">
        <is>
          <t>10000.00000000</t>
        </is>
      </c>
      <c r="G693" t="inlineStr">
        <is>
          <t>98.424651</t>
        </is>
      </c>
      <c r="H693" t="inlineStr">
        <is>
          <t>9842.47</t>
        </is>
      </c>
      <c r="I693" t="inlineStr">
        <is>
          <t>0.23%</t>
        </is>
      </c>
      <c r="J693" t="inlineStr">
        <is>
          <t>4258415.00</t>
        </is>
      </c>
      <c r="K693" t="inlineStr">
        <is>
          <t>170000</t>
        </is>
      </c>
      <c r="L693" t="inlineStr">
        <is>
          <t>17.000000000000</t>
        </is>
      </c>
      <c r="M693" t="inlineStr"/>
    </row>
    <row r="694">
      <c r="A694" t="inlineStr">
        <is>
          <t>06/25/2026</t>
        </is>
      </c>
      <c r="B694" t="inlineStr">
        <is>
          <t>CIVG</t>
        </is>
      </c>
      <c r="C694" s="1" t="inlineStr">
        <is>
          <t>639057AK4</t>
        </is>
      </c>
      <c r="D694" s="1" t="inlineStr">
        <is>
          <t>639057AK4</t>
        </is>
      </c>
      <c r="E694" t="inlineStr">
        <is>
          <t>NatWest Group PLC 5.808% 09/13/2029</t>
        </is>
      </c>
      <c r="F694" t="inlineStr">
        <is>
          <t>20000.00000000</t>
        </is>
      </c>
      <c r="G694" t="inlineStr">
        <is>
          <t>102.175715</t>
        </is>
      </c>
      <c r="H694" t="inlineStr">
        <is>
          <t>20435.14</t>
        </is>
      </c>
      <c r="I694" t="inlineStr">
        <is>
          <t>0.48%</t>
        </is>
      </c>
      <c r="J694" t="inlineStr">
        <is>
          <t>4258415.00</t>
        </is>
      </c>
      <c r="K694" t="inlineStr">
        <is>
          <t>170000</t>
        </is>
      </c>
      <c r="L694" t="inlineStr">
        <is>
          <t>17.000000000000</t>
        </is>
      </c>
      <c r="M694" t="inlineStr"/>
    </row>
    <row r="695">
      <c r="A695" t="inlineStr">
        <is>
          <t>06/25/2026</t>
        </is>
      </c>
      <c r="B695" t="inlineStr">
        <is>
          <t>CIVG</t>
        </is>
      </c>
      <c r="C695" s="1" t="inlineStr">
        <is>
          <t>65339KBR0</t>
        </is>
      </c>
      <c r="D695" s="1" t="inlineStr">
        <is>
          <t>65339KBR0</t>
        </is>
      </c>
      <c r="E695" t="inlineStr">
        <is>
          <t>NextEra Energy Capital Holdings Inc 2.25% 06/01/2030</t>
        </is>
      </c>
      <c r="F695" t="inlineStr">
        <is>
          <t>22000.00000000</t>
        </is>
      </c>
      <c r="G695" t="inlineStr">
        <is>
          <t>91.234374</t>
        </is>
      </c>
      <c r="H695" t="inlineStr">
        <is>
          <t>20071.56</t>
        </is>
      </c>
      <c r="I695" t="inlineStr">
        <is>
          <t>0.47%</t>
        </is>
      </c>
      <c r="J695" t="inlineStr">
        <is>
          <t>4258415.00</t>
        </is>
      </c>
      <c r="K695" t="inlineStr">
        <is>
          <t>170000</t>
        </is>
      </c>
      <c r="L695" t="inlineStr">
        <is>
          <t>17.000000000000</t>
        </is>
      </c>
      <c r="M695" t="inlineStr"/>
    </row>
    <row r="696">
      <c r="A696" t="inlineStr">
        <is>
          <t>06/25/2026</t>
        </is>
      </c>
      <c r="B696" t="inlineStr">
        <is>
          <t>CIVG</t>
        </is>
      </c>
      <c r="C696" s="1" t="inlineStr">
        <is>
          <t>654106AK9</t>
        </is>
      </c>
      <c r="D696" s="1" t="inlineStr">
        <is>
          <t>654106AK9</t>
        </is>
      </c>
      <c r="E696" t="inlineStr">
        <is>
          <t>NIKE Inc 2.85% 03/27/2030</t>
        </is>
      </c>
      <c r="F696" t="inlineStr">
        <is>
          <t>22000.00000000</t>
        </is>
      </c>
      <c r="G696" t="inlineStr">
        <is>
          <t>94.351805</t>
        </is>
      </c>
      <c r="H696" t="inlineStr">
        <is>
          <t>20757.40</t>
        </is>
      </c>
      <c r="I696" t="inlineStr">
        <is>
          <t>0.49%</t>
        </is>
      </c>
      <c r="J696" t="inlineStr">
        <is>
          <t>4258415.00</t>
        </is>
      </c>
      <c r="K696" t="inlineStr">
        <is>
          <t>170000</t>
        </is>
      </c>
      <c r="L696" t="inlineStr">
        <is>
          <t>17.000000000000</t>
        </is>
      </c>
      <c r="M696" t="inlineStr"/>
    </row>
    <row r="697">
      <c r="A697" t="inlineStr">
        <is>
          <t>06/25/2026</t>
        </is>
      </c>
      <c r="B697" t="inlineStr">
        <is>
          <t>CIVG</t>
        </is>
      </c>
      <c r="C697" s="1" t="inlineStr">
        <is>
          <t>665859AU8</t>
        </is>
      </c>
      <c r="D697" s="1" t="inlineStr">
        <is>
          <t>665859AU8</t>
        </is>
      </c>
      <c r="E697" t="inlineStr">
        <is>
          <t>Northern Trust Corp 3.15% 05/03/2029</t>
        </is>
      </c>
      <c r="F697" t="inlineStr">
        <is>
          <t>21000.00000000</t>
        </is>
      </c>
      <c r="G697" t="inlineStr">
        <is>
          <t>96.864878</t>
        </is>
      </c>
      <c r="H697" t="inlineStr">
        <is>
          <t>20341.62</t>
        </is>
      </c>
      <c r="I697" t="inlineStr">
        <is>
          <t>0.48%</t>
        </is>
      </c>
      <c r="J697" t="inlineStr">
        <is>
          <t>4258415.00</t>
        </is>
      </c>
      <c r="K697" t="inlineStr">
        <is>
          <t>170000</t>
        </is>
      </c>
      <c r="L697" t="inlineStr">
        <is>
          <t>17.000000000000</t>
        </is>
      </c>
      <c r="M697" t="inlineStr"/>
    </row>
    <row r="698">
      <c r="A698" t="inlineStr">
        <is>
          <t>06/25/2026</t>
        </is>
      </c>
      <c r="B698" t="inlineStr">
        <is>
          <t>CIVG</t>
        </is>
      </c>
      <c r="C698" s="1" t="inlineStr">
        <is>
          <t>666807BN1</t>
        </is>
      </c>
      <c r="D698" s="1" t="inlineStr">
        <is>
          <t>666807BN1</t>
        </is>
      </c>
      <c r="E698" t="inlineStr">
        <is>
          <t>Northrop Grumman Corp 3.25% 01/15/2028</t>
        </is>
      </c>
      <c r="F698" t="inlineStr">
        <is>
          <t>32000.00000000</t>
        </is>
      </c>
      <c r="G698" t="inlineStr">
        <is>
          <t>98.287163</t>
        </is>
      </c>
      <c r="H698" t="inlineStr">
        <is>
          <t>31451.89</t>
        </is>
      </c>
      <c r="I698" t="inlineStr">
        <is>
          <t>0.74%</t>
        </is>
      </c>
      <c r="J698" t="inlineStr">
        <is>
          <t>4258415.00</t>
        </is>
      </c>
      <c r="K698" t="inlineStr">
        <is>
          <t>170000</t>
        </is>
      </c>
      <c r="L698" t="inlineStr">
        <is>
          <t>17.000000000000</t>
        </is>
      </c>
      <c r="M698" t="inlineStr"/>
    </row>
    <row r="699">
      <c r="A699" t="inlineStr">
        <is>
          <t>06/25/2026</t>
        </is>
      </c>
      <c r="B699" t="inlineStr">
        <is>
          <t>CIVG</t>
        </is>
      </c>
      <c r="C699" s="1" t="inlineStr">
        <is>
          <t>66989HBF4</t>
        </is>
      </c>
      <c r="D699" s="1" t="inlineStr">
        <is>
          <t>66989HBF4</t>
        </is>
      </c>
      <c r="E699" t="inlineStr">
        <is>
          <t>Novartis Capital Corp 4.1% 03/16/2029</t>
        </is>
      </c>
      <c r="F699" t="inlineStr">
        <is>
          <t>31000.00000000</t>
        </is>
      </c>
      <c r="G699" t="inlineStr">
        <is>
          <t>99.277009</t>
        </is>
      </c>
      <c r="H699" t="inlineStr">
        <is>
          <t>30775.87</t>
        </is>
      </c>
      <c r="I699" t="inlineStr">
        <is>
          <t>0.72%</t>
        </is>
      </c>
      <c r="J699" t="inlineStr">
        <is>
          <t>4258415.00</t>
        </is>
      </c>
      <c r="K699" t="inlineStr">
        <is>
          <t>170000</t>
        </is>
      </c>
      <c r="L699" t="inlineStr">
        <is>
          <t>17.000000000000</t>
        </is>
      </c>
      <c r="M699" t="inlineStr"/>
    </row>
    <row r="700">
      <c r="A700" t="inlineStr">
        <is>
          <t>06/25/2026</t>
        </is>
      </c>
      <c r="B700" t="inlineStr">
        <is>
          <t>CIVG</t>
        </is>
      </c>
      <c r="C700" s="1" t="inlineStr">
        <is>
          <t>682680CB7</t>
        </is>
      </c>
      <c r="D700" s="1" t="inlineStr">
        <is>
          <t>682680CB7</t>
        </is>
      </c>
      <c r="E700" t="inlineStr">
        <is>
          <t>ONEOK Inc 4.25% 09/24/2027</t>
        </is>
      </c>
      <c r="F700" t="inlineStr">
        <is>
          <t>16000.00000000</t>
        </is>
      </c>
      <c r="G700" t="inlineStr">
        <is>
          <t>99.698990</t>
        </is>
      </c>
      <c r="H700" t="inlineStr">
        <is>
          <t>15951.84</t>
        </is>
      </c>
      <c r="I700" t="inlineStr">
        <is>
          <t>0.37%</t>
        </is>
      </c>
      <c r="J700" t="inlineStr">
        <is>
          <t>4258415.00</t>
        </is>
      </c>
      <c r="K700" t="inlineStr">
        <is>
          <t>170000</t>
        </is>
      </c>
      <c r="L700" t="inlineStr">
        <is>
          <t>17.000000000000</t>
        </is>
      </c>
      <c r="M700" t="inlineStr"/>
    </row>
    <row r="701">
      <c r="A701" t="inlineStr">
        <is>
          <t>06/25/2026</t>
        </is>
      </c>
      <c r="B701" t="inlineStr">
        <is>
          <t>CIVG</t>
        </is>
      </c>
      <c r="C701" s="1" t="inlineStr">
        <is>
          <t>68389XCE3</t>
        </is>
      </c>
      <c r="D701" s="1" t="inlineStr">
        <is>
          <t>68389XCE3</t>
        </is>
      </c>
      <c r="E701" t="inlineStr">
        <is>
          <t>Oracle Corp 2.875% 03/25/2031</t>
        </is>
      </c>
      <c r="F701" t="inlineStr">
        <is>
          <t>31000.00000000</t>
        </is>
      </c>
      <c r="G701" t="inlineStr">
        <is>
          <t>89.540802</t>
        </is>
      </c>
      <c r="H701" t="inlineStr">
        <is>
          <t>27757.65</t>
        </is>
      </c>
      <c r="I701" t="inlineStr">
        <is>
          <t>0.65%</t>
        </is>
      </c>
      <c r="J701" t="inlineStr">
        <is>
          <t>4258415.00</t>
        </is>
      </c>
      <c r="K701" t="inlineStr">
        <is>
          <t>170000</t>
        </is>
      </c>
      <c r="L701" t="inlineStr">
        <is>
          <t>17.000000000000</t>
        </is>
      </c>
      <c r="M701" t="inlineStr"/>
    </row>
    <row r="702">
      <c r="A702" t="inlineStr">
        <is>
          <t>06/25/2026</t>
        </is>
      </c>
      <c r="B702" t="inlineStr">
        <is>
          <t>CIVG</t>
        </is>
      </c>
      <c r="C702" s="1" t="inlineStr">
        <is>
          <t>69121KAH7</t>
        </is>
      </c>
      <c r="D702" s="1" t="inlineStr">
        <is>
          <t>69121KAH7</t>
        </is>
      </c>
      <c r="E702" t="inlineStr">
        <is>
          <t>Blue Owl Capital Corp 5.95% 03/15/2029</t>
        </is>
      </c>
      <c r="F702" t="inlineStr">
        <is>
          <t>20000.00000000</t>
        </is>
      </c>
      <c r="G702" t="inlineStr">
        <is>
          <t>99.986810</t>
        </is>
      </c>
      <c r="H702" t="inlineStr">
        <is>
          <t>19997.36</t>
        </is>
      </c>
      <c r="I702" t="inlineStr">
        <is>
          <t>0.47%</t>
        </is>
      </c>
      <c r="J702" t="inlineStr">
        <is>
          <t>4258415.00</t>
        </is>
      </c>
      <c r="K702" t="inlineStr">
        <is>
          <t>170000</t>
        </is>
      </c>
      <c r="L702" t="inlineStr">
        <is>
          <t>17.000000000000</t>
        </is>
      </c>
      <c r="M702" t="inlineStr"/>
    </row>
    <row r="703">
      <c r="A703" t="inlineStr">
        <is>
          <t>06/25/2026</t>
        </is>
      </c>
      <c r="B703" t="inlineStr">
        <is>
          <t>CIVG</t>
        </is>
      </c>
      <c r="C703" s="1" t="inlineStr">
        <is>
          <t>693475BX2</t>
        </is>
      </c>
      <c r="D703" s="1" t="inlineStr">
        <is>
          <t>693475BX2</t>
        </is>
      </c>
      <c r="E703" t="inlineStr">
        <is>
          <t>PNC Financial Services Group Inc/The 5.492% 05/14/2030</t>
        </is>
      </c>
      <c r="F703" t="inlineStr">
        <is>
          <t>14000.00000000</t>
        </is>
      </c>
      <c r="G703" t="inlineStr">
        <is>
          <t>102.192732</t>
        </is>
      </c>
      <c r="H703" t="inlineStr">
        <is>
          <t>14306.98</t>
        </is>
      </c>
      <c r="I703" t="inlineStr">
        <is>
          <t>0.34%</t>
        </is>
      </c>
      <c r="J703" t="inlineStr">
        <is>
          <t>4258415.00</t>
        </is>
      </c>
      <c r="K703" t="inlineStr">
        <is>
          <t>170000</t>
        </is>
      </c>
      <c r="L703" t="inlineStr">
        <is>
          <t>17.000000000000</t>
        </is>
      </c>
      <c r="M703" t="inlineStr"/>
    </row>
    <row r="704">
      <c r="A704" t="inlineStr">
        <is>
          <t>06/25/2026</t>
        </is>
      </c>
      <c r="B704" t="inlineStr">
        <is>
          <t>CIVG</t>
        </is>
      </c>
      <c r="C704" s="1" t="inlineStr">
        <is>
          <t>693475CD5</t>
        </is>
      </c>
      <c r="D704" s="1" t="inlineStr">
        <is>
          <t>693475CD5</t>
        </is>
      </c>
      <c r="E704" t="inlineStr">
        <is>
          <t>PNC Financial Services Group Inc/The 4.899% 05/13/2031</t>
        </is>
      </c>
      <c r="F704" t="inlineStr">
        <is>
          <t>20000.00000000</t>
        </is>
      </c>
      <c r="G704" t="inlineStr">
        <is>
          <t>100.682083</t>
        </is>
      </c>
      <c r="H704" t="inlineStr">
        <is>
          <t>20136.42</t>
        </is>
      </c>
      <c r="I704" t="inlineStr">
        <is>
          <t>0.47%</t>
        </is>
      </c>
      <c r="J704" t="inlineStr">
        <is>
          <t>4258415.00</t>
        </is>
      </c>
      <c r="K704" t="inlineStr">
        <is>
          <t>170000</t>
        </is>
      </c>
      <c r="L704" t="inlineStr">
        <is>
          <t>17.000000000000</t>
        </is>
      </c>
      <c r="M704" t="inlineStr"/>
    </row>
    <row r="705">
      <c r="A705" t="inlineStr">
        <is>
          <t>06/25/2026</t>
        </is>
      </c>
      <c r="B705" t="inlineStr">
        <is>
          <t>CIVG</t>
        </is>
      </c>
      <c r="C705" s="1" t="inlineStr">
        <is>
          <t>694308JM0</t>
        </is>
      </c>
      <c r="D705" s="1" t="inlineStr">
        <is>
          <t>694308JM0</t>
        </is>
      </c>
      <c r="E705" t="inlineStr">
        <is>
          <t>Pacific Gas and Electric Co 4.55% 07/01/2030</t>
        </is>
      </c>
      <c r="F705" t="inlineStr">
        <is>
          <t>15000.00000000</t>
        </is>
      </c>
      <c r="G705" t="inlineStr">
        <is>
          <t>98.559709</t>
        </is>
      </c>
      <c r="H705" t="inlineStr">
        <is>
          <t>14783.96</t>
        </is>
      </c>
      <c r="I705" t="inlineStr">
        <is>
          <t>0.35%</t>
        </is>
      </c>
      <c r="J705" t="inlineStr">
        <is>
          <t>4258415.00</t>
        </is>
      </c>
      <c r="K705" t="inlineStr">
        <is>
          <t>170000</t>
        </is>
      </c>
      <c r="L705" t="inlineStr">
        <is>
          <t>17.000000000000</t>
        </is>
      </c>
      <c r="M705" t="inlineStr"/>
    </row>
    <row r="706">
      <c r="A706" t="inlineStr">
        <is>
          <t>06/25/2026</t>
        </is>
      </c>
      <c r="B706" t="inlineStr">
        <is>
          <t>CIVG</t>
        </is>
      </c>
      <c r="C706" s="1" t="inlineStr">
        <is>
          <t>713448GA0</t>
        </is>
      </c>
      <c r="D706" s="1" t="inlineStr">
        <is>
          <t>713448GA0</t>
        </is>
      </c>
      <c r="E706" t="inlineStr">
        <is>
          <t>PepsiCo Inc 4.45% 02/07/2028</t>
        </is>
      </c>
      <c r="F706" t="inlineStr">
        <is>
          <t>20000.00000000</t>
        </is>
      </c>
      <c r="G706" t="inlineStr">
        <is>
          <t>100.308130</t>
        </is>
      </c>
      <c r="H706" t="inlineStr">
        <is>
          <t>20061.63</t>
        </is>
      </c>
      <c r="I706" t="inlineStr">
        <is>
          <t>0.47%</t>
        </is>
      </c>
      <c r="J706" t="inlineStr">
        <is>
          <t>4258415.00</t>
        </is>
      </c>
      <c r="K706" t="inlineStr">
        <is>
          <t>170000</t>
        </is>
      </c>
      <c r="L706" t="inlineStr">
        <is>
          <t>17.000000000000</t>
        </is>
      </c>
      <c r="M706" t="inlineStr"/>
    </row>
    <row r="707">
      <c r="A707" t="inlineStr">
        <is>
          <t>06/25/2026</t>
        </is>
      </c>
      <c r="B707" t="inlineStr">
        <is>
          <t>CIVG</t>
        </is>
      </c>
      <c r="C707" s="1" t="inlineStr">
        <is>
          <t>716973AD4</t>
        </is>
      </c>
      <c r="D707" s="1" t="inlineStr">
        <is>
          <t>716973AD4</t>
        </is>
      </c>
      <c r="E707" t="inlineStr">
        <is>
          <t>Pfizer Investment Enterprises Pte Ltd 4.65% 05/19/2030</t>
        </is>
      </c>
      <c r="F707" t="inlineStr">
        <is>
          <t>36000.00000000</t>
        </is>
      </c>
      <c r="G707" t="inlineStr">
        <is>
          <t>100.430561</t>
        </is>
      </c>
      <c r="H707" t="inlineStr">
        <is>
          <t>36155.00</t>
        </is>
      </c>
      <c r="I707" t="inlineStr">
        <is>
          <t>0.85%</t>
        </is>
      </c>
      <c r="J707" t="inlineStr">
        <is>
          <t>4258415.00</t>
        </is>
      </c>
      <c r="K707" t="inlineStr">
        <is>
          <t>170000</t>
        </is>
      </c>
      <c r="L707" t="inlineStr">
        <is>
          <t>17.000000000000</t>
        </is>
      </c>
      <c r="M707" t="inlineStr"/>
    </row>
    <row r="708">
      <c r="A708" t="inlineStr">
        <is>
          <t>06/25/2026</t>
        </is>
      </c>
      <c r="B708" t="inlineStr">
        <is>
          <t>CIVG</t>
        </is>
      </c>
      <c r="C708" s="1" t="inlineStr">
        <is>
          <t>717081EW9</t>
        </is>
      </c>
      <c r="D708" s="1" t="inlineStr">
        <is>
          <t>717081EW9</t>
        </is>
      </c>
      <c r="E708" t="inlineStr">
        <is>
          <t>Pfizer Inc 2.625% 04/01/2030</t>
        </is>
      </c>
      <c r="F708" t="inlineStr">
        <is>
          <t>22000.00000000</t>
        </is>
      </c>
      <c r="G708" t="inlineStr">
        <is>
          <t>93.524882</t>
        </is>
      </c>
      <c r="H708" t="inlineStr">
        <is>
          <t>20575.47</t>
        </is>
      </c>
      <c r="I708" t="inlineStr">
        <is>
          <t>0.48%</t>
        </is>
      </c>
      <c r="J708" t="inlineStr">
        <is>
          <t>4258415.00</t>
        </is>
      </c>
      <c r="K708" t="inlineStr">
        <is>
          <t>170000</t>
        </is>
      </c>
      <c r="L708" t="inlineStr">
        <is>
          <t>17.000000000000</t>
        </is>
      </c>
      <c r="M708" t="inlineStr"/>
    </row>
    <row r="709">
      <c r="A709" t="inlineStr">
        <is>
          <t>06/25/2026</t>
        </is>
      </c>
      <c r="B709" t="inlineStr">
        <is>
          <t>CIVG</t>
        </is>
      </c>
      <c r="C709" s="1" t="inlineStr">
        <is>
          <t>718172DA4</t>
        </is>
      </c>
      <c r="D709" s="1" t="inlineStr">
        <is>
          <t>718172DA4</t>
        </is>
      </c>
      <c r="E709" t="inlineStr">
        <is>
          <t>Philip Morris International Inc 5.125% 02/15/2030</t>
        </is>
      </c>
      <c r="F709" t="inlineStr">
        <is>
          <t>20000.00000000</t>
        </is>
      </c>
      <c r="G709" t="inlineStr">
        <is>
          <t>101.530239</t>
        </is>
      </c>
      <c r="H709" t="inlineStr">
        <is>
          <t>20306.05</t>
        </is>
      </c>
      <c r="I709" t="inlineStr">
        <is>
          <t>0.48%</t>
        </is>
      </c>
      <c r="J709" t="inlineStr">
        <is>
          <t>4258415.00</t>
        </is>
      </c>
      <c r="K709" t="inlineStr">
        <is>
          <t>170000</t>
        </is>
      </c>
      <c r="L709" t="inlineStr">
        <is>
          <t>17.000000000000</t>
        </is>
      </c>
      <c r="M709" t="inlineStr"/>
    </row>
    <row r="710">
      <c r="A710" t="inlineStr">
        <is>
          <t>06/25/2026</t>
        </is>
      </c>
      <c r="B710" t="inlineStr">
        <is>
          <t>CIVG</t>
        </is>
      </c>
      <c r="C710" s="1" t="inlineStr">
        <is>
          <t>72348NAA7</t>
        </is>
      </c>
      <c r="D710" s="1" t="inlineStr">
        <is>
          <t>72348NAA7</t>
        </is>
      </c>
      <c r="E710" t="inlineStr">
        <is>
          <t>Pinnacle Financial Partners Inc 5.596% 05/19/2032</t>
        </is>
      </c>
      <c r="F710" t="inlineStr">
        <is>
          <t>20000.00000000</t>
        </is>
      </c>
      <c r="G710" t="inlineStr">
        <is>
          <t>100.395228</t>
        </is>
      </c>
      <c r="H710" t="inlineStr">
        <is>
          <t>20079.05</t>
        </is>
      </c>
      <c r="I710" t="inlineStr">
        <is>
          <t>0.47%</t>
        </is>
      </c>
      <c r="J710" t="inlineStr">
        <is>
          <t>4258415.00</t>
        </is>
      </c>
      <c r="K710" t="inlineStr">
        <is>
          <t>170000</t>
        </is>
      </c>
      <c r="L710" t="inlineStr">
        <is>
          <t>17.000000000000</t>
        </is>
      </c>
      <c r="M710" t="inlineStr"/>
    </row>
    <row r="711">
      <c r="A711" t="inlineStr">
        <is>
          <t>06/25/2026</t>
        </is>
      </c>
      <c r="B711" t="inlineStr">
        <is>
          <t>CIVG</t>
        </is>
      </c>
      <c r="C711" s="1" t="inlineStr">
        <is>
          <t>742718FH7</t>
        </is>
      </c>
      <c r="D711" s="1" t="inlineStr">
        <is>
          <t>742718FH7</t>
        </is>
      </c>
      <c r="E711" t="inlineStr">
        <is>
          <t>Procter &amp; Gamble Co/The 3% 03/25/2030</t>
        </is>
      </c>
      <c r="F711" t="inlineStr">
        <is>
          <t>21000.00000000</t>
        </is>
      </c>
      <c r="G711" t="inlineStr">
        <is>
          <t>95.197458</t>
        </is>
      </c>
      <c r="H711" t="inlineStr">
        <is>
          <t>19991.47</t>
        </is>
      </c>
      <c r="I711" t="inlineStr">
        <is>
          <t>0.47%</t>
        </is>
      </c>
      <c r="J711" t="inlineStr">
        <is>
          <t>4258415.00</t>
        </is>
      </c>
      <c r="K711" t="inlineStr">
        <is>
          <t>170000</t>
        </is>
      </c>
      <c r="L711" t="inlineStr">
        <is>
          <t>17.000000000000</t>
        </is>
      </c>
      <c r="M711" t="inlineStr"/>
    </row>
    <row r="712">
      <c r="A712" t="inlineStr">
        <is>
          <t>06/25/2026</t>
        </is>
      </c>
      <c r="B712" t="inlineStr">
        <is>
          <t>CIVG</t>
        </is>
      </c>
      <c r="C712" s="1" t="inlineStr">
        <is>
          <t>74340XBM2</t>
        </is>
      </c>
      <c r="D712" s="1" t="inlineStr">
        <is>
          <t>74340XBM2</t>
        </is>
      </c>
      <c r="E712" t="inlineStr">
        <is>
          <t>Prologis LP 2.25% 04/15/2030</t>
        </is>
      </c>
      <c r="F712" t="inlineStr">
        <is>
          <t>22000.00000000</t>
        </is>
      </c>
      <c r="G712" t="inlineStr">
        <is>
          <t>91.913679</t>
        </is>
      </c>
      <c r="H712" t="inlineStr">
        <is>
          <t>20221.01</t>
        </is>
      </c>
      <c r="I712" t="inlineStr">
        <is>
          <t>0.47%</t>
        </is>
      </c>
      <c r="J712" t="inlineStr">
        <is>
          <t>4258415.00</t>
        </is>
      </c>
      <c r="K712" t="inlineStr">
        <is>
          <t>170000</t>
        </is>
      </c>
      <c r="L712" t="inlineStr">
        <is>
          <t>17.000000000000</t>
        </is>
      </c>
      <c r="M712" t="inlineStr"/>
    </row>
    <row r="713">
      <c r="A713" t="inlineStr">
        <is>
          <t>06/25/2026</t>
        </is>
      </c>
      <c r="B713" t="inlineStr">
        <is>
          <t>CIVG</t>
        </is>
      </c>
      <c r="C713" s="1" t="inlineStr">
        <is>
          <t>74949LAC6</t>
        </is>
      </c>
      <c r="D713" s="1" t="inlineStr">
        <is>
          <t>74949LAC6</t>
        </is>
      </c>
      <c r="E713" t="inlineStr">
        <is>
          <t>RELX Capital Inc 4% 03/18/2029</t>
        </is>
      </c>
      <c r="F713" t="inlineStr">
        <is>
          <t>21000.00000000</t>
        </is>
      </c>
      <c r="G713" t="inlineStr">
        <is>
          <t>98.452474</t>
        </is>
      </c>
      <c r="H713" t="inlineStr">
        <is>
          <t>20675.02</t>
        </is>
      </c>
      <c r="I713" t="inlineStr">
        <is>
          <t>0.49%</t>
        </is>
      </c>
      <c r="J713" t="inlineStr">
        <is>
          <t>4258415.00</t>
        </is>
      </c>
      <c r="K713" t="inlineStr">
        <is>
          <t>170000</t>
        </is>
      </c>
      <c r="L713" t="inlineStr">
        <is>
          <t>17.000000000000</t>
        </is>
      </c>
      <c r="M713" t="inlineStr"/>
    </row>
    <row r="714">
      <c r="A714" t="inlineStr">
        <is>
          <t>06/25/2026</t>
        </is>
      </c>
      <c r="B714" t="inlineStr">
        <is>
          <t>CIVG</t>
        </is>
      </c>
      <c r="C714" s="1" t="inlineStr">
        <is>
          <t>756109BR4</t>
        </is>
      </c>
      <c r="D714" s="1" t="inlineStr">
        <is>
          <t>756109BR4</t>
        </is>
      </c>
      <c r="E714" t="inlineStr">
        <is>
          <t>Realty Income Corp 4.85% 03/15/2030</t>
        </is>
      </c>
      <c r="F714" t="inlineStr">
        <is>
          <t>20000.00000000</t>
        </is>
      </c>
      <c r="G714" t="inlineStr">
        <is>
          <t>100.642737</t>
        </is>
      </c>
      <c r="H714" t="inlineStr">
        <is>
          <t>20128.55</t>
        </is>
      </c>
      <c r="I714" t="inlineStr">
        <is>
          <t>0.47%</t>
        </is>
      </c>
      <c r="J714" t="inlineStr">
        <is>
          <t>4258415.00</t>
        </is>
      </c>
      <c r="K714" t="inlineStr">
        <is>
          <t>170000</t>
        </is>
      </c>
      <c r="L714" t="inlineStr">
        <is>
          <t>17.000000000000</t>
        </is>
      </c>
      <c r="M714" t="inlineStr"/>
    </row>
    <row r="715">
      <c r="A715" t="inlineStr">
        <is>
          <t>06/25/2026</t>
        </is>
      </c>
      <c r="B715" t="inlineStr">
        <is>
          <t>CIVG</t>
        </is>
      </c>
      <c r="C715" s="1" t="inlineStr">
        <is>
          <t>75886FAE7</t>
        </is>
      </c>
      <c r="D715" s="1" t="inlineStr">
        <is>
          <t>75886FAE7</t>
        </is>
      </c>
      <c r="E715" t="inlineStr">
        <is>
          <t>Regeneron Pharmaceuticals Inc 1.75% 09/15/2030</t>
        </is>
      </c>
      <c r="F715" t="inlineStr">
        <is>
          <t>23000.00000000</t>
        </is>
      </c>
      <c r="G715" t="inlineStr">
        <is>
          <t>88.546136</t>
        </is>
      </c>
      <c r="H715" t="inlineStr">
        <is>
          <t>20365.61</t>
        </is>
      </c>
      <c r="I715" t="inlineStr">
        <is>
          <t>0.48%</t>
        </is>
      </c>
      <c r="J715" t="inlineStr">
        <is>
          <t>4258415.00</t>
        </is>
      </c>
      <c r="K715" t="inlineStr">
        <is>
          <t>170000</t>
        </is>
      </c>
      <c r="L715" t="inlineStr">
        <is>
          <t>17.000000000000</t>
        </is>
      </c>
      <c r="M715" t="inlineStr"/>
    </row>
    <row r="716">
      <c r="A716" t="inlineStr">
        <is>
          <t>06/25/2026</t>
        </is>
      </c>
      <c r="B716" t="inlineStr">
        <is>
          <t>CIVG</t>
        </is>
      </c>
      <c r="C716" s="1" t="inlineStr">
        <is>
          <t>76720AAS5</t>
        </is>
      </c>
      <c r="D716" s="1" t="inlineStr">
        <is>
          <t>76720AAS5</t>
        </is>
      </c>
      <c r="E716" t="inlineStr">
        <is>
          <t>Rio Tinto Finance USA PLC 4.875% 03/14/2030</t>
        </is>
      </c>
      <c r="F716" t="inlineStr">
        <is>
          <t>20000.00000000</t>
        </is>
      </c>
      <c r="G716" t="inlineStr">
        <is>
          <t>100.947291</t>
        </is>
      </c>
      <c r="H716" t="inlineStr">
        <is>
          <t>20189.46</t>
        </is>
      </c>
      <c r="I716" t="inlineStr">
        <is>
          <t>0.47%</t>
        </is>
      </c>
      <c r="J716" t="inlineStr">
        <is>
          <t>4258415.00</t>
        </is>
      </c>
      <c r="K716" t="inlineStr">
        <is>
          <t>170000</t>
        </is>
      </c>
      <c r="L716" t="inlineStr">
        <is>
          <t>17.000000000000</t>
        </is>
      </c>
      <c r="M716" t="inlineStr"/>
    </row>
    <row r="717">
      <c r="A717" t="inlineStr">
        <is>
          <t>06/25/2026</t>
        </is>
      </c>
      <c r="B717" t="inlineStr">
        <is>
          <t>CIVG</t>
        </is>
      </c>
      <c r="C717" s="1" t="inlineStr">
        <is>
          <t>775109DE8</t>
        </is>
      </c>
      <c r="D717" s="1" t="inlineStr">
        <is>
          <t>775109DE8</t>
        </is>
      </c>
      <c r="E717" t="inlineStr">
        <is>
          <t>Rogers Communications Inc 5% 02/15/2029</t>
        </is>
      </c>
      <c r="F717" t="inlineStr">
        <is>
          <t>20000.00000000</t>
        </is>
      </c>
      <c r="G717" t="inlineStr">
        <is>
          <t>100.682274</t>
        </is>
      </c>
      <c r="H717" t="inlineStr">
        <is>
          <t>20136.45</t>
        </is>
      </c>
      <c r="I717" t="inlineStr">
        <is>
          <t>0.47%</t>
        </is>
      </c>
      <c r="J717" t="inlineStr">
        <is>
          <t>4258415.00</t>
        </is>
      </c>
      <c r="K717" t="inlineStr">
        <is>
          <t>170000</t>
        </is>
      </c>
      <c r="L717" t="inlineStr">
        <is>
          <t>17.000000000000</t>
        </is>
      </c>
      <c r="M717" t="inlineStr"/>
    </row>
    <row r="718">
      <c r="A718" t="inlineStr">
        <is>
          <t>06/25/2026</t>
        </is>
      </c>
      <c r="B718" t="inlineStr">
        <is>
          <t>CIVG</t>
        </is>
      </c>
      <c r="C718" s="1" t="inlineStr">
        <is>
          <t>776743AF3</t>
        </is>
      </c>
      <c r="D718" s="1" t="inlineStr">
        <is>
          <t>776743AF3</t>
        </is>
      </c>
      <c r="E718" t="inlineStr">
        <is>
          <t>Roper Technologies Inc 4.2% 09/15/2028</t>
        </is>
      </c>
      <c r="F718" t="inlineStr">
        <is>
          <t>21000.00000000</t>
        </is>
      </c>
      <c r="G718" t="inlineStr">
        <is>
          <t>99.207340</t>
        </is>
      </c>
      <c r="H718" t="inlineStr">
        <is>
          <t>20833.54</t>
        </is>
      </c>
      <c r="I718" t="inlineStr">
        <is>
          <t>0.49%</t>
        </is>
      </c>
      <c r="J718" t="inlineStr">
        <is>
          <t>4258415.00</t>
        </is>
      </c>
      <c r="K718" t="inlineStr">
        <is>
          <t>170000</t>
        </is>
      </c>
      <c r="L718" t="inlineStr">
        <is>
          <t>17.000000000000</t>
        </is>
      </c>
      <c r="M718" t="inlineStr"/>
    </row>
    <row r="719">
      <c r="A719" t="inlineStr">
        <is>
          <t>06/25/2026</t>
        </is>
      </c>
      <c r="B719" t="inlineStr">
        <is>
          <t>CIVG</t>
        </is>
      </c>
      <c r="C719" s="1" t="inlineStr">
        <is>
          <t>78017DAC2</t>
        </is>
      </c>
      <c r="D719" s="1" t="inlineStr">
        <is>
          <t>78017DAC2</t>
        </is>
      </c>
      <c r="E719" t="inlineStr">
        <is>
          <t>Royal Bank of Canada 5.153% 02/04/2031</t>
        </is>
      </c>
      <c r="F719" t="inlineStr">
        <is>
          <t>16000.00000000</t>
        </is>
      </c>
      <c r="G719" t="inlineStr">
        <is>
          <t>101.323861</t>
        </is>
      </c>
      <c r="H719" t="inlineStr">
        <is>
          <t>16211.82</t>
        </is>
      </c>
      <c r="I719" t="inlineStr">
        <is>
          <t>0.38%</t>
        </is>
      </c>
      <c r="J719" t="inlineStr">
        <is>
          <t>4258415.00</t>
        </is>
      </c>
      <c r="K719" t="inlineStr">
        <is>
          <t>170000</t>
        </is>
      </c>
      <c r="L719" t="inlineStr">
        <is>
          <t>17.000000000000</t>
        </is>
      </c>
      <c r="M719" t="inlineStr"/>
    </row>
    <row r="720">
      <c r="A720" t="inlineStr">
        <is>
          <t>06/25/2026</t>
        </is>
      </c>
      <c r="B720" t="inlineStr">
        <is>
          <t>CIVG</t>
        </is>
      </c>
      <c r="C720" s="1" t="inlineStr">
        <is>
          <t>78017DAN8</t>
        </is>
      </c>
      <c r="D720" s="1" t="inlineStr">
        <is>
          <t>78017DAN8</t>
        </is>
      </c>
      <c r="E720" t="inlineStr">
        <is>
          <t>Royal Bank of Canada 3.995% 11/03/2028</t>
        </is>
      </c>
      <c r="F720" t="inlineStr">
        <is>
          <t>28000.00000000</t>
        </is>
      </c>
      <c r="G720" t="inlineStr">
        <is>
          <t>99.364109</t>
        </is>
      </c>
      <c r="H720" t="inlineStr">
        <is>
          <t>27821.95</t>
        </is>
      </c>
      <c r="I720" t="inlineStr">
        <is>
          <t>0.65%</t>
        </is>
      </c>
      <c r="J720" t="inlineStr">
        <is>
          <t>4258415.00</t>
        </is>
      </c>
      <c r="K720" t="inlineStr">
        <is>
          <t>170000</t>
        </is>
      </c>
      <c r="L720" t="inlineStr">
        <is>
          <t>17.000000000000</t>
        </is>
      </c>
      <c r="M720" t="inlineStr"/>
    </row>
    <row r="721">
      <c r="A721" t="inlineStr">
        <is>
          <t>06/25/2026</t>
        </is>
      </c>
      <c r="B721" t="inlineStr">
        <is>
          <t>CIVG</t>
        </is>
      </c>
      <c r="C721" s="1" t="inlineStr">
        <is>
          <t>785592AX4</t>
        </is>
      </c>
      <c r="D721" s="1" t="inlineStr">
        <is>
          <t>785592AX4</t>
        </is>
      </c>
      <c r="E721" t="inlineStr">
        <is>
          <t>Sabine Pass Liquefaction LLC 4.5% 05/15/2030</t>
        </is>
      </c>
      <c r="F721" t="inlineStr">
        <is>
          <t>17000.00000000</t>
        </is>
      </c>
      <c r="G721" t="inlineStr">
        <is>
          <t>99.114197</t>
        </is>
      </c>
      <c r="H721" t="inlineStr">
        <is>
          <t>16849.41</t>
        </is>
      </c>
      <c r="I721" t="inlineStr">
        <is>
          <t>0.40%</t>
        </is>
      </c>
      <c r="J721" t="inlineStr">
        <is>
          <t>4258415.00</t>
        </is>
      </c>
      <c r="K721" t="inlineStr">
        <is>
          <t>170000</t>
        </is>
      </c>
      <c r="L721" t="inlineStr">
        <is>
          <t>17.000000000000</t>
        </is>
      </c>
      <c r="M721" t="inlineStr"/>
    </row>
    <row r="722">
      <c r="A722" t="inlineStr">
        <is>
          <t>06/25/2026</t>
        </is>
      </c>
      <c r="B722" t="inlineStr">
        <is>
          <t>CIVG</t>
        </is>
      </c>
      <c r="C722" s="1" t="inlineStr">
        <is>
          <t>79466LAQ7</t>
        </is>
      </c>
      <c r="D722" s="1" t="inlineStr">
        <is>
          <t>79466LAQ7</t>
        </is>
      </c>
      <c r="E722" t="inlineStr">
        <is>
          <t>Salesforce Inc 4.5% 03/15/2028</t>
        </is>
      </c>
      <c r="F722" t="inlineStr">
        <is>
          <t>17000.00000000</t>
        </is>
      </c>
      <c r="G722" t="inlineStr">
        <is>
          <t>99.902538</t>
        </is>
      </c>
      <c r="H722" t="inlineStr">
        <is>
          <t>16983.43</t>
        </is>
      </c>
      <c r="I722" t="inlineStr">
        <is>
          <t>0.40%</t>
        </is>
      </c>
      <c r="J722" t="inlineStr">
        <is>
          <t>4258415.00</t>
        </is>
      </c>
      <c r="K722" t="inlineStr">
        <is>
          <t>170000</t>
        </is>
      </c>
      <c r="L722" t="inlineStr">
        <is>
          <t>17.000000000000</t>
        </is>
      </c>
      <c r="M722" t="inlineStr"/>
    </row>
    <row r="723">
      <c r="A723" t="inlineStr">
        <is>
          <t>06/25/2026</t>
        </is>
      </c>
      <c r="B723" t="inlineStr">
        <is>
          <t>CIVG</t>
        </is>
      </c>
      <c r="C723" s="1" t="inlineStr">
        <is>
          <t>79466LAR5</t>
        </is>
      </c>
      <c r="D723" s="1" t="inlineStr">
        <is>
          <t>79466LAR5</t>
        </is>
      </c>
      <c r="E723" t="inlineStr">
        <is>
          <t>Salesforce Inc 4.65% 03/15/2029</t>
        </is>
      </c>
      <c r="F723" t="inlineStr">
        <is>
          <t>20000.00000000</t>
        </is>
      </c>
      <c r="G723" t="inlineStr">
        <is>
          <t>99.984395</t>
        </is>
      </c>
      <c r="H723" t="inlineStr">
        <is>
          <t>19996.88</t>
        </is>
      </c>
      <c r="I723" t="inlineStr">
        <is>
          <t>0.47%</t>
        </is>
      </c>
      <c r="J723" t="inlineStr">
        <is>
          <t>4258415.00</t>
        </is>
      </c>
      <c r="K723" t="inlineStr">
        <is>
          <t>170000</t>
        </is>
      </c>
      <c r="L723" t="inlineStr">
        <is>
          <t>17.000000000000</t>
        </is>
      </c>
      <c r="M723" t="inlineStr"/>
    </row>
    <row r="724">
      <c r="A724" t="inlineStr">
        <is>
          <t>06/25/2026</t>
        </is>
      </c>
      <c r="B724" t="inlineStr">
        <is>
          <t>CIVG</t>
        </is>
      </c>
      <c r="C724" s="1" t="inlineStr">
        <is>
          <t>80282KBF2</t>
        </is>
      </c>
      <c r="D724" s="1" t="inlineStr">
        <is>
          <t>80282KBF2</t>
        </is>
      </c>
      <c r="E724" t="inlineStr">
        <is>
          <t>Santander Holdings USA Inc 6.499% 03/09/2029</t>
        </is>
      </c>
      <c r="F724" t="inlineStr">
        <is>
          <t>20000.00000000</t>
        </is>
      </c>
      <c r="G724" t="inlineStr">
        <is>
          <t>102.615666</t>
        </is>
      </c>
      <c r="H724" t="inlineStr">
        <is>
          <t>20523.13</t>
        </is>
      </c>
      <c r="I724" t="inlineStr">
        <is>
          <t>0.48%</t>
        </is>
      </c>
      <c r="J724" t="inlineStr">
        <is>
          <t>4258415.00</t>
        </is>
      </c>
      <c r="K724" t="inlineStr">
        <is>
          <t>170000</t>
        </is>
      </c>
      <c r="L724" t="inlineStr">
        <is>
          <t>17.000000000000</t>
        </is>
      </c>
      <c r="M724" t="inlineStr"/>
    </row>
    <row r="725">
      <c r="A725" t="inlineStr">
        <is>
          <t>06/25/2026</t>
        </is>
      </c>
      <c r="B725" t="inlineStr">
        <is>
          <t>CIVG</t>
        </is>
      </c>
      <c r="C725" s="1" t="inlineStr">
        <is>
          <t>808513CJ2</t>
        </is>
      </c>
      <c r="D725" s="1" t="inlineStr">
        <is>
          <t>808513CJ2</t>
        </is>
      </c>
      <c r="E725" t="inlineStr">
        <is>
          <t>Charles Schwab Corp/The 6.196% 11/17/2029</t>
        </is>
      </c>
      <c r="F725" t="inlineStr">
        <is>
          <t>20000.00000000</t>
        </is>
      </c>
      <c r="G725" t="inlineStr">
        <is>
          <t>103.484175</t>
        </is>
      </c>
      <c r="H725" t="inlineStr">
        <is>
          <t>20696.84</t>
        </is>
      </c>
      <c r="I725" t="inlineStr">
        <is>
          <t>0.49%</t>
        </is>
      </c>
      <c r="J725" t="inlineStr">
        <is>
          <t>4258415.00</t>
        </is>
      </c>
      <c r="K725" t="inlineStr">
        <is>
          <t>170000</t>
        </is>
      </c>
      <c r="L725" t="inlineStr">
        <is>
          <t>17.000000000000</t>
        </is>
      </c>
      <c r="M725" t="inlineStr"/>
    </row>
    <row r="726">
      <c r="A726" t="inlineStr">
        <is>
          <t>06/25/2026</t>
        </is>
      </c>
      <c r="B726" t="inlineStr">
        <is>
          <t>CIVG</t>
        </is>
      </c>
      <c r="C726" s="1" t="inlineStr">
        <is>
          <t>816851BG3</t>
        </is>
      </c>
      <c r="D726" s="1" t="inlineStr">
        <is>
          <t>816851BG3</t>
        </is>
      </c>
      <c r="E726" t="inlineStr">
        <is>
          <t>Sempra 3.4% 02/01/2028</t>
        </is>
      </c>
      <c r="F726" t="inlineStr">
        <is>
          <t>21000.00000000</t>
        </is>
      </c>
      <c r="G726" t="inlineStr">
        <is>
          <t>98.155025</t>
        </is>
      </c>
      <c r="H726" t="inlineStr">
        <is>
          <t>20612.56</t>
        </is>
      </c>
      <c r="I726" t="inlineStr">
        <is>
          <t>0.48%</t>
        </is>
      </c>
      <c r="J726" t="inlineStr">
        <is>
          <t>4258415.00</t>
        </is>
      </c>
      <c r="K726" t="inlineStr">
        <is>
          <t>170000</t>
        </is>
      </c>
      <c r="L726" t="inlineStr">
        <is>
          <t>17.000000000000</t>
        </is>
      </c>
      <c r="M726" t="inlineStr"/>
    </row>
    <row r="727">
      <c r="A727" t="inlineStr">
        <is>
          <t>06/25/2026</t>
        </is>
      </c>
      <c r="B727" t="inlineStr">
        <is>
          <t>CIVG</t>
        </is>
      </c>
      <c r="C727" s="1" t="inlineStr">
        <is>
          <t>824348BJ4</t>
        </is>
      </c>
      <c r="D727" s="1" t="inlineStr">
        <is>
          <t>824348BJ4</t>
        </is>
      </c>
      <c r="E727" t="inlineStr">
        <is>
          <t>Sherwin-Williams Co/The 2.95% 08/15/2029</t>
        </is>
      </c>
      <c r="F727" t="inlineStr">
        <is>
          <t>21000.00000000</t>
        </is>
      </c>
      <c r="G727" t="inlineStr">
        <is>
          <t>95.250520</t>
        </is>
      </c>
      <c r="H727" t="inlineStr">
        <is>
          <t>20002.61</t>
        </is>
      </c>
      <c r="I727" t="inlineStr">
        <is>
          <t>0.47%</t>
        </is>
      </c>
      <c r="J727" t="inlineStr">
        <is>
          <t>4258415.00</t>
        </is>
      </c>
      <c r="K727" t="inlineStr">
        <is>
          <t>170000</t>
        </is>
      </c>
      <c r="L727" t="inlineStr">
        <is>
          <t>17.000000000000</t>
        </is>
      </c>
      <c r="M727" t="inlineStr"/>
    </row>
    <row r="728">
      <c r="A728" t="inlineStr">
        <is>
          <t>06/25/2026</t>
        </is>
      </c>
      <c r="B728" t="inlineStr">
        <is>
          <t>CIVG</t>
        </is>
      </c>
      <c r="C728" s="1" t="inlineStr">
        <is>
          <t>828807DF1</t>
        </is>
      </c>
      <c r="D728" s="1" t="inlineStr">
        <is>
          <t>828807DF1</t>
        </is>
      </c>
      <c r="E728" t="inlineStr">
        <is>
          <t>Simon Property Group LP 2.45% 09/13/2029</t>
        </is>
      </c>
      <c r="F728" t="inlineStr">
        <is>
          <t>17000.00000000</t>
        </is>
      </c>
      <c r="G728" t="inlineStr">
        <is>
          <t>93.692750</t>
        </is>
      </c>
      <c r="H728" t="inlineStr">
        <is>
          <t>15927.77</t>
        </is>
      </c>
      <c r="I728" t="inlineStr">
        <is>
          <t>0.37%</t>
        </is>
      </c>
      <c r="J728" t="inlineStr">
        <is>
          <t>4258415.00</t>
        </is>
      </c>
      <c r="K728" t="inlineStr">
        <is>
          <t>170000</t>
        </is>
      </c>
      <c r="L728" t="inlineStr">
        <is>
          <t>17.000000000000</t>
        </is>
      </c>
      <c r="M728" t="inlineStr"/>
    </row>
    <row r="729">
      <c r="A729" t="inlineStr">
        <is>
          <t>06/25/2026</t>
        </is>
      </c>
      <c r="B729" t="inlineStr">
        <is>
          <t>CIVG</t>
        </is>
      </c>
      <c r="C729" s="1" t="inlineStr">
        <is>
          <t>83444MAP6</t>
        </is>
      </c>
      <c r="D729" s="1" t="inlineStr">
        <is>
          <t>83444MAP6</t>
        </is>
      </c>
      <c r="E729" t="inlineStr">
        <is>
          <t>Solventum Corp 5.4% 03/01/2029</t>
        </is>
      </c>
      <c r="F729" t="inlineStr">
        <is>
          <t>31000.00000000</t>
        </is>
      </c>
      <c r="G729" t="inlineStr">
        <is>
          <t>101.746998</t>
        </is>
      </c>
      <c r="H729" t="inlineStr">
        <is>
          <t>31541.57</t>
        </is>
      </c>
      <c r="I729" t="inlineStr">
        <is>
          <t>0.74%</t>
        </is>
      </c>
      <c r="J729" t="inlineStr">
        <is>
          <t>4258415.00</t>
        </is>
      </c>
      <c r="K729" t="inlineStr">
        <is>
          <t>170000</t>
        </is>
      </c>
      <c r="L729" t="inlineStr">
        <is>
          <t>17.000000000000</t>
        </is>
      </c>
      <c r="M729" t="inlineStr"/>
    </row>
    <row r="730">
      <c r="A730" t="inlineStr">
        <is>
          <t>06/25/2026</t>
        </is>
      </c>
      <c r="B730" t="inlineStr">
        <is>
          <t>CIVG</t>
        </is>
      </c>
      <c r="C730" s="1" t="inlineStr">
        <is>
          <t>842400JC8</t>
        </is>
      </c>
      <c r="D730" s="1" t="inlineStr">
        <is>
          <t>842400JC8</t>
        </is>
      </c>
      <c r="E730" t="inlineStr">
        <is>
          <t>Southern California Edison Co 5.15% 06/01/2029</t>
        </is>
      </c>
      <c r="F730" t="inlineStr">
        <is>
          <t>14000.00000000</t>
        </is>
      </c>
      <c r="G730" t="inlineStr">
        <is>
          <t>101.007680</t>
        </is>
      </c>
      <c r="H730" t="inlineStr">
        <is>
          <t>14141.08</t>
        </is>
      </c>
      <c r="I730" t="inlineStr">
        <is>
          <t>0.33%</t>
        </is>
      </c>
      <c r="J730" t="inlineStr">
        <is>
          <t>4258415.00</t>
        </is>
      </c>
      <c r="K730" t="inlineStr">
        <is>
          <t>170000</t>
        </is>
      </c>
      <c r="L730" t="inlineStr">
        <is>
          <t>17.000000000000</t>
        </is>
      </c>
      <c r="M730" t="inlineStr"/>
    </row>
    <row r="731">
      <c r="A731" t="inlineStr">
        <is>
          <t>06/25/2026</t>
        </is>
      </c>
      <c r="B731" t="inlineStr">
        <is>
          <t>CIVG</t>
        </is>
      </c>
      <c r="C731" s="1" t="inlineStr">
        <is>
          <t>852060AD4</t>
        </is>
      </c>
      <c r="D731" s="1" t="inlineStr">
        <is>
          <t>852060AD4</t>
        </is>
      </c>
      <c r="E731" t="inlineStr">
        <is>
          <t>Sprint Capital Corp 6.875% 11/15/2028</t>
        </is>
      </c>
      <c r="F731" t="inlineStr">
        <is>
          <t>19000.00000000</t>
        </is>
      </c>
      <c r="G731" t="inlineStr">
        <is>
          <t>104.878376</t>
        </is>
      </c>
      <c r="H731" t="inlineStr">
        <is>
          <t>19926.89</t>
        </is>
      </c>
      <c r="I731" t="inlineStr">
        <is>
          <t>0.47%</t>
        </is>
      </c>
      <c r="J731" t="inlineStr">
        <is>
          <t>4258415.00</t>
        </is>
      </c>
      <c r="K731" t="inlineStr">
        <is>
          <t>170000</t>
        </is>
      </c>
      <c r="L731" t="inlineStr">
        <is>
          <t>17.000000000000</t>
        </is>
      </c>
      <c r="M731" t="inlineStr"/>
    </row>
    <row r="732">
      <c r="A732" t="inlineStr">
        <is>
          <t>06/25/2026</t>
        </is>
      </c>
      <c r="B732" t="inlineStr">
        <is>
          <t>CIVG</t>
        </is>
      </c>
      <c r="C732" s="1" t="inlineStr">
        <is>
          <t>855244AZ2</t>
        </is>
      </c>
      <c r="D732" s="1" t="inlineStr">
        <is>
          <t>855244AZ2</t>
        </is>
      </c>
      <c r="E732" t="inlineStr">
        <is>
          <t>Starbucks Corp 2.55% 11/15/2030</t>
        </is>
      </c>
      <c r="F732" t="inlineStr">
        <is>
          <t>22000.00000000</t>
        </is>
      </c>
      <c r="G732" t="inlineStr">
        <is>
          <t>91.694863</t>
        </is>
      </c>
      <c r="H732" t="inlineStr">
        <is>
          <t>20172.87</t>
        </is>
      </c>
      <c r="I732" t="inlineStr">
        <is>
          <t>0.47%</t>
        </is>
      </c>
      <c r="J732" t="inlineStr">
        <is>
          <t>4258415.00</t>
        </is>
      </c>
      <c r="K732" t="inlineStr">
        <is>
          <t>170000</t>
        </is>
      </c>
      <c r="L732" t="inlineStr">
        <is>
          <t>17.000000000000</t>
        </is>
      </c>
      <c r="M732" t="inlineStr"/>
    </row>
    <row r="733">
      <c r="A733" t="inlineStr">
        <is>
          <t>06/25/2026</t>
        </is>
      </c>
      <c r="B733" t="inlineStr">
        <is>
          <t>CIVG</t>
        </is>
      </c>
      <c r="C733" s="1" t="inlineStr">
        <is>
          <t>857477CU5</t>
        </is>
      </c>
      <c r="D733" s="1" t="inlineStr">
        <is>
          <t>857477CU5</t>
        </is>
      </c>
      <c r="E733" t="inlineStr">
        <is>
          <t>State Street Corp 4.536% 02/28/2028</t>
        </is>
      </c>
      <c r="F733" t="inlineStr">
        <is>
          <t>20000.00000000</t>
        </is>
      </c>
      <c r="G733" t="inlineStr">
        <is>
          <t>100.408023</t>
        </is>
      </c>
      <c r="H733" t="inlineStr">
        <is>
          <t>20081.60</t>
        </is>
      </c>
      <c r="I733" t="inlineStr">
        <is>
          <t>0.47%</t>
        </is>
      </c>
      <c r="J733" t="inlineStr">
        <is>
          <t>4258415.00</t>
        </is>
      </c>
      <c r="K733" t="inlineStr">
        <is>
          <t>170000</t>
        </is>
      </c>
      <c r="L733" t="inlineStr">
        <is>
          <t>17.000000000000</t>
        </is>
      </c>
      <c r="M733" t="inlineStr"/>
    </row>
    <row r="734">
      <c r="A734" t="inlineStr">
        <is>
          <t>06/25/2026</t>
        </is>
      </c>
      <c r="B734" t="inlineStr">
        <is>
          <t>CIVG</t>
        </is>
      </c>
      <c r="C734" s="1" t="inlineStr">
        <is>
          <t>86562MCG3</t>
        </is>
      </c>
      <c r="D734" s="1" t="inlineStr">
        <is>
          <t>86562MCG3</t>
        </is>
      </c>
      <c r="E734" t="inlineStr">
        <is>
          <t>Sumitomo Mitsui Financial Group Inc 1.902% 09/17/2028</t>
        </is>
      </c>
      <c r="F734" t="inlineStr">
        <is>
          <t>8000.00000000</t>
        </is>
      </c>
      <c r="G734" t="inlineStr">
        <is>
          <t>94.358875</t>
        </is>
      </c>
      <c r="H734" t="inlineStr">
        <is>
          <t>7548.71</t>
        </is>
      </c>
      <c r="I734" t="inlineStr">
        <is>
          <t>0.18%</t>
        </is>
      </c>
      <c r="J734" t="inlineStr">
        <is>
          <t>4258415.00</t>
        </is>
      </c>
      <c r="K734" t="inlineStr">
        <is>
          <t>170000</t>
        </is>
      </c>
      <c r="L734" t="inlineStr">
        <is>
          <t>17.000000000000</t>
        </is>
      </c>
      <c r="M734" t="inlineStr"/>
    </row>
    <row r="735">
      <c r="A735" t="inlineStr">
        <is>
          <t>06/25/2026</t>
        </is>
      </c>
      <c r="B735" t="inlineStr">
        <is>
          <t>CIVG</t>
        </is>
      </c>
      <c r="C735" s="1" t="inlineStr">
        <is>
          <t>86562MED8</t>
        </is>
      </c>
      <c r="D735" s="1" t="inlineStr">
        <is>
          <t>86562MED8</t>
        </is>
      </c>
      <c r="E735" t="inlineStr">
        <is>
          <t>Sumitomo Mitsui Financial Group Inc 4.494% 01/15/2032</t>
        </is>
      </c>
      <c r="F735" t="inlineStr">
        <is>
          <t>13000.00000000</t>
        </is>
      </c>
      <c r="G735" t="inlineStr">
        <is>
          <t>98.402875</t>
        </is>
      </c>
      <c r="H735" t="inlineStr">
        <is>
          <t>12792.37</t>
        </is>
      </c>
      <c r="I735" t="inlineStr">
        <is>
          <t>0.30%</t>
        </is>
      </c>
      <c r="J735" t="inlineStr">
        <is>
          <t>4258415.00</t>
        </is>
      </c>
      <c r="K735" t="inlineStr">
        <is>
          <t>170000</t>
        </is>
      </c>
      <c r="L735" t="inlineStr">
        <is>
          <t>17.000000000000</t>
        </is>
      </c>
      <c r="M735" t="inlineStr"/>
    </row>
    <row r="736">
      <c r="A736" t="inlineStr">
        <is>
          <t>06/25/2026</t>
        </is>
      </c>
      <c r="B736" t="inlineStr">
        <is>
          <t>CIVG</t>
        </is>
      </c>
      <c r="C736" s="1" t="inlineStr">
        <is>
          <t>87264ABF1</t>
        </is>
      </c>
      <c r="D736" s="1" t="inlineStr">
        <is>
          <t>87264ABF1</t>
        </is>
      </c>
      <c r="E736" t="inlineStr">
        <is>
          <t>T-Mobile USA Inc 3.875% 04/15/2030</t>
        </is>
      </c>
      <c r="F736" t="inlineStr">
        <is>
          <t>21000.00000000</t>
        </is>
      </c>
      <c r="G736" t="inlineStr">
        <is>
          <t>97.049955</t>
        </is>
      </c>
      <c r="H736" t="inlineStr">
        <is>
          <t>20380.49</t>
        </is>
      </c>
      <c r="I736" t="inlineStr">
        <is>
          <t>0.48%</t>
        </is>
      </c>
      <c r="J736" t="inlineStr">
        <is>
          <t>4258415.00</t>
        </is>
      </c>
      <c r="K736" t="inlineStr">
        <is>
          <t>170000</t>
        </is>
      </c>
      <c r="L736" t="inlineStr">
        <is>
          <t>17.000000000000</t>
        </is>
      </c>
      <c r="M736" t="inlineStr"/>
    </row>
    <row r="737">
      <c r="A737" t="inlineStr">
        <is>
          <t>06/25/2026</t>
        </is>
      </c>
      <c r="B737" t="inlineStr">
        <is>
          <t>CIVG</t>
        </is>
      </c>
      <c r="C737" s="1" t="inlineStr">
        <is>
          <t>873923AC0</t>
        </is>
      </c>
      <c r="D737" s="1" t="inlineStr">
        <is>
          <t>873923AC0</t>
        </is>
      </c>
      <c r="E737" t="inlineStr">
        <is>
          <t>Sumisho Air Lease Corp 4.5% 03/24/2029</t>
        </is>
      </c>
      <c r="F737" t="inlineStr">
        <is>
          <t>17000.00000000</t>
        </is>
      </c>
      <c r="G737" t="inlineStr">
        <is>
          <t>99.212148</t>
        </is>
      </c>
      <c r="H737" t="inlineStr">
        <is>
          <t>16866.07</t>
        </is>
      </c>
      <c r="I737" t="inlineStr">
        <is>
          <t>0.40%</t>
        </is>
      </c>
      <c r="J737" t="inlineStr">
        <is>
          <t>4258415.00</t>
        </is>
      </c>
      <c r="K737" t="inlineStr">
        <is>
          <t>170000</t>
        </is>
      </c>
      <c r="L737" t="inlineStr">
        <is>
          <t>17.000000000000</t>
        </is>
      </c>
      <c r="M737" t="inlineStr"/>
    </row>
    <row r="738">
      <c r="A738" t="inlineStr">
        <is>
          <t>06/25/2026</t>
        </is>
      </c>
      <c r="B738" t="inlineStr">
        <is>
          <t>CIVG</t>
        </is>
      </c>
      <c r="C738" s="1" t="inlineStr">
        <is>
          <t>87612EBH8</t>
        </is>
      </c>
      <c r="D738" s="1" t="inlineStr">
        <is>
          <t>87612EBH8</t>
        </is>
      </c>
      <c r="E738" t="inlineStr">
        <is>
          <t>Target Corp 3.375% 04/15/2029</t>
        </is>
      </c>
      <c r="F738" t="inlineStr">
        <is>
          <t>21000.00000000</t>
        </is>
      </c>
      <c r="G738" t="inlineStr">
        <is>
          <t>97.469729</t>
        </is>
      </c>
      <c r="H738" t="inlineStr">
        <is>
          <t>20468.64</t>
        </is>
      </c>
      <c r="I738" t="inlineStr">
        <is>
          <t>0.48%</t>
        </is>
      </c>
      <c r="J738" t="inlineStr">
        <is>
          <t>4258415.00</t>
        </is>
      </c>
      <c r="K738" t="inlineStr">
        <is>
          <t>170000</t>
        </is>
      </c>
      <c r="L738" t="inlineStr">
        <is>
          <t>17.000000000000</t>
        </is>
      </c>
      <c r="M738" t="inlineStr"/>
    </row>
    <row r="739">
      <c r="A739" t="inlineStr">
        <is>
          <t>06/25/2026</t>
        </is>
      </c>
      <c r="B739" t="inlineStr">
        <is>
          <t>CIVG</t>
        </is>
      </c>
      <c r="C739" s="1" t="inlineStr">
        <is>
          <t>87612GAE1</t>
        </is>
      </c>
      <c r="D739" s="1" t="inlineStr">
        <is>
          <t>87612GAE1</t>
        </is>
      </c>
      <c r="E739" t="inlineStr">
        <is>
          <t>Targa Resources Corp 6.15% 03/01/2029</t>
        </is>
      </c>
      <c r="F739" t="inlineStr">
        <is>
          <t>19000.00000000</t>
        </is>
      </c>
      <c r="G739" t="inlineStr">
        <is>
          <t>103.576215</t>
        </is>
      </c>
      <c r="H739" t="inlineStr">
        <is>
          <t>19679.48</t>
        </is>
      </c>
      <c r="I739" t="inlineStr">
        <is>
          <t>0.46%</t>
        </is>
      </c>
      <c r="J739" t="inlineStr">
        <is>
          <t>4258415.00</t>
        </is>
      </c>
      <c r="K739" t="inlineStr">
        <is>
          <t>170000</t>
        </is>
      </c>
      <c r="L739" t="inlineStr">
        <is>
          <t>17.000000000000</t>
        </is>
      </c>
      <c r="M739" t="inlineStr"/>
    </row>
    <row r="740">
      <c r="A740" t="inlineStr">
        <is>
          <t>06/25/2026</t>
        </is>
      </c>
      <c r="B740" t="inlineStr">
        <is>
          <t>CIVG</t>
        </is>
      </c>
      <c r="C740" s="1" t="inlineStr">
        <is>
          <t>879360AD7</t>
        </is>
      </c>
      <c r="D740" s="1" t="inlineStr">
        <is>
          <t>879360AD7</t>
        </is>
      </c>
      <c r="E740" t="inlineStr">
        <is>
          <t>Teledyne Technologies Inc 2.25% 04/01/2028</t>
        </is>
      </c>
      <c r="F740" t="inlineStr">
        <is>
          <t>21000.00000000</t>
        </is>
      </c>
      <c r="G740" t="inlineStr">
        <is>
          <t>96.103556</t>
        </is>
      </c>
      <c r="H740" t="inlineStr">
        <is>
          <t>20181.75</t>
        </is>
      </c>
      <c r="I740" t="inlineStr">
        <is>
          <t>0.47%</t>
        </is>
      </c>
      <c r="J740" t="inlineStr">
        <is>
          <t>4258415.00</t>
        </is>
      </c>
      <c r="K740" t="inlineStr">
        <is>
          <t>170000</t>
        </is>
      </c>
      <c r="L740" t="inlineStr">
        <is>
          <t>17.000000000000</t>
        </is>
      </c>
      <c r="M740" t="inlineStr"/>
    </row>
    <row r="741">
      <c r="A741" t="inlineStr">
        <is>
          <t>06/25/2026</t>
        </is>
      </c>
      <c r="B741" t="inlineStr">
        <is>
          <t>CIVG</t>
        </is>
      </c>
      <c r="C741" s="1" t="inlineStr">
        <is>
          <t>879385AD4</t>
        </is>
      </c>
      <c r="D741" s="1" t="inlineStr">
        <is>
          <t>879385AD4</t>
        </is>
      </c>
      <c r="E741" t="inlineStr">
        <is>
          <t>Telefonica Europe BV 8.25% 09/15/2030</t>
        </is>
      </c>
      <c r="F741" t="inlineStr">
        <is>
          <t>18000.00000000</t>
        </is>
      </c>
      <c r="G741" t="inlineStr">
        <is>
          <t>112.535963</t>
        </is>
      </c>
      <c r="H741" t="inlineStr">
        <is>
          <t>20256.47</t>
        </is>
      </c>
      <c r="I741" t="inlineStr">
        <is>
          <t>0.48%</t>
        </is>
      </c>
      <c r="J741" t="inlineStr">
        <is>
          <t>4258415.00</t>
        </is>
      </c>
      <c r="K741" t="inlineStr">
        <is>
          <t>170000</t>
        </is>
      </c>
      <c r="L741" t="inlineStr">
        <is>
          <t>17.000000000000</t>
        </is>
      </c>
      <c r="M741" t="inlineStr"/>
    </row>
    <row r="742">
      <c r="A742" t="inlineStr">
        <is>
          <t>06/25/2026</t>
        </is>
      </c>
      <c r="B742" t="inlineStr">
        <is>
          <t>CIVG</t>
        </is>
      </c>
      <c r="C742" s="1" t="inlineStr">
        <is>
          <t>882508BG8</t>
        </is>
      </c>
      <c r="D742" s="1" t="inlineStr">
        <is>
          <t>882508BG8</t>
        </is>
      </c>
      <c r="E742" t="inlineStr">
        <is>
          <t>Texas Instruments Inc 2.25% 09/04/2029</t>
        </is>
      </c>
      <c r="F742" t="inlineStr">
        <is>
          <t>22000.00000000</t>
        </is>
      </c>
      <c r="G742" t="inlineStr">
        <is>
          <t>93.596647</t>
        </is>
      </c>
      <c r="H742" t="inlineStr">
        <is>
          <t>20591.26</t>
        </is>
      </c>
      <c r="I742" t="inlineStr">
        <is>
          <t>0.48%</t>
        </is>
      </c>
      <c r="J742" t="inlineStr">
        <is>
          <t>4258415.00</t>
        </is>
      </c>
      <c r="K742" t="inlineStr">
        <is>
          <t>170000</t>
        </is>
      </c>
      <c r="L742" t="inlineStr">
        <is>
          <t>17.000000000000</t>
        </is>
      </c>
      <c r="M742" t="inlineStr"/>
    </row>
    <row r="743">
      <c r="A743" t="inlineStr">
        <is>
          <t>06/25/2026</t>
        </is>
      </c>
      <c r="B743" t="inlineStr">
        <is>
          <t>CIVG</t>
        </is>
      </c>
      <c r="C743" s="1" t="inlineStr">
        <is>
          <t>88339WAB2</t>
        </is>
      </c>
      <c r="D743" s="1" t="inlineStr">
        <is>
          <t>88339WAB2</t>
        </is>
      </c>
      <c r="E743" t="inlineStr">
        <is>
          <t>Williams Cos Inc/The 4.9% 03/15/2029</t>
        </is>
      </c>
      <c r="F743" t="inlineStr">
        <is>
          <t>20000.00000000</t>
        </is>
      </c>
      <c r="G743" t="inlineStr">
        <is>
          <t>100.632235</t>
        </is>
      </c>
      <c r="H743" t="inlineStr">
        <is>
          <t>20126.45</t>
        </is>
      </c>
      <c r="I743" t="inlineStr">
        <is>
          <t>0.47%</t>
        </is>
      </c>
      <c r="J743" t="inlineStr">
        <is>
          <t>4258415.00</t>
        </is>
      </c>
      <c r="K743" t="inlineStr">
        <is>
          <t>170000</t>
        </is>
      </c>
      <c r="L743" t="inlineStr">
        <is>
          <t>17.000000000000</t>
        </is>
      </c>
      <c r="M743" t="inlineStr"/>
    </row>
    <row r="744">
      <c r="A744" t="inlineStr">
        <is>
          <t>06/25/2026</t>
        </is>
      </c>
      <c r="B744" t="inlineStr">
        <is>
          <t>CIVG</t>
        </is>
      </c>
      <c r="C744" s="1" t="inlineStr">
        <is>
          <t>89115KAB6</t>
        </is>
      </c>
      <c r="D744" s="1" t="inlineStr">
        <is>
          <t>89115KAB6</t>
        </is>
      </c>
      <c r="E744" t="inlineStr">
        <is>
          <t>Toronto-Dominion Bank/The 4.808% 06/03/2030</t>
        </is>
      </c>
      <c r="F744" t="inlineStr">
        <is>
          <t>20000.00000000</t>
        </is>
      </c>
      <c r="G744" t="inlineStr">
        <is>
          <t>100.626431</t>
        </is>
      </c>
      <c r="H744" t="inlineStr">
        <is>
          <t>20125.29</t>
        </is>
      </c>
      <c r="I744" t="inlineStr">
        <is>
          <t>0.47%</t>
        </is>
      </c>
      <c r="J744" t="inlineStr">
        <is>
          <t>4258415.00</t>
        </is>
      </c>
      <c r="K744" t="inlineStr">
        <is>
          <t>170000</t>
        </is>
      </c>
      <c r="L744" t="inlineStr">
        <is>
          <t>17.000000000000</t>
        </is>
      </c>
      <c r="M744" t="inlineStr"/>
    </row>
    <row r="745">
      <c r="A745" t="inlineStr">
        <is>
          <t>06/25/2026</t>
        </is>
      </c>
      <c r="B745" t="inlineStr">
        <is>
          <t>CIVG</t>
        </is>
      </c>
      <c r="C745" s="1" t="inlineStr">
        <is>
          <t>89153VAT6</t>
        </is>
      </c>
      <c r="D745" s="1" t="inlineStr">
        <is>
          <t>89153VAT6</t>
        </is>
      </c>
      <c r="E745" t="inlineStr">
        <is>
          <t>TotalEnergies Capital International SA 2.829% 01/10/2030</t>
        </is>
      </c>
      <c r="F745" t="inlineStr">
        <is>
          <t>21000.00000000</t>
        </is>
      </c>
      <c r="G745" t="inlineStr">
        <is>
          <t>94.488516</t>
        </is>
      </c>
      <c r="H745" t="inlineStr">
        <is>
          <t>19842.59</t>
        </is>
      </c>
      <c r="I745" t="inlineStr">
        <is>
          <t>0.47%</t>
        </is>
      </c>
      <c r="J745" t="inlineStr">
        <is>
          <t>4258415.00</t>
        </is>
      </c>
      <c r="K745" t="inlineStr">
        <is>
          <t>170000</t>
        </is>
      </c>
      <c r="L745" t="inlineStr">
        <is>
          <t>17.000000000000</t>
        </is>
      </c>
      <c r="M745" t="inlineStr"/>
    </row>
    <row r="746">
      <c r="A746" t="inlineStr">
        <is>
          <t>06/25/2026</t>
        </is>
      </c>
      <c r="B746" t="inlineStr">
        <is>
          <t>CIVG</t>
        </is>
      </c>
      <c r="C746" s="1" t="inlineStr">
        <is>
          <t>89236TLL7</t>
        </is>
      </c>
      <c r="D746" s="1" t="inlineStr">
        <is>
          <t>89236TLL7</t>
        </is>
      </c>
      <c r="E746" t="inlineStr">
        <is>
          <t>Toyota Motor Credit Corp 4.65% 01/05/2029</t>
        </is>
      </c>
      <c r="F746" t="inlineStr">
        <is>
          <t>7000.00000000</t>
        </is>
      </c>
      <c r="G746" t="inlineStr">
        <is>
          <t>100.518884</t>
        </is>
      </c>
      <c r="H746" t="inlineStr">
        <is>
          <t>7036.32</t>
        </is>
      </c>
      <c r="I746" t="inlineStr">
        <is>
          <t>0.17%</t>
        </is>
      </c>
      <c r="J746" t="inlineStr">
        <is>
          <t>4258415.00</t>
        </is>
      </c>
      <c r="K746" t="inlineStr">
        <is>
          <t>170000</t>
        </is>
      </c>
      <c r="L746" t="inlineStr">
        <is>
          <t>17.000000000000</t>
        </is>
      </c>
      <c r="M746" t="inlineStr"/>
    </row>
    <row r="747">
      <c r="A747" t="inlineStr">
        <is>
          <t>06/25/2026</t>
        </is>
      </c>
      <c r="B747" t="inlineStr">
        <is>
          <t>CIVG</t>
        </is>
      </c>
      <c r="C747" s="1" t="inlineStr">
        <is>
          <t>89352HAW9</t>
        </is>
      </c>
      <c r="D747" s="1" t="inlineStr">
        <is>
          <t>89352HAW9</t>
        </is>
      </c>
      <c r="E747" t="inlineStr">
        <is>
          <t>TransCanada PipeLines Ltd 4.25% 05/15/2028</t>
        </is>
      </c>
      <c r="F747" t="inlineStr">
        <is>
          <t>21000.00000000</t>
        </is>
      </c>
      <c r="G747" t="inlineStr">
        <is>
          <t>99.374725</t>
        </is>
      </c>
      <c r="H747" t="inlineStr">
        <is>
          <t>20868.69</t>
        </is>
      </c>
      <c r="I747" t="inlineStr">
        <is>
          <t>0.49%</t>
        </is>
      </c>
      <c r="J747" t="inlineStr">
        <is>
          <t>4258415.00</t>
        </is>
      </c>
      <c r="K747" t="inlineStr">
        <is>
          <t>170000</t>
        </is>
      </c>
      <c r="L747" t="inlineStr">
        <is>
          <t>17.000000000000</t>
        </is>
      </c>
      <c r="M747" t="inlineStr"/>
    </row>
    <row r="748">
      <c r="A748" t="inlineStr">
        <is>
          <t>06/25/2026</t>
        </is>
      </c>
      <c r="B748" t="inlineStr">
        <is>
          <t>CIVG</t>
        </is>
      </c>
      <c r="C748" s="1" t="inlineStr">
        <is>
          <t>89788MAQ5</t>
        </is>
      </c>
      <c r="D748" s="1" t="inlineStr">
        <is>
          <t>89788MAQ5</t>
        </is>
      </c>
      <c r="E748" t="inlineStr">
        <is>
          <t>Truist Financial Corp 7.161% 10/30/2029</t>
        </is>
      </c>
      <c r="F748" t="inlineStr">
        <is>
          <t>13000.00000000</t>
        </is>
      </c>
      <c r="G748" t="inlineStr">
        <is>
          <t>105.366391</t>
        </is>
      </c>
      <c r="H748" t="inlineStr">
        <is>
          <t>13697.63</t>
        </is>
      </c>
      <c r="I748" t="inlineStr">
        <is>
          <t>0.32%</t>
        </is>
      </c>
      <c r="J748" t="inlineStr">
        <is>
          <t>4258415.00</t>
        </is>
      </c>
      <c r="K748" t="inlineStr">
        <is>
          <t>170000</t>
        </is>
      </c>
      <c r="L748" t="inlineStr">
        <is>
          <t>17.000000000000</t>
        </is>
      </c>
      <c r="M748" t="inlineStr"/>
    </row>
    <row r="749">
      <c r="A749" t="inlineStr">
        <is>
          <t>06/25/2026</t>
        </is>
      </c>
      <c r="B749" t="inlineStr">
        <is>
          <t>CIVG</t>
        </is>
      </c>
      <c r="C749" s="1" t="inlineStr">
        <is>
          <t>89788MAU6</t>
        </is>
      </c>
      <c r="D749" s="1" t="inlineStr">
        <is>
          <t>89788MAU6</t>
        </is>
      </c>
      <c r="E749" t="inlineStr">
        <is>
          <t>Truist Financial Corp 5.071% 05/20/2031</t>
        </is>
      </c>
      <c r="F749" t="inlineStr">
        <is>
          <t>20000.00000000</t>
        </is>
      </c>
      <c r="G749" t="inlineStr">
        <is>
          <t>101.070187</t>
        </is>
      </c>
      <c r="H749" t="inlineStr">
        <is>
          <t>20214.04</t>
        </is>
      </c>
      <c r="I749" t="inlineStr">
        <is>
          <t>0.47%</t>
        </is>
      </c>
      <c r="J749" t="inlineStr">
        <is>
          <t>4258415.00</t>
        </is>
      </c>
      <c r="K749" t="inlineStr">
        <is>
          <t>170000</t>
        </is>
      </c>
      <c r="L749" t="inlineStr">
        <is>
          <t>17.000000000000</t>
        </is>
      </c>
      <c r="M749" t="inlineStr"/>
    </row>
    <row r="750">
      <c r="A750" t="inlineStr">
        <is>
          <t>06/25/2026</t>
        </is>
      </c>
      <c r="B750" t="inlineStr">
        <is>
          <t>CIVG</t>
        </is>
      </c>
      <c r="C750" s="1" t="inlineStr">
        <is>
          <t>904764BC0</t>
        </is>
      </c>
      <c r="D750" s="1" t="inlineStr">
        <is>
          <t>904764BC0</t>
        </is>
      </c>
      <c r="E750" t="inlineStr">
        <is>
          <t>Unilever Capital Corp 3.5% 03/22/2028</t>
        </is>
      </c>
      <c r="F750" t="inlineStr">
        <is>
          <t>21000.00000000</t>
        </is>
      </c>
      <c r="G750" t="inlineStr">
        <is>
          <t>98.757063</t>
        </is>
      </c>
      <c r="H750" t="inlineStr">
        <is>
          <t>20738.98</t>
        </is>
      </c>
      <c r="I750" t="inlineStr">
        <is>
          <t>0.49%</t>
        </is>
      </c>
      <c r="J750" t="inlineStr">
        <is>
          <t>4258415.00</t>
        </is>
      </c>
      <c r="K750" t="inlineStr">
        <is>
          <t>170000</t>
        </is>
      </c>
      <c r="L750" t="inlineStr">
        <is>
          <t>17.000000000000</t>
        </is>
      </c>
      <c r="M750" t="inlineStr"/>
    </row>
    <row r="751">
      <c r="A751" t="inlineStr">
        <is>
          <t>06/25/2026</t>
        </is>
      </c>
      <c r="B751" t="inlineStr">
        <is>
          <t>CIVG</t>
        </is>
      </c>
      <c r="C751" s="1" t="inlineStr">
        <is>
          <t>91159HJK7</t>
        </is>
      </c>
      <c r="D751" s="1" t="inlineStr">
        <is>
          <t>91159HJK7</t>
        </is>
      </c>
      <c r="E751" t="inlineStr">
        <is>
          <t>US Bancorp 4.653% 02/01/2029</t>
        </is>
      </c>
      <c r="F751" t="inlineStr">
        <is>
          <t>14000.00000000</t>
        </is>
      </c>
      <c r="G751" t="inlineStr">
        <is>
          <t>100.086167</t>
        </is>
      </c>
      <c r="H751" t="inlineStr">
        <is>
          <t>14012.06</t>
        </is>
      </c>
      <c r="I751" t="inlineStr">
        <is>
          <t>0.33%</t>
        </is>
      </c>
      <c r="J751" t="inlineStr">
        <is>
          <t>4258415.00</t>
        </is>
      </c>
      <c r="K751" t="inlineStr">
        <is>
          <t>170000</t>
        </is>
      </c>
      <c r="L751" t="inlineStr">
        <is>
          <t>17.000000000000</t>
        </is>
      </c>
      <c r="M751" t="inlineStr"/>
    </row>
    <row r="752">
      <c r="A752" t="inlineStr">
        <is>
          <t>06/25/2026</t>
        </is>
      </c>
      <c r="B752" t="inlineStr">
        <is>
          <t>CIVG</t>
        </is>
      </c>
      <c r="C752" s="1" t="inlineStr">
        <is>
          <t>91159HJV3</t>
        </is>
      </c>
      <c r="D752" s="1" t="inlineStr">
        <is>
          <t>91159HJV3</t>
        </is>
      </c>
      <c r="E752" t="inlineStr">
        <is>
          <t>US Bancorp 5.083% 05/15/2031</t>
        </is>
      </c>
      <c r="F752" t="inlineStr">
        <is>
          <t>20000.00000000</t>
        </is>
      </c>
      <c r="G752" t="inlineStr">
        <is>
          <t>101.239409</t>
        </is>
      </c>
      <c r="H752" t="inlineStr">
        <is>
          <t>20247.88</t>
        </is>
      </c>
      <c r="I752" t="inlineStr">
        <is>
          <t>0.48%</t>
        </is>
      </c>
      <c r="J752" t="inlineStr">
        <is>
          <t>4258415.00</t>
        </is>
      </c>
      <c r="K752" t="inlineStr">
        <is>
          <t>170000</t>
        </is>
      </c>
      <c r="L752" t="inlineStr">
        <is>
          <t>17.000000000000</t>
        </is>
      </c>
      <c r="M752" t="inlineStr"/>
    </row>
    <row r="753">
      <c r="A753" t="inlineStr">
        <is>
          <t>06/25/2026</t>
        </is>
      </c>
      <c r="B753" t="inlineStr">
        <is>
          <t>CIVG</t>
        </is>
      </c>
      <c r="C753" s="1" t="inlineStr">
        <is>
          <t>913017CY3</t>
        </is>
      </c>
      <c r="D753" s="1" t="inlineStr">
        <is>
          <t>913017CY3</t>
        </is>
      </c>
      <c r="E753" t="inlineStr">
        <is>
          <t>RTX Corp 4.125% 11/16/2028</t>
        </is>
      </c>
      <c r="F753" t="inlineStr">
        <is>
          <t>11000.00000000</t>
        </is>
      </c>
      <c r="G753" t="inlineStr">
        <is>
          <t>99.273248</t>
        </is>
      </c>
      <c r="H753" t="inlineStr">
        <is>
          <t>10920.06</t>
        </is>
      </c>
      <c r="I753" t="inlineStr">
        <is>
          <t>0.26%</t>
        </is>
      </c>
      <c r="J753" t="inlineStr">
        <is>
          <t>4258415.00</t>
        </is>
      </c>
      <c r="K753" t="inlineStr">
        <is>
          <t>170000</t>
        </is>
      </c>
      <c r="L753" t="inlineStr">
        <is>
          <t>17.000000000000</t>
        </is>
      </c>
      <c r="M753" t="inlineStr"/>
    </row>
    <row r="754">
      <c r="A754" t="inlineStr">
        <is>
          <t>06/25/2026</t>
        </is>
      </c>
      <c r="B754" t="inlineStr">
        <is>
          <t>CIVG</t>
        </is>
      </c>
      <c r="C754" s="1" t="inlineStr">
        <is>
          <t>91324PEQ1</t>
        </is>
      </c>
      <c r="D754" s="1" t="inlineStr">
        <is>
          <t>91324PEQ1</t>
        </is>
      </c>
      <c r="E754" t="inlineStr">
        <is>
          <t>UnitedHealth Group Inc 5.3% 02/15/2030</t>
        </is>
      </c>
      <c r="F754" t="inlineStr">
        <is>
          <t>16000.00000000</t>
        </is>
      </c>
      <c r="G754" t="inlineStr">
        <is>
          <t>102.415878</t>
        </is>
      </c>
      <c r="H754" t="inlineStr">
        <is>
          <t>16386.54</t>
        </is>
      </c>
      <c r="I754" t="inlineStr">
        <is>
          <t>0.38%</t>
        </is>
      </c>
      <c r="J754" t="inlineStr">
        <is>
          <t>4258415.00</t>
        </is>
      </c>
      <c r="K754" t="inlineStr">
        <is>
          <t>170000</t>
        </is>
      </c>
      <c r="L754" t="inlineStr">
        <is>
          <t>17.000000000000</t>
        </is>
      </c>
      <c r="M754" t="inlineStr"/>
    </row>
    <row r="755">
      <c r="A755" t="inlineStr">
        <is>
          <t>06/25/2026</t>
        </is>
      </c>
      <c r="B755" t="inlineStr">
        <is>
          <t>CIVG</t>
        </is>
      </c>
      <c r="C755" s="1" t="inlineStr">
        <is>
          <t>92277GAM9</t>
        </is>
      </c>
      <c r="D755" s="1" t="inlineStr">
        <is>
          <t>92277GAM9</t>
        </is>
      </c>
      <c r="E755" t="inlineStr">
        <is>
          <t>Ventas Realty LP 4% 03/01/2028</t>
        </is>
      </c>
      <c r="F755" t="inlineStr">
        <is>
          <t>20000.00000000</t>
        </is>
      </c>
      <c r="G755" t="inlineStr">
        <is>
          <t>99.018968</t>
        </is>
      </c>
      <c r="H755" t="inlineStr">
        <is>
          <t>19803.79</t>
        </is>
      </c>
      <c r="I755" t="inlineStr">
        <is>
          <t>0.47%</t>
        </is>
      </c>
      <c r="J755" t="inlineStr">
        <is>
          <t>4258415.00</t>
        </is>
      </c>
      <c r="K755" t="inlineStr">
        <is>
          <t>170000</t>
        </is>
      </c>
      <c r="L755" t="inlineStr">
        <is>
          <t>17.000000000000</t>
        </is>
      </c>
      <c r="M755" t="inlineStr"/>
    </row>
    <row r="756">
      <c r="A756" t="inlineStr">
        <is>
          <t>06/25/2026</t>
        </is>
      </c>
      <c r="B756" t="inlineStr">
        <is>
          <t>CIVG</t>
        </is>
      </c>
      <c r="C756" s="1" t="inlineStr">
        <is>
          <t>92343VGJ7</t>
        </is>
      </c>
      <c r="D756" s="1" t="inlineStr">
        <is>
          <t>92343VGJ7</t>
        </is>
      </c>
      <c r="E756" t="inlineStr">
        <is>
          <t>Verizon Communications Inc 2.55% 03/21/2031</t>
        </is>
      </c>
      <c r="F756" t="inlineStr">
        <is>
          <t>15000.00000000</t>
        </is>
      </c>
      <c r="G756" t="inlineStr">
        <is>
          <t>90.871807</t>
        </is>
      </c>
      <c r="H756" t="inlineStr">
        <is>
          <t>13630.77</t>
        </is>
      </c>
      <c r="I756" t="inlineStr">
        <is>
          <t>0.32%</t>
        </is>
      </c>
      <c r="J756" t="inlineStr">
        <is>
          <t>4258415.00</t>
        </is>
      </c>
      <c r="K756" t="inlineStr">
        <is>
          <t>170000</t>
        </is>
      </c>
      <c r="L756" t="inlineStr">
        <is>
          <t>17.000000000000</t>
        </is>
      </c>
      <c r="M756" t="inlineStr"/>
    </row>
    <row r="757">
      <c r="A757" t="inlineStr">
        <is>
          <t>06/25/2026</t>
        </is>
      </c>
      <c r="B757" t="inlineStr">
        <is>
          <t>CIVG</t>
        </is>
      </c>
      <c r="C757" s="1" t="inlineStr">
        <is>
          <t>92826CAM4</t>
        </is>
      </c>
      <c r="D757" s="1" t="inlineStr">
        <is>
          <t>92826CAM4</t>
        </is>
      </c>
      <c r="E757" t="inlineStr">
        <is>
          <t>Visa Inc 2.05% 04/15/2030</t>
        </is>
      </c>
      <c r="F757" t="inlineStr">
        <is>
          <t>22000.00000000</t>
        </is>
      </c>
      <c r="G757" t="inlineStr">
        <is>
          <t>91.942751</t>
        </is>
      </c>
      <c r="H757" t="inlineStr">
        <is>
          <t>20227.41</t>
        </is>
      </c>
      <c r="I757" t="inlineStr">
        <is>
          <t>0.47%</t>
        </is>
      </c>
      <c r="J757" t="inlineStr">
        <is>
          <t>4258415.00</t>
        </is>
      </c>
      <c r="K757" t="inlineStr">
        <is>
          <t>170000</t>
        </is>
      </c>
      <c r="L757" t="inlineStr">
        <is>
          <t>17.000000000000</t>
        </is>
      </c>
      <c r="M757" t="inlineStr"/>
    </row>
    <row r="758">
      <c r="A758" t="inlineStr">
        <is>
          <t>06/25/2026</t>
        </is>
      </c>
      <c r="B758" t="inlineStr">
        <is>
          <t>CIVG</t>
        </is>
      </c>
      <c r="C758" s="1" t="inlineStr">
        <is>
          <t>92840VBA9</t>
        </is>
      </c>
      <c r="D758" s="1" t="inlineStr">
        <is>
          <t>92840VBA9</t>
        </is>
      </c>
      <c r="E758" t="inlineStr">
        <is>
          <t>Vistra Operations Co LLC 5% 04/30/2031</t>
        </is>
      </c>
      <c r="F758" t="inlineStr">
        <is>
          <t>20000.00000000</t>
        </is>
      </c>
      <c r="G758" t="inlineStr">
        <is>
          <t>99.270083</t>
        </is>
      </c>
      <c r="H758" t="inlineStr">
        <is>
          <t>19854.02</t>
        </is>
      </c>
      <c r="I758" t="inlineStr">
        <is>
          <t>0.47%</t>
        </is>
      </c>
      <c r="J758" t="inlineStr">
        <is>
          <t>4258415.00</t>
        </is>
      </c>
      <c r="K758" t="inlineStr">
        <is>
          <t>170000</t>
        </is>
      </c>
      <c r="L758" t="inlineStr">
        <is>
          <t>17.000000000000</t>
        </is>
      </c>
      <c r="M758" t="inlineStr"/>
    </row>
    <row r="759">
      <c r="A759" t="inlineStr">
        <is>
          <t>06/25/2026</t>
        </is>
      </c>
      <c r="B759" t="inlineStr">
        <is>
          <t>CIVG</t>
        </is>
      </c>
      <c r="C759" s="1" t="inlineStr">
        <is>
          <t>94106LCB3</t>
        </is>
      </c>
      <c r="D759" s="1" t="inlineStr">
        <is>
          <t>94106LCB3</t>
        </is>
      </c>
      <c r="E759" t="inlineStr">
        <is>
          <t>Waste Management Inc 4.5% 03/15/2028</t>
        </is>
      </c>
      <c r="F759" t="inlineStr">
        <is>
          <t>20000.00000000</t>
        </is>
      </c>
      <c r="G759" t="inlineStr">
        <is>
          <t>100.288559</t>
        </is>
      </c>
      <c r="H759" t="inlineStr">
        <is>
          <t>20057.71</t>
        </is>
      </c>
      <c r="I759" t="inlineStr">
        <is>
          <t>0.47%</t>
        </is>
      </c>
      <c r="J759" t="inlineStr">
        <is>
          <t>4258415.00</t>
        </is>
      </c>
      <c r="K759" t="inlineStr">
        <is>
          <t>170000</t>
        </is>
      </c>
      <c r="L759" t="inlineStr">
        <is>
          <t>17.000000000000</t>
        </is>
      </c>
      <c r="M759" t="inlineStr"/>
    </row>
    <row r="760">
      <c r="A760" t="inlineStr">
        <is>
          <t>06/25/2026</t>
        </is>
      </c>
      <c r="B760" t="inlineStr">
        <is>
          <t>CIVG</t>
        </is>
      </c>
      <c r="C760" s="1" t="inlineStr">
        <is>
          <t>95000U3W1</t>
        </is>
      </c>
      <c r="D760" s="1" t="inlineStr">
        <is>
          <t>95000U3W1</t>
        </is>
      </c>
      <c r="E760" t="inlineStr">
        <is>
          <t>Wells Fargo &amp; Co 5.15% 04/23/2031</t>
        </is>
      </c>
      <c r="F760" t="inlineStr">
        <is>
          <t>54000.00000000</t>
        </is>
      </c>
      <c r="G760" t="inlineStr">
        <is>
          <t>101.227736</t>
        </is>
      </c>
      <c r="H760" t="inlineStr">
        <is>
          <t>54662.98</t>
        </is>
      </c>
      <c r="I760" t="inlineStr">
        <is>
          <t>1.28%</t>
        </is>
      </c>
      <c r="J760" t="inlineStr">
        <is>
          <t>4258415.00</t>
        </is>
      </c>
      <c r="K760" t="inlineStr">
        <is>
          <t>170000</t>
        </is>
      </c>
      <c r="L760" t="inlineStr">
        <is>
          <t>17.000000000000</t>
        </is>
      </c>
      <c r="M760" t="inlineStr"/>
    </row>
    <row r="761">
      <c r="A761" t="inlineStr">
        <is>
          <t>06/25/2026</t>
        </is>
      </c>
      <c r="B761" t="inlineStr">
        <is>
          <t>CIVG</t>
        </is>
      </c>
      <c r="C761" s="1" t="inlineStr">
        <is>
          <t>961214EF6</t>
        </is>
      </c>
      <c r="D761" s="1" t="inlineStr">
        <is>
          <t>961214EF6</t>
        </is>
      </c>
      <c r="E761" t="inlineStr">
        <is>
          <t>Westpac Banking Corp 4.11% 07/24/2034</t>
        </is>
      </c>
      <c r="F761" t="inlineStr">
        <is>
          <t>21000.00000000</t>
        </is>
      </c>
      <c r="G761" t="inlineStr">
        <is>
          <t>97.478443</t>
        </is>
      </c>
      <c r="H761" t="inlineStr">
        <is>
          <t>20470.47</t>
        </is>
      </c>
      <c r="I761" t="inlineStr">
        <is>
          <t>0.48%</t>
        </is>
      </c>
      <c r="J761" t="inlineStr">
        <is>
          <t>4258415.00</t>
        </is>
      </c>
      <c r="K761" t="inlineStr">
        <is>
          <t>170000</t>
        </is>
      </c>
      <c r="L761" t="inlineStr">
        <is>
          <t>17.000000000000</t>
        </is>
      </c>
      <c r="M761" t="inlineStr"/>
    </row>
    <row r="762">
      <c r="A762" t="inlineStr">
        <is>
          <t>06/25/2026</t>
        </is>
      </c>
      <c r="B762" t="inlineStr">
        <is>
          <t>CIVG</t>
        </is>
      </c>
      <c r="C762" s="1" t="inlineStr">
        <is>
          <t>961214EW9</t>
        </is>
      </c>
      <c r="D762" s="1" t="inlineStr">
        <is>
          <t>961214EW9</t>
        </is>
      </c>
      <c r="E762" t="inlineStr">
        <is>
          <t>Westpac Banking Corp 1.953% 11/20/2028</t>
        </is>
      </c>
      <c r="F762" t="inlineStr">
        <is>
          <t>13000.00000000</t>
        </is>
      </c>
      <c r="G762" t="inlineStr">
        <is>
          <t>94.543151</t>
        </is>
      </c>
      <c r="H762" t="inlineStr">
        <is>
          <t>12290.61</t>
        </is>
      </c>
      <c r="I762" t="inlineStr">
        <is>
          <t>0.29%</t>
        </is>
      </c>
      <c r="J762" t="inlineStr">
        <is>
          <t>4258415.00</t>
        </is>
      </c>
      <c r="K762" t="inlineStr">
        <is>
          <t>170000</t>
        </is>
      </c>
      <c r="L762" t="inlineStr">
        <is>
          <t>17.000000000000</t>
        </is>
      </c>
      <c r="M762" t="inlineStr"/>
    </row>
    <row r="763">
      <c r="A763" t="inlineStr">
        <is>
          <t>06/25/2026</t>
        </is>
      </c>
      <c r="B763" t="inlineStr">
        <is>
          <t>CIVG</t>
        </is>
      </c>
      <c r="C763" s="1" t="inlineStr">
        <is>
          <t>980236AT0</t>
        </is>
      </c>
      <c r="D763" s="1" t="inlineStr">
        <is>
          <t>980236AT0</t>
        </is>
      </c>
      <c r="E763" t="inlineStr">
        <is>
          <t>Woodside Finance Ltd 5.4% 05/19/2030</t>
        </is>
      </c>
      <c r="F763" t="inlineStr">
        <is>
          <t>20000.00000000</t>
        </is>
      </c>
      <c r="G763" t="inlineStr">
        <is>
          <t>101.828209</t>
        </is>
      </c>
      <c r="H763" t="inlineStr">
        <is>
          <t>20365.64</t>
        </is>
      </c>
      <c r="I763" t="inlineStr">
        <is>
          <t>0.48%</t>
        </is>
      </c>
      <c r="J763" t="inlineStr">
        <is>
          <t>4258415.00</t>
        </is>
      </c>
      <c r="K763" t="inlineStr">
        <is>
          <t>170000</t>
        </is>
      </c>
      <c r="L763" t="inlineStr">
        <is>
          <t>17.000000000000</t>
        </is>
      </c>
      <c r="M763" t="inlineStr"/>
    </row>
    <row r="764">
      <c r="A764" t="inlineStr">
        <is>
          <t>06/25/2026</t>
        </is>
      </c>
      <c r="B764" t="inlineStr">
        <is>
          <t>CIVG</t>
        </is>
      </c>
      <c r="C764" s="1" t="inlineStr">
        <is>
          <t>FGXXX</t>
        </is>
      </c>
      <c r="D764" s="1" t="inlineStr">
        <is>
          <t>31846V336</t>
        </is>
      </c>
      <c r="E764" t="inlineStr">
        <is>
          <t>First American Government Obligations Fund 12/01/2031</t>
        </is>
      </c>
      <c r="F764" t="inlineStr">
        <is>
          <t>30172.40000000</t>
        </is>
      </c>
      <c r="G764" t="inlineStr">
        <is>
          <t>100.000000</t>
        </is>
      </c>
      <c r="H764" t="inlineStr">
        <is>
          <t>30172.40</t>
        </is>
      </c>
      <c r="I764" t="inlineStr">
        <is>
          <t>0.71%</t>
        </is>
      </c>
      <c r="J764" t="inlineStr">
        <is>
          <t>4258415.00</t>
        </is>
      </c>
      <c r="K764" t="inlineStr">
        <is>
          <t>170000</t>
        </is>
      </c>
      <c r="L764" t="inlineStr">
        <is>
          <t>17.000000000000</t>
        </is>
      </c>
      <c r="M764" t="inlineStr">
        <is>
          <t>Y</t>
        </is>
      </c>
    </row>
    <row r="765">
      <c r="A765" t="inlineStr">
        <is>
          <t>06/25/2026</t>
        </is>
      </c>
      <c r="B765" t="inlineStr">
        <is>
          <t>CIVG</t>
        </is>
      </c>
      <c r="C765" s="1" t="inlineStr">
        <is>
          <t>Cash&amp;Other</t>
        </is>
      </c>
      <c r="D765" s="1" t="inlineStr">
        <is>
          <t>Cash&amp;Other</t>
        </is>
      </c>
      <c r="E765" t="inlineStr">
        <is>
          <t>Cash &amp; Other</t>
        </is>
      </c>
      <c r="F765" t="inlineStr">
        <is>
          <t>45200.46000000</t>
        </is>
      </c>
      <c r="G765" t="inlineStr">
        <is>
          <t>1.000000</t>
        </is>
      </c>
      <c r="H765" t="inlineStr">
        <is>
          <t>45200.46</t>
        </is>
      </c>
      <c r="I765" t="inlineStr">
        <is>
          <t>1.06%</t>
        </is>
      </c>
      <c r="J765" t="inlineStr">
        <is>
          <t>4258415.00</t>
        </is>
      </c>
      <c r="K765" t="inlineStr">
        <is>
          <t>170000</t>
        </is>
      </c>
      <c r="L765" t="inlineStr">
        <is>
          <t>17.000000000000</t>
        </is>
      </c>
      <c r="M765" t="inlineStr">
        <is>
          <t>Y</t>
        </is>
      </c>
    </row>
    <row r="766">
      <c r="A766" t="inlineStr">
        <is>
          <t>06/25/2026</t>
        </is>
      </c>
      <c r="B766" t="inlineStr">
        <is>
          <t>CJUN</t>
        </is>
      </c>
      <c r="C766" s="1" t="inlineStr">
        <is>
          <t>2SPY  270528C00151710</t>
        </is>
      </c>
      <c r="D766" s="1" t="inlineStr">
        <is>
          <t>2SPY  270528C00151710</t>
        </is>
      </c>
      <c r="E766" t="inlineStr">
        <is>
          <t>SPY 05/28/2027 151.71 C</t>
        </is>
      </c>
      <c r="F766" t="inlineStr">
        <is>
          <t>18.00000000</t>
        </is>
      </c>
      <c r="G766" t="inlineStr">
        <is>
          <t>587.712214</t>
        </is>
      </c>
      <c r="H766" t="inlineStr">
        <is>
          <t>1057881.99</t>
        </is>
      </c>
      <c r="I766" t="inlineStr">
        <is>
          <t>77.65%</t>
        </is>
      </c>
      <c r="J766" t="inlineStr">
        <is>
          <t>1362339.00</t>
        </is>
      </c>
      <c r="K766" t="inlineStr">
        <is>
          <t>55000</t>
        </is>
      </c>
      <c r="L766" t="inlineStr">
        <is>
          <t>11.000000000000</t>
        </is>
      </c>
      <c r="M766" t="inlineStr"/>
    </row>
    <row r="767">
      <c r="A767" t="inlineStr">
        <is>
          <t>06/25/2026</t>
        </is>
      </c>
      <c r="B767" t="inlineStr">
        <is>
          <t>CJUN</t>
        </is>
      </c>
      <c r="C767" s="1" t="inlineStr">
        <is>
          <t>2SPY  270528C00863900</t>
        </is>
      </c>
      <c r="D767" s="1" t="inlineStr">
        <is>
          <t>2SPY  270528C00863900</t>
        </is>
      </c>
      <c r="E767" t="inlineStr">
        <is>
          <t>SPY 05/28/2027 863.9 C</t>
        </is>
      </c>
      <c r="F767" t="inlineStr">
        <is>
          <t>-18.00000000</t>
        </is>
      </c>
      <c r="G767" t="inlineStr">
        <is>
          <t>10.199151</t>
        </is>
      </c>
      <c r="H767" t="inlineStr">
        <is>
          <t>-18358.47</t>
        </is>
      </c>
      <c r="I767" t="inlineStr">
        <is>
          <t>-1.35%</t>
        </is>
      </c>
      <c r="J767" t="inlineStr">
        <is>
          <t>1362339.00</t>
        </is>
      </c>
      <c r="K767" t="inlineStr">
        <is>
          <t>55000</t>
        </is>
      </c>
      <c r="L767" t="inlineStr">
        <is>
          <t>11.000000000000</t>
        </is>
      </c>
      <c r="M767" t="inlineStr"/>
    </row>
    <row r="768">
      <c r="A768" t="inlineStr">
        <is>
          <t>06/25/2026</t>
        </is>
      </c>
      <c r="B768" t="inlineStr">
        <is>
          <t>CJUN</t>
        </is>
      </c>
      <c r="C768" s="1" t="inlineStr">
        <is>
          <t>2SPY  270528P00644760</t>
        </is>
      </c>
      <c r="D768" s="1" t="inlineStr">
        <is>
          <t>2SPY  270528P00644760</t>
        </is>
      </c>
      <c r="E768" t="inlineStr">
        <is>
          <t>SPY 05/28/2027 644.76 P</t>
        </is>
      </c>
      <c r="F768" t="inlineStr">
        <is>
          <t>-18.00000000</t>
        </is>
      </c>
      <c r="G768" t="inlineStr">
        <is>
          <t>20.061483</t>
        </is>
      </c>
      <c r="H768" t="inlineStr">
        <is>
          <t>-36110.67</t>
        </is>
      </c>
      <c r="I768" t="inlineStr">
        <is>
          <t>-2.65%</t>
        </is>
      </c>
      <c r="J768" t="inlineStr">
        <is>
          <t>1362339.00</t>
        </is>
      </c>
      <c r="K768" t="inlineStr">
        <is>
          <t>55000</t>
        </is>
      </c>
      <c r="L768" t="inlineStr">
        <is>
          <t>11.000000000000</t>
        </is>
      </c>
      <c r="M768" t="inlineStr"/>
    </row>
    <row r="769">
      <c r="A769" t="inlineStr">
        <is>
          <t>06/25/2026</t>
        </is>
      </c>
      <c r="B769" t="inlineStr">
        <is>
          <t>CJUN</t>
        </is>
      </c>
      <c r="C769" s="1" t="inlineStr">
        <is>
          <t>2SPY  270528P00758540</t>
        </is>
      </c>
      <c r="D769" s="1" t="inlineStr">
        <is>
          <t>2SPY  270528P00758540</t>
        </is>
      </c>
      <c r="E769" t="inlineStr">
        <is>
          <t>SPY 05/28/2027 758.54 P</t>
        </is>
      </c>
      <c r="F769" t="inlineStr">
        <is>
          <t>18.00000000</t>
        </is>
      </c>
      <c r="G769" t="inlineStr">
        <is>
          <t>47.816167</t>
        </is>
      </c>
      <c r="H769" t="inlineStr">
        <is>
          <t>86069.10</t>
        </is>
      </c>
      <c r="I769" t="inlineStr">
        <is>
          <t>6.32%</t>
        </is>
      </c>
      <c r="J769" t="inlineStr">
        <is>
          <t>1362339.00</t>
        </is>
      </c>
      <c r="K769" t="inlineStr">
        <is>
          <t>55000</t>
        </is>
      </c>
      <c r="L769" t="inlineStr">
        <is>
          <t>11.000000000000</t>
        </is>
      </c>
      <c r="M769" t="inlineStr"/>
    </row>
    <row r="770">
      <c r="A770" t="inlineStr">
        <is>
          <t>06/25/2026</t>
        </is>
      </c>
      <c r="B770" t="inlineStr">
        <is>
          <t>CJUN</t>
        </is>
      </c>
      <c r="C770" s="1" t="inlineStr">
        <is>
          <t>912828ZS2</t>
        </is>
      </c>
      <c r="D770" s="1" t="inlineStr">
        <is>
          <t>912828ZS2</t>
        </is>
      </c>
      <c r="E770" t="inlineStr">
        <is>
          <t>United States Treasury Note/Bond 0.5% 05/31/2027</t>
        </is>
      </c>
      <c r="F770" t="inlineStr">
        <is>
          <t>259000.00000000</t>
        </is>
      </c>
      <c r="G770" t="inlineStr">
        <is>
          <t>96.755895</t>
        </is>
      </c>
      <c r="H770" t="inlineStr">
        <is>
          <t>250597.77</t>
        </is>
      </c>
      <c r="I770" t="inlineStr">
        <is>
          <t>18.39%</t>
        </is>
      </c>
      <c r="J770" t="inlineStr">
        <is>
          <t>1362339.00</t>
        </is>
      </c>
      <c r="K770" t="inlineStr">
        <is>
          <t>55000</t>
        </is>
      </c>
      <c r="L770" t="inlineStr">
        <is>
          <t>11.000000000000</t>
        </is>
      </c>
      <c r="M770" t="inlineStr"/>
    </row>
    <row r="771">
      <c r="A771" t="inlineStr">
        <is>
          <t>06/25/2026</t>
        </is>
      </c>
      <c r="B771" t="inlineStr">
        <is>
          <t>CJUN</t>
        </is>
      </c>
      <c r="C771" s="1" t="inlineStr">
        <is>
          <t>FGXXX</t>
        </is>
      </c>
      <c r="D771" s="1" t="inlineStr">
        <is>
          <t>31846V336</t>
        </is>
      </c>
      <c r="E771" t="inlineStr">
        <is>
          <t>First American Government Obligations Fund 12/01/2031</t>
        </is>
      </c>
      <c r="F771" t="inlineStr">
        <is>
          <t>22200.76000000</t>
        </is>
      </c>
      <c r="G771" t="inlineStr">
        <is>
          <t>100.000000</t>
        </is>
      </c>
      <c r="H771" t="inlineStr">
        <is>
          <t>22200.76</t>
        </is>
      </c>
      <c r="I771" t="inlineStr">
        <is>
          <t>1.63%</t>
        </is>
      </c>
      <c r="J771" t="inlineStr">
        <is>
          <t>1362339.00</t>
        </is>
      </c>
      <c r="K771" t="inlineStr">
        <is>
          <t>55000</t>
        </is>
      </c>
      <c r="L771" t="inlineStr">
        <is>
          <t>11.000000000000</t>
        </is>
      </c>
      <c r="M771" t="inlineStr">
        <is>
          <t>Y</t>
        </is>
      </c>
    </row>
    <row r="772">
      <c r="A772" t="inlineStr">
        <is>
          <t>06/25/2026</t>
        </is>
      </c>
      <c r="B772" t="inlineStr">
        <is>
          <t>CJUN</t>
        </is>
      </c>
      <c r="C772" s="1" t="inlineStr">
        <is>
          <t>Cash&amp;Other</t>
        </is>
      </c>
      <c r="D772" s="1" t="inlineStr">
        <is>
          <t>Cash&amp;Other</t>
        </is>
      </c>
      <c r="E772" t="inlineStr">
        <is>
          <t>Cash &amp; Other</t>
        </is>
      </c>
      <c r="F772" t="inlineStr">
        <is>
          <t>53.01000000</t>
        </is>
      </c>
      <c r="G772" t="inlineStr">
        <is>
          <t>1.000000</t>
        </is>
      </c>
      <c r="H772" t="inlineStr">
        <is>
          <t>53.01</t>
        </is>
      </c>
      <c r="I772" t="inlineStr">
        <is>
          <t>0.00%</t>
        </is>
      </c>
      <c r="J772" t="inlineStr">
        <is>
          <t>1362339.00</t>
        </is>
      </c>
      <c r="K772" t="inlineStr">
        <is>
          <t>55000</t>
        </is>
      </c>
      <c r="L772" t="inlineStr">
        <is>
          <t>11.000000000000</t>
        </is>
      </c>
      <c r="M772" t="inlineStr">
        <is>
          <t>Y</t>
        </is>
      </c>
    </row>
    <row r="773">
      <c r="A773" t="inlineStr">
        <is>
          <t>06/25/2026</t>
        </is>
      </c>
      <c r="B773" t="inlineStr">
        <is>
          <t>CMAG</t>
        </is>
      </c>
      <c r="C773" s="1" t="inlineStr">
        <is>
          <t>02079K305-TRS-05/31/27-L-CANT</t>
        </is>
      </c>
      <c r="D773" s="1" t="inlineStr">
        <is>
          <t>02079K305-TRS-05/31/27-L-CANT</t>
        </is>
      </c>
      <c r="E773" t="inlineStr">
        <is>
          <t>ALPHABET INC.-SWAP-CANT-L</t>
        </is>
      </c>
      <c r="F773" t="inlineStr">
        <is>
          <t>2429.00000000</t>
        </is>
      </c>
      <c r="G773" t="inlineStr">
        <is>
          <t>345.290000</t>
        </is>
      </c>
      <c r="H773" t="inlineStr">
        <is>
          <t>838709.41</t>
        </is>
      </c>
      <c r="I773" t="inlineStr">
        <is>
          <t>9.66%</t>
        </is>
      </c>
      <c r="J773" t="inlineStr">
        <is>
          <t>8683970.50</t>
        </is>
      </c>
      <c r="K773" t="inlineStr">
        <is>
          <t>365000</t>
        </is>
      </c>
      <c r="L773" t="inlineStr">
        <is>
          <t>73.000000000000</t>
        </is>
      </c>
      <c r="M773" t="inlineStr"/>
    </row>
    <row r="774">
      <c r="A774" t="inlineStr">
        <is>
          <t>06/25/2026</t>
        </is>
      </c>
      <c r="B774" t="inlineStr">
        <is>
          <t>CMAG</t>
        </is>
      </c>
      <c r="C774" s="1" t="inlineStr">
        <is>
          <t>023135106-TRS-05/31/27-L-CANT</t>
        </is>
      </c>
      <c r="D774" s="1" t="inlineStr">
        <is>
          <t>023135106-TRS-05/31/27-L-CANT</t>
        </is>
      </c>
      <c r="E774" t="inlineStr">
        <is>
          <t>AMAZON.COM, INC.-SWAP-CANT-L</t>
        </is>
      </c>
      <c r="F774" t="inlineStr">
        <is>
          <t>2034.00000000</t>
        </is>
      </c>
      <c r="G774" t="inlineStr">
        <is>
          <t>234.270000</t>
        </is>
      </c>
      <c r="H774" t="inlineStr">
        <is>
          <t>476505.18</t>
        </is>
      </c>
      <c r="I774" t="inlineStr">
        <is>
          <t>5.49%</t>
        </is>
      </c>
      <c r="J774" t="inlineStr">
        <is>
          <t>8683970.50</t>
        </is>
      </c>
      <c r="K774" t="inlineStr">
        <is>
          <t>365000</t>
        </is>
      </c>
      <c r="L774" t="inlineStr">
        <is>
          <t>73.000000000000</t>
        </is>
      </c>
      <c r="M774" t="inlineStr"/>
    </row>
    <row r="775">
      <c r="A775" t="inlineStr">
        <is>
          <t>06/25/2026</t>
        </is>
      </c>
      <c r="B775" t="inlineStr">
        <is>
          <t>CMAG</t>
        </is>
      </c>
      <c r="C775" s="1" t="inlineStr">
        <is>
          <t>037833100-TRS-05/31/27-L-CANT</t>
        </is>
      </c>
      <c r="D775" s="1" t="inlineStr">
        <is>
          <t>037833100-TRS-05/31/27-L-CANT</t>
        </is>
      </c>
      <c r="E775" t="inlineStr">
        <is>
          <t>APPLE INC.-SWAP-CANT-L</t>
        </is>
      </c>
      <c r="F775" t="inlineStr">
        <is>
          <t>2984.00000000</t>
        </is>
      </c>
      <c r="G775" t="inlineStr">
        <is>
          <t>293.080000</t>
        </is>
      </c>
      <c r="H775" t="inlineStr">
        <is>
          <t>874550.72</t>
        </is>
      </c>
      <c r="I775" t="inlineStr">
        <is>
          <t>10.07%</t>
        </is>
      </c>
      <c r="J775" t="inlineStr">
        <is>
          <t>8683970.50</t>
        </is>
      </c>
      <c r="K775" t="inlineStr">
        <is>
          <t>365000</t>
        </is>
      </c>
      <c r="L775" t="inlineStr">
        <is>
          <t>73.000000000000</t>
        </is>
      </c>
      <c r="M775" t="inlineStr"/>
    </row>
    <row r="776">
      <c r="A776" t="inlineStr">
        <is>
          <t>06/25/2026</t>
        </is>
      </c>
      <c r="B776" t="inlineStr">
        <is>
          <t>CMAG</t>
        </is>
      </c>
      <c r="C776" s="1" t="inlineStr">
        <is>
          <t>30303M102-TRS-05/31/27-L-CANT</t>
        </is>
      </c>
      <c r="D776" s="1" t="inlineStr">
        <is>
          <t>30303M102-TRS-05/31/27-L-CANT</t>
        </is>
      </c>
      <c r="E776" t="inlineStr">
        <is>
          <t>META PLATFORMS, INC.-SWAP-CANT-L</t>
        </is>
      </c>
      <c r="F776" t="inlineStr">
        <is>
          <t>494.00000000</t>
        </is>
      </c>
      <c r="G776" t="inlineStr">
        <is>
          <t>557.670000</t>
        </is>
      </c>
      <c r="H776" t="inlineStr">
        <is>
          <t>275488.98</t>
        </is>
      </c>
      <c r="I776" t="inlineStr">
        <is>
          <t>3.17%</t>
        </is>
      </c>
      <c r="J776" t="inlineStr">
        <is>
          <t>8683970.50</t>
        </is>
      </c>
      <c r="K776" t="inlineStr">
        <is>
          <t>365000</t>
        </is>
      </c>
      <c r="L776" t="inlineStr">
        <is>
          <t>73.000000000000</t>
        </is>
      </c>
      <c r="M776" t="inlineStr"/>
    </row>
    <row r="777">
      <c r="A777" t="inlineStr">
        <is>
          <t>06/25/2026</t>
        </is>
      </c>
      <c r="B777" t="inlineStr">
        <is>
          <t>CMAG</t>
        </is>
      </c>
      <c r="C777" s="1" t="inlineStr">
        <is>
          <t>594918104-TRS-05/31/27-L-CANT</t>
        </is>
      </c>
      <c r="D777" s="1" t="inlineStr">
        <is>
          <t>594918104-TRS-05/31/27-L-CANT</t>
        </is>
      </c>
      <c r="E777" t="inlineStr">
        <is>
          <t>MICROSOFT CORPORATION-SWAP-CANT-L</t>
        </is>
      </c>
      <c r="F777" t="inlineStr">
        <is>
          <t>1535.00000000</t>
        </is>
      </c>
      <c r="G777" t="inlineStr">
        <is>
          <t>365.460000</t>
        </is>
      </c>
      <c r="H777" t="inlineStr">
        <is>
          <t>560981.10</t>
        </is>
      </c>
      <c r="I777" t="inlineStr">
        <is>
          <t>6.46%</t>
        </is>
      </c>
      <c r="J777" t="inlineStr">
        <is>
          <t>8683970.50</t>
        </is>
      </c>
      <c r="K777" t="inlineStr">
        <is>
          <t>365000</t>
        </is>
      </c>
      <c r="L777" t="inlineStr">
        <is>
          <t>73.000000000000</t>
        </is>
      </c>
      <c r="M777" t="inlineStr"/>
    </row>
    <row r="778">
      <c r="A778" t="inlineStr">
        <is>
          <t>06/25/2026</t>
        </is>
      </c>
      <c r="B778" t="inlineStr">
        <is>
          <t>CMAG</t>
        </is>
      </c>
      <c r="C778" s="1" t="inlineStr">
        <is>
          <t>67066G104-TRS-05/31/27-L-CANT</t>
        </is>
      </c>
      <c r="D778" s="1" t="inlineStr">
        <is>
          <t>67066G104-TRS-05/31/27-L-CANT</t>
        </is>
      </c>
      <c r="E778" t="inlineStr">
        <is>
          <t>NVIDIA CORPORATION-SWAP-CANT-L</t>
        </is>
      </c>
      <c r="F778" t="inlineStr">
        <is>
          <t>4794.00000000</t>
        </is>
      </c>
      <c r="G778" t="inlineStr">
        <is>
          <t>199.000000</t>
        </is>
      </c>
      <c r="H778" t="inlineStr">
        <is>
          <t>954006.00</t>
        </is>
      </c>
      <c r="I778" t="inlineStr">
        <is>
          <t>10.99%</t>
        </is>
      </c>
      <c r="J778" t="inlineStr">
        <is>
          <t>8683970.50</t>
        </is>
      </c>
      <c r="K778" t="inlineStr">
        <is>
          <t>365000</t>
        </is>
      </c>
      <c r="L778" t="inlineStr">
        <is>
          <t>73.000000000000</t>
        </is>
      </c>
      <c r="M778" t="inlineStr"/>
    </row>
    <row r="779">
      <c r="A779" t="inlineStr">
        <is>
          <t>06/25/2026</t>
        </is>
      </c>
      <c r="B779" t="inlineStr">
        <is>
          <t>CMAG</t>
        </is>
      </c>
      <c r="C779" s="1" t="inlineStr">
        <is>
          <t>88160R101-TRS-05/31/27-L-CANT</t>
        </is>
      </c>
      <c r="D779" s="1" t="inlineStr">
        <is>
          <t>88160R101-TRS-05/31/27-L-CANT</t>
        </is>
      </c>
      <c r="E779" t="inlineStr">
        <is>
          <t>TESLA, INC.-SWAP-CANT-L</t>
        </is>
      </c>
      <c r="F779" t="inlineStr">
        <is>
          <t>691.00000000</t>
        </is>
      </c>
      <c r="G779" t="inlineStr">
        <is>
          <t>375.530000</t>
        </is>
      </c>
      <c r="H779" t="inlineStr">
        <is>
          <t>259491.23</t>
        </is>
      </c>
      <c r="I779" t="inlineStr">
        <is>
          <t>2.99%</t>
        </is>
      </c>
      <c r="J779" t="inlineStr">
        <is>
          <t>8683970.50</t>
        </is>
      </c>
      <c r="K779" t="inlineStr">
        <is>
          <t>365000</t>
        </is>
      </c>
      <c r="L779" t="inlineStr">
        <is>
          <t>73.000000000000</t>
        </is>
      </c>
      <c r="M779" t="inlineStr"/>
    </row>
    <row r="780">
      <c r="A780" t="inlineStr">
        <is>
          <t>06/25/2026</t>
        </is>
      </c>
      <c r="B780" t="inlineStr">
        <is>
          <t>CMAG</t>
        </is>
      </c>
      <c r="C780" s="1" t="inlineStr">
        <is>
          <t>AAPL</t>
        </is>
      </c>
      <c r="D780" s="1" t="inlineStr">
        <is>
          <t>037833100</t>
        </is>
      </c>
      <c r="E780" t="inlineStr">
        <is>
          <t>Apple Inc</t>
        </is>
      </c>
      <c r="F780" t="inlineStr">
        <is>
          <t>2993.00000000</t>
        </is>
      </c>
      <c r="G780" t="inlineStr">
        <is>
          <t>293.080000</t>
        </is>
      </c>
      <c r="H780" t="inlineStr">
        <is>
          <t>877188.44</t>
        </is>
      </c>
      <c r="I780" t="inlineStr">
        <is>
          <t>10.10%</t>
        </is>
      </c>
      <c r="J780" t="inlineStr">
        <is>
          <t>8683970.50</t>
        </is>
      </c>
      <c r="K780" t="inlineStr">
        <is>
          <t>365000</t>
        </is>
      </c>
      <c r="L780" t="inlineStr">
        <is>
          <t>73.000000000000</t>
        </is>
      </c>
      <c r="M780" t="inlineStr"/>
    </row>
    <row r="781">
      <c r="A781" t="inlineStr">
        <is>
          <t>06/25/2026</t>
        </is>
      </c>
      <c r="B781" t="inlineStr">
        <is>
          <t>CMAG</t>
        </is>
      </c>
      <c r="C781" s="1" t="inlineStr">
        <is>
          <t>AMZN</t>
        </is>
      </c>
      <c r="D781" s="1" t="inlineStr">
        <is>
          <t>023135106</t>
        </is>
      </c>
      <c r="E781" t="inlineStr">
        <is>
          <t>Amazon.com Inc</t>
        </is>
      </c>
      <c r="F781" t="inlineStr">
        <is>
          <t>2044.00000000</t>
        </is>
      </c>
      <c r="G781" t="inlineStr">
        <is>
          <t>234.270000</t>
        </is>
      </c>
      <c r="H781" t="inlineStr">
        <is>
          <t>478847.88</t>
        </is>
      </c>
      <c r="I781" t="inlineStr">
        <is>
          <t>5.51%</t>
        </is>
      </c>
      <c r="J781" t="inlineStr">
        <is>
          <t>8683970.50</t>
        </is>
      </c>
      <c r="K781" t="inlineStr">
        <is>
          <t>365000</t>
        </is>
      </c>
      <c r="L781" t="inlineStr">
        <is>
          <t>73.000000000000</t>
        </is>
      </c>
      <c r="M781" t="inlineStr"/>
    </row>
    <row r="782">
      <c r="A782" t="inlineStr">
        <is>
          <t>06/25/2026</t>
        </is>
      </c>
      <c r="B782" t="inlineStr">
        <is>
          <t>CMAG</t>
        </is>
      </c>
      <c r="C782" s="1" t="inlineStr">
        <is>
          <t>FGXXX</t>
        </is>
      </c>
      <c r="D782" s="1" t="inlineStr">
        <is>
          <t>31846V336</t>
        </is>
      </c>
      <c r="E782" t="inlineStr">
        <is>
          <t>First American Government Obligations Fund 12/01/2031</t>
        </is>
      </c>
      <c r="F782" t="inlineStr">
        <is>
          <t>3382033.33000000</t>
        </is>
      </c>
      <c r="G782" t="inlineStr">
        <is>
          <t>100.000000</t>
        </is>
      </c>
      <c r="H782" t="inlineStr">
        <is>
          <t>3382033.33</t>
        </is>
      </c>
      <c r="I782" t="inlineStr">
        <is>
          <t>38.95%</t>
        </is>
      </c>
      <c r="J782" t="inlineStr">
        <is>
          <t>8683970.50</t>
        </is>
      </c>
      <c r="K782" t="inlineStr">
        <is>
          <t>365000</t>
        </is>
      </c>
      <c r="L782" t="inlineStr">
        <is>
          <t>73.000000000000</t>
        </is>
      </c>
      <c r="M782" t="inlineStr">
        <is>
          <t>Y</t>
        </is>
      </c>
    </row>
    <row r="783">
      <c r="A783" t="inlineStr">
        <is>
          <t>06/25/2026</t>
        </is>
      </c>
      <c r="B783" t="inlineStr">
        <is>
          <t>CMAG</t>
        </is>
      </c>
      <c r="C783" s="1" t="inlineStr">
        <is>
          <t>GOOGL</t>
        </is>
      </c>
      <c r="D783" s="1" t="inlineStr">
        <is>
          <t>02079K305</t>
        </is>
      </c>
      <c r="E783" t="inlineStr">
        <is>
          <t>Alphabet Inc</t>
        </is>
      </c>
      <c r="F783" t="inlineStr">
        <is>
          <t>2420.00000000</t>
        </is>
      </c>
      <c r="G783" t="inlineStr">
        <is>
          <t>345.290000</t>
        </is>
      </c>
      <c r="H783" t="inlineStr">
        <is>
          <t>835601.80</t>
        </is>
      </c>
      <c r="I783" t="inlineStr">
        <is>
          <t>9.62%</t>
        </is>
      </c>
      <c r="J783" t="inlineStr">
        <is>
          <t>8683970.50</t>
        </is>
      </c>
      <c r="K783" t="inlineStr">
        <is>
          <t>365000</t>
        </is>
      </c>
      <c r="L783" t="inlineStr">
        <is>
          <t>73.000000000000</t>
        </is>
      </c>
      <c r="M783" t="inlineStr"/>
    </row>
    <row r="784">
      <c r="A784" t="inlineStr">
        <is>
          <t>06/25/2026</t>
        </is>
      </c>
      <c r="B784" t="inlineStr">
        <is>
          <t>CMAG</t>
        </is>
      </c>
      <c r="C784" s="1" t="inlineStr">
        <is>
          <t>META</t>
        </is>
      </c>
      <c r="D784" s="1" t="inlineStr">
        <is>
          <t>30303M102</t>
        </is>
      </c>
      <c r="E784" t="inlineStr">
        <is>
          <t>Meta Platforms Inc</t>
        </is>
      </c>
      <c r="F784" t="inlineStr">
        <is>
          <t>511.00000000</t>
        </is>
      </c>
      <c r="G784" t="inlineStr">
        <is>
          <t>557.670000</t>
        </is>
      </c>
      <c r="H784" t="inlineStr">
        <is>
          <t>284969.37</t>
        </is>
      </c>
      <c r="I784" t="inlineStr">
        <is>
          <t>3.28%</t>
        </is>
      </c>
      <c r="J784" t="inlineStr">
        <is>
          <t>8683970.50</t>
        </is>
      </c>
      <c r="K784" t="inlineStr">
        <is>
          <t>365000</t>
        </is>
      </c>
      <c r="L784" t="inlineStr">
        <is>
          <t>73.000000000000</t>
        </is>
      </c>
      <c r="M784" t="inlineStr"/>
    </row>
    <row r="785">
      <c r="A785" t="inlineStr">
        <is>
          <t>06/25/2026</t>
        </is>
      </c>
      <c r="B785" t="inlineStr">
        <is>
          <t>CMAG</t>
        </is>
      </c>
      <c r="C785" s="1" t="inlineStr">
        <is>
          <t>MSFT</t>
        </is>
      </c>
      <c r="D785" s="1" t="inlineStr">
        <is>
          <t>594918104</t>
        </is>
      </c>
      <c r="E785" t="inlineStr">
        <is>
          <t>Microsoft Corp</t>
        </is>
      </c>
      <c r="F785" t="inlineStr">
        <is>
          <t>1533.00000000</t>
        </is>
      </c>
      <c r="G785" t="inlineStr">
        <is>
          <t>365.460000</t>
        </is>
      </c>
      <c r="H785" t="inlineStr">
        <is>
          <t>560250.18</t>
        </is>
      </c>
      <c r="I785" t="inlineStr">
        <is>
          <t>6.45%</t>
        </is>
      </c>
      <c r="J785" t="inlineStr">
        <is>
          <t>8683970.50</t>
        </is>
      </c>
      <c r="K785" t="inlineStr">
        <is>
          <t>365000</t>
        </is>
      </c>
      <c r="L785" t="inlineStr">
        <is>
          <t>73.000000000000</t>
        </is>
      </c>
      <c r="M785" t="inlineStr"/>
    </row>
    <row r="786">
      <c r="A786" t="inlineStr">
        <is>
          <t>06/25/2026</t>
        </is>
      </c>
      <c r="B786" t="inlineStr">
        <is>
          <t>CMAG</t>
        </is>
      </c>
      <c r="C786" s="1" t="inlineStr">
        <is>
          <t>NVDA</t>
        </is>
      </c>
      <c r="D786" s="1" t="inlineStr">
        <is>
          <t>67066G104</t>
        </is>
      </c>
      <c r="E786" t="inlineStr">
        <is>
          <t>NVIDIA Corp</t>
        </is>
      </c>
      <c r="F786" t="inlineStr">
        <is>
          <t>4756.00000000</t>
        </is>
      </c>
      <c r="G786" t="inlineStr">
        <is>
          <t>199.000000</t>
        </is>
      </c>
      <c r="H786" t="inlineStr">
        <is>
          <t>946444.00</t>
        </is>
      </c>
      <c r="I786" t="inlineStr">
        <is>
          <t>10.90%</t>
        </is>
      </c>
      <c r="J786" t="inlineStr">
        <is>
          <t>8683970.50</t>
        </is>
      </c>
      <c r="K786" t="inlineStr">
        <is>
          <t>365000</t>
        </is>
      </c>
      <c r="L786" t="inlineStr">
        <is>
          <t>73.000000000000</t>
        </is>
      </c>
      <c r="M786" t="inlineStr"/>
    </row>
    <row r="787">
      <c r="A787" t="inlineStr">
        <is>
          <t>06/25/2026</t>
        </is>
      </c>
      <c r="B787" t="inlineStr">
        <is>
          <t>CMAG</t>
        </is>
      </c>
      <c r="C787" s="1" t="inlineStr">
        <is>
          <t>TSLA</t>
        </is>
      </c>
      <c r="D787" s="1" t="inlineStr">
        <is>
          <t>88160R101</t>
        </is>
      </c>
      <c r="E787" t="inlineStr">
        <is>
          <t>Tesla Inc</t>
        </is>
      </c>
      <c r="F787" t="inlineStr">
        <is>
          <t>730.00000000</t>
        </is>
      </c>
      <c r="G787" t="inlineStr">
        <is>
          <t>375.530000</t>
        </is>
      </c>
      <c r="H787" t="inlineStr">
        <is>
          <t>274136.90</t>
        </is>
      </c>
      <c r="I787" t="inlineStr">
        <is>
          <t>3.16%</t>
        </is>
      </c>
      <c r="J787" t="inlineStr">
        <is>
          <t>8683970.50</t>
        </is>
      </c>
      <c r="K787" t="inlineStr">
        <is>
          <t>365000</t>
        </is>
      </c>
      <c r="L787" t="inlineStr">
        <is>
          <t>73.000000000000</t>
        </is>
      </c>
      <c r="M787" t="inlineStr"/>
    </row>
    <row r="788">
      <c r="A788" t="inlineStr">
        <is>
          <t>06/25/2026</t>
        </is>
      </c>
      <c r="B788" t="inlineStr">
        <is>
          <t>CMAG</t>
        </is>
      </c>
      <c r="C788" s="1" t="inlineStr">
        <is>
          <t>Cash&amp;Other</t>
        </is>
      </c>
      <c r="D788" s="1" t="inlineStr">
        <is>
          <t>Cash&amp;Other</t>
        </is>
      </c>
      <c r="E788" t="inlineStr">
        <is>
          <t>Cash &amp; Other</t>
        </is>
      </c>
      <c r="F788" t="inlineStr">
        <is>
          <t>-3195524.06000000</t>
        </is>
      </c>
      <c r="G788" t="inlineStr">
        <is>
          <t>1.000000</t>
        </is>
      </c>
      <c r="H788" t="inlineStr">
        <is>
          <t>-3195524.06</t>
        </is>
      </c>
      <c r="I788" t="inlineStr">
        <is>
          <t>-36.80%</t>
        </is>
      </c>
      <c r="J788" t="inlineStr">
        <is>
          <t>8683970.50</t>
        </is>
      </c>
      <c r="K788" t="inlineStr">
        <is>
          <t>365000</t>
        </is>
      </c>
      <c r="L788" t="inlineStr">
        <is>
          <t>73.000000000000</t>
        </is>
      </c>
      <c r="M788" t="inlineStr">
        <is>
          <t>Y</t>
        </is>
      </c>
    </row>
    <row r="789">
      <c r="A789" t="inlineStr">
        <is>
          <t>06/25/2026</t>
        </is>
      </c>
      <c r="B789" t="inlineStr">
        <is>
          <t>CMAY</t>
        </is>
      </c>
      <c r="C789" s="1" t="inlineStr">
        <is>
          <t>2SPY  270430C00143730</t>
        </is>
      </c>
      <c r="D789" s="1" t="inlineStr">
        <is>
          <t>2SPY  270430C00143730</t>
        </is>
      </c>
      <c r="E789" t="inlineStr">
        <is>
          <t>SPY 04/30/2027 143.73 C</t>
        </is>
      </c>
      <c r="F789" t="inlineStr">
        <is>
          <t>68.00000000</t>
        </is>
      </c>
      <c r="G789" t="inlineStr">
        <is>
          <t>594.186220</t>
        </is>
      </c>
      <c r="H789" t="inlineStr">
        <is>
          <t>4040466.30</t>
        </is>
      </c>
      <c r="I789" t="inlineStr">
        <is>
          <t>81.24%</t>
        </is>
      </c>
      <c r="J789" t="inlineStr">
        <is>
          <t>4973241.00</t>
        </is>
      </c>
      <c r="K789" t="inlineStr">
        <is>
          <t>195000</t>
        </is>
      </c>
      <c r="L789" t="inlineStr">
        <is>
          <t>39.000000000000</t>
        </is>
      </c>
      <c r="M789" t="inlineStr"/>
    </row>
    <row r="790">
      <c r="A790" t="inlineStr">
        <is>
          <t>06/25/2026</t>
        </is>
      </c>
      <c r="B790" t="inlineStr">
        <is>
          <t>CMAY</t>
        </is>
      </c>
      <c r="C790" s="1" t="inlineStr">
        <is>
          <t>2SPY  270430C00797710</t>
        </is>
      </c>
      <c r="D790" s="1" t="inlineStr">
        <is>
          <t>2SPY  270430C00797710</t>
        </is>
      </c>
      <c r="E790" t="inlineStr">
        <is>
          <t>SPY 04/30/2027 797.71 C</t>
        </is>
      </c>
      <c r="F790" t="inlineStr">
        <is>
          <t>-68.00000000</t>
        </is>
      </c>
      <c r="G790" t="inlineStr">
        <is>
          <t>26.687808</t>
        </is>
      </c>
      <c r="H790" t="inlineStr">
        <is>
          <t>-181477.09</t>
        </is>
      </c>
      <c r="I790" t="inlineStr">
        <is>
          <t>-3.65%</t>
        </is>
      </c>
      <c r="J790" t="inlineStr">
        <is>
          <t>4973241.00</t>
        </is>
      </c>
      <c r="K790" t="inlineStr">
        <is>
          <t>195000</t>
        </is>
      </c>
      <c r="L790" t="inlineStr">
        <is>
          <t>39.000000000000</t>
        </is>
      </c>
      <c r="M790" t="inlineStr"/>
    </row>
    <row r="791">
      <c r="A791" t="inlineStr">
        <is>
          <t>06/25/2026</t>
        </is>
      </c>
      <c r="B791" t="inlineStr">
        <is>
          <t>CMAY</t>
        </is>
      </c>
      <c r="C791" s="1" t="inlineStr">
        <is>
          <t>2SPY  270430P00610860</t>
        </is>
      </c>
      <c r="D791" s="1" t="inlineStr">
        <is>
          <t>2SPY  270430P00610860</t>
        </is>
      </c>
      <c r="E791" t="inlineStr">
        <is>
          <t>SPY 04/30/2027 610.86 P</t>
        </is>
      </c>
      <c r="F791" t="inlineStr">
        <is>
          <t>-68.00000000</t>
        </is>
      </c>
      <c r="G791" t="inlineStr">
        <is>
          <t>14.325747</t>
        </is>
      </c>
      <c r="H791" t="inlineStr">
        <is>
          <t>-97415.08</t>
        </is>
      </c>
      <c r="I791" t="inlineStr">
        <is>
          <t>-1.96%</t>
        </is>
      </c>
      <c r="J791" t="inlineStr">
        <is>
          <t>4973241.00</t>
        </is>
      </c>
      <c r="K791" t="inlineStr">
        <is>
          <t>195000</t>
        </is>
      </c>
      <c r="L791" t="inlineStr">
        <is>
          <t>39.000000000000</t>
        </is>
      </c>
      <c r="M791" t="inlineStr"/>
    </row>
    <row r="792">
      <c r="A792" t="inlineStr">
        <is>
          <t>06/25/2026</t>
        </is>
      </c>
      <c r="B792" t="inlineStr">
        <is>
          <t>CMAY</t>
        </is>
      </c>
      <c r="C792" s="1" t="inlineStr">
        <is>
          <t>2SPY  270430P00718660</t>
        </is>
      </c>
      <c r="D792" s="1" t="inlineStr">
        <is>
          <t>2SPY  270430P00718660</t>
        </is>
      </c>
      <c r="E792" t="inlineStr">
        <is>
          <t>SPY 04/30/2027 718.66 P</t>
        </is>
      </c>
      <c r="F792" t="inlineStr">
        <is>
          <t>68.00000000</t>
        </is>
      </c>
      <c r="G792" t="inlineStr">
        <is>
          <t>33.776943</t>
        </is>
      </c>
      <c r="H792" t="inlineStr">
        <is>
          <t>229683.21</t>
        </is>
      </c>
      <c r="I792" t="inlineStr">
        <is>
          <t>4.62%</t>
        </is>
      </c>
      <c r="J792" t="inlineStr">
        <is>
          <t>4973241.00</t>
        </is>
      </c>
      <c r="K792" t="inlineStr">
        <is>
          <t>195000</t>
        </is>
      </c>
      <c r="L792" t="inlineStr">
        <is>
          <t>39.000000000000</t>
        </is>
      </c>
      <c r="M792" t="inlineStr"/>
    </row>
    <row r="793">
      <c r="A793" t="inlineStr">
        <is>
          <t>06/25/2026</t>
        </is>
      </c>
      <c r="B793" t="inlineStr">
        <is>
          <t>CMAY</t>
        </is>
      </c>
      <c r="C793" s="1" t="inlineStr">
        <is>
          <t>912828ZN3</t>
        </is>
      </c>
      <c r="D793" s="1" t="inlineStr">
        <is>
          <t>912828ZN3</t>
        </is>
      </c>
      <c r="E793" t="inlineStr">
        <is>
          <t>United States Treasury Note/Bond 0.5% 04/30/2027</t>
        </is>
      </c>
      <c r="F793" t="inlineStr">
        <is>
          <t>885000.00000000</t>
        </is>
      </c>
      <c r="G793" t="inlineStr">
        <is>
          <t>97.073002</t>
        </is>
      </c>
      <c r="H793" t="inlineStr">
        <is>
          <t>859096.07</t>
        </is>
      </c>
      <c r="I793" t="inlineStr">
        <is>
          <t>17.27%</t>
        </is>
      </c>
      <c r="J793" t="inlineStr">
        <is>
          <t>4973241.00</t>
        </is>
      </c>
      <c r="K793" t="inlineStr">
        <is>
          <t>195000</t>
        </is>
      </c>
      <c r="L793" t="inlineStr">
        <is>
          <t>39.000000000000</t>
        </is>
      </c>
      <c r="M793" t="inlineStr"/>
    </row>
    <row r="794">
      <c r="A794" t="inlineStr">
        <is>
          <t>06/25/2026</t>
        </is>
      </c>
      <c r="B794" t="inlineStr">
        <is>
          <t>CMAY</t>
        </is>
      </c>
      <c r="C794" s="1" t="inlineStr">
        <is>
          <t>FGXXX</t>
        </is>
      </c>
      <c r="D794" s="1" t="inlineStr">
        <is>
          <t>31846V336</t>
        </is>
      </c>
      <c r="E794" t="inlineStr">
        <is>
          <t>First American Government Obligations Fund 12/01/2031</t>
        </is>
      </c>
      <c r="F794" t="inlineStr">
        <is>
          <t>122937.37000000</t>
        </is>
      </c>
      <c r="G794" t="inlineStr">
        <is>
          <t>100.000000</t>
        </is>
      </c>
      <c r="H794" t="inlineStr">
        <is>
          <t>122937.37</t>
        </is>
      </c>
      <c r="I794" t="inlineStr">
        <is>
          <t>2.47%</t>
        </is>
      </c>
      <c r="J794" t="inlineStr">
        <is>
          <t>4973241.00</t>
        </is>
      </c>
      <c r="K794" t="inlineStr">
        <is>
          <t>195000</t>
        </is>
      </c>
      <c r="L794" t="inlineStr">
        <is>
          <t>39.000000000000</t>
        </is>
      </c>
      <c r="M794" t="inlineStr">
        <is>
          <t>Y</t>
        </is>
      </c>
    </row>
    <row r="795">
      <c r="A795" t="inlineStr">
        <is>
          <t>06/25/2026</t>
        </is>
      </c>
      <c r="B795" t="inlineStr">
        <is>
          <t>CMAY</t>
        </is>
      </c>
      <c r="C795" s="1" t="inlineStr">
        <is>
          <t>Cash&amp;Other</t>
        </is>
      </c>
      <c r="D795" s="1" t="inlineStr">
        <is>
          <t>Cash&amp;Other</t>
        </is>
      </c>
      <c r="E795" t="inlineStr">
        <is>
          <t>Cash &amp; Other</t>
        </is>
      </c>
      <c r="F795" t="inlineStr">
        <is>
          <t>-66.73000000</t>
        </is>
      </c>
      <c r="G795" t="inlineStr">
        <is>
          <t>1.000000</t>
        </is>
      </c>
      <c r="H795" t="inlineStr">
        <is>
          <t>-66.73</t>
        </is>
      </c>
      <c r="I795" t="inlineStr">
        <is>
          <t>0.00%</t>
        </is>
      </c>
      <c r="J795" t="inlineStr">
        <is>
          <t>4973241.00</t>
        </is>
      </c>
      <c r="K795" t="inlineStr">
        <is>
          <t>195000</t>
        </is>
      </c>
      <c r="L795" t="inlineStr">
        <is>
          <t>39.000000000000</t>
        </is>
      </c>
      <c r="M795" t="inlineStr">
        <is>
          <t>Y</t>
        </is>
      </c>
    </row>
    <row r="796">
      <c r="A796" t="inlineStr">
        <is>
          <t>06/25/2026</t>
        </is>
      </c>
      <c r="B796" t="inlineStr">
        <is>
          <t>CQTM</t>
        </is>
      </c>
      <c r="C796" s="1" t="inlineStr">
        <is>
          <t>ARQQ</t>
        </is>
      </c>
      <c r="D796" s="1" t="inlineStr">
        <is>
          <t>G0567U127</t>
        </is>
      </c>
      <c r="E796" t="inlineStr">
        <is>
          <t>Arqit Quantum Inc</t>
        </is>
      </c>
      <c r="F796" t="inlineStr">
        <is>
          <t>42824.00000000</t>
        </is>
      </c>
      <c r="G796" t="inlineStr">
        <is>
          <t>28.640000</t>
        </is>
      </c>
      <c r="H796" t="inlineStr">
        <is>
          <t>1226479.36</t>
        </is>
      </c>
      <c r="I796" t="inlineStr">
        <is>
          <t>7.74%</t>
        </is>
      </c>
      <c r="J796" t="inlineStr">
        <is>
          <t>15842708.50</t>
        </is>
      </c>
      <c r="K796" t="inlineStr">
        <is>
          <t>505000</t>
        </is>
      </c>
      <c r="L796" t="inlineStr">
        <is>
          <t>101.000000000000</t>
        </is>
      </c>
      <c r="M796" t="inlineStr"/>
    </row>
    <row r="797">
      <c r="A797" t="inlineStr">
        <is>
          <t>06/25/2026</t>
        </is>
      </c>
      <c r="B797" t="inlineStr">
        <is>
          <t>CQTM</t>
        </is>
      </c>
      <c r="C797" s="1" t="inlineStr">
        <is>
          <t>BTQ</t>
        </is>
      </c>
      <c r="D797" s="1" t="inlineStr">
        <is>
          <t>055869101</t>
        </is>
      </c>
      <c r="E797" t="inlineStr">
        <is>
          <t>BTQ Technologies Corp</t>
        </is>
      </c>
      <c r="F797" t="inlineStr">
        <is>
          <t>144963.00000000</t>
        </is>
      </c>
      <c r="G797" t="inlineStr">
        <is>
          <t>5.505000</t>
        </is>
      </c>
      <c r="H797" t="inlineStr">
        <is>
          <t>798021.32</t>
        </is>
      </c>
      <c r="I797" t="inlineStr">
        <is>
          <t>5.04%</t>
        </is>
      </c>
      <c r="J797" t="inlineStr">
        <is>
          <t>15842708.50</t>
        </is>
      </c>
      <c r="K797" t="inlineStr">
        <is>
          <t>505000</t>
        </is>
      </c>
      <c r="L797" t="inlineStr">
        <is>
          <t>101.000000000000</t>
        </is>
      </c>
      <c r="M797" t="inlineStr"/>
    </row>
    <row r="798">
      <c r="A798" t="inlineStr">
        <is>
          <t>06/25/2026</t>
        </is>
      </c>
      <c r="B798" t="inlineStr">
        <is>
          <t>CQTM</t>
        </is>
      </c>
      <c r="C798" s="1" t="inlineStr">
        <is>
          <t>FGXXX</t>
        </is>
      </c>
      <c r="D798" s="1" t="inlineStr">
        <is>
          <t>31846V336</t>
        </is>
      </c>
      <c r="E798" t="inlineStr">
        <is>
          <t>First American Government Obligations Fund 12/01/2031</t>
        </is>
      </c>
      <c r="F798" t="inlineStr">
        <is>
          <t>157569.23000000</t>
        </is>
      </c>
      <c r="G798" t="inlineStr">
        <is>
          <t>100.000000</t>
        </is>
      </c>
      <c r="H798" t="inlineStr">
        <is>
          <t>157569.23</t>
        </is>
      </c>
      <c r="I798" t="inlineStr">
        <is>
          <t>0.99%</t>
        </is>
      </c>
      <c r="J798" t="inlineStr">
        <is>
          <t>15842708.50</t>
        </is>
      </c>
      <c r="K798" t="inlineStr">
        <is>
          <t>505000</t>
        </is>
      </c>
      <c r="L798" t="inlineStr">
        <is>
          <t>101.000000000000</t>
        </is>
      </c>
      <c r="M798" t="inlineStr">
        <is>
          <t>Y</t>
        </is>
      </c>
    </row>
    <row r="799">
      <c r="A799" t="inlineStr">
        <is>
          <t>06/25/2026</t>
        </is>
      </c>
      <c r="B799" t="inlineStr">
        <is>
          <t>CQTM</t>
        </is>
      </c>
      <c r="C799" s="1" t="inlineStr">
        <is>
          <t>FORM</t>
        </is>
      </c>
      <c r="D799" s="1" t="inlineStr">
        <is>
          <t>346375108</t>
        </is>
      </c>
      <c r="E799" t="inlineStr">
        <is>
          <t>FormFactor Inc</t>
        </is>
      </c>
      <c r="F799" t="inlineStr">
        <is>
          <t>2626.00000000</t>
        </is>
      </c>
      <c r="G799" t="inlineStr">
        <is>
          <t>141.420000</t>
        </is>
      </c>
      <c r="H799" t="inlineStr">
        <is>
          <t>371368.92</t>
        </is>
      </c>
      <c r="I799" t="inlineStr">
        <is>
          <t>2.34%</t>
        </is>
      </c>
      <c r="J799" t="inlineStr">
        <is>
          <t>15842708.50</t>
        </is>
      </c>
      <c r="K799" t="inlineStr">
        <is>
          <t>505000</t>
        </is>
      </c>
      <c r="L799" t="inlineStr">
        <is>
          <t>101.000000000000</t>
        </is>
      </c>
      <c r="M799" t="inlineStr"/>
    </row>
    <row r="800">
      <c r="A800" t="inlineStr">
        <is>
          <t>06/25/2026</t>
        </is>
      </c>
      <c r="B800" t="inlineStr">
        <is>
          <t>CQTM</t>
        </is>
      </c>
      <c r="C800" s="1" t="inlineStr">
        <is>
          <t>GOOGL</t>
        </is>
      </c>
      <c r="D800" s="1" t="inlineStr">
        <is>
          <t>02079K305</t>
        </is>
      </c>
      <c r="E800" t="inlineStr">
        <is>
          <t>Alphabet Inc</t>
        </is>
      </c>
      <c r="F800" t="inlineStr">
        <is>
          <t>1436.00000000</t>
        </is>
      </c>
      <c r="G800" t="inlineStr">
        <is>
          <t>345.290000</t>
        </is>
      </c>
      <c r="H800" t="inlineStr">
        <is>
          <t>495836.44</t>
        </is>
      </c>
      <c r="I800" t="inlineStr">
        <is>
          <t>3.13%</t>
        </is>
      </c>
      <c r="J800" t="inlineStr">
        <is>
          <t>15842708.50</t>
        </is>
      </c>
      <c r="K800" t="inlineStr">
        <is>
          <t>505000</t>
        </is>
      </c>
      <c r="L800" t="inlineStr">
        <is>
          <t>101.000000000000</t>
        </is>
      </c>
      <c r="M800" t="inlineStr"/>
    </row>
    <row r="801">
      <c r="A801" t="inlineStr">
        <is>
          <t>06/25/2026</t>
        </is>
      </c>
      <c r="B801" t="inlineStr">
        <is>
          <t>CQTM</t>
        </is>
      </c>
      <c r="C801" s="1" t="inlineStr">
        <is>
          <t>HON</t>
        </is>
      </c>
      <c r="D801" s="1" t="inlineStr">
        <is>
          <t>438516106</t>
        </is>
      </c>
      <c r="E801" t="inlineStr">
        <is>
          <t>Honeywell International Inc</t>
        </is>
      </c>
      <c r="F801" t="inlineStr">
        <is>
          <t>2929.00000000</t>
        </is>
      </c>
      <c r="G801" t="inlineStr">
        <is>
          <t>227.420000</t>
        </is>
      </c>
      <c r="H801" t="inlineStr">
        <is>
          <t>666113.18</t>
        </is>
      </c>
      <c r="I801" t="inlineStr">
        <is>
          <t>4.20%</t>
        </is>
      </c>
      <c r="J801" t="inlineStr">
        <is>
          <t>15842708.50</t>
        </is>
      </c>
      <c r="K801" t="inlineStr">
        <is>
          <t>505000</t>
        </is>
      </c>
      <c r="L801" t="inlineStr">
        <is>
          <t>101.000000000000</t>
        </is>
      </c>
      <c r="M801" t="inlineStr"/>
    </row>
    <row r="802">
      <c r="A802" t="inlineStr">
        <is>
          <t>06/25/2026</t>
        </is>
      </c>
      <c r="B802" t="inlineStr">
        <is>
          <t>CQTM</t>
        </is>
      </c>
      <c r="C802" s="1" t="inlineStr">
        <is>
          <t>HQ</t>
        </is>
      </c>
      <c r="D802" s="1" t="inlineStr">
        <is>
          <t>Y4000A102</t>
        </is>
      </c>
      <c r="E802" t="inlineStr">
        <is>
          <t>Horizon Quantum Holdings LTD</t>
        </is>
      </c>
      <c r="F802" t="inlineStr">
        <is>
          <t>54742.00000000</t>
        </is>
      </c>
      <c r="G802" t="inlineStr">
        <is>
          <t>28.410000</t>
        </is>
      </c>
      <c r="H802" t="inlineStr">
        <is>
          <t>1555220.22</t>
        </is>
      </c>
      <c r="I802" t="inlineStr">
        <is>
          <t>9.82%</t>
        </is>
      </c>
      <c r="J802" t="inlineStr">
        <is>
          <t>15842708.50</t>
        </is>
      </c>
      <c r="K802" t="inlineStr">
        <is>
          <t>505000</t>
        </is>
      </c>
      <c r="L802" t="inlineStr">
        <is>
          <t>101.000000000000</t>
        </is>
      </c>
      <c r="M802" t="inlineStr"/>
    </row>
    <row r="803">
      <c r="A803" t="inlineStr">
        <is>
          <t>06/25/2026</t>
        </is>
      </c>
      <c r="B803" t="inlineStr">
        <is>
          <t>CQTM</t>
        </is>
      </c>
      <c r="C803" s="1" t="inlineStr">
        <is>
          <t>IBM</t>
        </is>
      </c>
      <c r="D803" s="1" t="inlineStr">
        <is>
          <t>459200101</t>
        </is>
      </c>
      <c r="E803" t="inlineStr">
        <is>
          <t>International Business Machines Corp</t>
        </is>
      </c>
      <c r="F803" t="inlineStr">
        <is>
          <t>2626.00000000</t>
        </is>
      </c>
      <c r="G803" t="inlineStr">
        <is>
          <t>262.960000</t>
        </is>
      </c>
      <c r="H803" t="inlineStr">
        <is>
          <t>690532.96</t>
        </is>
      </c>
      <c r="I803" t="inlineStr">
        <is>
          <t>4.36%</t>
        </is>
      </c>
      <c r="J803" t="inlineStr">
        <is>
          <t>15842708.50</t>
        </is>
      </c>
      <c r="K803" t="inlineStr">
        <is>
          <t>505000</t>
        </is>
      </c>
      <c r="L803" t="inlineStr">
        <is>
          <t>101.000000000000</t>
        </is>
      </c>
      <c r="M803" t="inlineStr"/>
    </row>
    <row r="804">
      <c r="A804" t="inlineStr">
        <is>
          <t>06/25/2026</t>
        </is>
      </c>
      <c r="B804" t="inlineStr">
        <is>
          <t>CQTM</t>
        </is>
      </c>
      <c r="C804" s="1" t="inlineStr">
        <is>
          <t>INFQ</t>
        </is>
      </c>
      <c r="D804" s="1" t="inlineStr">
        <is>
          <t>45676K103</t>
        </is>
      </c>
      <c r="E804" t="inlineStr">
        <is>
          <t>Infleqtion Inc</t>
        </is>
      </c>
      <c r="F804" t="inlineStr">
        <is>
          <t>46864.00000000</t>
        </is>
      </c>
      <c r="G804" t="inlineStr">
        <is>
          <t>14.100000</t>
        </is>
      </c>
      <c r="H804" t="inlineStr">
        <is>
          <t>660782.40</t>
        </is>
      </c>
      <c r="I804" t="inlineStr">
        <is>
          <t>4.17%</t>
        </is>
      </c>
      <c r="J804" t="inlineStr">
        <is>
          <t>15842708.50</t>
        </is>
      </c>
      <c r="K804" t="inlineStr">
        <is>
          <t>505000</t>
        </is>
      </c>
      <c r="L804" t="inlineStr">
        <is>
          <t>101.000000000000</t>
        </is>
      </c>
      <c r="M804" t="inlineStr"/>
    </row>
    <row r="805">
      <c r="A805" t="inlineStr">
        <is>
          <t>06/25/2026</t>
        </is>
      </c>
      <c r="B805" t="inlineStr">
        <is>
          <t>CQTM</t>
        </is>
      </c>
      <c r="C805" s="1" t="inlineStr">
        <is>
          <t>IONQ</t>
        </is>
      </c>
      <c r="D805" s="1" t="inlineStr">
        <is>
          <t>46222L108</t>
        </is>
      </c>
      <c r="E805" t="inlineStr">
        <is>
          <t>IonQ Inc</t>
        </is>
      </c>
      <c r="F805" t="inlineStr">
        <is>
          <t>58277.00000000</t>
        </is>
      </c>
      <c r="G805" t="inlineStr">
        <is>
          <t>53.600000</t>
        </is>
      </c>
      <c r="H805" t="inlineStr">
        <is>
          <t>3123647.20</t>
        </is>
      </c>
      <c r="I805" t="inlineStr">
        <is>
          <t>19.72%</t>
        </is>
      </c>
      <c r="J805" t="inlineStr">
        <is>
          <t>15842708.50</t>
        </is>
      </c>
      <c r="K805" t="inlineStr">
        <is>
          <t>505000</t>
        </is>
      </c>
      <c r="L805" t="inlineStr">
        <is>
          <t>101.000000000000</t>
        </is>
      </c>
      <c r="M805" t="inlineStr"/>
    </row>
    <row r="806">
      <c r="A806" t="inlineStr">
        <is>
          <t>06/25/2026</t>
        </is>
      </c>
      <c r="B806" t="inlineStr">
        <is>
          <t>CQTM</t>
        </is>
      </c>
      <c r="C806" s="1" t="inlineStr">
        <is>
          <t>LAES</t>
        </is>
      </c>
      <c r="D806" s="1" t="inlineStr">
        <is>
          <t>G79483106</t>
        </is>
      </c>
      <c r="E806" t="inlineStr">
        <is>
          <t>SEALSQ Corp</t>
        </is>
      </c>
      <c r="F806" t="inlineStr">
        <is>
          <t>27674.00000000</t>
        </is>
      </c>
      <c r="G806" t="inlineStr">
        <is>
          <t>3.230000</t>
        </is>
      </c>
      <c r="H806" t="inlineStr">
        <is>
          <t>89387.02</t>
        </is>
      </c>
      <c r="I806" t="inlineStr">
        <is>
          <t>0.56%</t>
        </is>
      </c>
      <c r="J806" t="inlineStr">
        <is>
          <t>15842708.50</t>
        </is>
      </c>
      <c r="K806" t="inlineStr">
        <is>
          <t>505000</t>
        </is>
      </c>
      <c r="L806" t="inlineStr">
        <is>
          <t>101.000000000000</t>
        </is>
      </c>
      <c r="M806" t="inlineStr"/>
    </row>
    <row r="807">
      <c r="A807" t="inlineStr">
        <is>
          <t>06/25/2026</t>
        </is>
      </c>
      <c r="B807" t="inlineStr">
        <is>
          <t>CQTM</t>
        </is>
      </c>
      <c r="C807" s="1" t="inlineStr">
        <is>
          <t>QBTS</t>
        </is>
      </c>
      <c r="D807" s="1" t="inlineStr">
        <is>
          <t>26740W109</t>
        </is>
      </c>
      <c r="E807" t="inlineStr">
        <is>
          <t>D-Wave Quantum Inc</t>
        </is>
      </c>
      <c r="F807" t="inlineStr">
        <is>
          <t>134532.00000000</t>
        </is>
      </c>
      <c r="G807" t="inlineStr">
        <is>
          <t>22.980000</t>
        </is>
      </c>
      <c r="H807" t="inlineStr">
        <is>
          <t>3091545.36</t>
        </is>
      </c>
      <c r="I807" t="inlineStr">
        <is>
          <t>19.51%</t>
        </is>
      </c>
      <c r="J807" t="inlineStr">
        <is>
          <t>15842708.50</t>
        </is>
      </c>
      <c r="K807" t="inlineStr">
        <is>
          <t>505000</t>
        </is>
      </c>
      <c r="L807" t="inlineStr">
        <is>
          <t>101.000000000000</t>
        </is>
      </c>
      <c r="M807" t="inlineStr"/>
    </row>
    <row r="808">
      <c r="A808" t="inlineStr">
        <is>
          <t>06/25/2026</t>
        </is>
      </c>
      <c r="B808" t="inlineStr">
        <is>
          <t>CQTM</t>
        </is>
      </c>
      <c r="C808" s="1" t="inlineStr">
        <is>
          <t>QNC</t>
        </is>
      </c>
      <c r="D808" s="1" t="inlineStr">
        <is>
          <t>74767K103</t>
        </is>
      </c>
      <c r="E808" t="inlineStr">
        <is>
          <t>Quantum Emotion Corp</t>
        </is>
      </c>
      <c r="F808" t="inlineStr">
        <is>
          <t>231088.00000000</t>
        </is>
      </c>
      <c r="G808" t="inlineStr">
        <is>
          <t>3.060000</t>
        </is>
      </c>
      <c r="H808" t="inlineStr">
        <is>
          <t>707129.28</t>
        </is>
      </c>
      <c r="I808" t="inlineStr">
        <is>
          <t>4.46%</t>
        </is>
      </c>
      <c r="J808" t="inlineStr">
        <is>
          <t>15842708.50</t>
        </is>
      </c>
      <c r="K808" t="inlineStr">
        <is>
          <t>505000</t>
        </is>
      </c>
      <c r="L808" t="inlineStr">
        <is>
          <t>101.000000000000</t>
        </is>
      </c>
      <c r="M808" t="inlineStr"/>
    </row>
    <row r="809">
      <c r="A809" t="inlineStr">
        <is>
          <t>06/25/2026</t>
        </is>
      </c>
      <c r="B809" t="inlineStr">
        <is>
          <t>CQTM</t>
        </is>
      </c>
      <c r="C809" s="1" t="inlineStr">
        <is>
          <t>QNT</t>
        </is>
      </c>
      <c r="D809" s="1" t="inlineStr">
        <is>
          <t>74768A104</t>
        </is>
      </c>
      <c r="E809" t="inlineStr">
        <is>
          <t>Quantinuum Inc</t>
        </is>
      </c>
      <c r="F809" t="inlineStr">
        <is>
          <t>9002.00000000</t>
        </is>
      </c>
      <c r="G809" t="inlineStr">
        <is>
          <t>71.100000</t>
        </is>
      </c>
      <c r="H809" t="inlineStr">
        <is>
          <t>640042.20</t>
        </is>
      </c>
      <c r="I809" t="inlineStr">
        <is>
          <t>4.04%</t>
        </is>
      </c>
      <c r="J809" t="inlineStr">
        <is>
          <t>15842708.50</t>
        </is>
      </c>
      <c r="K809" t="inlineStr">
        <is>
          <t>505000</t>
        </is>
      </c>
      <c r="L809" t="inlineStr">
        <is>
          <t>101.000000000000</t>
        </is>
      </c>
      <c r="M809" t="inlineStr"/>
    </row>
    <row r="810">
      <c r="A810" t="inlineStr">
        <is>
          <t>06/25/2026</t>
        </is>
      </c>
      <c r="B810" t="inlineStr">
        <is>
          <t>CQTM</t>
        </is>
      </c>
      <c r="C810" s="1" t="inlineStr">
        <is>
          <t>QUBT</t>
        </is>
      </c>
      <c r="D810" s="1" t="inlineStr">
        <is>
          <t>74766W108</t>
        </is>
      </c>
      <c r="E810" t="inlineStr">
        <is>
          <t>Quantum Computing Inc</t>
        </is>
      </c>
      <c r="F810" t="inlineStr">
        <is>
          <t>69488.00000000</t>
        </is>
      </c>
      <c r="G810" t="inlineStr">
        <is>
          <t>9.700000</t>
        </is>
      </c>
      <c r="H810" t="inlineStr">
        <is>
          <t>674033.60</t>
        </is>
      </c>
      <c r="I810" t="inlineStr">
        <is>
          <t>4.25%</t>
        </is>
      </c>
      <c r="J810" t="inlineStr">
        <is>
          <t>15842708.50</t>
        </is>
      </c>
      <c r="K810" t="inlineStr">
        <is>
          <t>505000</t>
        </is>
      </c>
      <c r="L810" t="inlineStr">
        <is>
          <t>101.000000000000</t>
        </is>
      </c>
      <c r="M810" t="inlineStr"/>
    </row>
    <row r="811">
      <c r="A811" t="inlineStr">
        <is>
          <t>06/25/2026</t>
        </is>
      </c>
      <c r="B811" t="inlineStr">
        <is>
          <t>CQTM</t>
        </is>
      </c>
      <c r="C811" s="1" t="inlineStr">
        <is>
          <t>RGTI</t>
        </is>
      </c>
      <c r="D811" s="1" t="inlineStr">
        <is>
          <t>76655K103</t>
        </is>
      </c>
      <c r="E811" t="inlineStr">
        <is>
          <t>Rigetti Computing Inc</t>
        </is>
      </c>
      <c r="F811" t="inlineStr">
        <is>
          <t>26183.00000000</t>
        </is>
      </c>
      <c r="G811" t="inlineStr">
        <is>
          <t>19.530000</t>
        </is>
      </c>
      <c r="H811" t="inlineStr">
        <is>
          <t>511353.99</t>
        </is>
      </c>
      <c r="I811" t="inlineStr">
        <is>
          <t>3.23%</t>
        </is>
      </c>
      <c r="J811" t="inlineStr">
        <is>
          <t>15842708.50</t>
        </is>
      </c>
      <c r="K811" t="inlineStr">
        <is>
          <t>505000</t>
        </is>
      </c>
      <c r="L811" t="inlineStr">
        <is>
          <t>101.000000000000</t>
        </is>
      </c>
      <c r="M811" t="inlineStr"/>
    </row>
    <row r="812">
      <c r="A812" t="inlineStr">
        <is>
          <t>06/25/2026</t>
        </is>
      </c>
      <c r="B812" t="inlineStr">
        <is>
          <t>CQTM</t>
        </is>
      </c>
      <c r="C812" s="1" t="inlineStr">
        <is>
          <t>SKYT</t>
        </is>
      </c>
      <c r="D812" s="1" t="inlineStr">
        <is>
          <t>83089J108</t>
        </is>
      </c>
      <c r="E812" t="inlineStr">
        <is>
          <t>SkyWater Technology Inc</t>
        </is>
      </c>
      <c r="F812" t="inlineStr">
        <is>
          <t>4242.00000000</t>
        </is>
      </c>
      <c r="G812" t="inlineStr">
        <is>
          <t>35.050000</t>
        </is>
      </c>
      <c r="H812" t="inlineStr">
        <is>
          <t>148682.10</t>
        </is>
      </c>
      <c r="I812" t="inlineStr">
        <is>
          <t>0.94%</t>
        </is>
      </c>
      <c r="J812" t="inlineStr">
        <is>
          <t>15842708.50</t>
        </is>
      </c>
      <c r="K812" t="inlineStr">
        <is>
          <t>505000</t>
        </is>
      </c>
      <c r="L812" t="inlineStr">
        <is>
          <t>101.000000000000</t>
        </is>
      </c>
      <c r="M812" t="inlineStr"/>
    </row>
    <row r="813">
      <c r="A813" t="inlineStr">
        <is>
          <t>06/25/2026</t>
        </is>
      </c>
      <c r="B813" t="inlineStr">
        <is>
          <t>CQTM</t>
        </is>
      </c>
      <c r="C813" s="1" t="inlineStr">
        <is>
          <t>XNDU</t>
        </is>
      </c>
      <c r="D813" s="1" t="inlineStr">
        <is>
          <t>98390R102</t>
        </is>
      </c>
      <c r="E813" t="inlineStr">
        <is>
          <t>Xanadu Quantum Technologies Ltd</t>
        </is>
      </c>
      <c r="F813" t="inlineStr">
        <is>
          <t>20099.00000000</t>
        </is>
      </c>
      <c r="G813" t="inlineStr">
        <is>
          <t>11.800000</t>
        </is>
      </c>
      <c r="H813" t="inlineStr">
        <is>
          <t>237168.20</t>
        </is>
      </c>
      <c r="I813" t="inlineStr">
        <is>
          <t>1.50%</t>
        </is>
      </c>
      <c r="J813" t="inlineStr">
        <is>
          <t>15842708.50</t>
        </is>
      </c>
      <c r="K813" t="inlineStr">
        <is>
          <t>505000</t>
        </is>
      </c>
      <c r="L813" t="inlineStr">
        <is>
          <t>101.000000000000</t>
        </is>
      </c>
      <c r="M813" t="inlineStr"/>
    </row>
    <row r="814">
      <c r="A814" t="inlineStr">
        <is>
          <t>06/25/2026</t>
        </is>
      </c>
      <c r="B814" t="inlineStr">
        <is>
          <t>CQTM</t>
        </is>
      </c>
      <c r="C814" s="1" t="inlineStr">
        <is>
          <t>Cash&amp;Other</t>
        </is>
      </c>
      <c r="D814" s="1" t="inlineStr">
        <is>
          <t>Cash&amp;Other</t>
        </is>
      </c>
      <c r="E814" t="inlineStr">
        <is>
          <t>Cash &amp; Other</t>
        </is>
      </c>
      <c r="F814" t="inlineStr">
        <is>
          <t>-2340.65000000</t>
        </is>
      </c>
      <c r="G814" t="inlineStr">
        <is>
          <t>1.000000</t>
        </is>
      </c>
      <c r="H814" t="inlineStr">
        <is>
          <t>-2340.65</t>
        </is>
      </c>
      <c r="I814" t="inlineStr">
        <is>
          <t>-0.01%</t>
        </is>
      </c>
      <c r="J814" t="inlineStr">
        <is>
          <t>15842708.50</t>
        </is>
      </c>
      <c r="K814" t="inlineStr">
        <is>
          <t>505000</t>
        </is>
      </c>
      <c r="L814" t="inlineStr">
        <is>
          <t>101.000000000000</t>
        </is>
      </c>
      <c r="M814" t="inlineStr">
        <is>
          <t>Y</t>
        </is>
      </c>
    </row>
    <row r="815">
      <c r="A815" t="inlineStr">
        <is>
          <t>06/25/2026</t>
        </is>
      </c>
      <c r="B815" t="inlineStr">
        <is>
          <t>CRUC</t>
        </is>
      </c>
      <c r="C815" s="1" t="inlineStr">
        <is>
          <t>172755100-TRS-12/01/27-L-CANT</t>
        </is>
      </c>
      <c r="D815" s="1" t="inlineStr">
        <is>
          <t>172755100-TRS-12/01/27-L-CANT</t>
        </is>
      </c>
      <c r="E815" t="inlineStr">
        <is>
          <t>CIRRUS LOGIC, INC.-SWAP-CANT-L</t>
        </is>
      </c>
      <c r="F815" t="inlineStr">
        <is>
          <t>3162.00000000</t>
        </is>
      </c>
      <c r="G815" t="inlineStr">
        <is>
          <t>157.670000</t>
        </is>
      </c>
      <c r="H815" t="inlineStr">
        <is>
          <t>498552.54</t>
        </is>
      </c>
      <c r="I815" t="inlineStr">
        <is>
          <t>199.64%</t>
        </is>
      </c>
      <c r="J815" t="inlineStr">
        <is>
          <t>249724.00</t>
        </is>
      </c>
      <c r="K815" t="inlineStr">
        <is>
          <t>10000</t>
        </is>
      </c>
      <c r="L815" t="inlineStr">
        <is>
          <t>2.000000000000</t>
        </is>
      </c>
      <c r="M815" t="inlineStr"/>
    </row>
    <row r="816">
      <c r="A816" t="inlineStr">
        <is>
          <t>06/25/2026</t>
        </is>
      </c>
      <c r="B816" t="inlineStr">
        <is>
          <t>CRUC</t>
        </is>
      </c>
      <c r="C816" s="1" t="inlineStr">
        <is>
          <t>FGXXX</t>
        </is>
      </c>
      <c r="D816" s="1" t="inlineStr">
        <is>
          <t>31846V336</t>
        </is>
      </c>
      <c r="E816" t="inlineStr">
        <is>
          <t>First American Government Obligations Fund 12/01/2031</t>
        </is>
      </c>
      <c r="F816" t="inlineStr">
        <is>
          <t>24295.00000000</t>
        </is>
      </c>
      <c r="G816" t="inlineStr">
        <is>
          <t>100.000000</t>
        </is>
      </c>
      <c r="H816" t="inlineStr">
        <is>
          <t>24295.00</t>
        </is>
      </c>
      <c r="I816" t="inlineStr">
        <is>
          <t>9.73%</t>
        </is>
      </c>
      <c r="J816" t="inlineStr">
        <is>
          <t>249724.00</t>
        </is>
      </c>
      <c r="K816" t="inlineStr">
        <is>
          <t>10000</t>
        </is>
      </c>
      <c r="L816" t="inlineStr">
        <is>
          <t>2.000000000000</t>
        </is>
      </c>
      <c r="M816" t="inlineStr">
        <is>
          <t>Y</t>
        </is>
      </c>
    </row>
    <row r="817">
      <c r="A817" t="inlineStr">
        <is>
          <t>06/25/2026</t>
        </is>
      </c>
      <c r="B817" t="inlineStr">
        <is>
          <t>CRUC</t>
        </is>
      </c>
      <c r="C817" s="1" t="inlineStr">
        <is>
          <t>Cash&amp;Other</t>
        </is>
      </c>
      <c r="D817" s="1" t="inlineStr">
        <is>
          <t>Cash&amp;Other</t>
        </is>
      </c>
      <c r="E817" t="inlineStr">
        <is>
          <t>Cash &amp; Other</t>
        </is>
      </c>
      <c r="F817" t="inlineStr">
        <is>
          <t>-273250.35000000</t>
        </is>
      </c>
      <c r="G817" t="inlineStr">
        <is>
          <t>1.000000</t>
        </is>
      </c>
      <c r="H817" t="inlineStr">
        <is>
          <t>-273250.35</t>
        </is>
      </c>
      <c r="I817" t="inlineStr">
        <is>
          <t>-109.42%</t>
        </is>
      </c>
      <c r="J817" t="inlineStr">
        <is>
          <t>249724.00</t>
        </is>
      </c>
      <c r="K817" t="inlineStr">
        <is>
          <t>10000</t>
        </is>
      </c>
      <c r="L817" t="inlineStr">
        <is>
          <t>2.000000000000</t>
        </is>
      </c>
      <c r="M817" t="inlineStr">
        <is>
          <t>Y</t>
        </is>
      </c>
    </row>
    <row r="818">
      <c r="A818" t="inlineStr">
        <is>
          <t>06/25/2026</t>
        </is>
      </c>
      <c r="B818" t="inlineStr">
        <is>
          <t>CTJN</t>
        </is>
      </c>
      <c r="C818" s="1" t="inlineStr">
        <is>
          <t>2SPY  270528C00151710</t>
        </is>
      </c>
      <c r="D818" s="1" t="inlineStr">
        <is>
          <t>2SPY  270528C00151710</t>
        </is>
      </c>
      <c r="E818" t="inlineStr">
        <is>
          <t>SPY 05/28/2027 151.71 C</t>
        </is>
      </c>
      <c r="F818" t="inlineStr">
        <is>
          <t>13.00000000</t>
        </is>
      </c>
      <c r="G818" t="inlineStr">
        <is>
          <t>587.712214</t>
        </is>
      </c>
      <c r="H818" t="inlineStr">
        <is>
          <t>764025.88</t>
        </is>
      </c>
      <c r="I818" t="inlineStr">
        <is>
          <t>77.28%</t>
        </is>
      </c>
      <c r="J818" t="inlineStr">
        <is>
          <t>988620.00</t>
        </is>
      </c>
      <c r="K818" t="inlineStr">
        <is>
          <t>40000</t>
        </is>
      </c>
      <c r="L818" t="inlineStr">
        <is>
          <t>8.000000000000</t>
        </is>
      </c>
      <c r="M818" t="inlineStr"/>
    </row>
    <row r="819">
      <c r="A819" t="inlineStr">
        <is>
          <t>06/25/2026</t>
        </is>
      </c>
      <c r="B819" t="inlineStr">
        <is>
          <t>CTJN</t>
        </is>
      </c>
      <c r="C819" s="1" t="inlineStr">
        <is>
          <t>2SPY  270528C00865650</t>
        </is>
      </c>
      <c r="D819" s="1" t="inlineStr">
        <is>
          <t>2SPY  270528C00865650</t>
        </is>
      </c>
      <c r="E819" t="inlineStr">
        <is>
          <t>SPY 05/28/2027 865.65 C</t>
        </is>
      </c>
      <c r="F819" t="inlineStr">
        <is>
          <t>-13.00000000</t>
        </is>
      </c>
      <c r="G819" t="inlineStr">
        <is>
          <t>9.879010</t>
        </is>
      </c>
      <c r="H819" t="inlineStr">
        <is>
          <t>-12842.71</t>
        </is>
      </c>
      <c r="I819" t="inlineStr">
        <is>
          <t>-1.30%</t>
        </is>
      </c>
      <c r="J819" t="inlineStr">
        <is>
          <t>988620.00</t>
        </is>
      </c>
      <c r="K819" t="inlineStr">
        <is>
          <t>40000</t>
        </is>
      </c>
      <c r="L819" t="inlineStr">
        <is>
          <t>8.000000000000</t>
        </is>
      </c>
      <c r="M819" t="inlineStr"/>
    </row>
    <row r="820">
      <c r="A820" t="inlineStr">
        <is>
          <t>06/25/2026</t>
        </is>
      </c>
      <c r="B820" t="inlineStr">
        <is>
          <t>CTJN</t>
        </is>
      </c>
      <c r="C820" s="1" t="inlineStr">
        <is>
          <t>2SPY  270528P00493050</t>
        </is>
      </c>
      <c r="D820" s="1" t="inlineStr">
        <is>
          <t>2SPY  270528P00493050</t>
        </is>
      </c>
      <c r="E820" t="inlineStr">
        <is>
          <t>SPY 05/28/2027 493.05 P</t>
        </is>
      </c>
      <c r="F820" t="inlineStr">
        <is>
          <t>-13.00000000</t>
        </is>
      </c>
      <c r="G820" t="inlineStr">
        <is>
          <t>6.218809</t>
        </is>
      </c>
      <c r="H820" t="inlineStr">
        <is>
          <t>-8084.45</t>
        </is>
      </c>
      <c r="I820" t="inlineStr">
        <is>
          <t>-0.82%</t>
        </is>
      </c>
      <c r="J820" t="inlineStr">
        <is>
          <t>988620.00</t>
        </is>
      </c>
      <c r="K820" t="inlineStr">
        <is>
          <t>40000</t>
        </is>
      </c>
      <c r="L820" t="inlineStr">
        <is>
          <t>8.000000000000</t>
        </is>
      </c>
      <c r="M820" t="inlineStr"/>
    </row>
    <row r="821">
      <c r="A821" t="inlineStr">
        <is>
          <t>06/25/2026</t>
        </is>
      </c>
      <c r="B821" t="inlineStr">
        <is>
          <t>CTJN</t>
        </is>
      </c>
      <c r="C821" s="1" t="inlineStr">
        <is>
          <t>2SPY  270528P00720610</t>
        </is>
      </c>
      <c r="D821" s="1" t="inlineStr">
        <is>
          <t>2SPY  270528P00720610</t>
        </is>
      </c>
      <c r="E821" t="inlineStr">
        <is>
          <t>SPY 05/28/2027 720.61 P</t>
        </is>
      </c>
      <c r="F821" t="inlineStr">
        <is>
          <t>13.00000000</t>
        </is>
      </c>
      <c r="G821" t="inlineStr">
        <is>
          <t>35.725609</t>
        </is>
      </c>
      <c r="H821" t="inlineStr">
        <is>
          <t>46443.29</t>
        </is>
      </c>
      <c r="I821" t="inlineStr">
        <is>
          <t>4.70%</t>
        </is>
      </c>
      <c r="J821" t="inlineStr">
        <is>
          <t>988620.00</t>
        </is>
      </c>
      <c r="K821" t="inlineStr">
        <is>
          <t>40000</t>
        </is>
      </c>
      <c r="L821" t="inlineStr">
        <is>
          <t>8.000000000000</t>
        </is>
      </c>
      <c r="M821" t="inlineStr"/>
    </row>
    <row r="822">
      <c r="A822" t="inlineStr">
        <is>
          <t>06/25/2026</t>
        </is>
      </c>
      <c r="B822" t="inlineStr">
        <is>
          <t>CTJN</t>
        </is>
      </c>
      <c r="C822" s="1" t="inlineStr">
        <is>
          <t>912828ZS2</t>
        </is>
      </c>
      <c r="D822" s="1" t="inlineStr">
        <is>
          <t>912828ZS2</t>
        </is>
      </c>
      <c r="E822" t="inlineStr">
        <is>
          <t>United States Treasury Note/Bond 0.5% 05/31/2027</t>
        </is>
      </c>
      <c r="F822" t="inlineStr">
        <is>
          <t>188000.00000000</t>
        </is>
      </c>
      <c r="G822" t="inlineStr">
        <is>
          <t>96.755895</t>
        </is>
      </c>
      <c r="H822" t="inlineStr">
        <is>
          <t>181901.08</t>
        </is>
      </c>
      <c r="I822" t="inlineStr">
        <is>
          <t>18.40%</t>
        </is>
      </c>
      <c r="J822" t="inlineStr">
        <is>
          <t>988620.00</t>
        </is>
      </c>
      <c r="K822" t="inlineStr">
        <is>
          <t>40000</t>
        </is>
      </c>
      <c r="L822" t="inlineStr">
        <is>
          <t>8.000000000000</t>
        </is>
      </c>
      <c r="M822" t="inlineStr"/>
    </row>
    <row r="823">
      <c r="A823" t="inlineStr">
        <is>
          <t>06/25/2026</t>
        </is>
      </c>
      <c r="B823" t="inlineStr">
        <is>
          <t>CTJN</t>
        </is>
      </c>
      <c r="C823" s="1" t="inlineStr">
        <is>
          <t>FGXXX</t>
        </is>
      </c>
      <c r="D823" s="1" t="inlineStr">
        <is>
          <t>31846V336</t>
        </is>
      </c>
      <c r="E823" t="inlineStr">
        <is>
          <t>First American Government Obligations Fund 12/01/2031</t>
        </is>
      </c>
      <c r="F823" t="inlineStr">
        <is>
          <t>17131.12000000</t>
        </is>
      </c>
      <c r="G823" t="inlineStr">
        <is>
          <t>100.000000</t>
        </is>
      </c>
      <c r="H823" t="inlineStr">
        <is>
          <t>17131.12</t>
        </is>
      </c>
      <c r="I823" t="inlineStr">
        <is>
          <t>1.73%</t>
        </is>
      </c>
      <c r="J823" t="inlineStr">
        <is>
          <t>988620.00</t>
        </is>
      </c>
      <c r="K823" t="inlineStr">
        <is>
          <t>40000</t>
        </is>
      </c>
      <c r="L823" t="inlineStr">
        <is>
          <t>8.000000000000</t>
        </is>
      </c>
      <c r="M823" t="inlineStr">
        <is>
          <t>Y</t>
        </is>
      </c>
    </row>
    <row r="824">
      <c r="A824" t="inlineStr">
        <is>
          <t>06/25/2026</t>
        </is>
      </c>
      <c r="B824" t="inlineStr">
        <is>
          <t>CTJN</t>
        </is>
      </c>
      <c r="C824" s="1" t="inlineStr">
        <is>
          <t>Cash&amp;Other</t>
        </is>
      </c>
      <c r="D824" s="1" t="inlineStr">
        <is>
          <t>Cash&amp;Other</t>
        </is>
      </c>
      <c r="E824" t="inlineStr">
        <is>
          <t>Cash &amp; Other</t>
        </is>
      </c>
      <c r="F824" t="inlineStr">
        <is>
          <t>41.86000000</t>
        </is>
      </c>
      <c r="G824" t="inlineStr">
        <is>
          <t>1.000000</t>
        </is>
      </c>
      <c r="H824" t="inlineStr">
        <is>
          <t>41.86</t>
        </is>
      </c>
      <c r="I824" t="inlineStr">
        <is>
          <t>0.00%</t>
        </is>
      </c>
      <c r="J824" t="inlineStr">
        <is>
          <t>988620.00</t>
        </is>
      </c>
      <c r="K824" t="inlineStr">
        <is>
          <t>40000</t>
        </is>
      </c>
      <c r="L824" t="inlineStr">
        <is>
          <t>8.000000000000</t>
        </is>
      </c>
      <c r="M824" t="inlineStr">
        <is>
          <t>Y</t>
        </is>
      </c>
    </row>
    <row r="825">
      <c r="A825" t="inlineStr">
        <is>
          <t>06/25/2026</t>
        </is>
      </c>
      <c r="B825" t="inlineStr">
        <is>
          <t>CTMA</t>
        </is>
      </c>
      <c r="C825" s="1" t="inlineStr">
        <is>
          <t>2SPY  270430C00144740</t>
        </is>
      </c>
      <c r="D825" s="1" t="inlineStr">
        <is>
          <t>2SPY  270430C00144740</t>
        </is>
      </c>
      <c r="E825" t="inlineStr">
        <is>
          <t>SPY 04/30/2027 144.74 C</t>
        </is>
      </c>
      <c r="F825" t="inlineStr">
        <is>
          <t>64.00000000</t>
        </is>
      </c>
      <c r="G825" t="inlineStr">
        <is>
          <t>593.209989</t>
        </is>
      </c>
      <c r="H825" t="inlineStr">
        <is>
          <t>3796543.93</t>
        </is>
      </c>
      <c r="I825" t="inlineStr">
        <is>
          <t>80.98%</t>
        </is>
      </c>
      <c r="J825" t="inlineStr">
        <is>
          <t>4688325.50</t>
        </is>
      </c>
      <c r="K825" t="inlineStr">
        <is>
          <t>185000</t>
        </is>
      </c>
      <c r="L825" t="inlineStr">
        <is>
          <t>37.000000000000</t>
        </is>
      </c>
      <c r="M825" t="inlineStr"/>
    </row>
    <row r="826">
      <c r="A826" t="inlineStr">
        <is>
          <t>06/25/2026</t>
        </is>
      </c>
      <c r="B826" t="inlineStr">
        <is>
          <t>CTMA</t>
        </is>
      </c>
      <c r="C826" s="1" t="inlineStr">
        <is>
          <t>2SPY  270430C00806940</t>
        </is>
      </c>
      <c r="D826" s="1" t="inlineStr">
        <is>
          <t>2SPY  270430C00806940</t>
        </is>
      </c>
      <c r="E826" t="inlineStr">
        <is>
          <t>SPY 04/30/2027 806.94 C</t>
        </is>
      </c>
      <c r="F826" t="inlineStr">
        <is>
          <t>-64.00000000</t>
        </is>
      </c>
      <c r="G826" t="inlineStr">
        <is>
          <t>23.023500</t>
        </is>
      </c>
      <c r="H826" t="inlineStr">
        <is>
          <t>-147350.40</t>
        </is>
      </c>
      <c r="I826" t="inlineStr">
        <is>
          <t>-3.14%</t>
        </is>
      </c>
      <c r="J826" t="inlineStr">
        <is>
          <t>4688325.50</t>
        </is>
      </c>
      <c r="K826" t="inlineStr">
        <is>
          <t>185000</t>
        </is>
      </c>
      <c r="L826" t="inlineStr">
        <is>
          <t>37.000000000000</t>
        </is>
      </c>
      <c r="M826" t="inlineStr"/>
    </row>
    <row r="827">
      <c r="A827" t="inlineStr">
        <is>
          <t>06/25/2026</t>
        </is>
      </c>
      <c r="B827" t="inlineStr">
        <is>
          <t>CTMA</t>
        </is>
      </c>
      <c r="C827" s="1" t="inlineStr">
        <is>
          <t>2SPY  270430P00470410</t>
        </is>
      </c>
      <c r="D827" s="1" t="inlineStr">
        <is>
          <t>2SPY  270430P00470410</t>
        </is>
      </c>
      <c r="E827" t="inlineStr">
        <is>
          <t>SPY 04/30/2027 470.41 P</t>
        </is>
      </c>
      <c r="F827" t="inlineStr">
        <is>
          <t>-64.00000000</t>
        </is>
      </c>
      <c r="G827" t="inlineStr">
        <is>
          <t>4.740749</t>
        </is>
      </c>
      <c r="H827" t="inlineStr">
        <is>
          <t>-30340.79</t>
        </is>
      </c>
      <c r="I827" t="inlineStr">
        <is>
          <t>-0.65%</t>
        </is>
      </c>
      <c r="J827" t="inlineStr">
        <is>
          <t>4688325.50</t>
        </is>
      </c>
      <c r="K827" t="inlineStr">
        <is>
          <t>185000</t>
        </is>
      </c>
      <c r="L827" t="inlineStr">
        <is>
          <t>37.000000000000</t>
        </is>
      </c>
      <c r="M827" t="inlineStr"/>
    </row>
    <row r="828">
      <c r="A828" t="inlineStr">
        <is>
          <t>06/25/2026</t>
        </is>
      </c>
      <c r="B828" t="inlineStr">
        <is>
          <t>CTMA</t>
        </is>
      </c>
      <c r="C828" s="1" t="inlineStr">
        <is>
          <t>2SPY  270430P00687520</t>
        </is>
      </c>
      <c r="D828" s="1" t="inlineStr">
        <is>
          <t>2SPY  270430P00687520</t>
        </is>
      </c>
      <c r="E828" t="inlineStr">
        <is>
          <t>SPY 04/30/2027 687.52 P</t>
        </is>
      </c>
      <c r="F828" t="inlineStr">
        <is>
          <t>64.00000000</t>
        </is>
      </c>
      <c r="G828" t="inlineStr">
        <is>
          <t>26.400998</t>
        </is>
      </c>
      <c r="H828" t="inlineStr">
        <is>
          <t>168966.39</t>
        </is>
      </c>
      <c r="I828" t="inlineStr">
        <is>
          <t>3.60%</t>
        </is>
      </c>
      <c r="J828" t="inlineStr">
        <is>
          <t>4688325.50</t>
        </is>
      </c>
      <c r="K828" t="inlineStr">
        <is>
          <t>185000</t>
        </is>
      </c>
      <c r="L828" t="inlineStr">
        <is>
          <t>37.000000000000</t>
        </is>
      </c>
      <c r="M828" t="inlineStr"/>
    </row>
    <row r="829">
      <c r="A829" t="inlineStr">
        <is>
          <t>06/25/2026</t>
        </is>
      </c>
      <c r="B829" t="inlineStr">
        <is>
          <t>CTMA</t>
        </is>
      </c>
      <c r="C829" s="1" t="inlineStr">
        <is>
          <t>91282CMY4</t>
        </is>
      </c>
      <c r="D829" s="1" t="inlineStr">
        <is>
          <t>91282CMY4</t>
        </is>
      </c>
      <c r="E829" t="inlineStr">
        <is>
          <t>United States Treasury Note/Bond 3.75% 04/30/2027</t>
        </is>
      </c>
      <c r="F829" t="inlineStr">
        <is>
          <t>852000.00000000</t>
        </is>
      </c>
      <c r="G829" t="inlineStr">
        <is>
          <t>99.758247</t>
        </is>
      </c>
      <c r="H829" t="inlineStr">
        <is>
          <t>849940.26</t>
        </is>
      </c>
      <c r="I829" t="inlineStr">
        <is>
          <t>18.13%</t>
        </is>
      </c>
      <c r="J829" t="inlineStr">
        <is>
          <t>4688325.50</t>
        </is>
      </c>
      <c r="K829" t="inlineStr">
        <is>
          <t>185000</t>
        </is>
      </c>
      <c r="L829" t="inlineStr">
        <is>
          <t>37.000000000000</t>
        </is>
      </c>
      <c r="M829" t="inlineStr"/>
    </row>
    <row r="830">
      <c r="A830" t="inlineStr">
        <is>
          <t>06/25/2026</t>
        </is>
      </c>
      <c r="B830" t="inlineStr">
        <is>
          <t>CTMA</t>
        </is>
      </c>
      <c r="C830" s="1" t="inlineStr">
        <is>
          <t>FGXXX</t>
        </is>
      </c>
      <c r="D830" s="1" t="inlineStr">
        <is>
          <t>31846V336</t>
        </is>
      </c>
      <c r="E830" t="inlineStr">
        <is>
          <t>First American Government Obligations Fund 12/01/2031</t>
        </is>
      </c>
      <c r="F830" t="inlineStr">
        <is>
          <t>46401.33000000</t>
        </is>
      </c>
      <c r="G830" t="inlineStr">
        <is>
          <t>100.000000</t>
        </is>
      </c>
      <c r="H830" t="inlineStr">
        <is>
          <t>46401.33</t>
        </is>
      </c>
      <c r="I830" t="inlineStr">
        <is>
          <t>0.99%</t>
        </is>
      </c>
      <c r="J830" t="inlineStr">
        <is>
          <t>4688325.50</t>
        </is>
      </c>
      <c r="K830" t="inlineStr">
        <is>
          <t>185000</t>
        </is>
      </c>
      <c r="L830" t="inlineStr">
        <is>
          <t>37.000000000000</t>
        </is>
      </c>
      <c r="M830" t="inlineStr">
        <is>
          <t>Y</t>
        </is>
      </c>
    </row>
    <row r="831">
      <c r="A831" t="inlineStr">
        <is>
          <t>06/25/2026</t>
        </is>
      </c>
      <c r="B831" t="inlineStr">
        <is>
          <t>CTMA</t>
        </is>
      </c>
      <c r="C831" s="1" t="inlineStr">
        <is>
          <t>Cash&amp;Other</t>
        </is>
      </c>
      <c r="D831" s="1" t="inlineStr">
        <is>
          <t>Cash&amp;Other</t>
        </is>
      </c>
      <c r="E831" t="inlineStr">
        <is>
          <t>Cash &amp; Other</t>
        </is>
      </c>
      <c r="F831" t="inlineStr">
        <is>
          <t>4217.64000000</t>
        </is>
      </c>
      <c r="G831" t="inlineStr">
        <is>
          <t>1.000000</t>
        </is>
      </c>
      <c r="H831" t="inlineStr">
        <is>
          <t>4217.64</t>
        </is>
      </c>
      <c r="I831" t="inlineStr">
        <is>
          <t>0.09%</t>
        </is>
      </c>
      <c r="J831" t="inlineStr">
        <is>
          <t>4688325.50</t>
        </is>
      </c>
      <c r="K831" t="inlineStr">
        <is>
          <t>185000</t>
        </is>
      </c>
      <c r="L831" t="inlineStr">
        <is>
          <t>37.000000000000</t>
        </is>
      </c>
      <c r="M831" t="inlineStr">
        <is>
          <t>Y</t>
        </is>
      </c>
    </row>
    <row r="832">
      <c r="A832" t="inlineStr">
        <is>
          <t>06/25/2026</t>
        </is>
      </c>
      <c r="B832" t="inlineStr">
        <is>
          <t>CUST</t>
        </is>
      </c>
      <c r="C832" s="1" t="inlineStr">
        <is>
          <t>912810FB9</t>
        </is>
      </c>
      <c r="D832" s="1" t="inlineStr">
        <is>
          <t>912810FB9</t>
        </is>
      </c>
      <c r="E832" t="inlineStr">
        <is>
          <t>United States Treasury Note/Bond 6.125% 11/15/2027</t>
        </is>
      </c>
      <c r="F832" t="inlineStr">
        <is>
          <t>24000.00000000</t>
        </is>
      </c>
      <c r="G832" t="inlineStr">
        <is>
          <t>102.742188</t>
        </is>
      </c>
      <c r="H832" t="inlineStr">
        <is>
          <t>24658.13</t>
        </is>
      </c>
      <c r="I832" t="inlineStr">
        <is>
          <t>0.33%</t>
        </is>
      </c>
      <c r="J832" t="inlineStr">
        <is>
          <t>7509930.00</t>
        </is>
      </c>
      <c r="K832" t="inlineStr">
        <is>
          <t>300000</t>
        </is>
      </c>
      <c r="L832" t="inlineStr">
        <is>
          <t>30.000000000000</t>
        </is>
      </c>
      <c r="M832" t="inlineStr"/>
    </row>
    <row r="833">
      <c r="A833" t="inlineStr">
        <is>
          <t>06/25/2026</t>
        </is>
      </c>
      <c r="B833" t="inlineStr">
        <is>
          <t>CUST</t>
        </is>
      </c>
      <c r="C833" s="1" t="inlineStr">
        <is>
          <t>912810FF0</t>
        </is>
      </c>
      <c r="D833" s="1" t="inlineStr">
        <is>
          <t>912810FF0</t>
        </is>
      </c>
      <c r="E833" t="inlineStr">
        <is>
          <t>United States Treasury Note/Bond 5.25% 11/15/2028</t>
        </is>
      </c>
      <c r="F833" t="inlineStr">
        <is>
          <t>24000.00000000</t>
        </is>
      </c>
      <c r="G833" t="inlineStr">
        <is>
          <t>102.523438</t>
        </is>
      </c>
      <c r="H833" t="inlineStr">
        <is>
          <t>24605.63</t>
        </is>
      </c>
      <c r="I833" t="inlineStr">
        <is>
          <t>0.33%</t>
        </is>
      </c>
      <c r="J833" t="inlineStr">
        <is>
          <t>7509930.00</t>
        </is>
      </c>
      <c r="K833" t="inlineStr">
        <is>
          <t>300000</t>
        </is>
      </c>
      <c r="L833" t="inlineStr">
        <is>
          <t>30.000000000000</t>
        </is>
      </c>
      <c r="M833" t="inlineStr"/>
    </row>
    <row r="834">
      <c r="A834" t="inlineStr">
        <is>
          <t>06/25/2026</t>
        </is>
      </c>
      <c r="B834" t="inlineStr">
        <is>
          <t>CUST</t>
        </is>
      </c>
      <c r="C834" s="1" t="inlineStr">
        <is>
          <t>9128282R0</t>
        </is>
      </c>
      <c r="D834" s="1" t="inlineStr">
        <is>
          <t>9128282R0</t>
        </is>
      </c>
      <c r="E834" t="inlineStr">
        <is>
          <t>United States Treasury Note/Bond 2.25% 08/15/2027</t>
        </is>
      </c>
      <c r="F834" t="inlineStr">
        <is>
          <t>63000.00000000</t>
        </is>
      </c>
      <c r="G834" t="inlineStr">
        <is>
          <t>97.927734</t>
        </is>
      </c>
      <c r="H834" t="inlineStr">
        <is>
          <t>61694.47</t>
        </is>
      </c>
      <c r="I834" t="inlineStr">
        <is>
          <t>0.82%</t>
        </is>
      </c>
      <c r="J834" t="inlineStr">
        <is>
          <t>7509930.00</t>
        </is>
      </c>
      <c r="K834" t="inlineStr">
        <is>
          <t>300000</t>
        </is>
      </c>
      <c r="L834" t="inlineStr">
        <is>
          <t>30.000000000000</t>
        </is>
      </c>
      <c r="M834" t="inlineStr"/>
    </row>
    <row r="835">
      <c r="A835" t="inlineStr">
        <is>
          <t>06/25/2026</t>
        </is>
      </c>
      <c r="B835" t="inlineStr">
        <is>
          <t>CUST</t>
        </is>
      </c>
      <c r="C835" s="1" t="inlineStr">
        <is>
          <t>9128283F5</t>
        </is>
      </c>
      <c r="D835" s="1" t="inlineStr">
        <is>
          <t>9128283F5</t>
        </is>
      </c>
      <c r="E835" t="inlineStr">
        <is>
          <t>United States Treasury Note/Bond 2.25% 11/15/2027</t>
        </is>
      </c>
      <c r="F835" t="inlineStr">
        <is>
          <t>63000.00000000</t>
        </is>
      </c>
      <c r="G835" t="inlineStr">
        <is>
          <t>97.464844</t>
        </is>
      </c>
      <c r="H835" t="inlineStr">
        <is>
          <t>61402.85</t>
        </is>
      </c>
      <c r="I835" t="inlineStr">
        <is>
          <t>0.82%</t>
        </is>
      </c>
      <c r="J835" t="inlineStr">
        <is>
          <t>7509930.00</t>
        </is>
      </c>
      <c r="K835" t="inlineStr">
        <is>
          <t>300000</t>
        </is>
      </c>
      <c r="L835" t="inlineStr">
        <is>
          <t>30.000000000000</t>
        </is>
      </c>
      <c r="M835" t="inlineStr"/>
    </row>
    <row r="836">
      <c r="A836" t="inlineStr">
        <is>
          <t>06/25/2026</t>
        </is>
      </c>
      <c r="B836" t="inlineStr">
        <is>
          <t>CUST</t>
        </is>
      </c>
      <c r="C836" s="1" t="inlineStr">
        <is>
          <t>9128283W8</t>
        </is>
      </c>
      <c r="D836" s="1" t="inlineStr">
        <is>
          <t>9128283W8</t>
        </is>
      </c>
      <c r="E836" t="inlineStr">
        <is>
          <t>United States Treasury Note/Bond 2.75% 02/15/2028</t>
        </is>
      </c>
      <c r="F836" t="inlineStr">
        <is>
          <t>90000.00000000</t>
        </is>
      </c>
      <c r="G836" t="inlineStr">
        <is>
          <t>97.792969</t>
        </is>
      </c>
      <c r="H836" t="inlineStr">
        <is>
          <t>88013.67</t>
        </is>
      </c>
      <c r="I836" t="inlineStr">
        <is>
          <t>1.17%</t>
        </is>
      </c>
      <c r="J836" t="inlineStr">
        <is>
          <t>7509930.00</t>
        </is>
      </c>
      <c r="K836" t="inlineStr">
        <is>
          <t>300000</t>
        </is>
      </c>
      <c r="L836" t="inlineStr">
        <is>
          <t>30.000000000000</t>
        </is>
      </c>
      <c r="M836" t="inlineStr"/>
    </row>
    <row r="837">
      <c r="A837" t="inlineStr">
        <is>
          <t>06/25/2026</t>
        </is>
      </c>
      <c r="B837" t="inlineStr">
        <is>
          <t>CUST</t>
        </is>
      </c>
      <c r="C837" s="1" t="inlineStr">
        <is>
          <t>9128284N7</t>
        </is>
      </c>
      <c r="D837" s="1" t="inlineStr">
        <is>
          <t>9128284N7</t>
        </is>
      </c>
      <c r="E837" t="inlineStr">
        <is>
          <t>United States Treasury Note/Bond 2.875% 05/15/2028</t>
        </is>
      </c>
      <c r="F837" t="inlineStr">
        <is>
          <t>90000.00000000</t>
        </is>
      </c>
      <c r="G837" t="inlineStr">
        <is>
          <t>97.701172</t>
        </is>
      </c>
      <c r="H837" t="inlineStr">
        <is>
          <t>87931.05</t>
        </is>
      </c>
      <c r="I837" t="inlineStr">
        <is>
          <t>1.17%</t>
        </is>
      </c>
      <c r="J837" t="inlineStr">
        <is>
          <t>7509930.00</t>
        </is>
      </c>
      <c r="K837" t="inlineStr">
        <is>
          <t>300000</t>
        </is>
      </c>
      <c r="L837" t="inlineStr">
        <is>
          <t>30.000000000000</t>
        </is>
      </c>
      <c r="M837" t="inlineStr"/>
    </row>
    <row r="838">
      <c r="A838" t="inlineStr">
        <is>
          <t>06/25/2026</t>
        </is>
      </c>
      <c r="B838" t="inlineStr">
        <is>
          <t>CUST</t>
        </is>
      </c>
      <c r="C838" s="1" t="inlineStr">
        <is>
          <t>9128284V9</t>
        </is>
      </c>
      <c r="D838" s="1" t="inlineStr">
        <is>
          <t>9128284V9</t>
        </is>
      </c>
      <c r="E838" t="inlineStr">
        <is>
          <t>United States Treasury Note/Bond 2.875% 08/15/2028</t>
        </is>
      </c>
      <c r="F838" t="inlineStr">
        <is>
          <t>90000.00000000</t>
        </is>
      </c>
      <c r="G838" t="inlineStr">
        <is>
          <t>97.406250</t>
        </is>
      </c>
      <c r="H838" t="inlineStr">
        <is>
          <t>87665.63</t>
        </is>
      </c>
      <c r="I838" t="inlineStr">
        <is>
          <t>1.17%</t>
        </is>
      </c>
      <c r="J838" t="inlineStr">
        <is>
          <t>7509930.00</t>
        </is>
      </c>
      <c r="K838" t="inlineStr">
        <is>
          <t>300000</t>
        </is>
      </c>
      <c r="L838" t="inlineStr">
        <is>
          <t>30.000000000000</t>
        </is>
      </c>
      <c r="M838" t="inlineStr"/>
    </row>
    <row r="839">
      <c r="A839" t="inlineStr">
        <is>
          <t>06/25/2026</t>
        </is>
      </c>
      <c r="B839" t="inlineStr">
        <is>
          <t>CUST</t>
        </is>
      </c>
      <c r="C839" s="1" t="inlineStr">
        <is>
          <t>9128285M8</t>
        </is>
      </c>
      <c r="D839" s="1" t="inlineStr">
        <is>
          <t>9128285M8</t>
        </is>
      </c>
      <c r="E839" t="inlineStr">
        <is>
          <t>United States Treasury Note/Bond 3.125% 11/15/2028</t>
        </is>
      </c>
      <c r="F839" t="inlineStr">
        <is>
          <t>90000.00000000</t>
        </is>
      </c>
      <c r="G839" t="inlineStr">
        <is>
          <t>97.685547</t>
        </is>
      </c>
      <c r="H839" t="inlineStr">
        <is>
          <t>87916.99</t>
        </is>
      </c>
      <c r="I839" t="inlineStr">
        <is>
          <t>1.17%</t>
        </is>
      </c>
      <c r="J839" t="inlineStr">
        <is>
          <t>7509930.00</t>
        </is>
      </c>
      <c r="K839" t="inlineStr">
        <is>
          <t>300000</t>
        </is>
      </c>
      <c r="L839" t="inlineStr">
        <is>
          <t>30.000000000000</t>
        </is>
      </c>
      <c r="M839" t="inlineStr"/>
    </row>
    <row r="840">
      <c r="A840" t="inlineStr">
        <is>
          <t>06/25/2026</t>
        </is>
      </c>
      <c r="B840" t="inlineStr">
        <is>
          <t>CUST</t>
        </is>
      </c>
      <c r="C840" s="1" t="inlineStr">
        <is>
          <t>9128286B1</t>
        </is>
      </c>
      <c r="D840" s="1" t="inlineStr">
        <is>
          <t>9128286B1</t>
        </is>
      </c>
      <c r="E840" t="inlineStr">
        <is>
          <t>United States Treasury Note/Bond 2.625% 02/15/2029</t>
        </is>
      </c>
      <c r="F840" t="inlineStr">
        <is>
          <t>90000.00000000</t>
        </is>
      </c>
      <c r="G840" t="inlineStr">
        <is>
          <t>96.207031</t>
        </is>
      </c>
      <c r="H840" t="inlineStr">
        <is>
          <t>86586.33</t>
        </is>
      </c>
      <c r="I840" t="inlineStr">
        <is>
          <t>1.15%</t>
        </is>
      </c>
      <c r="J840" t="inlineStr">
        <is>
          <t>7509930.00</t>
        </is>
      </c>
      <c r="K840" t="inlineStr">
        <is>
          <t>300000</t>
        </is>
      </c>
      <c r="L840" t="inlineStr">
        <is>
          <t>30.000000000000</t>
        </is>
      </c>
      <c r="M840" t="inlineStr"/>
    </row>
    <row r="841">
      <c r="A841" t="inlineStr">
        <is>
          <t>06/25/2026</t>
        </is>
      </c>
      <c r="B841" t="inlineStr">
        <is>
          <t>CUST</t>
        </is>
      </c>
      <c r="C841" s="1" t="inlineStr">
        <is>
          <t>9128286T2</t>
        </is>
      </c>
      <c r="D841" s="1" t="inlineStr">
        <is>
          <t>9128286T2</t>
        </is>
      </c>
      <c r="E841" t="inlineStr">
        <is>
          <t>United States Treasury Note/Bond 2.375% 05/15/2029</t>
        </is>
      </c>
      <c r="F841" t="inlineStr">
        <is>
          <t>84000.00000000</t>
        </is>
      </c>
      <c r="G841" t="inlineStr">
        <is>
          <t>95.230469</t>
        </is>
      </c>
      <c r="H841" t="inlineStr">
        <is>
          <t>79993.59</t>
        </is>
      </c>
      <c r="I841" t="inlineStr">
        <is>
          <t>1.07%</t>
        </is>
      </c>
      <c r="J841" t="inlineStr">
        <is>
          <t>7509930.00</t>
        </is>
      </c>
      <c r="K841" t="inlineStr">
        <is>
          <t>300000</t>
        </is>
      </c>
      <c r="L841" t="inlineStr">
        <is>
          <t>30.000000000000</t>
        </is>
      </c>
      <c r="M841" t="inlineStr"/>
    </row>
    <row r="842">
      <c r="A842" t="inlineStr">
        <is>
          <t>06/25/2026</t>
        </is>
      </c>
      <c r="B842" t="inlineStr">
        <is>
          <t>CUST</t>
        </is>
      </c>
      <c r="C842" s="1" t="inlineStr">
        <is>
          <t>912828ZS2</t>
        </is>
      </c>
      <c r="D842" s="1" t="inlineStr">
        <is>
          <t>912828ZS2</t>
        </is>
      </c>
      <c r="E842" t="inlineStr">
        <is>
          <t>United States Treasury Note/Bond 0.5% 05/31/2027</t>
        </is>
      </c>
      <c r="F842" t="inlineStr">
        <is>
          <t>54000.00000000</t>
        </is>
      </c>
      <c r="G842" t="inlineStr">
        <is>
          <t>96.755895</t>
        </is>
      </c>
      <c r="H842" t="inlineStr">
        <is>
          <t>52248.18</t>
        </is>
      </c>
      <c r="I842" t="inlineStr">
        <is>
          <t>0.70%</t>
        </is>
      </c>
      <c r="J842" t="inlineStr">
        <is>
          <t>7509930.00</t>
        </is>
      </c>
      <c r="K842" t="inlineStr">
        <is>
          <t>300000</t>
        </is>
      </c>
      <c r="L842" t="inlineStr">
        <is>
          <t>30.000000000000</t>
        </is>
      </c>
      <c r="M842" t="inlineStr"/>
    </row>
    <row r="843">
      <c r="A843" t="inlineStr">
        <is>
          <t>06/25/2026</t>
        </is>
      </c>
      <c r="B843" t="inlineStr">
        <is>
          <t>CUST</t>
        </is>
      </c>
      <c r="C843" s="1" t="inlineStr">
        <is>
          <t>912828ZV5</t>
        </is>
      </c>
      <c r="D843" s="1" t="inlineStr">
        <is>
          <t>912828ZV5</t>
        </is>
      </c>
      <c r="E843" t="inlineStr">
        <is>
          <t>United States Treasury Note/Bond 0.5% 06/30/2027</t>
        </is>
      </c>
      <c r="F843" t="inlineStr">
        <is>
          <t>57000.00000000</t>
        </is>
      </c>
      <c r="G843" t="inlineStr">
        <is>
          <t>96.476760</t>
        </is>
      </c>
      <c r="H843" t="inlineStr">
        <is>
          <t>54991.75</t>
        </is>
      </c>
      <c r="I843" t="inlineStr">
        <is>
          <t>0.73%</t>
        </is>
      </c>
      <c r="J843" t="inlineStr">
        <is>
          <t>7509930.00</t>
        </is>
      </c>
      <c r="K843" t="inlineStr">
        <is>
          <t>300000</t>
        </is>
      </c>
      <c r="L843" t="inlineStr">
        <is>
          <t>30.000000000000</t>
        </is>
      </c>
      <c r="M843" t="inlineStr"/>
    </row>
    <row r="844">
      <c r="A844" t="inlineStr">
        <is>
          <t>06/25/2026</t>
        </is>
      </c>
      <c r="B844" t="inlineStr">
        <is>
          <t>CUST</t>
        </is>
      </c>
      <c r="C844" s="1" t="inlineStr">
        <is>
          <t>91282CAD3</t>
        </is>
      </c>
      <c r="D844" s="1" t="inlineStr">
        <is>
          <t>91282CAD3</t>
        </is>
      </c>
      <c r="E844" t="inlineStr">
        <is>
          <t>United States Treasury Note/Bond 0.375% 07/31/2027</t>
        </is>
      </c>
      <c r="F844" t="inlineStr">
        <is>
          <t>63000.00000000</t>
        </is>
      </c>
      <c r="G844" t="inlineStr">
        <is>
          <t>96.009766</t>
        </is>
      </c>
      <c r="H844" t="inlineStr">
        <is>
          <t>60486.15</t>
        </is>
      </c>
      <c r="I844" t="inlineStr">
        <is>
          <t>0.81%</t>
        </is>
      </c>
      <c r="J844" t="inlineStr">
        <is>
          <t>7509930.00</t>
        </is>
      </c>
      <c r="K844" t="inlineStr">
        <is>
          <t>300000</t>
        </is>
      </c>
      <c r="L844" t="inlineStr">
        <is>
          <t>30.000000000000</t>
        </is>
      </c>
      <c r="M844" t="inlineStr"/>
    </row>
    <row r="845">
      <c r="A845" t="inlineStr">
        <is>
          <t>06/25/2026</t>
        </is>
      </c>
      <c r="B845" t="inlineStr">
        <is>
          <t>CUST</t>
        </is>
      </c>
      <c r="C845" s="1" t="inlineStr">
        <is>
          <t>91282CAH4</t>
        </is>
      </c>
      <c r="D845" s="1" t="inlineStr">
        <is>
          <t>91282CAH4</t>
        </is>
      </c>
      <c r="E845" t="inlineStr">
        <is>
          <t>United States Treasury Note/Bond 0.5% 08/31/2027</t>
        </is>
      </c>
      <c r="F845" t="inlineStr">
        <is>
          <t>57000.00000000</t>
        </is>
      </c>
      <c r="G845" t="inlineStr">
        <is>
          <t>95.859375</t>
        </is>
      </c>
      <c r="H845" t="inlineStr">
        <is>
          <t>54639.84</t>
        </is>
      </c>
      <c r="I845" t="inlineStr">
        <is>
          <t>0.73%</t>
        </is>
      </c>
      <c r="J845" t="inlineStr">
        <is>
          <t>7509930.00</t>
        </is>
      </c>
      <c r="K845" t="inlineStr">
        <is>
          <t>300000</t>
        </is>
      </c>
      <c r="L845" t="inlineStr">
        <is>
          <t>30.000000000000</t>
        </is>
      </c>
      <c r="M845" t="inlineStr"/>
    </row>
    <row r="846">
      <c r="A846" t="inlineStr">
        <is>
          <t>06/25/2026</t>
        </is>
      </c>
      <c r="B846" t="inlineStr">
        <is>
          <t>CUST</t>
        </is>
      </c>
      <c r="C846" s="1" t="inlineStr">
        <is>
          <t>91282CAL5</t>
        </is>
      </c>
      <c r="D846" s="1" t="inlineStr">
        <is>
          <t>91282CAL5</t>
        </is>
      </c>
      <c r="E846" t="inlineStr">
        <is>
          <t>United States Treasury Note/Bond 0.375% 09/30/2027</t>
        </is>
      </c>
      <c r="F846" t="inlineStr">
        <is>
          <t>63000.00000000</t>
        </is>
      </c>
      <c r="G846" t="inlineStr">
        <is>
          <t>95.421875</t>
        </is>
      </c>
      <c r="H846" t="inlineStr">
        <is>
          <t>60115.78</t>
        </is>
      </c>
      <c r="I846" t="inlineStr">
        <is>
          <t>0.80%</t>
        </is>
      </c>
      <c r="J846" t="inlineStr">
        <is>
          <t>7509930.00</t>
        </is>
      </c>
      <c r="K846" t="inlineStr">
        <is>
          <t>300000</t>
        </is>
      </c>
      <c r="L846" t="inlineStr">
        <is>
          <t>30.000000000000</t>
        </is>
      </c>
      <c r="M846" t="inlineStr"/>
    </row>
    <row r="847">
      <c r="A847" t="inlineStr">
        <is>
          <t>06/25/2026</t>
        </is>
      </c>
      <c r="B847" t="inlineStr">
        <is>
          <t>CUST</t>
        </is>
      </c>
      <c r="C847" s="1" t="inlineStr">
        <is>
          <t>91282CAU5</t>
        </is>
      </c>
      <c r="D847" s="1" t="inlineStr">
        <is>
          <t>91282CAU5</t>
        </is>
      </c>
      <c r="E847" t="inlineStr">
        <is>
          <t>United States Treasury Note/Bond 0.5% 10/31/2027</t>
        </is>
      </c>
      <c r="F847" t="inlineStr">
        <is>
          <t>63000.00000000</t>
        </is>
      </c>
      <c r="G847" t="inlineStr">
        <is>
          <t>95.265625</t>
        </is>
      </c>
      <c r="H847" t="inlineStr">
        <is>
          <t>60017.34</t>
        </is>
      </c>
      <c r="I847" t="inlineStr">
        <is>
          <t>0.80%</t>
        </is>
      </c>
      <c r="J847" t="inlineStr">
        <is>
          <t>7509930.00</t>
        </is>
      </c>
      <c r="K847" t="inlineStr">
        <is>
          <t>300000</t>
        </is>
      </c>
      <c r="L847" t="inlineStr">
        <is>
          <t>30.000000000000</t>
        </is>
      </c>
      <c r="M847" t="inlineStr"/>
    </row>
    <row r="848">
      <c r="A848" t="inlineStr">
        <is>
          <t>06/25/2026</t>
        </is>
      </c>
      <c r="B848" t="inlineStr">
        <is>
          <t>CUST</t>
        </is>
      </c>
      <c r="C848" s="1" t="inlineStr">
        <is>
          <t>91282CAY7</t>
        </is>
      </c>
      <c r="D848" s="1" t="inlineStr">
        <is>
          <t>91282CAY7</t>
        </is>
      </c>
      <c r="E848" t="inlineStr">
        <is>
          <t>United States Treasury Note/Bond 0.625% 11/30/2027</t>
        </is>
      </c>
      <c r="F848" t="inlineStr">
        <is>
          <t>84000.00000000</t>
        </is>
      </c>
      <c r="G848" t="inlineStr">
        <is>
          <t>95.160156</t>
        </is>
      </c>
      <c r="H848" t="inlineStr">
        <is>
          <t>79934.53</t>
        </is>
      </c>
      <c r="I848" t="inlineStr">
        <is>
          <t>1.06%</t>
        </is>
      </c>
      <c r="J848" t="inlineStr">
        <is>
          <t>7509930.00</t>
        </is>
      </c>
      <c r="K848" t="inlineStr">
        <is>
          <t>300000</t>
        </is>
      </c>
      <c r="L848" t="inlineStr">
        <is>
          <t>30.000000000000</t>
        </is>
      </c>
      <c r="M848" t="inlineStr"/>
    </row>
    <row r="849">
      <c r="A849" t="inlineStr">
        <is>
          <t>06/25/2026</t>
        </is>
      </c>
      <c r="B849" t="inlineStr">
        <is>
          <t>CUST</t>
        </is>
      </c>
      <c r="C849" s="1" t="inlineStr">
        <is>
          <t>91282CBB6</t>
        </is>
      </c>
      <c r="D849" s="1" t="inlineStr">
        <is>
          <t>91282CBB6</t>
        </is>
      </c>
      <c r="E849" t="inlineStr">
        <is>
          <t>United States Treasury Note/Bond 0.625% 12/31/2027</t>
        </is>
      </c>
      <c r="F849" t="inlineStr">
        <is>
          <t>87000.00000000</t>
        </is>
      </c>
      <c r="G849" t="inlineStr">
        <is>
          <t>94.875000</t>
        </is>
      </c>
      <c r="H849" t="inlineStr">
        <is>
          <t>82541.25</t>
        </is>
      </c>
      <c r="I849" t="inlineStr">
        <is>
          <t>1.10%</t>
        </is>
      </c>
      <c r="J849" t="inlineStr">
        <is>
          <t>7509930.00</t>
        </is>
      </c>
      <c r="K849" t="inlineStr">
        <is>
          <t>300000</t>
        </is>
      </c>
      <c r="L849" t="inlineStr">
        <is>
          <t>30.000000000000</t>
        </is>
      </c>
      <c r="M849" t="inlineStr"/>
    </row>
    <row r="850">
      <c r="A850" t="inlineStr">
        <is>
          <t>06/25/2026</t>
        </is>
      </c>
      <c r="B850" t="inlineStr">
        <is>
          <t>CUST</t>
        </is>
      </c>
      <c r="C850" s="1" t="inlineStr">
        <is>
          <t>91282CBJ9</t>
        </is>
      </c>
      <c r="D850" s="1" t="inlineStr">
        <is>
          <t>91282CBJ9</t>
        </is>
      </c>
      <c r="E850" t="inlineStr">
        <is>
          <t>United States Treasury Note/Bond 0.75% 01/31/2028</t>
        </is>
      </c>
      <c r="F850" t="inlineStr">
        <is>
          <t>90000.00000000</t>
        </is>
      </c>
      <c r="G850" t="inlineStr">
        <is>
          <t>94.787109</t>
        </is>
      </c>
      <c r="H850" t="inlineStr">
        <is>
          <t>85308.40</t>
        </is>
      </c>
      <c r="I850" t="inlineStr">
        <is>
          <t>1.14%</t>
        </is>
      </c>
      <c r="J850" t="inlineStr">
        <is>
          <t>7509930.00</t>
        </is>
      </c>
      <c r="K850" t="inlineStr">
        <is>
          <t>300000</t>
        </is>
      </c>
      <c r="L850" t="inlineStr">
        <is>
          <t>30.000000000000</t>
        </is>
      </c>
      <c r="M850" t="inlineStr"/>
    </row>
    <row r="851">
      <c r="A851" t="inlineStr">
        <is>
          <t>06/25/2026</t>
        </is>
      </c>
      <c r="B851" t="inlineStr">
        <is>
          <t>CUST</t>
        </is>
      </c>
      <c r="C851" s="1" t="inlineStr">
        <is>
          <t>91282CBP5</t>
        </is>
      </c>
      <c r="D851" s="1" t="inlineStr">
        <is>
          <t>91282CBP5</t>
        </is>
      </c>
      <c r="E851" t="inlineStr">
        <is>
          <t>United States Treasury Note/Bond 1.125% 02/29/2028</t>
        </is>
      </c>
      <c r="F851" t="inlineStr">
        <is>
          <t>90000.00000000</t>
        </is>
      </c>
      <c r="G851" t="inlineStr">
        <is>
          <t>95.132812</t>
        </is>
      </c>
      <c r="H851" t="inlineStr">
        <is>
          <t>85619.53</t>
        </is>
      </c>
      <c r="I851" t="inlineStr">
        <is>
          <t>1.14%</t>
        </is>
      </c>
      <c r="J851" t="inlineStr">
        <is>
          <t>7509930.00</t>
        </is>
      </c>
      <c r="K851" t="inlineStr">
        <is>
          <t>300000</t>
        </is>
      </c>
      <c r="L851" t="inlineStr">
        <is>
          <t>30.000000000000</t>
        </is>
      </c>
      <c r="M851" t="inlineStr"/>
    </row>
    <row r="852">
      <c r="A852" t="inlineStr">
        <is>
          <t>06/25/2026</t>
        </is>
      </c>
      <c r="B852" t="inlineStr">
        <is>
          <t>CUST</t>
        </is>
      </c>
      <c r="C852" s="1" t="inlineStr">
        <is>
          <t>91282CBS9</t>
        </is>
      </c>
      <c r="D852" s="1" t="inlineStr">
        <is>
          <t>91282CBS9</t>
        </is>
      </c>
      <c r="E852" t="inlineStr">
        <is>
          <t>United States Treasury Note/Bond 1.25% 03/31/2028</t>
        </is>
      </c>
      <c r="F852" t="inlineStr">
        <is>
          <t>87000.00000000</t>
        </is>
      </c>
      <c r="G852" t="inlineStr">
        <is>
          <t>95.103516</t>
        </is>
      </c>
      <c r="H852" t="inlineStr">
        <is>
          <t>82740.06</t>
        </is>
      </c>
      <c r="I852" t="inlineStr">
        <is>
          <t>1.10%</t>
        </is>
      </c>
      <c r="J852" t="inlineStr">
        <is>
          <t>7509930.00</t>
        </is>
      </c>
      <c r="K852" t="inlineStr">
        <is>
          <t>300000</t>
        </is>
      </c>
      <c r="L852" t="inlineStr">
        <is>
          <t>30.000000000000</t>
        </is>
      </c>
      <c r="M852" t="inlineStr"/>
    </row>
    <row r="853">
      <c r="A853" t="inlineStr">
        <is>
          <t>06/25/2026</t>
        </is>
      </c>
      <c r="B853" t="inlineStr">
        <is>
          <t>CUST</t>
        </is>
      </c>
      <c r="C853" s="1" t="inlineStr">
        <is>
          <t>91282CBZ3</t>
        </is>
      </c>
      <c r="D853" s="1" t="inlineStr">
        <is>
          <t>91282CBZ3</t>
        </is>
      </c>
      <c r="E853" t="inlineStr">
        <is>
          <t>United States Treasury Note/Bond 1.25% 04/30/2028</t>
        </is>
      </c>
      <c r="F853" t="inlineStr">
        <is>
          <t>90000.00000000</t>
        </is>
      </c>
      <c r="G853" t="inlineStr">
        <is>
          <t>94.888672</t>
        </is>
      </c>
      <c r="H853" t="inlineStr">
        <is>
          <t>85399.80</t>
        </is>
      </c>
      <c r="I853" t="inlineStr">
        <is>
          <t>1.14%</t>
        </is>
      </c>
      <c r="J853" t="inlineStr">
        <is>
          <t>7509930.00</t>
        </is>
      </c>
      <c r="K853" t="inlineStr">
        <is>
          <t>300000</t>
        </is>
      </c>
      <c r="L853" t="inlineStr">
        <is>
          <t>30.000000000000</t>
        </is>
      </c>
      <c r="M853" t="inlineStr"/>
    </row>
    <row r="854">
      <c r="A854" t="inlineStr">
        <is>
          <t>06/25/2026</t>
        </is>
      </c>
      <c r="B854" t="inlineStr">
        <is>
          <t>CUST</t>
        </is>
      </c>
      <c r="C854" s="1" t="inlineStr">
        <is>
          <t>91282CCE9</t>
        </is>
      </c>
      <c r="D854" s="1" t="inlineStr">
        <is>
          <t>91282CCE9</t>
        </is>
      </c>
      <c r="E854" t="inlineStr">
        <is>
          <t>United States Treasury Note/Bond 1.25% 05/31/2028</t>
        </is>
      </c>
      <c r="F854" t="inlineStr">
        <is>
          <t>90000.00000000</t>
        </is>
      </c>
      <c r="G854" t="inlineStr">
        <is>
          <t>94.658203</t>
        </is>
      </c>
      <c r="H854" t="inlineStr">
        <is>
          <t>85192.38</t>
        </is>
      </c>
      <c r="I854" t="inlineStr">
        <is>
          <t>1.13%</t>
        </is>
      </c>
      <c r="J854" t="inlineStr">
        <is>
          <t>7509930.00</t>
        </is>
      </c>
      <c r="K854" t="inlineStr">
        <is>
          <t>300000</t>
        </is>
      </c>
      <c r="L854" t="inlineStr">
        <is>
          <t>30.000000000000</t>
        </is>
      </c>
      <c r="M854" t="inlineStr"/>
    </row>
    <row r="855">
      <c r="A855" t="inlineStr">
        <is>
          <t>06/25/2026</t>
        </is>
      </c>
      <c r="B855" t="inlineStr">
        <is>
          <t>CUST</t>
        </is>
      </c>
      <c r="C855" s="1" t="inlineStr">
        <is>
          <t>91282CCH2</t>
        </is>
      </c>
      <c r="D855" s="1" t="inlineStr">
        <is>
          <t>91282CCH2</t>
        </is>
      </c>
      <c r="E855" t="inlineStr">
        <is>
          <t>United States Treasury Note/Bond 1.25% 06/30/2028</t>
        </is>
      </c>
      <c r="F855" t="inlineStr">
        <is>
          <t>87000.00000000</t>
        </is>
      </c>
      <c r="G855" t="inlineStr">
        <is>
          <t>94.443359</t>
        </is>
      </c>
      <c r="H855" t="inlineStr">
        <is>
          <t>82165.72</t>
        </is>
      </c>
      <c r="I855" t="inlineStr">
        <is>
          <t>1.09%</t>
        </is>
      </c>
      <c r="J855" t="inlineStr">
        <is>
          <t>7509930.00</t>
        </is>
      </c>
      <c r="K855" t="inlineStr">
        <is>
          <t>300000</t>
        </is>
      </c>
      <c r="L855" t="inlineStr">
        <is>
          <t>30.000000000000</t>
        </is>
      </c>
      <c r="M855" t="inlineStr"/>
    </row>
    <row r="856">
      <c r="A856" t="inlineStr">
        <is>
          <t>06/25/2026</t>
        </is>
      </c>
      <c r="B856" t="inlineStr">
        <is>
          <t>CUST</t>
        </is>
      </c>
      <c r="C856" s="1" t="inlineStr">
        <is>
          <t>91282CCR0</t>
        </is>
      </c>
      <c r="D856" s="1" t="inlineStr">
        <is>
          <t>91282CCR0</t>
        </is>
      </c>
      <c r="E856" t="inlineStr">
        <is>
          <t>United States Treasury Note/Bond 1% 07/31/2028</t>
        </is>
      </c>
      <c r="F856" t="inlineStr">
        <is>
          <t>90000.00000000</t>
        </is>
      </c>
      <c r="G856" t="inlineStr">
        <is>
          <t>93.724609</t>
        </is>
      </c>
      <c r="H856" t="inlineStr">
        <is>
          <t>84352.15</t>
        </is>
      </c>
      <c r="I856" t="inlineStr">
        <is>
          <t>1.12%</t>
        </is>
      </c>
      <c r="J856" t="inlineStr">
        <is>
          <t>7509930.00</t>
        </is>
      </c>
      <c r="K856" t="inlineStr">
        <is>
          <t>300000</t>
        </is>
      </c>
      <c r="L856" t="inlineStr">
        <is>
          <t>30.000000000000</t>
        </is>
      </c>
      <c r="M856" t="inlineStr"/>
    </row>
    <row r="857">
      <c r="A857" t="inlineStr">
        <is>
          <t>06/25/2026</t>
        </is>
      </c>
      <c r="B857" t="inlineStr">
        <is>
          <t>CUST</t>
        </is>
      </c>
      <c r="C857" s="1" t="inlineStr">
        <is>
          <t>91282CCV1</t>
        </is>
      </c>
      <c r="D857" s="1" t="inlineStr">
        <is>
          <t>91282CCV1</t>
        </is>
      </c>
      <c r="E857" t="inlineStr">
        <is>
          <t>United States Treasury Note/Bond 1.125% 08/31/2028</t>
        </is>
      </c>
      <c r="F857" t="inlineStr">
        <is>
          <t>90000.00000000</t>
        </is>
      </c>
      <c r="G857" t="inlineStr">
        <is>
          <t>93.738281</t>
        </is>
      </c>
      <c r="H857" t="inlineStr">
        <is>
          <t>84364.45</t>
        </is>
      </c>
      <c r="I857" t="inlineStr">
        <is>
          <t>1.12%</t>
        </is>
      </c>
      <c r="J857" t="inlineStr">
        <is>
          <t>7509930.00</t>
        </is>
      </c>
      <c r="K857" t="inlineStr">
        <is>
          <t>300000</t>
        </is>
      </c>
      <c r="L857" t="inlineStr">
        <is>
          <t>30.000000000000</t>
        </is>
      </c>
      <c r="M857" t="inlineStr"/>
    </row>
    <row r="858">
      <c r="A858" t="inlineStr">
        <is>
          <t>06/25/2026</t>
        </is>
      </c>
      <c r="B858" t="inlineStr">
        <is>
          <t>CUST</t>
        </is>
      </c>
      <c r="C858" s="1" t="inlineStr">
        <is>
          <t>91282CCY5</t>
        </is>
      </c>
      <c r="D858" s="1" t="inlineStr">
        <is>
          <t>91282CCY5</t>
        </is>
      </c>
      <c r="E858" t="inlineStr">
        <is>
          <t>United States Treasury Note/Bond 1.25% 09/30/2028</t>
        </is>
      </c>
      <c r="F858" t="inlineStr">
        <is>
          <t>90000.00000000</t>
        </is>
      </c>
      <c r="G858" t="inlineStr">
        <is>
          <t>93.777344</t>
        </is>
      </c>
      <c r="H858" t="inlineStr">
        <is>
          <t>84399.61</t>
        </is>
      </c>
      <c r="I858" t="inlineStr">
        <is>
          <t>1.12%</t>
        </is>
      </c>
      <c r="J858" t="inlineStr">
        <is>
          <t>7509930.00</t>
        </is>
      </c>
      <c r="K858" t="inlineStr">
        <is>
          <t>300000</t>
        </is>
      </c>
      <c r="L858" t="inlineStr">
        <is>
          <t>30.000000000000</t>
        </is>
      </c>
      <c r="M858" t="inlineStr"/>
    </row>
    <row r="859">
      <c r="A859" t="inlineStr">
        <is>
          <t>06/25/2026</t>
        </is>
      </c>
      <c r="B859" t="inlineStr">
        <is>
          <t>CUST</t>
        </is>
      </c>
      <c r="C859" s="1" t="inlineStr">
        <is>
          <t>91282CDF5</t>
        </is>
      </c>
      <c r="D859" s="1" t="inlineStr">
        <is>
          <t>91282CDF5</t>
        </is>
      </c>
      <c r="E859" t="inlineStr">
        <is>
          <t>United States Treasury Note/Bond 1.375% 10/31/2028</t>
        </is>
      </c>
      <c r="F859" t="inlineStr">
        <is>
          <t>87000.00000000</t>
        </is>
      </c>
      <c r="G859" t="inlineStr">
        <is>
          <t>93.832031</t>
        </is>
      </c>
      <c r="H859" t="inlineStr">
        <is>
          <t>81633.87</t>
        </is>
      </c>
      <c r="I859" t="inlineStr">
        <is>
          <t>1.09%</t>
        </is>
      </c>
      <c r="J859" t="inlineStr">
        <is>
          <t>7509930.00</t>
        </is>
      </c>
      <c r="K859" t="inlineStr">
        <is>
          <t>300000</t>
        </is>
      </c>
      <c r="L859" t="inlineStr">
        <is>
          <t>30.000000000000</t>
        </is>
      </c>
      <c r="M859" t="inlineStr"/>
    </row>
    <row r="860">
      <c r="A860" t="inlineStr">
        <is>
          <t>06/25/2026</t>
        </is>
      </c>
      <c r="B860" t="inlineStr">
        <is>
          <t>CUST</t>
        </is>
      </c>
      <c r="C860" s="1" t="inlineStr">
        <is>
          <t>91282CDL2</t>
        </is>
      </c>
      <c r="D860" s="1" t="inlineStr">
        <is>
          <t>91282CDL2</t>
        </is>
      </c>
      <c r="E860" t="inlineStr">
        <is>
          <t>United States Treasury Note/Bond 1.5% 11/30/2028</t>
        </is>
      </c>
      <c r="F860" t="inlineStr">
        <is>
          <t>87000.00000000</t>
        </is>
      </c>
      <c r="G860" t="inlineStr">
        <is>
          <t>93.919922</t>
        </is>
      </c>
      <c r="H860" t="inlineStr">
        <is>
          <t>81710.33</t>
        </is>
      </c>
      <c r="I860" t="inlineStr">
        <is>
          <t>1.09%</t>
        </is>
      </c>
      <c r="J860" t="inlineStr">
        <is>
          <t>7509930.00</t>
        </is>
      </c>
      <c r="K860" t="inlineStr">
        <is>
          <t>300000</t>
        </is>
      </c>
      <c r="L860" t="inlineStr">
        <is>
          <t>30.000000000000</t>
        </is>
      </c>
      <c r="M860" t="inlineStr"/>
    </row>
    <row r="861">
      <c r="A861" t="inlineStr">
        <is>
          <t>06/25/2026</t>
        </is>
      </c>
      <c r="B861" t="inlineStr">
        <is>
          <t>CUST</t>
        </is>
      </c>
      <c r="C861" s="1" t="inlineStr">
        <is>
          <t>91282CDP3</t>
        </is>
      </c>
      <c r="D861" s="1" t="inlineStr">
        <is>
          <t>91282CDP3</t>
        </is>
      </c>
      <c r="E861" t="inlineStr">
        <is>
          <t>United States Treasury Note/Bond 1.375% 12/31/2028</t>
        </is>
      </c>
      <c r="F861" t="inlineStr">
        <is>
          <t>87000.00000000</t>
        </is>
      </c>
      <c r="G861" t="inlineStr">
        <is>
          <t>93.423828</t>
        </is>
      </c>
      <c r="H861" t="inlineStr">
        <is>
          <t>81278.73</t>
        </is>
      </c>
      <c r="I861" t="inlineStr">
        <is>
          <t>1.08%</t>
        </is>
      </c>
      <c r="J861" t="inlineStr">
        <is>
          <t>7509930.00</t>
        </is>
      </c>
      <c r="K861" t="inlineStr">
        <is>
          <t>300000</t>
        </is>
      </c>
      <c r="L861" t="inlineStr">
        <is>
          <t>30.000000000000</t>
        </is>
      </c>
      <c r="M861" t="inlineStr"/>
    </row>
    <row r="862">
      <c r="A862" t="inlineStr">
        <is>
          <t>06/25/2026</t>
        </is>
      </c>
      <c r="B862" t="inlineStr">
        <is>
          <t>CUST</t>
        </is>
      </c>
      <c r="C862" s="1" t="inlineStr">
        <is>
          <t>91282CDW8</t>
        </is>
      </c>
      <c r="D862" s="1" t="inlineStr">
        <is>
          <t>91282CDW8</t>
        </is>
      </c>
      <c r="E862" t="inlineStr">
        <is>
          <t>United States Treasury Note/Bond 1.75% 01/31/2029</t>
        </is>
      </c>
      <c r="F862" t="inlineStr">
        <is>
          <t>84000.00000000</t>
        </is>
      </c>
      <c r="G862" t="inlineStr">
        <is>
          <t>94.121094</t>
        </is>
      </c>
      <c r="H862" t="inlineStr">
        <is>
          <t>79061.72</t>
        </is>
      </c>
      <c r="I862" t="inlineStr">
        <is>
          <t>1.05%</t>
        </is>
      </c>
      <c r="J862" t="inlineStr">
        <is>
          <t>7509930.00</t>
        </is>
      </c>
      <c r="K862" t="inlineStr">
        <is>
          <t>300000</t>
        </is>
      </c>
      <c r="L862" t="inlineStr">
        <is>
          <t>30.000000000000</t>
        </is>
      </c>
      <c r="M862" t="inlineStr"/>
    </row>
    <row r="863">
      <c r="A863" t="inlineStr">
        <is>
          <t>06/25/2026</t>
        </is>
      </c>
      <c r="B863" t="inlineStr">
        <is>
          <t>CUST</t>
        </is>
      </c>
      <c r="C863" s="1" t="inlineStr">
        <is>
          <t>91282CEB3</t>
        </is>
      </c>
      <c r="D863" s="1" t="inlineStr">
        <is>
          <t>91282CEB3</t>
        </is>
      </c>
      <c r="E863" t="inlineStr">
        <is>
          <t>United States Treasury Note/Bond 1.875% 02/28/2029</t>
        </is>
      </c>
      <c r="F863" t="inlineStr">
        <is>
          <t>84000.00000000</t>
        </is>
      </c>
      <c r="G863" t="inlineStr">
        <is>
          <t>94.275391</t>
        </is>
      </c>
      <c r="H863" t="inlineStr">
        <is>
          <t>79191.33</t>
        </is>
      </c>
      <c r="I863" t="inlineStr">
        <is>
          <t>1.05%</t>
        </is>
      </c>
      <c r="J863" t="inlineStr">
        <is>
          <t>7509930.00</t>
        </is>
      </c>
      <c r="K863" t="inlineStr">
        <is>
          <t>300000</t>
        </is>
      </c>
      <c r="L863" t="inlineStr">
        <is>
          <t>30.000000000000</t>
        </is>
      </c>
      <c r="M863" t="inlineStr"/>
    </row>
    <row r="864">
      <c r="A864" t="inlineStr">
        <is>
          <t>06/25/2026</t>
        </is>
      </c>
      <c r="B864" t="inlineStr">
        <is>
          <t>CUST</t>
        </is>
      </c>
      <c r="C864" s="1" t="inlineStr">
        <is>
          <t>91282CEE7</t>
        </is>
      </c>
      <c r="D864" s="1" t="inlineStr">
        <is>
          <t>91282CEE7</t>
        </is>
      </c>
      <c r="E864" t="inlineStr">
        <is>
          <t>United States Treasury Note/Bond 2.375% 03/31/2029</t>
        </is>
      </c>
      <c r="F864" t="inlineStr">
        <is>
          <t>63000.00000000</t>
        </is>
      </c>
      <c r="G864" t="inlineStr">
        <is>
          <t>95.398438</t>
        </is>
      </c>
      <c r="H864" t="inlineStr">
        <is>
          <t>60101.02</t>
        </is>
      </c>
      <c r="I864" t="inlineStr">
        <is>
          <t>0.80%</t>
        </is>
      </c>
      <c r="J864" t="inlineStr">
        <is>
          <t>7509930.00</t>
        </is>
      </c>
      <c r="K864" t="inlineStr">
        <is>
          <t>300000</t>
        </is>
      </c>
      <c r="L864" t="inlineStr">
        <is>
          <t>30.000000000000</t>
        </is>
      </c>
      <c r="M864" t="inlineStr"/>
    </row>
    <row r="865">
      <c r="A865" t="inlineStr">
        <is>
          <t>06/25/2026</t>
        </is>
      </c>
      <c r="B865" t="inlineStr">
        <is>
          <t>CUST</t>
        </is>
      </c>
      <c r="C865" s="1" t="inlineStr">
        <is>
          <t>91282CEM9</t>
        </is>
      </c>
      <c r="D865" s="1" t="inlineStr">
        <is>
          <t>91282CEM9</t>
        </is>
      </c>
      <c r="E865" t="inlineStr">
        <is>
          <t>United States Treasury Note/Bond 2.875% 04/30/2029</t>
        </is>
      </c>
      <c r="F865" t="inlineStr">
        <is>
          <t>60000.00000000</t>
        </is>
      </c>
      <c r="G865" t="inlineStr">
        <is>
          <t>96.601562</t>
        </is>
      </c>
      <c r="H865" t="inlineStr">
        <is>
          <t>57960.94</t>
        </is>
      </c>
      <c r="I865" t="inlineStr">
        <is>
          <t>0.77%</t>
        </is>
      </c>
      <c r="J865" t="inlineStr">
        <is>
          <t>7509930.00</t>
        </is>
      </c>
      <c r="K865" t="inlineStr">
        <is>
          <t>300000</t>
        </is>
      </c>
      <c r="L865" t="inlineStr">
        <is>
          <t>30.000000000000</t>
        </is>
      </c>
      <c r="M865" t="inlineStr"/>
    </row>
    <row r="866">
      <c r="A866" t="inlineStr">
        <is>
          <t>06/25/2026</t>
        </is>
      </c>
      <c r="B866" t="inlineStr">
        <is>
          <t>CUST</t>
        </is>
      </c>
      <c r="C866" s="1" t="inlineStr">
        <is>
          <t>91282CET4</t>
        </is>
      </c>
      <c r="D866" s="1" t="inlineStr">
        <is>
          <t>91282CET4</t>
        </is>
      </c>
      <c r="E866" t="inlineStr">
        <is>
          <t>United States Treasury Note/Bond 2.625% 05/31/2027</t>
        </is>
      </c>
      <c r="F866" t="inlineStr">
        <is>
          <t>63000.00000000</t>
        </is>
      </c>
      <c r="G866" t="inlineStr">
        <is>
          <t>98.687870</t>
        </is>
      </c>
      <c r="H866" t="inlineStr">
        <is>
          <t>62173.36</t>
        </is>
      </c>
      <c r="I866" t="inlineStr">
        <is>
          <t>0.83%</t>
        </is>
      </c>
      <c r="J866" t="inlineStr">
        <is>
          <t>7509930.00</t>
        </is>
      </c>
      <c r="K866" t="inlineStr">
        <is>
          <t>300000</t>
        </is>
      </c>
      <c r="L866" t="inlineStr">
        <is>
          <t>30.000000000000</t>
        </is>
      </c>
      <c r="M866" t="inlineStr"/>
    </row>
    <row r="867">
      <c r="A867" t="inlineStr">
        <is>
          <t>06/25/2026</t>
        </is>
      </c>
      <c r="B867" t="inlineStr">
        <is>
          <t>CUST</t>
        </is>
      </c>
      <c r="C867" s="1" t="inlineStr">
        <is>
          <t>91282CEW7</t>
        </is>
      </c>
      <c r="D867" s="1" t="inlineStr">
        <is>
          <t>91282CEW7</t>
        </is>
      </c>
      <c r="E867" t="inlineStr">
        <is>
          <t>United States Treasury Note/Bond 3.25% 06/30/2027</t>
        </is>
      </c>
      <c r="F867" t="inlineStr">
        <is>
          <t>63000.00000000</t>
        </is>
      </c>
      <c r="G867" t="inlineStr">
        <is>
          <t>99.178718</t>
        </is>
      </c>
      <c r="H867" t="inlineStr">
        <is>
          <t>62482.59</t>
        </is>
      </c>
      <c r="I867" t="inlineStr">
        <is>
          <t>0.83%</t>
        </is>
      </c>
      <c r="J867" t="inlineStr">
        <is>
          <t>7509930.00</t>
        </is>
      </c>
      <c r="K867" t="inlineStr">
        <is>
          <t>300000</t>
        </is>
      </c>
      <c r="L867" t="inlineStr">
        <is>
          <t>30.000000000000</t>
        </is>
      </c>
      <c r="M867" t="inlineStr"/>
    </row>
    <row r="868">
      <c r="A868" t="inlineStr">
        <is>
          <t>06/25/2026</t>
        </is>
      </c>
      <c r="B868" t="inlineStr">
        <is>
          <t>CUST</t>
        </is>
      </c>
      <c r="C868" s="1" t="inlineStr">
        <is>
          <t>91282CFB2</t>
        </is>
      </c>
      <c r="D868" s="1" t="inlineStr">
        <is>
          <t>91282CFB2</t>
        </is>
      </c>
      <c r="E868" t="inlineStr">
        <is>
          <t>United States Treasury Note/Bond 2.75% 07/31/2027</t>
        </is>
      </c>
      <c r="F868" t="inlineStr">
        <is>
          <t>63000.00000000</t>
        </is>
      </c>
      <c r="G868" t="inlineStr">
        <is>
          <t>98.535156</t>
        </is>
      </c>
      <c r="H868" t="inlineStr">
        <is>
          <t>62077.15</t>
        </is>
      </c>
      <c r="I868" t="inlineStr">
        <is>
          <t>0.83%</t>
        </is>
      </c>
      <c r="J868" t="inlineStr">
        <is>
          <t>7509930.00</t>
        </is>
      </c>
      <c r="K868" t="inlineStr">
        <is>
          <t>300000</t>
        </is>
      </c>
      <c r="L868" t="inlineStr">
        <is>
          <t>30.000000000000</t>
        </is>
      </c>
      <c r="M868" t="inlineStr"/>
    </row>
    <row r="869">
      <c r="A869" t="inlineStr">
        <is>
          <t>06/25/2026</t>
        </is>
      </c>
      <c r="B869" t="inlineStr">
        <is>
          <t>CUST</t>
        </is>
      </c>
      <c r="C869" s="1" t="inlineStr">
        <is>
          <t>91282CFH9</t>
        </is>
      </c>
      <c r="D869" s="1" t="inlineStr">
        <is>
          <t>91282CFH9</t>
        </is>
      </c>
      <c r="E869" t="inlineStr">
        <is>
          <t>United States Treasury Note/Bond 3.125% 08/31/2027</t>
        </is>
      </c>
      <c r="F869" t="inlineStr">
        <is>
          <t>63000.00000000</t>
        </is>
      </c>
      <c r="G869" t="inlineStr">
        <is>
          <t>98.855469</t>
        </is>
      </c>
      <c r="H869" t="inlineStr">
        <is>
          <t>62278.95</t>
        </is>
      </c>
      <c r="I869" t="inlineStr">
        <is>
          <t>0.83%</t>
        </is>
      </c>
      <c r="J869" t="inlineStr">
        <is>
          <t>7509930.00</t>
        </is>
      </c>
      <c r="K869" t="inlineStr">
        <is>
          <t>300000</t>
        </is>
      </c>
      <c r="L869" t="inlineStr">
        <is>
          <t>30.000000000000</t>
        </is>
      </c>
      <c r="M869" t="inlineStr"/>
    </row>
    <row r="870">
      <c r="A870" t="inlineStr">
        <is>
          <t>06/25/2026</t>
        </is>
      </c>
      <c r="B870" t="inlineStr">
        <is>
          <t>CUST</t>
        </is>
      </c>
      <c r="C870" s="1" t="inlineStr">
        <is>
          <t>91282CFM8</t>
        </is>
      </c>
      <c r="D870" s="1" t="inlineStr">
        <is>
          <t>91282CFM8</t>
        </is>
      </c>
      <c r="E870" t="inlineStr">
        <is>
          <t>United States Treasury Note/Bond 4.125% 09/30/2027</t>
        </is>
      </c>
      <c r="F870" t="inlineStr">
        <is>
          <t>63000.00000000</t>
        </is>
      </c>
      <c r="G870" t="inlineStr">
        <is>
          <t>99.996094</t>
        </is>
      </c>
      <c r="H870" t="inlineStr">
        <is>
          <t>62997.54</t>
        </is>
      </c>
      <c r="I870" t="inlineStr">
        <is>
          <t>0.84%</t>
        </is>
      </c>
      <c r="J870" t="inlineStr">
        <is>
          <t>7509930.00</t>
        </is>
      </c>
      <c r="K870" t="inlineStr">
        <is>
          <t>300000</t>
        </is>
      </c>
      <c r="L870" t="inlineStr">
        <is>
          <t>30.000000000000</t>
        </is>
      </c>
      <c r="M870" t="inlineStr"/>
    </row>
    <row r="871">
      <c r="A871" t="inlineStr">
        <is>
          <t>06/25/2026</t>
        </is>
      </c>
      <c r="B871" t="inlineStr">
        <is>
          <t>CUST</t>
        </is>
      </c>
      <c r="C871" s="1" t="inlineStr">
        <is>
          <t>91282CFU0</t>
        </is>
      </c>
      <c r="D871" s="1" t="inlineStr">
        <is>
          <t>91282CFU0</t>
        </is>
      </c>
      <c r="E871" t="inlineStr">
        <is>
          <t>United States Treasury Note/Bond 4.125% 10/31/2027</t>
        </is>
      </c>
      <c r="F871" t="inlineStr">
        <is>
          <t>60000.00000000</t>
        </is>
      </c>
      <c r="G871" t="inlineStr">
        <is>
          <t>99.960938</t>
        </is>
      </c>
      <c r="H871" t="inlineStr">
        <is>
          <t>59976.56</t>
        </is>
      </c>
      <c r="I871" t="inlineStr">
        <is>
          <t>0.80%</t>
        </is>
      </c>
      <c r="J871" t="inlineStr">
        <is>
          <t>7509930.00</t>
        </is>
      </c>
      <c r="K871" t="inlineStr">
        <is>
          <t>300000</t>
        </is>
      </c>
      <c r="L871" t="inlineStr">
        <is>
          <t>30.000000000000</t>
        </is>
      </c>
      <c r="M871" t="inlineStr"/>
    </row>
    <row r="872">
      <c r="A872" t="inlineStr">
        <is>
          <t>06/25/2026</t>
        </is>
      </c>
      <c r="B872" t="inlineStr">
        <is>
          <t>CUST</t>
        </is>
      </c>
      <c r="C872" s="1" t="inlineStr">
        <is>
          <t>91282CFZ9</t>
        </is>
      </c>
      <c r="D872" s="1" t="inlineStr">
        <is>
          <t>91282CFZ9</t>
        </is>
      </c>
      <c r="E872" t="inlineStr">
        <is>
          <t>United States Treasury Note/Bond 3.875% 11/30/2027</t>
        </is>
      </c>
      <c r="F872" t="inlineStr">
        <is>
          <t>60000.00000000</t>
        </is>
      </c>
      <c r="G872" t="inlineStr">
        <is>
          <t>99.625000</t>
        </is>
      </c>
      <c r="H872" t="inlineStr">
        <is>
          <t>59775.00</t>
        </is>
      </c>
      <c r="I872" t="inlineStr">
        <is>
          <t>0.80%</t>
        </is>
      </c>
      <c r="J872" t="inlineStr">
        <is>
          <t>7509930.00</t>
        </is>
      </c>
      <c r="K872" t="inlineStr">
        <is>
          <t>300000</t>
        </is>
      </c>
      <c r="L872" t="inlineStr">
        <is>
          <t>30.000000000000</t>
        </is>
      </c>
      <c r="M872" t="inlineStr"/>
    </row>
    <row r="873">
      <c r="A873" t="inlineStr">
        <is>
          <t>06/25/2026</t>
        </is>
      </c>
      <c r="B873" t="inlineStr">
        <is>
          <t>CUST</t>
        </is>
      </c>
      <c r="C873" s="1" t="inlineStr">
        <is>
          <t>91282CGC9</t>
        </is>
      </c>
      <c r="D873" s="1" t="inlineStr">
        <is>
          <t>91282CGC9</t>
        </is>
      </c>
      <c r="E873" t="inlineStr">
        <is>
          <t>United States Treasury Note/Bond 3.875% 12/31/2027</t>
        </is>
      </c>
      <c r="F873" t="inlineStr">
        <is>
          <t>63000.00000000</t>
        </is>
      </c>
      <c r="G873" t="inlineStr">
        <is>
          <t>99.609375</t>
        </is>
      </c>
      <c r="H873" t="inlineStr">
        <is>
          <t>62753.91</t>
        </is>
      </c>
      <c r="I873" t="inlineStr">
        <is>
          <t>0.84%</t>
        </is>
      </c>
      <c r="J873" t="inlineStr">
        <is>
          <t>7509930.00</t>
        </is>
      </c>
      <c r="K873" t="inlineStr">
        <is>
          <t>300000</t>
        </is>
      </c>
      <c r="L873" t="inlineStr">
        <is>
          <t>30.000000000000</t>
        </is>
      </c>
      <c r="M873" t="inlineStr"/>
    </row>
    <row r="874">
      <c r="A874" t="inlineStr">
        <is>
          <t>06/25/2026</t>
        </is>
      </c>
      <c r="B874" t="inlineStr">
        <is>
          <t>CUST</t>
        </is>
      </c>
      <c r="C874" s="1" t="inlineStr">
        <is>
          <t>91282CGH8</t>
        </is>
      </c>
      <c r="D874" s="1" t="inlineStr">
        <is>
          <t>91282CGH8</t>
        </is>
      </c>
      <c r="E874" t="inlineStr">
        <is>
          <t>United States Treasury Note/Bond 3.5% 01/31/2028</t>
        </is>
      </c>
      <c r="F874" t="inlineStr">
        <is>
          <t>104000.00000000</t>
        </is>
      </c>
      <c r="G874" t="inlineStr">
        <is>
          <t>98.996094</t>
        </is>
      </c>
      <c r="H874" t="inlineStr">
        <is>
          <t>102955.94</t>
        </is>
      </c>
      <c r="I874" t="inlineStr">
        <is>
          <t>1.37%</t>
        </is>
      </c>
      <c r="J874" t="inlineStr">
        <is>
          <t>7509930.00</t>
        </is>
      </c>
      <c r="K874" t="inlineStr">
        <is>
          <t>300000</t>
        </is>
      </c>
      <c r="L874" t="inlineStr">
        <is>
          <t>30.000000000000</t>
        </is>
      </c>
      <c r="M874" t="inlineStr"/>
    </row>
    <row r="875">
      <c r="A875" t="inlineStr">
        <is>
          <t>06/25/2026</t>
        </is>
      </c>
      <c r="B875" t="inlineStr">
        <is>
          <t>CUST</t>
        </is>
      </c>
      <c r="C875" s="1" t="inlineStr">
        <is>
          <t>91282CGP0</t>
        </is>
      </c>
      <c r="D875" s="1" t="inlineStr">
        <is>
          <t>91282CGP0</t>
        </is>
      </c>
      <c r="E875" t="inlineStr">
        <is>
          <t>United States Treasury Note/Bond 4% 02/29/2028</t>
        </is>
      </c>
      <c r="F875" t="inlineStr">
        <is>
          <t>60000.00000000</t>
        </is>
      </c>
      <c r="G875" t="inlineStr">
        <is>
          <t>99.759766</t>
        </is>
      </c>
      <c r="H875" t="inlineStr">
        <is>
          <t>59855.86</t>
        </is>
      </c>
      <c r="I875" t="inlineStr">
        <is>
          <t>0.80%</t>
        </is>
      </c>
      <c r="J875" t="inlineStr">
        <is>
          <t>7509930.00</t>
        </is>
      </c>
      <c r="K875" t="inlineStr">
        <is>
          <t>300000</t>
        </is>
      </c>
      <c r="L875" t="inlineStr">
        <is>
          <t>30.000000000000</t>
        </is>
      </c>
      <c r="M875" t="inlineStr"/>
    </row>
    <row r="876">
      <c r="A876" t="inlineStr">
        <is>
          <t>06/25/2026</t>
        </is>
      </c>
      <c r="B876" t="inlineStr">
        <is>
          <t>CUST</t>
        </is>
      </c>
      <c r="C876" s="1" t="inlineStr">
        <is>
          <t>91282CGT2</t>
        </is>
      </c>
      <c r="D876" s="1" t="inlineStr">
        <is>
          <t>91282CGT2</t>
        </is>
      </c>
      <c r="E876" t="inlineStr">
        <is>
          <t>United States Treasury Note/Bond 3.625% 03/31/2028</t>
        </is>
      </c>
      <c r="F876" t="inlineStr">
        <is>
          <t>63000.00000000</t>
        </is>
      </c>
      <c r="G876" t="inlineStr">
        <is>
          <t>99.107422</t>
        </is>
      </c>
      <c r="H876" t="inlineStr">
        <is>
          <t>62437.68</t>
        </is>
      </c>
      <c r="I876" t="inlineStr">
        <is>
          <t>0.83%</t>
        </is>
      </c>
      <c r="J876" t="inlineStr">
        <is>
          <t>7509930.00</t>
        </is>
      </c>
      <c r="K876" t="inlineStr">
        <is>
          <t>300000</t>
        </is>
      </c>
      <c r="L876" t="inlineStr">
        <is>
          <t>30.000000000000</t>
        </is>
      </c>
      <c r="M876" t="inlineStr"/>
    </row>
    <row r="877">
      <c r="A877" t="inlineStr">
        <is>
          <t>06/25/2026</t>
        </is>
      </c>
      <c r="B877" t="inlineStr">
        <is>
          <t>CUST</t>
        </is>
      </c>
      <c r="C877" s="1" t="inlineStr">
        <is>
          <t>91282CHA2</t>
        </is>
      </c>
      <c r="D877" s="1" t="inlineStr">
        <is>
          <t>91282CHA2</t>
        </is>
      </c>
      <c r="E877" t="inlineStr">
        <is>
          <t>United States Treasury Note/Bond 3.5% 04/30/2028</t>
        </is>
      </c>
      <c r="F877" t="inlineStr">
        <is>
          <t>63000.00000000</t>
        </is>
      </c>
      <c r="G877" t="inlineStr">
        <is>
          <t>98.845703</t>
        </is>
      </c>
      <c r="H877" t="inlineStr">
        <is>
          <t>62272.79</t>
        </is>
      </c>
      <c r="I877" t="inlineStr">
        <is>
          <t>0.83%</t>
        </is>
      </c>
      <c r="J877" t="inlineStr">
        <is>
          <t>7509930.00</t>
        </is>
      </c>
      <c r="K877" t="inlineStr">
        <is>
          <t>300000</t>
        </is>
      </c>
      <c r="L877" t="inlineStr">
        <is>
          <t>30.000000000000</t>
        </is>
      </c>
      <c r="M877" t="inlineStr"/>
    </row>
    <row r="878">
      <c r="A878" t="inlineStr">
        <is>
          <t>06/25/2026</t>
        </is>
      </c>
      <c r="B878" t="inlineStr">
        <is>
          <t>CUST</t>
        </is>
      </c>
      <c r="C878" s="1" t="inlineStr">
        <is>
          <t>91282CHE4</t>
        </is>
      </c>
      <c r="D878" s="1" t="inlineStr">
        <is>
          <t>91282CHE4</t>
        </is>
      </c>
      <c r="E878" t="inlineStr">
        <is>
          <t>United States Treasury Note/Bond 3.625% 05/31/2028</t>
        </is>
      </c>
      <c r="F878" t="inlineStr">
        <is>
          <t>60000.00000000</t>
        </is>
      </c>
      <c r="G878" t="inlineStr">
        <is>
          <t>99.035156</t>
        </is>
      </c>
      <c r="H878" t="inlineStr">
        <is>
          <t>59421.09</t>
        </is>
      </c>
      <c r="I878" t="inlineStr">
        <is>
          <t>0.79%</t>
        </is>
      </c>
      <c r="J878" t="inlineStr">
        <is>
          <t>7509930.00</t>
        </is>
      </c>
      <c r="K878" t="inlineStr">
        <is>
          <t>300000</t>
        </is>
      </c>
      <c r="L878" t="inlineStr">
        <is>
          <t>30.000000000000</t>
        </is>
      </c>
      <c r="M878" t="inlineStr"/>
    </row>
    <row r="879">
      <c r="A879" t="inlineStr">
        <is>
          <t>06/25/2026</t>
        </is>
      </c>
      <c r="B879" t="inlineStr">
        <is>
          <t>CUST</t>
        </is>
      </c>
      <c r="C879" s="1" t="inlineStr">
        <is>
          <t>91282CHK0</t>
        </is>
      </c>
      <c r="D879" s="1" t="inlineStr">
        <is>
          <t>91282CHK0</t>
        </is>
      </c>
      <c r="E879" t="inlineStr">
        <is>
          <t>United States Treasury Note/Bond 4% 06/30/2028</t>
        </is>
      </c>
      <c r="F879" t="inlineStr">
        <is>
          <t>63000.00000000</t>
        </is>
      </c>
      <c r="G879" t="inlineStr">
        <is>
          <t>99.714844</t>
        </is>
      </c>
      <c r="H879" t="inlineStr">
        <is>
          <t>62820.35</t>
        </is>
      </c>
      <c r="I879" t="inlineStr">
        <is>
          <t>0.84%</t>
        </is>
      </c>
      <c r="J879" t="inlineStr">
        <is>
          <t>7509930.00</t>
        </is>
      </c>
      <c r="K879" t="inlineStr">
        <is>
          <t>300000</t>
        </is>
      </c>
      <c r="L879" t="inlineStr">
        <is>
          <t>30.000000000000</t>
        </is>
      </c>
      <c r="M879" t="inlineStr"/>
    </row>
    <row r="880">
      <c r="A880" t="inlineStr">
        <is>
          <t>06/25/2026</t>
        </is>
      </c>
      <c r="B880" t="inlineStr">
        <is>
          <t>CUST</t>
        </is>
      </c>
      <c r="C880" s="1" t="inlineStr">
        <is>
          <t>91282CHQ7</t>
        </is>
      </c>
      <c r="D880" s="1" t="inlineStr">
        <is>
          <t>91282CHQ7</t>
        </is>
      </c>
      <c r="E880" t="inlineStr">
        <is>
          <t>United States Treasury Note/Bond 4.125% 07/31/2028</t>
        </is>
      </c>
      <c r="F880" t="inlineStr">
        <is>
          <t>63000.00000000</t>
        </is>
      </c>
      <c r="G880" t="inlineStr">
        <is>
          <t>99.941406</t>
        </is>
      </c>
      <c r="H880" t="inlineStr">
        <is>
          <t>62963.09</t>
        </is>
      </c>
      <c r="I880" t="inlineStr">
        <is>
          <t>0.84%</t>
        </is>
      </c>
      <c r="J880" t="inlineStr">
        <is>
          <t>7509930.00</t>
        </is>
      </c>
      <c r="K880" t="inlineStr">
        <is>
          <t>300000</t>
        </is>
      </c>
      <c r="L880" t="inlineStr">
        <is>
          <t>30.000000000000</t>
        </is>
      </c>
      <c r="M880" t="inlineStr"/>
    </row>
    <row r="881">
      <c r="A881" t="inlineStr">
        <is>
          <t>06/25/2026</t>
        </is>
      </c>
      <c r="B881" t="inlineStr">
        <is>
          <t>CUST</t>
        </is>
      </c>
      <c r="C881" s="1" t="inlineStr">
        <is>
          <t>91282CHX2</t>
        </is>
      </c>
      <c r="D881" s="1" t="inlineStr">
        <is>
          <t>91282CHX2</t>
        </is>
      </c>
      <c r="E881" t="inlineStr">
        <is>
          <t>United States Treasury Note/Bond 4.375% 08/31/2028</t>
        </is>
      </c>
      <c r="F881" t="inlineStr">
        <is>
          <t>63000.00000000</t>
        </is>
      </c>
      <c r="G881" t="inlineStr">
        <is>
          <t>100.445312</t>
        </is>
      </c>
      <c r="H881" t="inlineStr">
        <is>
          <t>63280.55</t>
        </is>
      </c>
      <c r="I881" t="inlineStr">
        <is>
          <t>0.84%</t>
        </is>
      </c>
      <c r="J881" t="inlineStr">
        <is>
          <t>7509930.00</t>
        </is>
      </c>
      <c r="K881" t="inlineStr">
        <is>
          <t>300000</t>
        </is>
      </c>
      <c r="L881" t="inlineStr">
        <is>
          <t>30.000000000000</t>
        </is>
      </c>
      <c r="M881" t="inlineStr"/>
    </row>
    <row r="882">
      <c r="A882" t="inlineStr">
        <is>
          <t>06/25/2026</t>
        </is>
      </c>
      <c r="B882" t="inlineStr">
        <is>
          <t>CUST</t>
        </is>
      </c>
      <c r="C882" s="1" t="inlineStr">
        <is>
          <t>91282CJA0</t>
        </is>
      </c>
      <c r="D882" s="1" t="inlineStr">
        <is>
          <t>91282CJA0</t>
        </is>
      </c>
      <c r="E882" t="inlineStr">
        <is>
          <t>United States Treasury Note/Bond 4.625% 09/30/2028</t>
        </is>
      </c>
      <c r="F882" t="inlineStr">
        <is>
          <t>84000.00000000</t>
        </is>
      </c>
      <c r="G882" t="inlineStr">
        <is>
          <t>100.998047</t>
        </is>
      </c>
      <c r="H882" t="inlineStr">
        <is>
          <t>84838.36</t>
        </is>
      </c>
      <c r="I882" t="inlineStr">
        <is>
          <t>1.13%</t>
        </is>
      </c>
      <c r="J882" t="inlineStr">
        <is>
          <t>7509930.00</t>
        </is>
      </c>
      <c r="K882" t="inlineStr">
        <is>
          <t>300000</t>
        </is>
      </c>
      <c r="L882" t="inlineStr">
        <is>
          <t>30.000000000000</t>
        </is>
      </c>
      <c r="M882" t="inlineStr"/>
    </row>
    <row r="883">
      <c r="A883" t="inlineStr">
        <is>
          <t>06/25/2026</t>
        </is>
      </c>
      <c r="B883" t="inlineStr">
        <is>
          <t>CUST</t>
        </is>
      </c>
      <c r="C883" s="1" t="inlineStr">
        <is>
          <t>91282CJF9</t>
        </is>
      </c>
      <c r="D883" s="1" t="inlineStr">
        <is>
          <t>91282CJF9</t>
        </is>
      </c>
      <c r="E883" t="inlineStr">
        <is>
          <t>United States Treasury Note/Bond 4.875% 10/31/2028</t>
        </is>
      </c>
      <c r="F883" t="inlineStr">
        <is>
          <t>84000.00000000</t>
        </is>
      </c>
      <c r="G883" t="inlineStr">
        <is>
          <t>101.576172</t>
        </is>
      </c>
      <c r="H883" t="inlineStr">
        <is>
          <t>85323.98</t>
        </is>
      </c>
      <c r="I883" t="inlineStr">
        <is>
          <t>1.14%</t>
        </is>
      </c>
      <c r="J883" t="inlineStr">
        <is>
          <t>7509930.00</t>
        </is>
      </c>
      <c r="K883" t="inlineStr">
        <is>
          <t>300000</t>
        </is>
      </c>
      <c r="L883" t="inlineStr">
        <is>
          <t>30.000000000000</t>
        </is>
      </c>
      <c r="M883" t="inlineStr"/>
    </row>
    <row r="884">
      <c r="A884" t="inlineStr">
        <is>
          <t>06/25/2026</t>
        </is>
      </c>
      <c r="B884" t="inlineStr">
        <is>
          <t>CUST</t>
        </is>
      </c>
      <c r="C884" s="1" t="inlineStr">
        <is>
          <t>91282CJN2</t>
        </is>
      </c>
      <c r="D884" s="1" t="inlineStr">
        <is>
          <t>91282CJN2</t>
        </is>
      </c>
      <c r="E884" t="inlineStr">
        <is>
          <t>United States Treasury Note/Bond 4.375% 11/30/2028</t>
        </is>
      </c>
      <c r="F884" t="inlineStr">
        <is>
          <t>87000.00000000</t>
        </is>
      </c>
      <c r="G884" t="inlineStr">
        <is>
          <t>100.496094</t>
        </is>
      </c>
      <c r="H884" t="inlineStr">
        <is>
          <t>87431.60</t>
        </is>
      </c>
      <c r="I884" t="inlineStr">
        <is>
          <t>1.16%</t>
        </is>
      </c>
      <c r="J884" t="inlineStr">
        <is>
          <t>7509930.00</t>
        </is>
      </c>
      <c r="K884" t="inlineStr">
        <is>
          <t>300000</t>
        </is>
      </c>
      <c r="L884" t="inlineStr">
        <is>
          <t>30.000000000000</t>
        </is>
      </c>
      <c r="M884" t="inlineStr"/>
    </row>
    <row r="885">
      <c r="A885" t="inlineStr">
        <is>
          <t>06/25/2026</t>
        </is>
      </c>
      <c r="B885" t="inlineStr">
        <is>
          <t>CUST</t>
        </is>
      </c>
      <c r="C885" s="1" t="inlineStr">
        <is>
          <t>91282CJR3</t>
        </is>
      </c>
      <c r="D885" s="1" t="inlineStr">
        <is>
          <t>91282CJR3</t>
        </is>
      </c>
      <c r="E885" t="inlineStr">
        <is>
          <t>United States Treasury Note/Bond 3.75% 12/31/2028</t>
        </is>
      </c>
      <c r="F885" t="inlineStr">
        <is>
          <t>79000.00000000</t>
        </is>
      </c>
      <c r="G885" t="inlineStr">
        <is>
          <t>99.025391</t>
        </is>
      </c>
      <c r="H885" t="inlineStr">
        <is>
          <t>78230.06</t>
        </is>
      </c>
      <c r="I885" t="inlineStr">
        <is>
          <t>1.04%</t>
        </is>
      </c>
      <c r="J885" t="inlineStr">
        <is>
          <t>7509930.00</t>
        </is>
      </c>
      <c r="K885" t="inlineStr">
        <is>
          <t>300000</t>
        </is>
      </c>
      <c r="L885" t="inlineStr">
        <is>
          <t>30.000000000000</t>
        </is>
      </c>
      <c r="M885" t="inlineStr"/>
    </row>
    <row r="886">
      <c r="A886" t="inlineStr">
        <is>
          <t>06/25/2026</t>
        </is>
      </c>
      <c r="B886" t="inlineStr">
        <is>
          <t>CUST</t>
        </is>
      </c>
      <c r="C886" s="1" t="inlineStr">
        <is>
          <t>91282CJW2</t>
        </is>
      </c>
      <c r="D886" s="1" t="inlineStr">
        <is>
          <t>91282CJW2</t>
        </is>
      </c>
      <c r="E886" t="inlineStr">
        <is>
          <t>United States Treasury Note/Bond 4% 01/31/2029</t>
        </is>
      </c>
      <c r="F886" t="inlineStr">
        <is>
          <t>90000.00000000</t>
        </is>
      </c>
      <c r="G886" t="inlineStr">
        <is>
          <t>99.609375</t>
        </is>
      </c>
      <c r="H886" t="inlineStr">
        <is>
          <t>89648.44</t>
        </is>
      </c>
      <c r="I886" t="inlineStr">
        <is>
          <t>1.19%</t>
        </is>
      </c>
      <c r="J886" t="inlineStr">
        <is>
          <t>7509930.00</t>
        </is>
      </c>
      <c r="K886" t="inlineStr">
        <is>
          <t>300000</t>
        </is>
      </c>
      <c r="L886" t="inlineStr">
        <is>
          <t>30.000000000000</t>
        </is>
      </c>
      <c r="M886" t="inlineStr"/>
    </row>
    <row r="887">
      <c r="A887" t="inlineStr">
        <is>
          <t>06/25/2026</t>
        </is>
      </c>
      <c r="B887" t="inlineStr">
        <is>
          <t>CUST</t>
        </is>
      </c>
      <c r="C887" s="1" t="inlineStr">
        <is>
          <t>91282CKD2</t>
        </is>
      </c>
      <c r="D887" s="1" t="inlineStr">
        <is>
          <t>91282CKD2</t>
        </is>
      </c>
      <c r="E887" t="inlineStr">
        <is>
          <t>United States Treasury Note/Bond 4.25% 02/28/2029</t>
        </is>
      </c>
      <c r="F887" t="inlineStr">
        <is>
          <t>93000.00000000</t>
        </is>
      </c>
      <c r="G887" t="inlineStr">
        <is>
          <t>100.240234</t>
        </is>
      </c>
      <c r="H887" t="inlineStr">
        <is>
          <t>93223.42</t>
        </is>
      </c>
      <c r="I887" t="inlineStr">
        <is>
          <t>1.24%</t>
        </is>
      </c>
      <c r="J887" t="inlineStr">
        <is>
          <t>7509930.00</t>
        </is>
      </c>
      <c r="K887" t="inlineStr">
        <is>
          <t>300000</t>
        </is>
      </c>
      <c r="L887" t="inlineStr">
        <is>
          <t>30.000000000000</t>
        </is>
      </c>
      <c r="M887" t="inlineStr"/>
    </row>
    <row r="888">
      <c r="A888" t="inlineStr">
        <is>
          <t>06/25/2026</t>
        </is>
      </c>
      <c r="B888" t="inlineStr">
        <is>
          <t>CUST</t>
        </is>
      </c>
      <c r="C888" s="1" t="inlineStr">
        <is>
          <t>91282CKG5</t>
        </is>
      </c>
      <c r="D888" s="1" t="inlineStr">
        <is>
          <t>91282CKG5</t>
        </is>
      </c>
      <c r="E888" t="inlineStr">
        <is>
          <t>United States Treasury Note/Bond 4.125% 03/31/2029</t>
        </is>
      </c>
      <c r="F888" t="inlineStr">
        <is>
          <t>93000.00000000</t>
        </is>
      </c>
      <c r="G888" t="inlineStr">
        <is>
          <t>99.917969</t>
        </is>
      </c>
      <c r="H888" t="inlineStr">
        <is>
          <t>92923.71</t>
        </is>
      </c>
      <c r="I888" t="inlineStr">
        <is>
          <t>1.24%</t>
        </is>
      </c>
      <c r="J888" t="inlineStr">
        <is>
          <t>7509930.00</t>
        </is>
      </c>
      <c r="K888" t="inlineStr">
        <is>
          <t>300000</t>
        </is>
      </c>
      <c r="L888" t="inlineStr">
        <is>
          <t>30.000000000000</t>
        </is>
      </c>
      <c r="M888" t="inlineStr"/>
    </row>
    <row r="889">
      <c r="A889" t="inlineStr">
        <is>
          <t>06/25/2026</t>
        </is>
      </c>
      <c r="B889" t="inlineStr">
        <is>
          <t>CUST</t>
        </is>
      </c>
      <c r="C889" s="1" t="inlineStr">
        <is>
          <t>91282CKP5</t>
        </is>
      </c>
      <c r="D889" s="1" t="inlineStr">
        <is>
          <t>91282CKP5</t>
        </is>
      </c>
      <c r="E889" t="inlineStr">
        <is>
          <t>United States Treasury Note/Bond 4.625% 04/30/2029</t>
        </is>
      </c>
      <c r="F889" t="inlineStr">
        <is>
          <t>99000.00000000</t>
        </is>
      </c>
      <c r="G889" t="inlineStr">
        <is>
          <t>101.250000</t>
        </is>
      </c>
      <c r="H889" t="inlineStr">
        <is>
          <t>100237.50</t>
        </is>
      </c>
      <c r="I889" t="inlineStr">
        <is>
          <t>1.33%</t>
        </is>
      </c>
      <c r="J889" t="inlineStr">
        <is>
          <t>7509930.00</t>
        </is>
      </c>
      <c r="K889" t="inlineStr">
        <is>
          <t>300000</t>
        </is>
      </c>
      <c r="L889" t="inlineStr">
        <is>
          <t>30.000000000000</t>
        </is>
      </c>
      <c r="M889" t="inlineStr"/>
    </row>
    <row r="890">
      <c r="A890" t="inlineStr">
        <is>
          <t>06/25/2026</t>
        </is>
      </c>
      <c r="B890" t="inlineStr">
        <is>
          <t>CUST</t>
        </is>
      </c>
      <c r="C890" s="1" t="inlineStr">
        <is>
          <t>91282CKV2</t>
        </is>
      </c>
      <c r="D890" s="1" t="inlineStr">
        <is>
          <t>91282CKV2</t>
        </is>
      </c>
      <c r="E890" t="inlineStr">
        <is>
          <t>United States Treasury Note/Bond 4.625% 06/15/2027</t>
        </is>
      </c>
      <c r="F890" t="inlineStr">
        <is>
          <t>90000.00000000</t>
        </is>
      </c>
      <c r="G890" t="inlineStr">
        <is>
          <t>100.525889</t>
        </is>
      </c>
      <c r="H890" t="inlineStr">
        <is>
          <t>90473.30</t>
        </is>
      </c>
      <c r="I890" t="inlineStr">
        <is>
          <t>1.20%</t>
        </is>
      </c>
      <c r="J890" t="inlineStr">
        <is>
          <t>7509930.00</t>
        </is>
      </c>
      <c r="K890" t="inlineStr">
        <is>
          <t>300000</t>
        </is>
      </c>
      <c r="L890" t="inlineStr">
        <is>
          <t>30.000000000000</t>
        </is>
      </c>
      <c r="M890" t="inlineStr"/>
    </row>
    <row r="891">
      <c r="A891" t="inlineStr">
        <is>
          <t>06/25/2026</t>
        </is>
      </c>
      <c r="B891" t="inlineStr">
        <is>
          <t>CUST</t>
        </is>
      </c>
      <c r="C891" s="1" t="inlineStr">
        <is>
          <t>91282CKZ3</t>
        </is>
      </c>
      <c r="D891" s="1" t="inlineStr">
        <is>
          <t>91282CKZ3</t>
        </is>
      </c>
      <c r="E891" t="inlineStr">
        <is>
          <t>United States Treasury Note/Bond 4.375% 07/15/2027</t>
        </is>
      </c>
      <c r="F891" t="inlineStr">
        <is>
          <t>87000.00000000</t>
        </is>
      </c>
      <c r="G891" t="inlineStr">
        <is>
          <t>100.281744</t>
        </is>
      </c>
      <c r="H891" t="inlineStr">
        <is>
          <t>87245.12</t>
        </is>
      </c>
      <c r="I891" t="inlineStr">
        <is>
          <t>1.16%</t>
        </is>
      </c>
      <c r="J891" t="inlineStr">
        <is>
          <t>7509930.00</t>
        </is>
      </c>
      <c r="K891" t="inlineStr">
        <is>
          <t>300000</t>
        </is>
      </c>
      <c r="L891" t="inlineStr">
        <is>
          <t>30.000000000000</t>
        </is>
      </c>
      <c r="M891" t="inlineStr"/>
    </row>
    <row r="892">
      <c r="A892" t="inlineStr">
        <is>
          <t>06/25/2026</t>
        </is>
      </c>
      <c r="B892" t="inlineStr">
        <is>
          <t>CUST</t>
        </is>
      </c>
      <c r="C892" s="1" t="inlineStr">
        <is>
          <t>91282CLG4</t>
        </is>
      </c>
      <c r="D892" s="1" t="inlineStr">
        <is>
          <t>91282CLG4</t>
        </is>
      </c>
      <c r="E892" t="inlineStr">
        <is>
          <t>United States Treasury Note/Bond 3.75% 08/15/2027</t>
        </is>
      </c>
      <c r="F892" t="inlineStr">
        <is>
          <t>87000.00000000</t>
        </is>
      </c>
      <c r="G892" t="inlineStr">
        <is>
          <t>99.589844</t>
        </is>
      </c>
      <c r="H892" t="inlineStr">
        <is>
          <t>86643.16</t>
        </is>
      </c>
      <c r="I892" t="inlineStr">
        <is>
          <t>1.15%</t>
        </is>
      </c>
      <c r="J892" t="inlineStr">
        <is>
          <t>7509930.00</t>
        </is>
      </c>
      <c r="K892" t="inlineStr">
        <is>
          <t>300000</t>
        </is>
      </c>
      <c r="L892" t="inlineStr">
        <is>
          <t>30.000000000000</t>
        </is>
      </c>
      <c r="M892" t="inlineStr"/>
    </row>
    <row r="893">
      <c r="A893" t="inlineStr">
        <is>
          <t>06/25/2026</t>
        </is>
      </c>
      <c r="B893" t="inlineStr">
        <is>
          <t>CUST</t>
        </is>
      </c>
      <c r="C893" s="1" t="inlineStr">
        <is>
          <t>91282CLL3</t>
        </is>
      </c>
      <c r="D893" s="1" t="inlineStr">
        <is>
          <t>91282CLL3</t>
        </is>
      </c>
      <c r="E893" t="inlineStr">
        <is>
          <t>United States Treasury Note/Bond 3.375% 09/15/2027</t>
        </is>
      </c>
      <c r="F893" t="inlineStr">
        <is>
          <t>90000.00000000</t>
        </is>
      </c>
      <c r="G893" t="inlineStr">
        <is>
          <t>99.109375</t>
        </is>
      </c>
      <c r="H893" t="inlineStr">
        <is>
          <t>89198.44</t>
        </is>
      </c>
      <c r="I893" t="inlineStr">
        <is>
          <t>1.19%</t>
        </is>
      </c>
      <c r="J893" t="inlineStr">
        <is>
          <t>7509930.00</t>
        </is>
      </c>
      <c r="K893" t="inlineStr">
        <is>
          <t>300000</t>
        </is>
      </c>
      <c r="L893" t="inlineStr">
        <is>
          <t>30.000000000000</t>
        </is>
      </c>
      <c r="M893" t="inlineStr"/>
    </row>
    <row r="894">
      <c r="A894" t="inlineStr">
        <is>
          <t>06/25/2026</t>
        </is>
      </c>
      <c r="B894" t="inlineStr">
        <is>
          <t>CUST</t>
        </is>
      </c>
      <c r="C894" s="1" t="inlineStr">
        <is>
          <t>91282CLQ2</t>
        </is>
      </c>
      <c r="D894" s="1" t="inlineStr">
        <is>
          <t>91282CLQ2</t>
        </is>
      </c>
      <c r="E894" t="inlineStr">
        <is>
          <t>United States Treasury Note/Bond 3.875% 10/15/2027</t>
        </is>
      </c>
      <c r="F894" t="inlineStr">
        <is>
          <t>87000.00000000</t>
        </is>
      </c>
      <c r="G894" t="inlineStr">
        <is>
          <t>99.669922</t>
        </is>
      </c>
      <c r="H894" t="inlineStr">
        <is>
          <t>86712.83</t>
        </is>
      </c>
      <c r="I894" t="inlineStr">
        <is>
          <t>1.15%</t>
        </is>
      </c>
      <c r="J894" t="inlineStr">
        <is>
          <t>7509930.00</t>
        </is>
      </c>
      <c r="K894" t="inlineStr">
        <is>
          <t>300000</t>
        </is>
      </c>
      <c r="L894" t="inlineStr">
        <is>
          <t>30.000000000000</t>
        </is>
      </c>
      <c r="M894" t="inlineStr"/>
    </row>
    <row r="895">
      <c r="A895" t="inlineStr">
        <is>
          <t>06/25/2026</t>
        </is>
      </c>
      <c r="B895" t="inlineStr">
        <is>
          <t>CUST</t>
        </is>
      </c>
      <c r="C895" s="1" t="inlineStr">
        <is>
          <t>91282CLX7</t>
        </is>
      </c>
      <c r="D895" s="1" t="inlineStr">
        <is>
          <t>91282CLX7</t>
        </is>
      </c>
      <c r="E895" t="inlineStr">
        <is>
          <t>United States Treasury Note/Bond 4.125% 11/15/2027</t>
        </is>
      </c>
      <c r="F895" t="inlineStr">
        <is>
          <t>87000.00000000</t>
        </is>
      </c>
      <c r="G895" t="inlineStr">
        <is>
          <t>99.976562</t>
        </is>
      </c>
      <c r="H895" t="inlineStr">
        <is>
          <t>86979.61</t>
        </is>
      </c>
      <c r="I895" t="inlineStr">
        <is>
          <t>1.16%</t>
        </is>
      </c>
      <c r="J895" t="inlineStr">
        <is>
          <t>7509930.00</t>
        </is>
      </c>
      <c r="K895" t="inlineStr">
        <is>
          <t>300000</t>
        </is>
      </c>
      <c r="L895" t="inlineStr">
        <is>
          <t>30.000000000000</t>
        </is>
      </c>
      <c r="M895" t="inlineStr"/>
    </row>
    <row r="896">
      <c r="A896" t="inlineStr">
        <is>
          <t>06/25/2026</t>
        </is>
      </c>
      <c r="B896" t="inlineStr">
        <is>
          <t>CUST</t>
        </is>
      </c>
      <c r="C896" s="1" t="inlineStr">
        <is>
          <t>91282CMB4</t>
        </is>
      </c>
      <c r="D896" s="1" t="inlineStr">
        <is>
          <t>91282CMB4</t>
        </is>
      </c>
      <c r="E896" t="inlineStr">
        <is>
          <t>United States Treasury Note/Bond 4% 12/15/2027</t>
        </is>
      </c>
      <c r="F896" t="inlineStr">
        <is>
          <t>90000.00000000</t>
        </is>
      </c>
      <c r="G896" t="inlineStr">
        <is>
          <t>99.796875</t>
        </is>
      </c>
      <c r="H896" t="inlineStr">
        <is>
          <t>89817.19</t>
        </is>
      </c>
      <c r="I896" t="inlineStr">
        <is>
          <t>1.20%</t>
        </is>
      </c>
      <c r="J896" t="inlineStr">
        <is>
          <t>7509930.00</t>
        </is>
      </c>
      <c r="K896" t="inlineStr">
        <is>
          <t>300000</t>
        </is>
      </c>
      <c r="L896" t="inlineStr">
        <is>
          <t>30.000000000000</t>
        </is>
      </c>
      <c r="M896" t="inlineStr"/>
    </row>
    <row r="897">
      <c r="A897" t="inlineStr">
        <is>
          <t>06/25/2026</t>
        </is>
      </c>
      <c r="B897" t="inlineStr">
        <is>
          <t>CUST</t>
        </is>
      </c>
      <c r="C897" s="1" t="inlineStr">
        <is>
          <t>91282CMF5</t>
        </is>
      </c>
      <c r="D897" s="1" t="inlineStr">
        <is>
          <t>91282CMF5</t>
        </is>
      </c>
      <c r="E897" t="inlineStr">
        <is>
          <t>United States Treasury Note/Bond 4.25% 01/15/2028</t>
        </is>
      </c>
      <c r="F897" t="inlineStr">
        <is>
          <t>90000.00000000</t>
        </is>
      </c>
      <c r="G897" t="inlineStr">
        <is>
          <t>100.144531</t>
        </is>
      </c>
      <c r="H897" t="inlineStr">
        <is>
          <t>90130.08</t>
        </is>
      </c>
      <c r="I897" t="inlineStr">
        <is>
          <t>1.20%</t>
        </is>
      </c>
      <c r="J897" t="inlineStr">
        <is>
          <t>7509930.00</t>
        </is>
      </c>
      <c r="K897" t="inlineStr">
        <is>
          <t>300000</t>
        </is>
      </c>
      <c r="L897" t="inlineStr">
        <is>
          <t>30.000000000000</t>
        </is>
      </c>
      <c r="M897" t="inlineStr"/>
    </row>
    <row r="898">
      <c r="A898" t="inlineStr">
        <is>
          <t>06/25/2026</t>
        </is>
      </c>
      <c r="B898" t="inlineStr">
        <is>
          <t>CUST</t>
        </is>
      </c>
      <c r="C898" s="1" t="inlineStr">
        <is>
          <t>91282CMN8</t>
        </is>
      </c>
      <c r="D898" s="1" t="inlineStr">
        <is>
          <t>91282CMN8</t>
        </is>
      </c>
      <c r="E898" t="inlineStr">
        <is>
          <t>United States Treasury Note/Bond 4.25% 02/15/2028</t>
        </is>
      </c>
      <c r="F898" t="inlineStr">
        <is>
          <t>87000.00000000</t>
        </is>
      </c>
      <c r="G898" t="inlineStr">
        <is>
          <t>100.144531</t>
        </is>
      </c>
      <c r="H898" t="inlineStr">
        <is>
          <t>87125.74</t>
        </is>
      </c>
      <c r="I898" t="inlineStr">
        <is>
          <t>1.16%</t>
        </is>
      </c>
      <c r="J898" t="inlineStr">
        <is>
          <t>7509930.00</t>
        </is>
      </c>
      <c r="K898" t="inlineStr">
        <is>
          <t>300000</t>
        </is>
      </c>
      <c r="L898" t="inlineStr">
        <is>
          <t>30.000000000000</t>
        </is>
      </c>
      <c r="M898" t="inlineStr"/>
    </row>
    <row r="899">
      <c r="A899" t="inlineStr">
        <is>
          <t>06/25/2026</t>
        </is>
      </c>
      <c r="B899" t="inlineStr">
        <is>
          <t>CUST</t>
        </is>
      </c>
      <c r="C899" s="1" t="inlineStr">
        <is>
          <t>91282CMS7</t>
        </is>
      </c>
      <c r="D899" s="1" t="inlineStr">
        <is>
          <t>91282CMS7</t>
        </is>
      </c>
      <c r="E899" t="inlineStr">
        <is>
          <t>United States Treasury Note/Bond 3.875% 03/15/2028</t>
        </is>
      </c>
      <c r="F899" t="inlineStr">
        <is>
          <t>90000.00000000</t>
        </is>
      </c>
      <c r="G899" t="inlineStr">
        <is>
          <t>99.544922</t>
        </is>
      </c>
      <c r="H899" t="inlineStr">
        <is>
          <t>89590.43</t>
        </is>
      </c>
      <c r="I899" t="inlineStr">
        <is>
          <t>1.19%</t>
        </is>
      </c>
      <c r="J899" t="inlineStr">
        <is>
          <t>7509930.00</t>
        </is>
      </c>
      <c r="K899" t="inlineStr">
        <is>
          <t>300000</t>
        </is>
      </c>
      <c r="L899" t="inlineStr">
        <is>
          <t>30.000000000000</t>
        </is>
      </c>
      <c r="M899" t="inlineStr"/>
    </row>
    <row r="900">
      <c r="A900" t="inlineStr">
        <is>
          <t>06/25/2026</t>
        </is>
      </c>
      <c r="B900" t="inlineStr">
        <is>
          <t>CUST</t>
        </is>
      </c>
      <c r="C900" s="1" t="inlineStr">
        <is>
          <t>91282CMW8</t>
        </is>
      </c>
      <c r="D900" s="1" t="inlineStr">
        <is>
          <t>91282CMW8</t>
        </is>
      </c>
      <c r="E900" t="inlineStr">
        <is>
          <t>United States Treasury Note/Bond 3.75% 04/15/2028</t>
        </is>
      </c>
      <c r="F900" t="inlineStr">
        <is>
          <t>90000.00000000</t>
        </is>
      </c>
      <c r="G900" t="inlineStr">
        <is>
          <t>99.308594</t>
        </is>
      </c>
      <c r="H900" t="inlineStr">
        <is>
          <t>89377.73</t>
        </is>
      </c>
      <c r="I900" t="inlineStr">
        <is>
          <t>1.19%</t>
        </is>
      </c>
      <c r="J900" t="inlineStr">
        <is>
          <t>7509930.00</t>
        </is>
      </c>
      <c r="K900" t="inlineStr">
        <is>
          <t>300000</t>
        </is>
      </c>
      <c r="L900" t="inlineStr">
        <is>
          <t>30.000000000000</t>
        </is>
      </c>
      <c r="M900" t="inlineStr"/>
    </row>
    <row r="901">
      <c r="A901" t="inlineStr">
        <is>
          <t>06/25/2026</t>
        </is>
      </c>
      <c r="B901" t="inlineStr">
        <is>
          <t>CUST</t>
        </is>
      </c>
      <c r="C901" s="1" t="inlineStr">
        <is>
          <t>91282CND9</t>
        </is>
      </c>
      <c r="D901" s="1" t="inlineStr">
        <is>
          <t>91282CND9</t>
        </is>
      </c>
      <c r="E901" t="inlineStr">
        <is>
          <t>United States Treasury Note/Bond 3.75% 05/15/2028</t>
        </is>
      </c>
      <c r="F901" t="inlineStr">
        <is>
          <t>90000.00000000</t>
        </is>
      </c>
      <c r="G901" t="inlineStr">
        <is>
          <t>99.273438</t>
        </is>
      </c>
      <c r="H901" t="inlineStr">
        <is>
          <t>89346.09</t>
        </is>
      </c>
      <c r="I901" t="inlineStr">
        <is>
          <t>1.19%</t>
        </is>
      </c>
      <c r="J901" t="inlineStr">
        <is>
          <t>7509930.00</t>
        </is>
      </c>
      <c r="K901" t="inlineStr">
        <is>
          <t>300000</t>
        </is>
      </c>
      <c r="L901" t="inlineStr">
        <is>
          <t>30.000000000000</t>
        </is>
      </c>
      <c r="M901" t="inlineStr"/>
    </row>
    <row r="902">
      <c r="A902" t="inlineStr">
        <is>
          <t>06/25/2026</t>
        </is>
      </c>
      <c r="B902" t="inlineStr">
        <is>
          <t>CUST</t>
        </is>
      </c>
      <c r="C902" s="1" t="inlineStr">
        <is>
          <t>91282CNE7</t>
        </is>
      </c>
      <c r="D902" s="1" t="inlineStr">
        <is>
          <t>91282CNE7</t>
        </is>
      </c>
      <c r="E902" t="inlineStr">
        <is>
          <t>United States Treasury Note/Bond 3.875% 05/31/2027</t>
        </is>
      </c>
      <c r="F902" t="inlineStr">
        <is>
          <t>90000.00000000</t>
        </is>
      </c>
      <c r="G902" t="inlineStr">
        <is>
          <t>99.811094</t>
        </is>
      </c>
      <c r="H902" t="inlineStr">
        <is>
          <t>89829.98</t>
        </is>
      </c>
      <c r="I902" t="inlineStr">
        <is>
          <t>1.20%</t>
        </is>
      </c>
      <c r="J902" t="inlineStr">
        <is>
          <t>7509930.00</t>
        </is>
      </c>
      <c r="K902" t="inlineStr">
        <is>
          <t>300000</t>
        </is>
      </c>
      <c r="L902" t="inlineStr">
        <is>
          <t>30.000000000000</t>
        </is>
      </c>
      <c r="M902" t="inlineStr"/>
    </row>
    <row r="903">
      <c r="A903" t="inlineStr">
        <is>
          <t>06/25/2026</t>
        </is>
      </c>
      <c r="B903" t="inlineStr">
        <is>
          <t>CUST</t>
        </is>
      </c>
      <c r="C903" s="1" t="inlineStr">
        <is>
          <t>91282CNH0</t>
        </is>
      </c>
      <c r="D903" s="1" t="inlineStr">
        <is>
          <t>91282CNH0</t>
        </is>
      </c>
      <c r="E903" t="inlineStr">
        <is>
          <t>United States Treasury Note/Bond 3.875% 06/15/2028</t>
        </is>
      </c>
      <c r="F903" t="inlineStr">
        <is>
          <t>90000.00000000</t>
        </is>
      </c>
      <c r="G903" t="inlineStr">
        <is>
          <t>99.478516</t>
        </is>
      </c>
      <c r="H903" t="inlineStr">
        <is>
          <t>89530.66</t>
        </is>
      </c>
      <c r="I903" t="inlineStr">
        <is>
          <t>1.19%</t>
        </is>
      </c>
      <c r="J903" t="inlineStr">
        <is>
          <t>7509930.00</t>
        </is>
      </c>
      <c r="K903" t="inlineStr">
        <is>
          <t>300000</t>
        </is>
      </c>
      <c r="L903" t="inlineStr">
        <is>
          <t>30.000000000000</t>
        </is>
      </c>
      <c r="M903" t="inlineStr"/>
    </row>
    <row r="904">
      <c r="A904" t="inlineStr">
        <is>
          <t>06/25/2026</t>
        </is>
      </c>
      <c r="B904" t="inlineStr">
        <is>
          <t>CUST</t>
        </is>
      </c>
      <c r="C904" s="1" t="inlineStr">
        <is>
          <t>91282CNL1</t>
        </is>
      </c>
      <c r="D904" s="1" t="inlineStr">
        <is>
          <t>91282CNL1</t>
        </is>
      </c>
      <c r="E904" t="inlineStr">
        <is>
          <t>United States Treasury Note/Bond 3.75% 06/30/2027</t>
        </is>
      </c>
      <c r="F904" t="inlineStr">
        <is>
          <t>103000.00000000</t>
        </is>
      </c>
      <c r="G904" t="inlineStr">
        <is>
          <t>99.669965</t>
        </is>
      </c>
      <c r="H904" t="inlineStr">
        <is>
          <t>102660.06</t>
        </is>
      </c>
      <c r="I904" t="inlineStr">
        <is>
          <t>1.37%</t>
        </is>
      </c>
      <c r="J904" t="inlineStr">
        <is>
          <t>7509930.00</t>
        </is>
      </c>
      <c r="K904" t="inlineStr">
        <is>
          <t>300000</t>
        </is>
      </c>
      <c r="L904" t="inlineStr">
        <is>
          <t>30.000000000000</t>
        </is>
      </c>
      <c r="M904" t="inlineStr"/>
    </row>
    <row r="905">
      <c r="A905" t="inlineStr">
        <is>
          <t>06/25/2026</t>
        </is>
      </c>
      <c r="B905" t="inlineStr">
        <is>
          <t>CUST</t>
        </is>
      </c>
      <c r="C905" s="1" t="inlineStr">
        <is>
          <t>91282CNM9</t>
        </is>
      </c>
      <c r="D905" s="1" t="inlineStr">
        <is>
          <t>91282CNM9</t>
        </is>
      </c>
      <c r="E905" t="inlineStr">
        <is>
          <t>United States Treasury Note/Bond 3.875% 07/15/2028</t>
        </is>
      </c>
      <c r="F905" t="inlineStr">
        <is>
          <t>90000.00000000</t>
        </is>
      </c>
      <c r="G905" t="inlineStr">
        <is>
          <t>99.437500</t>
        </is>
      </c>
      <c r="H905" t="inlineStr">
        <is>
          <t>89493.75</t>
        </is>
      </c>
      <c r="I905" t="inlineStr">
        <is>
          <t>1.19%</t>
        </is>
      </c>
      <c r="J905" t="inlineStr">
        <is>
          <t>7509930.00</t>
        </is>
      </c>
      <c r="K905" t="inlineStr">
        <is>
          <t>300000</t>
        </is>
      </c>
      <c r="L905" t="inlineStr">
        <is>
          <t>30.000000000000</t>
        </is>
      </c>
      <c r="M905" t="inlineStr"/>
    </row>
    <row r="906">
      <c r="A906" t="inlineStr">
        <is>
          <t>06/25/2026</t>
        </is>
      </c>
      <c r="B906" t="inlineStr">
        <is>
          <t>CUST</t>
        </is>
      </c>
      <c r="C906" s="1" t="inlineStr">
        <is>
          <t>91282CNP2</t>
        </is>
      </c>
      <c r="D906" s="1" t="inlineStr">
        <is>
          <t>91282CNP2</t>
        </is>
      </c>
      <c r="E906" t="inlineStr">
        <is>
          <t>United States Treasury Note/Bond 3.875% 07/31/2027</t>
        </is>
      </c>
      <c r="F906" t="inlineStr">
        <is>
          <t>105000.00000000</t>
        </is>
      </c>
      <c r="G906" t="inlineStr">
        <is>
          <t>99.734375</t>
        </is>
      </c>
      <c r="H906" t="inlineStr">
        <is>
          <t>104721.09</t>
        </is>
      </c>
      <c r="I906" t="inlineStr">
        <is>
          <t>1.39%</t>
        </is>
      </c>
      <c r="J906" t="inlineStr">
        <is>
          <t>7509930.00</t>
        </is>
      </c>
      <c r="K906" t="inlineStr">
        <is>
          <t>300000</t>
        </is>
      </c>
      <c r="L906" t="inlineStr">
        <is>
          <t>30.000000000000</t>
        </is>
      </c>
      <c r="M906" t="inlineStr"/>
    </row>
    <row r="907">
      <c r="A907" t="inlineStr">
        <is>
          <t>06/25/2026</t>
        </is>
      </c>
      <c r="B907" t="inlineStr">
        <is>
          <t>CUST</t>
        </is>
      </c>
      <c r="C907" s="1" t="inlineStr">
        <is>
          <t>91282CNU1</t>
        </is>
      </c>
      <c r="D907" s="1" t="inlineStr">
        <is>
          <t>91282CNU1</t>
        </is>
      </c>
      <c r="E907" t="inlineStr">
        <is>
          <t>United States Treasury Note/Bond 3.625% 08/15/2028</t>
        </is>
      </c>
      <c r="F907" t="inlineStr">
        <is>
          <t>79000.00000000</t>
        </is>
      </c>
      <c r="G907" t="inlineStr">
        <is>
          <t>98.914062</t>
        </is>
      </c>
      <c r="H907" t="inlineStr">
        <is>
          <t>78142.11</t>
        </is>
      </c>
      <c r="I907" t="inlineStr">
        <is>
          <t>1.04%</t>
        </is>
      </c>
      <c r="J907" t="inlineStr">
        <is>
          <t>7509930.00</t>
        </is>
      </c>
      <c r="K907" t="inlineStr">
        <is>
          <t>300000</t>
        </is>
      </c>
      <c r="L907" t="inlineStr">
        <is>
          <t>30.000000000000</t>
        </is>
      </c>
      <c r="M907" t="inlineStr"/>
    </row>
    <row r="908">
      <c r="A908" t="inlineStr">
        <is>
          <t>06/25/2026</t>
        </is>
      </c>
      <c r="B908" t="inlineStr">
        <is>
          <t>CUST</t>
        </is>
      </c>
      <c r="C908" s="1" t="inlineStr">
        <is>
          <t>91282CNV9</t>
        </is>
      </c>
      <c r="D908" s="1" t="inlineStr">
        <is>
          <t>91282CNV9</t>
        </is>
      </c>
      <c r="E908" t="inlineStr">
        <is>
          <t>United States Treasury Note/Bond 3.625% 08/31/2027</t>
        </is>
      </c>
      <c r="F908" t="inlineStr">
        <is>
          <t>93000.00000000</t>
        </is>
      </c>
      <c r="G908" t="inlineStr">
        <is>
          <t>99.425781</t>
        </is>
      </c>
      <c r="H908" t="inlineStr">
        <is>
          <t>92465.98</t>
        </is>
      </c>
      <c r="I908" t="inlineStr">
        <is>
          <t>1.23%</t>
        </is>
      </c>
      <c r="J908" t="inlineStr">
        <is>
          <t>7509930.00</t>
        </is>
      </c>
      <c r="K908" t="inlineStr">
        <is>
          <t>300000</t>
        </is>
      </c>
      <c r="L908" t="inlineStr">
        <is>
          <t>30.000000000000</t>
        </is>
      </c>
      <c r="M908" t="inlineStr"/>
    </row>
    <row r="909">
      <c r="A909" t="inlineStr">
        <is>
          <t>06/25/2026</t>
        </is>
      </c>
      <c r="B909" t="inlineStr">
        <is>
          <t>CUST</t>
        </is>
      </c>
      <c r="C909" s="1" t="inlineStr">
        <is>
          <t>91282CNY3</t>
        </is>
      </c>
      <c r="D909" s="1" t="inlineStr">
        <is>
          <t>91282CNY3</t>
        </is>
      </c>
      <c r="E909" t="inlineStr">
        <is>
          <t>United States Treasury Note/Bond 3.375% 09/15/2028</t>
        </is>
      </c>
      <c r="F909" t="inlineStr">
        <is>
          <t>90000.00000000</t>
        </is>
      </c>
      <c r="G909" t="inlineStr">
        <is>
          <t>98.347656</t>
        </is>
      </c>
      <c r="H909" t="inlineStr">
        <is>
          <t>88512.89</t>
        </is>
      </c>
      <c r="I909" t="inlineStr">
        <is>
          <t>1.18%</t>
        </is>
      </c>
      <c r="J909" t="inlineStr">
        <is>
          <t>7509930.00</t>
        </is>
      </c>
      <c r="K909" t="inlineStr">
        <is>
          <t>300000</t>
        </is>
      </c>
      <c r="L909" t="inlineStr">
        <is>
          <t>30.000000000000</t>
        </is>
      </c>
      <c r="M909" t="inlineStr"/>
    </row>
    <row r="910">
      <c r="A910" t="inlineStr">
        <is>
          <t>06/25/2026</t>
        </is>
      </c>
      <c r="B910" t="inlineStr">
        <is>
          <t>CUST</t>
        </is>
      </c>
      <c r="C910" s="1" t="inlineStr">
        <is>
          <t>91282CPB1</t>
        </is>
      </c>
      <c r="D910" s="1" t="inlineStr">
        <is>
          <t>91282CPB1</t>
        </is>
      </c>
      <c r="E910" t="inlineStr">
        <is>
          <t>United States Treasury Note/Bond 3.5% 09/30/2027</t>
        </is>
      </c>
      <c r="F910" t="inlineStr">
        <is>
          <t>103000.00000000</t>
        </is>
      </c>
      <c r="G910" t="inlineStr">
        <is>
          <t>99.230469</t>
        </is>
      </c>
      <c r="H910" t="inlineStr">
        <is>
          <t>102207.38</t>
        </is>
      </c>
      <c r="I910" t="inlineStr">
        <is>
          <t>1.36%</t>
        </is>
      </c>
      <c r="J910" t="inlineStr">
        <is>
          <t>7509930.00</t>
        </is>
      </c>
      <c r="K910" t="inlineStr">
        <is>
          <t>300000</t>
        </is>
      </c>
      <c r="L910" t="inlineStr">
        <is>
          <t>30.000000000000</t>
        </is>
      </c>
      <c r="M910" t="inlineStr"/>
    </row>
    <row r="911">
      <c r="A911" t="inlineStr">
        <is>
          <t>06/25/2026</t>
        </is>
      </c>
      <c r="B911" t="inlineStr">
        <is>
          <t>CUST</t>
        </is>
      </c>
      <c r="C911" s="1" t="inlineStr">
        <is>
          <t>91282CPC9</t>
        </is>
      </c>
      <c r="D911" s="1" t="inlineStr">
        <is>
          <t>91282CPC9</t>
        </is>
      </c>
      <c r="E911" t="inlineStr">
        <is>
          <t>United States Treasury Note/Bond 3.5% 10/15/2028</t>
        </is>
      </c>
      <c r="F911" t="inlineStr">
        <is>
          <t>90000.00000000</t>
        </is>
      </c>
      <c r="G911" t="inlineStr">
        <is>
          <t>98.554688</t>
        </is>
      </c>
      <c r="H911" t="inlineStr">
        <is>
          <t>88699.22</t>
        </is>
      </c>
      <c r="I911" t="inlineStr">
        <is>
          <t>1.18%</t>
        </is>
      </c>
      <c r="J911" t="inlineStr">
        <is>
          <t>7509930.00</t>
        </is>
      </c>
      <c r="K911" t="inlineStr">
        <is>
          <t>300000</t>
        </is>
      </c>
      <c r="L911" t="inlineStr">
        <is>
          <t>30.000000000000</t>
        </is>
      </c>
      <c r="M911" t="inlineStr"/>
    </row>
    <row r="912">
      <c r="A912" t="inlineStr">
        <is>
          <t>06/25/2026</t>
        </is>
      </c>
      <c r="B912" t="inlineStr">
        <is>
          <t>CUST</t>
        </is>
      </c>
      <c r="C912" s="1" t="inlineStr">
        <is>
          <t>91282CPE5</t>
        </is>
      </c>
      <c r="D912" s="1" t="inlineStr">
        <is>
          <t>91282CPE5</t>
        </is>
      </c>
      <c r="E912" t="inlineStr">
        <is>
          <t>United States Treasury Note/Bond 3.5% 10/31/2027</t>
        </is>
      </c>
      <c r="F912" t="inlineStr">
        <is>
          <t>114000.00000000</t>
        </is>
      </c>
      <c r="G912" t="inlineStr">
        <is>
          <t>99.148438</t>
        </is>
      </c>
      <c r="H912" t="inlineStr">
        <is>
          <t>113029.22</t>
        </is>
      </c>
      <c r="I912" t="inlineStr">
        <is>
          <t>1.51%</t>
        </is>
      </c>
      <c r="J912" t="inlineStr">
        <is>
          <t>7509930.00</t>
        </is>
      </c>
      <c r="K912" t="inlineStr">
        <is>
          <t>300000</t>
        </is>
      </c>
      <c r="L912" t="inlineStr">
        <is>
          <t>30.000000000000</t>
        </is>
      </c>
      <c r="M912" t="inlineStr"/>
    </row>
    <row r="913">
      <c r="A913" t="inlineStr">
        <is>
          <t>06/25/2026</t>
        </is>
      </c>
      <c r="B913" t="inlineStr">
        <is>
          <t>CUST</t>
        </is>
      </c>
      <c r="C913" s="1" t="inlineStr">
        <is>
          <t>91282CPK1</t>
        </is>
      </c>
      <c r="D913" s="1" t="inlineStr">
        <is>
          <t>91282CPK1</t>
        </is>
      </c>
      <c r="E913" t="inlineStr">
        <is>
          <t>United States Treasury Note/Bond 3.5% 11/15/2028</t>
        </is>
      </c>
      <c r="F913" t="inlineStr">
        <is>
          <t>79000.00000000</t>
        </is>
      </c>
      <c r="G913" t="inlineStr">
        <is>
          <t>98.515625</t>
        </is>
      </c>
      <c r="H913" t="inlineStr">
        <is>
          <t>77827.34</t>
        </is>
      </c>
      <c r="I913" t="inlineStr">
        <is>
          <t>1.04%</t>
        </is>
      </c>
      <c r="J913" t="inlineStr">
        <is>
          <t>7509930.00</t>
        </is>
      </c>
      <c r="K913" t="inlineStr">
        <is>
          <t>300000</t>
        </is>
      </c>
      <c r="L913" t="inlineStr">
        <is>
          <t>30.000000000000</t>
        </is>
      </c>
      <c r="M913" t="inlineStr"/>
    </row>
    <row r="914">
      <c r="A914" t="inlineStr">
        <is>
          <t>06/25/2026</t>
        </is>
      </c>
      <c r="B914" t="inlineStr">
        <is>
          <t>CUST</t>
        </is>
      </c>
      <c r="C914" s="1" t="inlineStr">
        <is>
          <t>91282CPL9</t>
        </is>
      </c>
      <c r="D914" s="1" t="inlineStr">
        <is>
          <t>91282CPL9</t>
        </is>
      </c>
      <c r="E914" t="inlineStr">
        <is>
          <t>United States Treasury Note/Bond 3.375% 11/30/2027</t>
        </is>
      </c>
      <c r="F914" t="inlineStr">
        <is>
          <t>103000.00000000</t>
        </is>
      </c>
      <c r="G914" t="inlineStr">
        <is>
          <t>98.941406</t>
        </is>
      </c>
      <c r="H914" t="inlineStr">
        <is>
          <t>101909.65</t>
        </is>
      </c>
      <c r="I914" t="inlineStr">
        <is>
          <t>1.36%</t>
        </is>
      </c>
      <c r="J914" t="inlineStr">
        <is>
          <t>7509930.00</t>
        </is>
      </c>
      <c r="K914" t="inlineStr">
        <is>
          <t>300000</t>
        </is>
      </c>
      <c r="L914" t="inlineStr">
        <is>
          <t>30.000000000000</t>
        </is>
      </c>
      <c r="M914" t="inlineStr"/>
    </row>
    <row r="915">
      <c r="A915" t="inlineStr">
        <is>
          <t>06/25/2026</t>
        </is>
      </c>
      <c r="B915" t="inlineStr">
        <is>
          <t>CUST</t>
        </is>
      </c>
      <c r="C915" s="1" t="inlineStr">
        <is>
          <t>91282CPP0</t>
        </is>
      </c>
      <c r="D915" s="1" t="inlineStr">
        <is>
          <t>91282CPP0</t>
        </is>
      </c>
      <c r="E915" t="inlineStr">
        <is>
          <t>United States Treasury Note/Bond 3.5% 12/15/2028</t>
        </is>
      </c>
      <c r="F915" t="inlineStr">
        <is>
          <t>90000.00000000</t>
        </is>
      </c>
      <c r="G915" t="inlineStr">
        <is>
          <t>98.474609</t>
        </is>
      </c>
      <c r="H915" t="inlineStr">
        <is>
          <t>88627.15</t>
        </is>
      </c>
      <c r="I915" t="inlineStr">
        <is>
          <t>1.18%</t>
        </is>
      </c>
      <c r="J915" t="inlineStr">
        <is>
          <t>7509930.00</t>
        </is>
      </c>
      <c r="K915" t="inlineStr">
        <is>
          <t>300000</t>
        </is>
      </c>
      <c r="L915" t="inlineStr">
        <is>
          <t>30.000000000000</t>
        </is>
      </c>
      <c r="M915" t="inlineStr"/>
    </row>
    <row r="916">
      <c r="A916" t="inlineStr">
        <is>
          <t>06/25/2026</t>
        </is>
      </c>
      <c r="B916" t="inlineStr">
        <is>
          <t>CUST</t>
        </is>
      </c>
      <c r="C916" s="1" t="inlineStr">
        <is>
          <t>91282CPS4</t>
        </is>
      </c>
      <c r="D916" s="1" t="inlineStr">
        <is>
          <t>91282CPS4</t>
        </is>
      </c>
      <c r="E916" t="inlineStr">
        <is>
          <t>United States Treasury Note/Bond 3.375% 12/31/2027</t>
        </is>
      </c>
      <c r="F916" t="inlineStr">
        <is>
          <t>114000.00000000</t>
        </is>
      </c>
      <c r="G916" t="inlineStr">
        <is>
          <t>98.869141</t>
        </is>
      </c>
      <c r="H916" t="inlineStr">
        <is>
          <t>112710.82</t>
        </is>
      </c>
      <c r="I916" t="inlineStr">
        <is>
          <t>1.50%</t>
        </is>
      </c>
      <c r="J916" t="inlineStr">
        <is>
          <t>7509930.00</t>
        </is>
      </c>
      <c r="K916" t="inlineStr">
        <is>
          <t>300000</t>
        </is>
      </c>
      <c r="L916" t="inlineStr">
        <is>
          <t>30.000000000000</t>
        </is>
      </c>
      <c r="M916" t="inlineStr"/>
    </row>
    <row r="917">
      <c r="A917" t="inlineStr">
        <is>
          <t>06/25/2026</t>
        </is>
      </c>
      <c r="B917" t="inlineStr">
        <is>
          <t>CUST</t>
        </is>
      </c>
      <c r="C917" s="1" t="inlineStr">
        <is>
          <t>91282CPT2</t>
        </is>
      </c>
      <c r="D917" s="1" t="inlineStr">
        <is>
          <t>91282CPT2</t>
        </is>
      </c>
      <c r="E917" t="inlineStr">
        <is>
          <t>United States Treasury Note/Bond 3.5% 01/15/2029</t>
        </is>
      </c>
      <c r="F917" t="inlineStr">
        <is>
          <t>90000.00000000</t>
        </is>
      </c>
      <c r="G917" t="inlineStr">
        <is>
          <t>98.414062</t>
        </is>
      </c>
      <c r="H917" t="inlineStr">
        <is>
          <t>88572.66</t>
        </is>
      </c>
      <c r="I917" t="inlineStr">
        <is>
          <t>1.18%</t>
        </is>
      </c>
      <c r="J917" t="inlineStr">
        <is>
          <t>7509930.00</t>
        </is>
      </c>
      <c r="K917" t="inlineStr">
        <is>
          <t>300000</t>
        </is>
      </c>
      <c r="L917" t="inlineStr">
        <is>
          <t>30.000000000000</t>
        </is>
      </c>
      <c r="M917" t="inlineStr"/>
    </row>
    <row r="918">
      <c r="A918" t="inlineStr">
        <is>
          <t>06/25/2026</t>
        </is>
      </c>
      <c r="B918" t="inlineStr">
        <is>
          <t>CUST</t>
        </is>
      </c>
      <c r="C918" s="1" t="inlineStr">
        <is>
          <t>91282CQA2</t>
        </is>
      </c>
      <c r="D918" s="1" t="inlineStr">
        <is>
          <t>91282CQA2</t>
        </is>
      </c>
      <c r="E918" t="inlineStr">
        <is>
          <t>United States Treasury Note/Bond 3.5% 02/15/2029</t>
        </is>
      </c>
      <c r="F918" t="inlineStr">
        <is>
          <t>90000.00000000</t>
        </is>
      </c>
      <c r="G918" t="inlineStr">
        <is>
          <t>98.371094</t>
        </is>
      </c>
      <c r="H918" t="inlineStr">
        <is>
          <t>88533.98</t>
        </is>
      </c>
      <c r="I918" t="inlineStr">
        <is>
          <t>1.18%</t>
        </is>
      </c>
      <c r="J918" t="inlineStr">
        <is>
          <t>7509930.00</t>
        </is>
      </c>
      <c r="K918" t="inlineStr">
        <is>
          <t>300000</t>
        </is>
      </c>
      <c r="L918" t="inlineStr">
        <is>
          <t>30.000000000000</t>
        </is>
      </c>
      <c r="M918" t="inlineStr"/>
    </row>
    <row r="919">
      <c r="A919" t="inlineStr">
        <is>
          <t>06/25/2026</t>
        </is>
      </c>
      <c r="B919" t="inlineStr">
        <is>
          <t>CUST</t>
        </is>
      </c>
      <c r="C919" s="1" t="inlineStr">
        <is>
          <t>91282CQB0</t>
        </is>
      </c>
      <c r="D919" s="1" t="inlineStr">
        <is>
          <t>91282CQB0</t>
        </is>
      </c>
      <c r="E919" t="inlineStr">
        <is>
          <t>United States Treasury Note/Bond 3.375% 02/29/2028</t>
        </is>
      </c>
      <c r="F919" t="inlineStr">
        <is>
          <t>114000.00000000</t>
        </is>
      </c>
      <c r="G919" t="inlineStr">
        <is>
          <t>98.763672</t>
        </is>
      </c>
      <c r="H919" t="inlineStr">
        <is>
          <t>112590.59</t>
        </is>
      </c>
      <c r="I919" t="inlineStr">
        <is>
          <t>1.50%</t>
        </is>
      </c>
      <c r="J919" t="inlineStr">
        <is>
          <t>7509930.00</t>
        </is>
      </c>
      <c r="K919" t="inlineStr">
        <is>
          <t>300000</t>
        </is>
      </c>
      <c r="L919" t="inlineStr">
        <is>
          <t>30.000000000000</t>
        </is>
      </c>
      <c r="M919" t="inlineStr"/>
    </row>
    <row r="920">
      <c r="A920" t="inlineStr">
        <is>
          <t>06/25/2026</t>
        </is>
      </c>
      <c r="B920" t="inlineStr">
        <is>
          <t>CUST</t>
        </is>
      </c>
      <c r="C920" s="1" t="inlineStr">
        <is>
          <t>91282CQE4</t>
        </is>
      </c>
      <c r="D920" s="1" t="inlineStr">
        <is>
          <t>91282CQE4</t>
        </is>
      </c>
      <c r="E920" t="inlineStr">
        <is>
          <t>United States Treasury Note/Bond 3.5% 03/15/2029</t>
        </is>
      </c>
      <c r="F920" t="inlineStr">
        <is>
          <t>90000.00000000</t>
        </is>
      </c>
      <c r="G920" t="inlineStr">
        <is>
          <t>98.347656</t>
        </is>
      </c>
      <c r="H920" t="inlineStr">
        <is>
          <t>88512.89</t>
        </is>
      </c>
      <c r="I920" t="inlineStr">
        <is>
          <t>1.18%</t>
        </is>
      </c>
      <c r="J920" t="inlineStr">
        <is>
          <t>7509930.00</t>
        </is>
      </c>
      <c r="K920" t="inlineStr">
        <is>
          <t>300000</t>
        </is>
      </c>
      <c r="L920" t="inlineStr">
        <is>
          <t>30.000000000000</t>
        </is>
      </c>
      <c r="M920" t="inlineStr"/>
    </row>
    <row r="921">
      <c r="A921" t="inlineStr">
        <is>
          <t>06/25/2026</t>
        </is>
      </c>
      <c r="B921" t="inlineStr">
        <is>
          <t>CUST</t>
        </is>
      </c>
      <c r="C921" s="1" t="inlineStr">
        <is>
          <t>91282CQH7</t>
        </is>
      </c>
      <c r="D921" s="1" t="inlineStr">
        <is>
          <t>91282CQH7</t>
        </is>
      </c>
      <c r="E921" t="inlineStr">
        <is>
          <t>United States Treasury Note/Bond 3.875% 03/31/2028</t>
        </is>
      </c>
      <c r="F921" t="inlineStr">
        <is>
          <t>103000.00000000</t>
        </is>
      </c>
      <c r="G921" t="inlineStr">
        <is>
          <t>99.533203</t>
        </is>
      </c>
      <c r="H921" t="inlineStr">
        <is>
          <t>102519.20</t>
        </is>
      </c>
      <c r="I921" t="inlineStr">
        <is>
          <t>1.37%</t>
        </is>
      </c>
      <c r="J921" t="inlineStr">
        <is>
          <t>7509930.00</t>
        </is>
      </c>
      <c r="K921" t="inlineStr">
        <is>
          <t>300000</t>
        </is>
      </c>
      <c r="L921" t="inlineStr">
        <is>
          <t>30.000000000000</t>
        </is>
      </c>
      <c r="M921" t="inlineStr"/>
    </row>
    <row r="922">
      <c r="A922" t="inlineStr">
        <is>
          <t>06/25/2026</t>
        </is>
      </c>
      <c r="B922" t="inlineStr">
        <is>
          <t>CUST</t>
        </is>
      </c>
      <c r="C922" s="1" t="inlineStr">
        <is>
          <t>91282CQJ3</t>
        </is>
      </c>
      <c r="D922" s="1" t="inlineStr">
        <is>
          <t>91282CQJ3</t>
        </is>
      </c>
      <c r="E922" t="inlineStr">
        <is>
          <t>United States Treasury Note/Bond 3.875% 04/15/2029</t>
        </is>
      </c>
      <c r="F922" t="inlineStr">
        <is>
          <t>90000.00000000</t>
        </is>
      </c>
      <c r="G922" t="inlineStr">
        <is>
          <t>99.277344</t>
        </is>
      </c>
      <c r="H922" t="inlineStr">
        <is>
          <t>89349.61</t>
        </is>
      </c>
      <c r="I922" t="inlineStr">
        <is>
          <t>1.19%</t>
        </is>
      </c>
      <c r="J922" t="inlineStr">
        <is>
          <t>7509930.00</t>
        </is>
      </c>
      <c r="K922" t="inlineStr">
        <is>
          <t>300000</t>
        </is>
      </c>
      <c r="L922" t="inlineStr">
        <is>
          <t>30.000000000000</t>
        </is>
      </c>
      <c r="M922" t="inlineStr"/>
    </row>
    <row r="923">
      <c r="A923" t="inlineStr">
        <is>
          <t>06/25/2026</t>
        </is>
      </c>
      <c r="B923" t="inlineStr">
        <is>
          <t>CUST</t>
        </is>
      </c>
      <c r="C923" s="1" t="inlineStr">
        <is>
          <t>91282CQL8</t>
        </is>
      </c>
      <c r="D923" s="1" t="inlineStr">
        <is>
          <t>91282CQL8</t>
        </is>
      </c>
      <c r="E923" t="inlineStr">
        <is>
          <t>United States Treasury Note/Bond 3.75% 04/30/2028</t>
        </is>
      </c>
      <c r="F923" t="inlineStr">
        <is>
          <t>89000.00000000</t>
        </is>
      </c>
      <c r="G923" t="inlineStr">
        <is>
          <t>99.300781</t>
        </is>
      </c>
      <c r="H923" t="inlineStr">
        <is>
          <t>88377.70</t>
        </is>
      </c>
      <c r="I923" t="inlineStr">
        <is>
          <t>1.18%</t>
        </is>
      </c>
      <c r="J923" t="inlineStr">
        <is>
          <t>7509930.00</t>
        </is>
      </c>
      <c r="K923" t="inlineStr">
        <is>
          <t>300000</t>
        </is>
      </c>
      <c r="L923" t="inlineStr">
        <is>
          <t>30.000000000000</t>
        </is>
      </c>
      <c r="M923" t="inlineStr"/>
    </row>
    <row r="924">
      <c r="A924" t="inlineStr">
        <is>
          <t>06/25/2026</t>
        </is>
      </c>
      <c r="B924" t="inlineStr">
        <is>
          <t>CUST</t>
        </is>
      </c>
      <c r="C924" s="1" t="inlineStr">
        <is>
          <t>91282CQR5</t>
        </is>
      </c>
      <c r="D924" s="1" t="inlineStr">
        <is>
          <t>91282CQR5</t>
        </is>
      </c>
      <c r="E924" t="inlineStr">
        <is>
          <t>United States Treasury Note/Bond 3.875% 05/15/2029</t>
        </is>
      </c>
      <c r="F924" t="inlineStr">
        <is>
          <t>90000.00000000</t>
        </is>
      </c>
      <c r="G924" t="inlineStr">
        <is>
          <t>99.269531</t>
        </is>
      </c>
      <c r="H924" t="inlineStr">
        <is>
          <t>89342.58</t>
        </is>
      </c>
      <c r="I924" t="inlineStr">
        <is>
          <t>1.19%</t>
        </is>
      </c>
      <c r="J924" t="inlineStr">
        <is>
          <t>7509930.00</t>
        </is>
      </c>
      <c r="K924" t="inlineStr">
        <is>
          <t>300000</t>
        </is>
      </c>
      <c r="L924" t="inlineStr">
        <is>
          <t>30.000000000000</t>
        </is>
      </c>
      <c r="M924" t="inlineStr"/>
    </row>
    <row r="925">
      <c r="A925" t="inlineStr">
        <is>
          <t>06/25/2026</t>
        </is>
      </c>
      <c r="B925" t="inlineStr">
        <is>
          <t>CUST</t>
        </is>
      </c>
      <c r="C925" s="1" t="inlineStr">
        <is>
          <t>FGXXX</t>
        </is>
      </c>
      <c r="D925" s="1" t="inlineStr">
        <is>
          <t>31846V336</t>
        </is>
      </c>
      <c r="E925" t="inlineStr">
        <is>
          <t>First American Government Obligations Fund 12/01/2031</t>
        </is>
      </c>
      <c r="F925" t="inlineStr">
        <is>
          <t>1874.94000000</t>
        </is>
      </c>
      <c r="G925" t="inlineStr">
        <is>
          <t>100.000000</t>
        </is>
      </c>
      <c r="H925" t="inlineStr">
        <is>
          <t>1874.94</t>
        </is>
      </c>
      <c r="I925" t="inlineStr">
        <is>
          <t>0.02%</t>
        </is>
      </c>
      <c r="J925" t="inlineStr">
        <is>
          <t>7509930.00</t>
        </is>
      </c>
      <c r="K925" t="inlineStr">
        <is>
          <t>300000</t>
        </is>
      </c>
      <c r="L925" t="inlineStr">
        <is>
          <t>30.000000000000</t>
        </is>
      </c>
      <c r="M925" t="inlineStr">
        <is>
          <t>Y</t>
        </is>
      </c>
    </row>
    <row r="926">
      <c r="A926" t="inlineStr">
        <is>
          <t>06/25/2026</t>
        </is>
      </c>
      <c r="B926" t="inlineStr">
        <is>
          <t>CUST</t>
        </is>
      </c>
      <c r="C926" s="1" t="inlineStr">
        <is>
          <t>Cash&amp;Other</t>
        </is>
      </c>
      <c r="D926" s="1" t="inlineStr">
        <is>
          <t>Cash&amp;Other</t>
        </is>
      </c>
      <c r="E926" t="inlineStr">
        <is>
          <t>Cash &amp; Other</t>
        </is>
      </c>
      <c r="F926" t="inlineStr">
        <is>
          <t>59572.59000000</t>
        </is>
      </c>
      <c r="G926" t="inlineStr">
        <is>
          <t>1.000000</t>
        </is>
      </c>
      <c r="H926" t="inlineStr">
        <is>
          <t>59572.59</t>
        </is>
      </c>
      <c r="I926" t="inlineStr">
        <is>
          <t>0.79%</t>
        </is>
      </c>
      <c r="J926" t="inlineStr">
        <is>
          <t>7509930.00</t>
        </is>
      </c>
      <c r="K926" t="inlineStr">
        <is>
          <t>300000</t>
        </is>
      </c>
      <c r="L926" t="inlineStr">
        <is>
          <t>30.000000000000</t>
        </is>
      </c>
      <c r="M926" t="inlineStr">
        <is>
          <t>Y</t>
        </is>
      </c>
    </row>
    <row r="927">
      <c r="A927" t="inlineStr">
        <is>
          <t>06/25/2026</t>
        </is>
      </c>
      <c r="B927" t="inlineStr">
        <is>
          <t>DIPR</t>
        </is>
      </c>
      <c r="C927" s="1" t="inlineStr">
        <is>
          <t>ASTS</t>
        </is>
      </c>
      <c r="D927" s="1" t="inlineStr">
        <is>
          <t>00217D100</t>
        </is>
      </c>
      <c r="E927" t="inlineStr">
        <is>
          <t>AST SpaceMobile Inc</t>
        </is>
      </c>
      <c r="F927" t="inlineStr">
        <is>
          <t>2240.00000000</t>
        </is>
      </c>
      <c r="G927" t="inlineStr">
        <is>
          <t>68.010000</t>
        </is>
      </c>
      <c r="H927" t="inlineStr">
        <is>
          <t>152342.40</t>
        </is>
      </c>
      <c r="I927" t="inlineStr">
        <is>
          <t>4.54%</t>
        </is>
      </c>
      <c r="J927" t="inlineStr">
        <is>
          <t>3356150.00</t>
        </is>
      </c>
      <c r="K927" t="inlineStr">
        <is>
          <t>140000</t>
        </is>
      </c>
      <c r="L927" t="inlineStr">
        <is>
          <t>28.000000000000</t>
        </is>
      </c>
      <c r="M927" t="inlineStr"/>
    </row>
    <row r="928">
      <c r="A928" t="inlineStr">
        <is>
          <t>06/25/2026</t>
        </is>
      </c>
      <c r="B928" t="inlineStr">
        <is>
          <t>DIPR</t>
        </is>
      </c>
      <c r="C928" s="1" t="inlineStr">
        <is>
          <t>BKSY</t>
        </is>
      </c>
      <c r="D928" s="1" t="inlineStr">
        <is>
          <t>09263B207</t>
        </is>
      </c>
      <c r="E928" t="inlineStr">
        <is>
          <t>BlackSky Technology Inc</t>
        </is>
      </c>
      <c r="F928" t="inlineStr">
        <is>
          <t>2464.00000000</t>
        </is>
      </c>
      <c r="G928" t="inlineStr">
        <is>
          <t>25.210000</t>
        </is>
      </c>
      <c r="H928" t="inlineStr">
        <is>
          <t>62117.44</t>
        </is>
      </c>
      <c r="I928" t="inlineStr">
        <is>
          <t>1.85%</t>
        </is>
      </c>
      <c r="J928" t="inlineStr">
        <is>
          <t>3356150.00</t>
        </is>
      </c>
      <c r="K928" t="inlineStr">
        <is>
          <t>140000</t>
        </is>
      </c>
      <c r="L928" t="inlineStr">
        <is>
          <t>28.000000000000</t>
        </is>
      </c>
      <c r="M928" t="inlineStr"/>
    </row>
    <row r="929">
      <c r="A929" t="inlineStr">
        <is>
          <t>06/25/2026</t>
        </is>
      </c>
      <c r="B929" t="inlineStr">
        <is>
          <t>DIPR</t>
        </is>
      </c>
      <c r="C929" s="1" t="inlineStr">
        <is>
          <t>BWXT</t>
        </is>
      </c>
      <c r="D929" s="1" t="inlineStr">
        <is>
          <t>05605H100</t>
        </is>
      </c>
      <c r="E929" t="inlineStr">
        <is>
          <t>BWX Technologies Inc</t>
        </is>
      </c>
      <c r="F929" t="inlineStr">
        <is>
          <t>504.00000000</t>
        </is>
      </c>
      <c r="G929" t="inlineStr">
        <is>
          <t>205.650000</t>
        </is>
      </c>
      <c r="H929" t="inlineStr">
        <is>
          <t>103647.60</t>
        </is>
      </c>
      <c r="I929" t="inlineStr">
        <is>
          <t>3.09%</t>
        </is>
      </c>
      <c r="J929" t="inlineStr">
        <is>
          <t>3356150.00</t>
        </is>
      </c>
      <c r="K929" t="inlineStr">
        <is>
          <t>140000</t>
        </is>
      </c>
      <c r="L929" t="inlineStr">
        <is>
          <t>28.000000000000</t>
        </is>
      </c>
      <c r="M929" t="inlineStr"/>
    </row>
    <row r="930">
      <c r="A930" t="inlineStr">
        <is>
          <t>06/25/2026</t>
        </is>
      </c>
      <c r="B930" t="inlineStr">
        <is>
          <t>DIPR</t>
        </is>
      </c>
      <c r="C930" s="1" t="inlineStr">
        <is>
          <t>ECHO</t>
        </is>
      </c>
      <c r="D930" s="1" t="inlineStr">
        <is>
          <t>278768106</t>
        </is>
      </c>
      <c r="E930" t="inlineStr">
        <is>
          <t>EchoStar Corp</t>
        </is>
      </c>
      <c r="F930" t="inlineStr">
        <is>
          <t>1456.00000000</t>
        </is>
      </c>
      <c r="G930" t="inlineStr">
        <is>
          <t>99.860000</t>
        </is>
      </c>
      <c r="H930" t="inlineStr">
        <is>
          <t>145396.16</t>
        </is>
      </c>
      <c r="I930" t="inlineStr">
        <is>
          <t>4.33%</t>
        </is>
      </c>
      <c r="J930" t="inlineStr">
        <is>
          <t>3356150.00</t>
        </is>
      </c>
      <c r="K930" t="inlineStr">
        <is>
          <t>140000</t>
        </is>
      </c>
      <c r="L930" t="inlineStr">
        <is>
          <t>28.000000000000</t>
        </is>
      </c>
      <c r="M930" t="inlineStr"/>
    </row>
    <row r="931">
      <c r="A931" t="inlineStr">
        <is>
          <t>06/25/2026</t>
        </is>
      </c>
      <c r="B931" t="inlineStr">
        <is>
          <t>DIPR</t>
        </is>
      </c>
      <c r="C931" s="1" t="inlineStr">
        <is>
          <t>FEIM</t>
        </is>
      </c>
      <c r="D931" s="1" t="inlineStr">
        <is>
          <t>358010106</t>
        </is>
      </c>
      <c r="E931" t="inlineStr">
        <is>
          <t>Frequency Electronics Inc</t>
        </is>
      </c>
      <c r="F931" t="inlineStr">
        <is>
          <t>1232.00000000</t>
        </is>
      </c>
      <c r="G931" t="inlineStr">
        <is>
          <t>67.270000</t>
        </is>
      </c>
      <c r="H931" t="inlineStr">
        <is>
          <t>82876.64</t>
        </is>
      </c>
      <c r="I931" t="inlineStr">
        <is>
          <t>2.47%</t>
        </is>
      </c>
      <c r="J931" t="inlineStr">
        <is>
          <t>3356150.00</t>
        </is>
      </c>
      <c r="K931" t="inlineStr">
        <is>
          <t>140000</t>
        </is>
      </c>
      <c r="L931" t="inlineStr">
        <is>
          <t>28.000000000000</t>
        </is>
      </c>
      <c r="M931" t="inlineStr"/>
    </row>
    <row r="932">
      <c r="A932" t="inlineStr">
        <is>
          <t>06/25/2026</t>
        </is>
      </c>
      <c r="B932" t="inlineStr">
        <is>
          <t>DIPR</t>
        </is>
      </c>
      <c r="C932" s="1" t="inlineStr">
        <is>
          <t>FGXXX</t>
        </is>
      </c>
      <c r="D932" s="1" t="inlineStr">
        <is>
          <t>31846V336</t>
        </is>
      </c>
      <c r="E932" t="inlineStr">
        <is>
          <t>First American Government Obligations Fund 12/01/2031</t>
        </is>
      </c>
      <c r="F932" t="inlineStr">
        <is>
          <t>65107.44000000</t>
        </is>
      </c>
      <c r="G932" t="inlineStr">
        <is>
          <t>100.000000</t>
        </is>
      </c>
      <c r="H932" t="inlineStr">
        <is>
          <t>65107.44</t>
        </is>
      </c>
      <c r="I932" t="inlineStr">
        <is>
          <t>1.94%</t>
        </is>
      </c>
      <c r="J932" t="inlineStr">
        <is>
          <t>3356150.00</t>
        </is>
      </c>
      <c r="K932" t="inlineStr">
        <is>
          <t>140000</t>
        </is>
      </c>
      <c r="L932" t="inlineStr">
        <is>
          <t>28.000000000000</t>
        </is>
      </c>
      <c r="M932" t="inlineStr">
        <is>
          <t>Y</t>
        </is>
      </c>
    </row>
    <row r="933">
      <c r="A933" t="inlineStr">
        <is>
          <t>06/25/2026</t>
        </is>
      </c>
      <c r="B933" t="inlineStr">
        <is>
          <t>DIPR</t>
        </is>
      </c>
      <c r="C933" s="1" t="inlineStr">
        <is>
          <t>FLY</t>
        </is>
      </c>
      <c r="D933" s="1" t="inlineStr">
        <is>
          <t>31816X106</t>
        </is>
      </c>
      <c r="E933" t="inlineStr">
        <is>
          <t>Firefly Aerospace Inc</t>
        </is>
      </c>
      <c r="F933" t="inlineStr">
        <is>
          <t>3024.00000000</t>
        </is>
      </c>
      <c r="G933" t="inlineStr">
        <is>
          <t>24.980000</t>
        </is>
      </c>
      <c r="H933" t="inlineStr">
        <is>
          <t>75539.52</t>
        </is>
      </c>
      <c r="I933" t="inlineStr">
        <is>
          <t>2.25%</t>
        </is>
      </c>
      <c r="J933" t="inlineStr">
        <is>
          <t>3356150.00</t>
        </is>
      </c>
      <c r="K933" t="inlineStr">
        <is>
          <t>140000</t>
        </is>
      </c>
      <c r="L933" t="inlineStr">
        <is>
          <t>28.000000000000</t>
        </is>
      </c>
      <c r="M933" t="inlineStr"/>
    </row>
    <row r="934">
      <c r="A934" t="inlineStr">
        <is>
          <t>06/25/2026</t>
        </is>
      </c>
      <c r="B934" t="inlineStr">
        <is>
          <t>DIPR</t>
        </is>
      </c>
      <c r="C934" s="1" t="inlineStr">
        <is>
          <t>GILT</t>
        </is>
      </c>
      <c r="D934" s="1" t="inlineStr">
        <is>
          <t>M51474118</t>
        </is>
      </c>
      <c r="E934" t="inlineStr">
        <is>
          <t>Gilat Satellite Networks Ltd</t>
        </is>
      </c>
      <c r="F934" t="inlineStr">
        <is>
          <t>5208.00000000</t>
        </is>
      </c>
      <c r="G934" t="inlineStr">
        <is>
          <t>12.080000</t>
        </is>
      </c>
      <c r="H934" t="inlineStr">
        <is>
          <t>62912.64</t>
        </is>
      </c>
      <c r="I934" t="inlineStr">
        <is>
          <t>1.87%</t>
        </is>
      </c>
      <c r="J934" t="inlineStr">
        <is>
          <t>3356150.00</t>
        </is>
      </c>
      <c r="K934" t="inlineStr">
        <is>
          <t>140000</t>
        </is>
      </c>
      <c r="L934" t="inlineStr">
        <is>
          <t>28.000000000000</t>
        </is>
      </c>
      <c r="M934" t="inlineStr"/>
    </row>
    <row r="935">
      <c r="A935" t="inlineStr">
        <is>
          <t>06/25/2026</t>
        </is>
      </c>
      <c r="B935" t="inlineStr">
        <is>
          <t>DIPR</t>
        </is>
      </c>
      <c r="C935" s="1" t="inlineStr">
        <is>
          <t>GOGO</t>
        </is>
      </c>
      <c r="D935" s="1" t="inlineStr">
        <is>
          <t>38046C109</t>
        </is>
      </c>
      <c r="E935" t="inlineStr">
        <is>
          <t>Gogo Inc</t>
        </is>
      </c>
      <c r="F935" t="inlineStr">
        <is>
          <t>16128.00000000</t>
        </is>
      </c>
      <c r="G935" t="inlineStr">
        <is>
          <t>3.270000</t>
        </is>
      </c>
      <c r="H935" t="inlineStr">
        <is>
          <t>52738.56</t>
        </is>
      </c>
      <c r="I935" t="inlineStr">
        <is>
          <t>1.57%</t>
        </is>
      </c>
      <c r="J935" t="inlineStr">
        <is>
          <t>3356150.00</t>
        </is>
      </c>
      <c r="K935" t="inlineStr">
        <is>
          <t>140000</t>
        </is>
      </c>
      <c r="L935" t="inlineStr">
        <is>
          <t>28.000000000000</t>
        </is>
      </c>
      <c r="M935" t="inlineStr"/>
    </row>
    <row r="936">
      <c r="A936" t="inlineStr">
        <is>
          <t>06/25/2026</t>
        </is>
      </c>
      <c r="B936" t="inlineStr">
        <is>
          <t>DIPR</t>
        </is>
      </c>
      <c r="C936" s="1" t="inlineStr">
        <is>
          <t>GRMN</t>
        </is>
      </c>
      <c r="D936" s="1" t="inlineStr">
        <is>
          <t>H2906T109</t>
        </is>
      </c>
      <c r="E936" t="inlineStr">
        <is>
          <t>Garmin Ltd</t>
        </is>
      </c>
      <c r="F936" t="inlineStr">
        <is>
          <t>644.00000000</t>
        </is>
      </c>
      <c r="G936" t="inlineStr">
        <is>
          <t>240.020000</t>
        </is>
      </c>
      <c r="H936" t="inlineStr">
        <is>
          <t>154572.88</t>
        </is>
      </c>
      <c r="I936" t="inlineStr">
        <is>
          <t>4.61%</t>
        </is>
      </c>
      <c r="J936" t="inlineStr">
        <is>
          <t>3356150.00</t>
        </is>
      </c>
      <c r="K936" t="inlineStr">
        <is>
          <t>140000</t>
        </is>
      </c>
      <c r="L936" t="inlineStr">
        <is>
          <t>28.000000000000</t>
        </is>
      </c>
      <c r="M936" t="inlineStr"/>
    </row>
    <row r="937">
      <c r="A937" t="inlineStr">
        <is>
          <t>06/25/2026</t>
        </is>
      </c>
      <c r="B937" t="inlineStr">
        <is>
          <t>DIPR</t>
        </is>
      </c>
      <c r="C937" s="1" t="inlineStr">
        <is>
          <t>GSAT</t>
        </is>
      </c>
      <c r="D937" s="1" t="inlineStr">
        <is>
          <t>378973507</t>
        </is>
      </c>
      <c r="E937" t="inlineStr">
        <is>
          <t>Globalstar Inc</t>
        </is>
      </c>
      <c r="F937" t="inlineStr">
        <is>
          <t>1540.00000000</t>
        </is>
      </c>
      <c r="G937" t="inlineStr">
        <is>
          <t>80.140000</t>
        </is>
      </c>
      <c r="H937" t="inlineStr">
        <is>
          <t>123415.60</t>
        </is>
      </c>
      <c r="I937" t="inlineStr">
        <is>
          <t>3.68%</t>
        </is>
      </c>
      <c r="J937" t="inlineStr">
        <is>
          <t>3356150.00</t>
        </is>
      </c>
      <c r="K937" t="inlineStr">
        <is>
          <t>140000</t>
        </is>
      </c>
      <c r="L937" t="inlineStr">
        <is>
          <t>28.000000000000</t>
        </is>
      </c>
      <c r="M937" t="inlineStr"/>
    </row>
    <row r="938">
      <c r="A938" t="inlineStr">
        <is>
          <t>06/25/2026</t>
        </is>
      </c>
      <c r="B938" t="inlineStr">
        <is>
          <t>DIPR</t>
        </is>
      </c>
      <c r="C938" s="1" t="inlineStr">
        <is>
          <t>IRDM</t>
        </is>
      </c>
      <c r="D938" s="1" t="inlineStr">
        <is>
          <t>46269C102</t>
        </is>
      </c>
      <c r="E938" t="inlineStr">
        <is>
          <t>Iridium Communications Inc</t>
        </is>
      </c>
      <c r="F938" t="inlineStr">
        <is>
          <t>2940.00000000</t>
        </is>
      </c>
      <c r="G938" t="inlineStr">
        <is>
          <t>42.280000</t>
        </is>
      </c>
      <c r="H938" t="inlineStr">
        <is>
          <t>124303.20</t>
        </is>
      </c>
      <c r="I938" t="inlineStr">
        <is>
          <t>3.70%</t>
        </is>
      </c>
      <c r="J938" t="inlineStr">
        <is>
          <t>3356150.00</t>
        </is>
      </c>
      <c r="K938" t="inlineStr">
        <is>
          <t>140000</t>
        </is>
      </c>
      <c r="L938" t="inlineStr">
        <is>
          <t>28.000000000000</t>
        </is>
      </c>
      <c r="M938" t="inlineStr"/>
    </row>
    <row r="939">
      <c r="A939" t="inlineStr">
        <is>
          <t>06/25/2026</t>
        </is>
      </c>
      <c r="B939" t="inlineStr">
        <is>
          <t>DIPR</t>
        </is>
      </c>
      <c r="C939" s="1" t="inlineStr">
        <is>
          <t>LMT</t>
        </is>
      </c>
      <c r="D939" s="1" t="inlineStr">
        <is>
          <t>539830109</t>
        </is>
      </c>
      <c r="E939" t="inlineStr">
        <is>
          <t>Lockheed Martin Corp</t>
        </is>
      </c>
      <c r="F939" t="inlineStr">
        <is>
          <t>784.00000000</t>
        </is>
      </c>
      <c r="G939" t="inlineStr">
        <is>
          <t>491.640000</t>
        </is>
      </c>
      <c r="H939" t="inlineStr">
        <is>
          <t>385445.76</t>
        </is>
      </c>
      <c r="I939" t="inlineStr">
        <is>
          <t>11.48%</t>
        </is>
      </c>
      <c r="J939" t="inlineStr">
        <is>
          <t>3356150.00</t>
        </is>
      </c>
      <c r="K939" t="inlineStr">
        <is>
          <t>140000</t>
        </is>
      </c>
      <c r="L939" t="inlineStr">
        <is>
          <t>28.000000000000</t>
        </is>
      </c>
      <c r="M939" t="inlineStr"/>
    </row>
    <row r="940">
      <c r="A940" t="inlineStr">
        <is>
          <t>06/25/2026</t>
        </is>
      </c>
      <c r="B940" t="inlineStr">
        <is>
          <t>DIPR</t>
        </is>
      </c>
      <c r="C940" s="1" t="inlineStr">
        <is>
          <t>LUNR</t>
        </is>
      </c>
      <c r="D940" s="1" t="inlineStr">
        <is>
          <t>46125A100</t>
        </is>
      </c>
      <c r="E940" t="inlineStr">
        <is>
          <t>Intuitive Machines Inc</t>
        </is>
      </c>
      <c r="F940" t="inlineStr">
        <is>
          <t>4592.00000000</t>
        </is>
      </c>
      <c r="G940" t="inlineStr">
        <is>
          <t>19.130000</t>
        </is>
      </c>
      <c r="H940" t="inlineStr">
        <is>
          <t>87844.96</t>
        </is>
      </c>
      <c r="I940" t="inlineStr">
        <is>
          <t>2.62%</t>
        </is>
      </c>
      <c r="J940" t="inlineStr">
        <is>
          <t>3356150.00</t>
        </is>
      </c>
      <c r="K940" t="inlineStr">
        <is>
          <t>140000</t>
        </is>
      </c>
      <c r="L940" t="inlineStr">
        <is>
          <t>28.000000000000</t>
        </is>
      </c>
      <c r="M940" t="inlineStr"/>
    </row>
    <row r="941">
      <c r="A941" t="inlineStr">
        <is>
          <t>06/25/2026</t>
        </is>
      </c>
      <c r="B941" t="inlineStr">
        <is>
          <t>DIPR</t>
        </is>
      </c>
      <c r="C941" s="1" t="inlineStr">
        <is>
          <t>MDA</t>
        </is>
      </c>
      <c r="D941" s="1" t="inlineStr">
        <is>
          <t>55293N109</t>
        </is>
      </c>
      <c r="E941" t="inlineStr">
        <is>
          <t>MDA Space Ltd</t>
        </is>
      </c>
      <c r="F941" t="inlineStr">
        <is>
          <t>3892.00000000</t>
        </is>
      </c>
      <c r="G941" t="inlineStr">
        <is>
          <t>37.600000</t>
        </is>
      </c>
      <c r="H941" t="inlineStr">
        <is>
          <t>146339.20</t>
        </is>
      </c>
      <c r="I941" t="inlineStr">
        <is>
          <t>4.36%</t>
        </is>
      </c>
      <c r="J941" t="inlineStr">
        <is>
          <t>3356150.00</t>
        </is>
      </c>
      <c r="K941" t="inlineStr">
        <is>
          <t>140000</t>
        </is>
      </c>
      <c r="L941" t="inlineStr">
        <is>
          <t>28.000000000000</t>
        </is>
      </c>
      <c r="M941" t="inlineStr"/>
    </row>
    <row r="942">
      <c r="A942" t="inlineStr">
        <is>
          <t>06/25/2026</t>
        </is>
      </c>
      <c r="B942" t="inlineStr">
        <is>
          <t>DIPR</t>
        </is>
      </c>
      <c r="C942" s="1" t="inlineStr">
        <is>
          <t>MRCY</t>
        </is>
      </c>
      <c r="D942" s="1" t="inlineStr">
        <is>
          <t>589378108</t>
        </is>
      </c>
      <c r="E942" t="inlineStr">
        <is>
          <t>Mercury Systems Inc</t>
        </is>
      </c>
      <c r="F942" t="inlineStr">
        <is>
          <t>1680.00000000</t>
        </is>
      </c>
      <c r="G942" t="inlineStr">
        <is>
          <t>105.000000</t>
        </is>
      </c>
      <c r="H942" t="inlineStr">
        <is>
          <t>176400.00</t>
        </is>
      </c>
      <c r="I942" t="inlineStr">
        <is>
          <t>5.26%</t>
        </is>
      </c>
      <c r="J942" t="inlineStr">
        <is>
          <t>3356150.00</t>
        </is>
      </c>
      <c r="K942" t="inlineStr">
        <is>
          <t>140000</t>
        </is>
      </c>
      <c r="L942" t="inlineStr">
        <is>
          <t>28.000000000000</t>
        </is>
      </c>
      <c r="M942" t="inlineStr"/>
    </row>
    <row r="943">
      <c r="A943" t="inlineStr">
        <is>
          <t>06/25/2026</t>
        </is>
      </c>
      <c r="B943" t="inlineStr">
        <is>
          <t>DIPR</t>
        </is>
      </c>
      <c r="C943" s="1" t="inlineStr">
        <is>
          <t>MTSI</t>
        </is>
      </c>
      <c r="D943" s="1" t="inlineStr">
        <is>
          <t>55405Y100</t>
        </is>
      </c>
      <c r="E943" t="inlineStr">
        <is>
          <t>MACOM Technology Solutions Holdings Inc</t>
        </is>
      </c>
      <c r="F943" t="inlineStr">
        <is>
          <t>336.00000000</t>
        </is>
      </c>
      <c r="G943" t="inlineStr">
        <is>
          <t>373.080000</t>
        </is>
      </c>
      <c r="H943" t="inlineStr">
        <is>
          <t>125354.88</t>
        </is>
      </c>
      <c r="I943" t="inlineStr">
        <is>
          <t>3.74%</t>
        </is>
      </c>
      <c r="J943" t="inlineStr">
        <is>
          <t>3356150.00</t>
        </is>
      </c>
      <c r="K943" t="inlineStr">
        <is>
          <t>140000</t>
        </is>
      </c>
      <c r="L943" t="inlineStr">
        <is>
          <t>28.000000000000</t>
        </is>
      </c>
      <c r="M943" t="inlineStr"/>
    </row>
    <row r="944">
      <c r="A944" t="inlineStr">
        <is>
          <t>06/25/2026</t>
        </is>
      </c>
      <c r="B944" t="inlineStr">
        <is>
          <t>DIPR</t>
        </is>
      </c>
      <c r="C944" s="1" t="inlineStr">
        <is>
          <t>PL</t>
        </is>
      </c>
      <c r="D944" s="1" t="inlineStr">
        <is>
          <t>72703X106</t>
        </is>
      </c>
      <c r="E944" t="inlineStr">
        <is>
          <t>Planet Labs PBC</t>
        </is>
      </c>
      <c r="F944" t="inlineStr">
        <is>
          <t>4480.00000000</t>
        </is>
      </c>
      <c r="G944" t="inlineStr">
        <is>
          <t>26.300000</t>
        </is>
      </c>
      <c r="H944" t="inlineStr">
        <is>
          <t>117824.00</t>
        </is>
      </c>
      <c r="I944" t="inlineStr">
        <is>
          <t>3.51%</t>
        </is>
      </c>
      <c r="J944" t="inlineStr">
        <is>
          <t>3356150.00</t>
        </is>
      </c>
      <c r="K944" t="inlineStr">
        <is>
          <t>140000</t>
        </is>
      </c>
      <c r="L944" t="inlineStr">
        <is>
          <t>28.000000000000</t>
        </is>
      </c>
      <c r="M944" t="inlineStr"/>
    </row>
    <row r="945">
      <c r="A945" t="inlineStr">
        <is>
          <t>06/25/2026</t>
        </is>
      </c>
      <c r="B945" t="inlineStr">
        <is>
          <t>DIPR</t>
        </is>
      </c>
      <c r="C945" s="1" t="inlineStr">
        <is>
          <t>RDW</t>
        </is>
      </c>
      <c r="D945" s="1" t="inlineStr">
        <is>
          <t>75776W103</t>
        </is>
      </c>
      <c r="E945" t="inlineStr">
        <is>
          <t>Redwire Corp</t>
        </is>
      </c>
      <c r="F945" t="inlineStr">
        <is>
          <t>9772.00000000</t>
        </is>
      </c>
      <c r="G945" t="inlineStr">
        <is>
          <t>11.380000</t>
        </is>
      </c>
      <c r="H945" t="inlineStr">
        <is>
          <t>111205.36</t>
        </is>
      </c>
      <c r="I945" t="inlineStr">
        <is>
          <t>3.31%</t>
        </is>
      </c>
      <c r="J945" t="inlineStr">
        <is>
          <t>3356150.00</t>
        </is>
      </c>
      <c r="K945" t="inlineStr">
        <is>
          <t>140000</t>
        </is>
      </c>
      <c r="L945" t="inlineStr">
        <is>
          <t>28.000000000000</t>
        </is>
      </c>
      <c r="M945" t="inlineStr"/>
    </row>
    <row r="946">
      <c r="A946" t="inlineStr">
        <is>
          <t>06/25/2026</t>
        </is>
      </c>
      <c r="B946" t="inlineStr">
        <is>
          <t>DIPR</t>
        </is>
      </c>
      <c r="C946" s="1" t="inlineStr">
        <is>
          <t>RKLB</t>
        </is>
      </c>
      <c r="D946" s="1" t="inlineStr">
        <is>
          <t>773121108</t>
        </is>
      </c>
      <c r="E946" t="inlineStr">
        <is>
          <t>Rocket Lab Corp</t>
        </is>
      </c>
      <c r="F946" t="inlineStr">
        <is>
          <t>3276.00000000</t>
        </is>
      </c>
      <c r="G946" t="inlineStr">
        <is>
          <t>85.410000</t>
        </is>
      </c>
      <c r="H946" t="inlineStr">
        <is>
          <t>279803.16</t>
        </is>
      </c>
      <c r="I946" t="inlineStr">
        <is>
          <t>8.34%</t>
        </is>
      </c>
      <c r="J946" t="inlineStr">
        <is>
          <t>3356150.00</t>
        </is>
      </c>
      <c r="K946" t="inlineStr">
        <is>
          <t>140000</t>
        </is>
      </c>
      <c r="L946" t="inlineStr">
        <is>
          <t>28.000000000000</t>
        </is>
      </c>
      <c r="M946" t="inlineStr"/>
    </row>
    <row r="947">
      <c r="A947" t="inlineStr">
        <is>
          <t>06/25/2026</t>
        </is>
      </c>
      <c r="B947" t="inlineStr">
        <is>
          <t>DIPR</t>
        </is>
      </c>
      <c r="C947" s="1" t="inlineStr">
        <is>
          <t>SATL</t>
        </is>
      </c>
      <c r="D947" s="1" t="inlineStr">
        <is>
          <t>80401C100</t>
        </is>
      </c>
      <c r="E947" t="inlineStr">
        <is>
          <t>Satellogic Inc</t>
        </is>
      </c>
      <c r="F947" t="inlineStr">
        <is>
          <t>11648.00000000</t>
        </is>
      </c>
      <c r="G947" t="inlineStr">
        <is>
          <t>5.040000</t>
        </is>
      </c>
      <c r="H947" t="inlineStr">
        <is>
          <t>58705.92</t>
        </is>
      </c>
      <c r="I947" t="inlineStr">
        <is>
          <t>1.75%</t>
        </is>
      </c>
      <c r="J947" t="inlineStr">
        <is>
          <t>3356150.00</t>
        </is>
      </c>
      <c r="K947" t="inlineStr">
        <is>
          <t>140000</t>
        </is>
      </c>
      <c r="L947" t="inlineStr">
        <is>
          <t>28.000000000000</t>
        </is>
      </c>
      <c r="M947" t="inlineStr"/>
    </row>
    <row r="948">
      <c r="A948" t="inlineStr">
        <is>
          <t>06/25/2026</t>
        </is>
      </c>
      <c r="B948" t="inlineStr">
        <is>
          <t>DIPR</t>
        </is>
      </c>
      <c r="C948" s="1" t="inlineStr">
        <is>
          <t>SIDU</t>
        </is>
      </c>
      <c r="D948" s="1" t="inlineStr">
        <is>
          <t>826165201</t>
        </is>
      </c>
      <c r="E948" t="inlineStr">
        <is>
          <t>Sidus Space Inc</t>
        </is>
      </c>
      <c r="F948" t="inlineStr">
        <is>
          <t>16128.00000000</t>
        </is>
      </c>
      <c r="G948" t="inlineStr">
        <is>
          <t>2.710000</t>
        </is>
      </c>
      <c r="H948" t="inlineStr">
        <is>
          <t>43706.88</t>
        </is>
      </c>
      <c r="I948" t="inlineStr">
        <is>
          <t>1.30%</t>
        </is>
      </c>
      <c r="J948" t="inlineStr">
        <is>
          <t>3356150.00</t>
        </is>
      </c>
      <c r="K948" t="inlineStr">
        <is>
          <t>140000</t>
        </is>
      </c>
      <c r="L948" t="inlineStr">
        <is>
          <t>28.000000000000</t>
        </is>
      </c>
      <c r="M948" t="inlineStr"/>
    </row>
    <row r="949">
      <c r="A949" t="inlineStr">
        <is>
          <t>06/25/2026</t>
        </is>
      </c>
      <c r="B949" t="inlineStr">
        <is>
          <t>DIPR</t>
        </is>
      </c>
      <c r="C949" s="1" t="inlineStr">
        <is>
          <t>SIRI</t>
        </is>
      </c>
      <c r="D949" s="1" t="inlineStr">
        <is>
          <t>829933100</t>
        </is>
      </c>
      <c r="E949" t="inlineStr">
        <is>
          <t>Sirius XM Holdings Inc</t>
        </is>
      </c>
      <c r="F949" t="inlineStr">
        <is>
          <t>1344.00000000</t>
        </is>
      </c>
      <c r="G949" t="inlineStr">
        <is>
          <t>27.900000</t>
        </is>
      </c>
      <c r="H949" t="inlineStr">
        <is>
          <t>37497.60</t>
        </is>
      </c>
      <c r="I949" t="inlineStr">
        <is>
          <t>1.12%</t>
        </is>
      </c>
      <c r="J949" t="inlineStr">
        <is>
          <t>3356150.00</t>
        </is>
      </c>
      <c r="K949" t="inlineStr">
        <is>
          <t>140000</t>
        </is>
      </c>
      <c r="L949" t="inlineStr">
        <is>
          <t>28.000000000000</t>
        </is>
      </c>
      <c r="M949" t="inlineStr"/>
    </row>
    <row r="950">
      <c r="A950" t="inlineStr">
        <is>
          <t>06/25/2026</t>
        </is>
      </c>
      <c r="B950" t="inlineStr">
        <is>
          <t>DIPR</t>
        </is>
      </c>
      <c r="C950" s="1" t="inlineStr">
        <is>
          <t>SPCE</t>
        </is>
      </c>
      <c r="D950" s="1" t="inlineStr">
        <is>
          <t>92766K403</t>
        </is>
      </c>
      <c r="E950" t="inlineStr">
        <is>
          <t>Virgin Galactic Holdings Inc</t>
        </is>
      </c>
      <c r="F950" t="inlineStr">
        <is>
          <t>22596.00000000</t>
        </is>
      </c>
      <c r="G950" t="inlineStr">
        <is>
          <t>2.730000</t>
        </is>
      </c>
      <c r="H950" t="inlineStr">
        <is>
          <t>61687.08</t>
        </is>
      </c>
      <c r="I950" t="inlineStr">
        <is>
          <t>1.84%</t>
        </is>
      </c>
      <c r="J950" t="inlineStr">
        <is>
          <t>3356150.00</t>
        </is>
      </c>
      <c r="K950" t="inlineStr">
        <is>
          <t>140000</t>
        </is>
      </c>
      <c r="L950" t="inlineStr">
        <is>
          <t>28.000000000000</t>
        </is>
      </c>
      <c r="M950" t="inlineStr"/>
    </row>
    <row r="951">
      <c r="A951" t="inlineStr">
        <is>
          <t>06/25/2026</t>
        </is>
      </c>
      <c r="B951" t="inlineStr">
        <is>
          <t>DIPR</t>
        </is>
      </c>
      <c r="C951" s="1" t="inlineStr">
        <is>
          <t>SPIR</t>
        </is>
      </c>
      <c r="D951" s="1" t="inlineStr">
        <is>
          <t>848560306</t>
        </is>
      </c>
      <c r="E951" t="inlineStr">
        <is>
          <t>Spire Global Inc</t>
        </is>
      </c>
      <c r="F951" t="inlineStr">
        <is>
          <t>4032.00000000</t>
        </is>
      </c>
      <c r="G951" t="inlineStr">
        <is>
          <t>17.130000</t>
        </is>
      </c>
      <c r="H951" t="inlineStr">
        <is>
          <t>69068.16</t>
        </is>
      </c>
      <c r="I951" t="inlineStr">
        <is>
          <t>2.06%</t>
        </is>
      </c>
      <c r="J951" t="inlineStr">
        <is>
          <t>3356150.00</t>
        </is>
      </c>
      <c r="K951" t="inlineStr">
        <is>
          <t>140000</t>
        </is>
      </c>
      <c r="L951" t="inlineStr">
        <is>
          <t>28.000000000000</t>
        </is>
      </c>
      <c r="M951" t="inlineStr"/>
    </row>
    <row r="952">
      <c r="A952" t="inlineStr">
        <is>
          <t>06/25/2026</t>
        </is>
      </c>
      <c r="B952" t="inlineStr">
        <is>
          <t>DIPR</t>
        </is>
      </c>
      <c r="C952" s="1" t="inlineStr">
        <is>
          <t>TRMB</t>
        </is>
      </c>
      <c r="D952" s="1" t="inlineStr">
        <is>
          <t>896239100</t>
        </is>
      </c>
      <c r="E952" t="inlineStr">
        <is>
          <t>Trimble Inc</t>
        </is>
      </c>
      <c r="F952" t="inlineStr">
        <is>
          <t>1484.00000000</t>
        </is>
      </c>
      <c r="G952" t="inlineStr">
        <is>
          <t>50.140000</t>
        </is>
      </c>
      <c r="H952" t="inlineStr">
        <is>
          <t>74407.76</t>
        </is>
      </c>
      <c r="I952" t="inlineStr">
        <is>
          <t>2.22%</t>
        </is>
      </c>
      <c r="J952" t="inlineStr">
        <is>
          <t>3356150.00</t>
        </is>
      </c>
      <c r="K952" t="inlineStr">
        <is>
          <t>140000</t>
        </is>
      </c>
      <c r="L952" t="inlineStr">
        <is>
          <t>28.000000000000</t>
        </is>
      </c>
      <c r="M952" t="inlineStr"/>
    </row>
    <row r="953">
      <c r="A953" t="inlineStr">
        <is>
          <t>06/25/2026</t>
        </is>
      </c>
      <c r="B953" t="inlineStr">
        <is>
          <t>DIPR</t>
        </is>
      </c>
      <c r="C953" s="1" t="inlineStr">
        <is>
          <t>TSAT</t>
        </is>
      </c>
      <c r="D953" s="1" t="inlineStr">
        <is>
          <t>879512309</t>
        </is>
      </c>
      <c r="E953" t="inlineStr">
        <is>
          <t>Telesat Corp</t>
        </is>
      </c>
      <c r="F953" t="inlineStr">
        <is>
          <t>1512.00000000</t>
        </is>
      </c>
      <c r="G953" t="inlineStr">
        <is>
          <t>42.610000</t>
        </is>
      </c>
      <c r="H953" t="inlineStr">
        <is>
          <t>64426.32</t>
        </is>
      </c>
      <c r="I953" t="inlineStr">
        <is>
          <t>1.92%</t>
        </is>
      </c>
      <c r="J953" t="inlineStr">
        <is>
          <t>3356150.00</t>
        </is>
      </c>
      <c r="K953" t="inlineStr">
        <is>
          <t>140000</t>
        </is>
      </c>
      <c r="L953" t="inlineStr">
        <is>
          <t>28.000000000000</t>
        </is>
      </c>
      <c r="M953" t="inlineStr"/>
    </row>
    <row r="954">
      <c r="A954" t="inlineStr">
        <is>
          <t>06/25/2026</t>
        </is>
      </c>
      <c r="B954" t="inlineStr">
        <is>
          <t>DIPR</t>
        </is>
      </c>
      <c r="C954" s="1" t="inlineStr">
        <is>
          <t>VOYG</t>
        </is>
      </c>
      <c r="D954" s="1" t="inlineStr">
        <is>
          <t>92892B103</t>
        </is>
      </c>
      <c r="E954" t="inlineStr">
        <is>
          <t>Voyager Technologies Inc</t>
        </is>
      </c>
      <c r="F954" t="inlineStr">
        <is>
          <t>3220.00000000</t>
        </is>
      </c>
      <c r="G954" t="inlineStr">
        <is>
          <t>30.360000</t>
        </is>
      </c>
      <c r="H954" t="inlineStr">
        <is>
          <t>97759.20</t>
        </is>
      </c>
      <c r="I954" t="inlineStr">
        <is>
          <t>2.91%</t>
        </is>
      </c>
      <c r="J954" t="inlineStr">
        <is>
          <t>3356150.00</t>
        </is>
      </c>
      <c r="K954" t="inlineStr">
        <is>
          <t>140000</t>
        </is>
      </c>
      <c r="L954" t="inlineStr">
        <is>
          <t>28.000000000000</t>
        </is>
      </c>
      <c r="M954" t="inlineStr"/>
    </row>
    <row r="955">
      <c r="A955" t="inlineStr">
        <is>
          <t>06/25/2026</t>
        </is>
      </c>
      <c r="B955" t="inlineStr">
        <is>
          <t>DIPR</t>
        </is>
      </c>
      <c r="C955" s="1" t="inlineStr">
        <is>
          <t>VSAT</t>
        </is>
      </c>
      <c r="D955" s="1" t="inlineStr">
        <is>
          <t>92552V100</t>
        </is>
      </c>
      <c r="E955" t="inlineStr">
        <is>
          <t>Viasat Inc</t>
        </is>
      </c>
      <c r="F955" t="inlineStr">
        <is>
          <t>2380.00000000</t>
        </is>
      </c>
      <c r="G955" t="inlineStr">
        <is>
          <t>62.230000</t>
        </is>
      </c>
      <c r="H955" t="inlineStr">
        <is>
          <t>148107.40</t>
        </is>
      </c>
      <c r="I955" t="inlineStr">
        <is>
          <t>4.41%</t>
        </is>
      </c>
      <c r="J955" t="inlineStr">
        <is>
          <t>3356150.00</t>
        </is>
      </c>
      <c r="K955" t="inlineStr">
        <is>
          <t>140000</t>
        </is>
      </c>
      <c r="L955" t="inlineStr">
        <is>
          <t>28.000000000000</t>
        </is>
      </c>
      <c r="M955" t="inlineStr"/>
    </row>
    <row r="956">
      <c r="A956" t="inlineStr">
        <is>
          <t>06/25/2026</t>
        </is>
      </c>
      <c r="B956" t="inlineStr">
        <is>
          <t>DIPR</t>
        </is>
      </c>
      <c r="C956" s="1" t="inlineStr">
        <is>
          <t>YSS</t>
        </is>
      </c>
      <c r="D956" s="1" t="inlineStr">
        <is>
          <t>987084100</t>
        </is>
      </c>
      <c r="E956" t="inlineStr">
        <is>
          <t>York Space Systems Inc</t>
        </is>
      </c>
      <c r="F956" t="inlineStr">
        <is>
          <t>2548.00000000</t>
        </is>
      </c>
      <c r="G956" t="inlineStr">
        <is>
          <t>24.540000</t>
        </is>
      </c>
      <c r="H956" t="inlineStr">
        <is>
          <t>62527.92</t>
        </is>
      </c>
      <c r="I956" t="inlineStr">
        <is>
          <t>1.86%</t>
        </is>
      </c>
      <c r="J956" t="inlineStr">
        <is>
          <t>3356150.00</t>
        </is>
      </c>
      <c r="K956" t="inlineStr">
        <is>
          <t>140000</t>
        </is>
      </c>
      <c r="L956" t="inlineStr">
        <is>
          <t>28.000000000000</t>
        </is>
      </c>
      <c r="M956" t="inlineStr"/>
    </row>
    <row r="957">
      <c r="A957" t="inlineStr">
        <is>
          <t>06/25/2026</t>
        </is>
      </c>
      <c r="B957" t="inlineStr">
        <is>
          <t>DIPR</t>
        </is>
      </c>
      <c r="C957" s="1" t="inlineStr">
        <is>
          <t>Cash&amp;Other</t>
        </is>
      </c>
      <c r="D957" s="1" t="inlineStr">
        <is>
          <t>Cash&amp;Other</t>
        </is>
      </c>
      <c r="E957" t="inlineStr">
        <is>
          <t>Cash &amp; Other</t>
        </is>
      </c>
      <c r="F957" t="inlineStr">
        <is>
          <t>3042.50000000</t>
        </is>
      </c>
      <c r="G957" t="inlineStr">
        <is>
          <t>1.000000</t>
        </is>
      </c>
      <c r="H957" t="inlineStr">
        <is>
          <t>3042.50</t>
        </is>
      </c>
      <c r="I957" t="inlineStr">
        <is>
          <t>0.09%</t>
        </is>
      </c>
      <c r="J957" t="inlineStr">
        <is>
          <t>3356150.00</t>
        </is>
      </c>
      <c r="K957" t="inlineStr">
        <is>
          <t>140000</t>
        </is>
      </c>
      <c r="L957" t="inlineStr">
        <is>
          <t>28.000000000000</t>
        </is>
      </c>
      <c r="M957" t="inlineStr">
        <is>
          <t>Y</t>
        </is>
      </c>
    </row>
    <row r="958">
      <c r="A958" t="inlineStr">
        <is>
          <t>06/25/2026</t>
        </is>
      </c>
      <c r="B958" t="inlineStr">
        <is>
          <t>DOCK</t>
        </is>
      </c>
      <c r="C958" s="1" t="inlineStr">
        <is>
          <t>ALSN</t>
        </is>
      </c>
      <c r="D958" s="1" t="inlineStr">
        <is>
          <t>01973R101</t>
        </is>
      </c>
      <c r="E958" t="inlineStr">
        <is>
          <t>Allison Transmission Holdings Inc</t>
        </is>
      </c>
      <c r="F958" t="inlineStr">
        <is>
          <t>216.00000000</t>
        </is>
      </c>
      <c r="G958" t="inlineStr">
        <is>
          <t>119.680000</t>
        </is>
      </c>
      <c r="H958" t="inlineStr">
        <is>
          <t>25850.88</t>
        </is>
      </c>
      <c r="I958" t="inlineStr">
        <is>
          <t>1.62%</t>
        </is>
      </c>
      <c r="J958" t="inlineStr">
        <is>
          <t>1591062.00</t>
        </is>
      </c>
      <c r="K958" t="inlineStr">
        <is>
          <t>60000</t>
        </is>
      </c>
      <c r="L958" t="inlineStr">
        <is>
          <t>12.000000000000</t>
        </is>
      </c>
      <c r="M958" t="inlineStr"/>
    </row>
    <row r="959">
      <c r="A959" t="inlineStr">
        <is>
          <t>06/25/2026</t>
        </is>
      </c>
      <c r="B959" t="inlineStr">
        <is>
          <t>DOCK</t>
        </is>
      </c>
      <c r="C959" s="1" t="inlineStr">
        <is>
          <t>ARCB</t>
        </is>
      </c>
      <c r="D959" s="1" t="inlineStr">
        <is>
          <t>03937C105</t>
        </is>
      </c>
      <c r="E959" t="inlineStr">
        <is>
          <t>ArcBest Corp</t>
        </is>
      </c>
      <c r="F959" t="inlineStr">
        <is>
          <t>108.00000000</t>
        </is>
      </c>
      <c r="G959" t="inlineStr">
        <is>
          <t>145.180000</t>
        </is>
      </c>
      <c r="H959" t="inlineStr">
        <is>
          <t>15679.44</t>
        </is>
      </c>
      <c r="I959" t="inlineStr">
        <is>
          <t>0.99%</t>
        </is>
      </c>
      <c r="J959" t="inlineStr">
        <is>
          <t>1591062.00</t>
        </is>
      </c>
      <c r="K959" t="inlineStr">
        <is>
          <t>60000</t>
        </is>
      </c>
      <c r="L959" t="inlineStr">
        <is>
          <t>12.000000000000</t>
        </is>
      </c>
      <c r="M959" t="inlineStr"/>
    </row>
    <row r="960">
      <c r="A960" t="inlineStr">
        <is>
          <t>06/25/2026</t>
        </is>
      </c>
      <c r="B960" t="inlineStr">
        <is>
          <t>DOCK</t>
        </is>
      </c>
      <c r="C960" s="1" t="inlineStr">
        <is>
          <t>CHRW</t>
        </is>
      </c>
      <c r="D960" s="1" t="inlineStr">
        <is>
          <t>12541W209</t>
        </is>
      </c>
      <c r="E960" t="inlineStr">
        <is>
          <t>CH Robinson Worldwide Inc</t>
        </is>
      </c>
      <c r="F960" t="inlineStr">
        <is>
          <t>267.00000000</t>
        </is>
      </c>
      <c r="G960" t="inlineStr">
        <is>
          <t>177.280000</t>
        </is>
      </c>
      <c r="H960" t="inlineStr">
        <is>
          <t>47333.76</t>
        </is>
      </c>
      <c r="I960" t="inlineStr">
        <is>
          <t>2.97%</t>
        </is>
      </c>
      <c r="J960" t="inlineStr">
        <is>
          <t>1591062.00</t>
        </is>
      </c>
      <c r="K960" t="inlineStr">
        <is>
          <t>60000</t>
        </is>
      </c>
      <c r="L960" t="inlineStr">
        <is>
          <t>12.000000000000</t>
        </is>
      </c>
      <c r="M960" t="inlineStr"/>
    </row>
    <row r="961">
      <c r="A961" t="inlineStr">
        <is>
          <t>06/25/2026</t>
        </is>
      </c>
      <c r="B961" t="inlineStr">
        <is>
          <t>DOCK</t>
        </is>
      </c>
      <c r="C961" s="1" t="inlineStr">
        <is>
          <t>CMI</t>
        </is>
      </c>
      <c r="D961" s="1" t="inlineStr">
        <is>
          <t>231021106</t>
        </is>
      </c>
      <c r="E961" t="inlineStr">
        <is>
          <t>Cummins Inc</t>
        </is>
      </c>
      <c r="F961" t="inlineStr">
        <is>
          <t>108.00000000</t>
        </is>
      </c>
      <c r="G961" t="inlineStr">
        <is>
          <t>694.870000</t>
        </is>
      </c>
      <c r="H961" t="inlineStr">
        <is>
          <t>75045.96</t>
        </is>
      </c>
      <c r="I961" t="inlineStr">
        <is>
          <t>4.72%</t>
        </is>
      </c>
      <c r="J961" t="inlineStr">
        <is>
          <t>1591062.00</t>
        </is>
      </c>
      <c r="K961" t="inlineStr">
        <is>
          <t>60000</t>
        </is>
      </c>
      <c r="L961" t="inlineStr">
        <is>
          <t>12.000000000000</t>
        </is>
      </c>
      <c r="M961" t="inlineStr"/>
    </row>
    <row r="962">
      <c r="A962" t="inlineStr">
        <is>
          <t>06/25/2026</t>
        </is>
      </c>
      <c r="B962" t="inlineStr">
        <is>
          <t>DOCK</t>
        </is>
      </c>
      <c r="C962" s="1" t="inlineStr">
        <is>
          <t>CMRE</t>
        </is>
      </c>
      <c r="D962" s="1" t="inlineStr">
        <is>
          <t>Y1771G102</t>
        </is>
      </c>
      <c r="E962" t="inlineStr">
        <is>
          <t>Costamare Inc</t>
        </is>
      </c>
      <c r="F962" t="inlineStr">
        <is>
          <t>468.00000000</t>
        </is>
      </c>
      <c r="G962" t="inlineStr">
        <is>
          <t>15.070000</t>
        </is>
      </c>
      <c r="H962" t="inlineStr">
        <is>
          <t>7052.76</t>
        </is>
      </c>
      <c r="I962" t="inlineStr">
        <is>
          <t>0.44%</t>
        </is>
      </c>
      <c r="J962" t="inlineStr">
        <is>
          <t>1591062.00</t>
        </is>
      </c>
      <c r="K962" t="inlineStr">
        <is>
          <t>60000</t>
        </is>
      </c>
      <c r="L962" t="inlineStr">
        <is>
          <t>12.000000000000</t>
        </is>
      </c>
      <c r="M962" t="inlineStr"/>
    </row>
    <row r="963">
      <c r="A963" t="inlineStr">
        <is>
          <t>06/25/2026</t>
        </is>
      </c>
      <c r="B963" t="inlineStr">
        <is>
          <t>DOCK</t>
        </is>
      </c>
      <c r="C963" s="1" t="inlineStr">
        <is>
          <t>CNI</t>
        </is>
      </c>
      <c r="D963" s="1" t="inlineStr">
        <is>
          <t>136375102</t>
        </is>
      </c>
      <c r="E963" t="inlineStr">
        <is>
          <t>Canadian National Railway Co</t>
        </is>
      </c>
      <c r="F963" t="inlineStr">
        <is>
          <t>648.00000000</t>
        </is>
      </c>
      <c r="G963" t="inlineStr">
        <is>
          <t>115.910000</t>
        </is>
      </c>
      <c r="H963" t="inlineStr">
        <is>
          <t>75109.68</t>
        </is>
      </c>
      <c r="I963" t="inlineStr">
        <is>
          <t>4.72%</t>
        </is>
      </c>
      <c r="J963" t="inlineStr">
        <is>
          <t>1591062.00</t>
        </is>
      </c>
      <c r="K963" t="inlineStr">
        <is>
          <t>60000</t>
        </is>
      </c>
      <c r="L963" t="inlineStr">
        <is>
          <t>12.000000000000</t>
        </is>
      </c>
      <c r="M963" t="inlineStr"/>
    </row>
    <row r="964">
      <c r="A964" t="inlineStr">
        <is>
          <t>06/25/2026</t>
        </is>
      </c>
      <c r="B964" t="inlineStr">
        <is>
          <t>DOCK</t>
        </is>
      </c>
      <c r="C964" s="1" t="inlineStr">
        <is>
          <t>CP</t>
        </is>
      </c>
      <c r="D964" s="1" t="inlineStr">
        <is>
          <t>13646K108</t>
        </is>
      </c>
      <c r="E964" t="inlineStr">
        <is>
          <t>Canadian Pacific Kansas City Ltd</t>
        </is>
      </c>
      <c r="F964" t="inlineStr">
        <is>
          <t>852.00000000</t>
        </is>
      </c>
      <c r="G964" t="inlineStr">
        <is>
          <t>84.780000</t>
        </is>
      </c>
      <c r="H964" t="inlineStr">
        <is>
          <t>72232.56</t>
        </is>
      </c>
      <c r="I964" t="inlineStr">
        <is>
          <t>4.54%</t>
        </is>
      </c>
      <c r="J964" t="inlineStr">
        <is>
          <t>1591062.00</t>
        </is>
      </c>
      <c r="K964" t="inlineStr">
        <is>
          <t>60000</t>
        </is>
      </c>
      <c r="L964" t="inlineStr">
        <is>
          <t>12.000000000000</t>
        </is>
      </c>
      <c r="M964" t="inlineStr"/>
    </row>
    <row r="965">
      <c r="A965" t="inlineStr">
        <is>
          <t>06/25/2026</t>
        </is>
      </c>
      <c r="B965" t="inlineStr">
        <is>
          <t>DOCK</t>
        </is>
      </c>
      <c r="C965" s="1" t="inlineStr">
        <is>
          <t>CSX</t>
        </is>
      </c>
      <c r="D965" s="1" t="inlineStr">
        <is>
          <t>126408103</t>
        </is>
      </c>
      <c r="E965" t="inlineStr">
        <is>
          <t>CSX Corp</t>
        </is>
      </c>
      <c r="F965" t="inlineStr">
        <is>
          <t>1632.00000000</t>
        </is>
      </c>
      <c r="G965" t="inlineStr">
        <is>
          <t>46.060000</t>
        </is>
      </c>
      <c r="H965" t="inlineStr">
        <is>
          <t>75169.92</t>
        </is>
      </c>
      <c r="I965" t="inlineStr">
        <is>
          <t>4.72%</t>
        </is>
      </c>
      <c r="J965" t="inlineStr">
        <is>
          <t>1591062.00</t>
        </is>
      </c>
      <c r="K965" t="inlineStr">
        <is>
          <t>60000</t>
        </is>
      </c>
      <c r="L965" t="inlineStr">
        <is>
          <t>12.000000000000</t>
        </is>
      </c>
      <c r="M965" t="inlineStr"/>
    </row>
    <row r="966">
      <c r="A966" t="inlineStr">
        <is>
          <t>06/25/2026</t>
        </is>
      </c>
      <c r="B966" t="inlineStr">
        <is>
          <t>DOCK</t>
        </is>
      </c>
      <c r="C966" s="1" t="inlineStr">
        <is>
          <t>CVLG</t>
        </is>
      </c>
      <c r="D966" s="1" t="inlineStr">
        <is>
          <t>22284P105</t>
        </is>
      </c>
      <c r="E966" t="inlineStr">
        <is>
          <t>COVENANT TRANS INC - CL A</t>
        </is>
      </c>
      <c r="F966" t="inlineStr">
        <is>
          <t>180.00000000</t>
        </is>
      </c>
      <c r="G966" t="inlineStr">
        <is>
          <t>42.820000</t>
        </is>
      </c>
      <c r="H966" t="inlineStr">
        <is>
          <t>7707.60</t>
        </is>
      </c>
      <c r="I966" t="inlineStr">
        <is>
          <t>0.48%</t>
        </is>
      </c>
      <c r="J966" t="inlineStr">
        <is>
          <t>1591062.00</t>
        </is>
      </c>
      <c r="K966" t="inlineStr">
        <is>
          <t>60000</t>
        </is>
      </c>
      <c r="L966" t="inlineStr">
        <is>
          <t>12.000000000000</t>
        </is>
      </c>
      <c r="M966" t="inlineStr"/>
    </row>
    <row r="967">
      <c r="A967" t="inlineStr">
        <is>
          <t>06/25/2026</t>
        </is>
      </c>
      <c r="B967" t="inlineStr">
        <is>
          <t>DOCK</t>
        </is>
      </c>
      <c r="C967" s="1" t="inlineStr">
        <is>
          <t>DAC</t>
        </is>
      </c>
      <c r="D967" s="1" t="inlineStr">
        <is>
          <t>Y1968P121</t>
        </is>
      </c>
      <c r="E967" t="inlineStr">
        <is>
          <t>Danaos Corp</t>
        </is>
      </c>
      <c r="F967" t="inlineStr">
        <is>
          <t>72.00000000</t>
        </is>
      </c>
      <c r="G967" t="inlineStr">
        <is>
          <t>125.290000</t>
        </is>
      </c>
      <c r="H967" t="inlineStr">
        <is>
          <t>9020.88</t>
        </is>
      </c>
      <c r="I967" t="inlineStr">
        <is>
          <t>0.57%</t>
        </is>
      </c>
      <c r="J967" t="inlineStr">
        <is>
          <t>1591062.00</t>
        </is>
      </c>
      <c r="K967" t="inlineStr">
        <is>
          <t>60000</t>
        </is>
      </c>
      <c r="L967" t="inlineStr">
        <is>
          <t>12.000000000000</t>
        </is>
      </c>
      <c r="M967" t="inlineStr"/>
    </row>
    <row r="968">
      <c r="A968" t="inlineStr">
        <is>
          <t>06/25/2026</t>
        </is>
      </c>
      <c r="B968" t="inlineStr">
        <is>
          <t>DOCK</t>
        </is>
      </c>
      <c r="C968" s="1" t="inlineStr">
        <is>
          <t>EXPD</t>
        </is>
      </c>
      <c r="D968" s="1" t="inlineStr">
        <is>
          <t>302130109</t>
        </is>
      </c>
      <c r="E968" t="inlineStr">
        <is>
          <t>Expeditors International of Washington Inc</t>
        </is>
      </c>
      <c r="F968" t="inlineStr">
        <is>
          <t>276.00000000</t>
        </is>
      </c>
      <c r="G968" t="inlineStr">
        <is>
          <t>160.160000</t>
        </is>
      </c>
      <c r="H968" t="inlineStr">
        <is>
          <t>44204.16</t>
        </is>
      </c>
      <c r="I968" t="inlineStr">
        <is>
          <t>2.78%</t>
        </is>
      </c>
      <c r="J968" t="inlineStr">
        <is>
          <t>1591062.00</t>
        </is>
      </c>
      <c r="K968" t="inlineStr">
        <is>
          <t>60000</t>
        </is>
      </c>
      <c r="L968" t="inlineStr">
        <is>
          <t>12.000000000000</t>
        </is>
      </c>
      <c r="M968" t="inlineStr"/>
    </row>
    <row r="969">
      <c r="A969" t="inlineStr">
        <is>
          <t>06/25/2026</t>
        </is>
      </c>
      <c r="B969" t="inlineStr">
        <is>
          <t>DOCK</t>
        </is>
      </c>
      <c r="C969" s="1" t="inlineStr">
        <is>
          <t>FDX</t>
        </is>
      </c>
      <c r="D969" s="1" t="inlineStr">
        <is>
          <t>31428X106</t>
        </is>
      </c>
      <c r="E969" t="inlineStr">
        <is>
          <t>FedEx Corp</t>
        </is>
      </c>
      <c r="F969" t="inlineStr">
        <is>
          <t>228.00000000</t>
        </is>
      </c>
      <c r="G969" t="inlineStr">
        <is>
          <t>316.830000</t>
        </is>
      </c>
      <c r="H969" t="inlineStr">
        <is>
          <t>72237.24</t>
        </is>
      </c>
      <c r="I969" t="inlineStr">
        <is>
          <t>4.54%</t>
        </is>
      </c>
      <c r="J969" t="inlineStr">
        <is>
          <t>1591062.00</t>
        </is>
      </c>
      <c r="K969" t="inlineStr">
        <is>
          <t>60000</t>
        </is>
      </c>
      <c r="L969" t="inlineStr">
        <is>
          <t>12.000000000000</t>
        </is>
      </c>
      <c r="M969" t="inlineStr"/>
    </row>
    <row r="970">
      <c r="A970" t="inlineStr">
        <is>
          <t>06/25/2026</t>
        </is>
      </c>
      <c r="B970" t="inlineStr">
        <is>
          <t>DOCK</t>
        </is>
      </c>
      <c r="C970" s="1" t="inlineStr">
        <is>
          <t>FDXF</t>
        </is>
      </c>
      <c r="D970" s="1" t="inlineStr">
        <is>
          <t>314352105</t>
        </is>
      </c>
      <c r="E970" t="inlineStr">
        <is>
          <t>Fedex Freight Holding Co Inc</t>
        </is>
      </c>
      <c r="F970" t="inlineStr">
        <is>
          <t>114.00000000</t>
        </is>
      </c>
      <c r="G970" t="inlineStr">
        <is>
          <t>160.450000</t>
        </is>
      </c>
      <c r="H970" t="inlineStr">
        <is>
          <t>18291.30</t>
        </is>
      </c>
      <c r="I970" t="inlineStr">
        <is>
          <t>1.15%</t>
        </is>
      </c>
      <c r="J970" t="inlineStr">
        <is>
          <t>1591062.00</t>
        </is>
      </c>
      <c r="K970" t="inlineStr">
        <is>
          <t>60000</t>
        </is>
      </c>
      <c r="L970" t="inlineStr">
        <is>
          <t>12.000000000000</t>
        </is>
      </c>
      <c r="M970" t="inlineStr"/>
    </row>
    <row r="971">
      <c r="A971" t="inlineStr">
        <is>
          <t>06/25/2026</t>
        </is>
      </c>
      <c r="B971" t="inlineStr">
        <is>
          <t>DOCK</t>
        </is>
      </c>
      <c r="C971" s="1" t="inlineStr">
        <is>
          <t>FGXXX</t>
        </is>
      </c>
      <c r="D971" s="1" t="inlineStr">
        <is>
          <t>31846V336</t>
        </is>
      </c>
      <c r="E971" t="inlineStr">
        <is>
          <t>First American Government Obligations Fund 12/01/2031</t>
        </is>
      </c>
      <c r="F971" t="inlineStr">
        <is>
          <t>42163.35000000</t>
        </is>
      </c>
      <c r="G971" t="inlineStr">
        <is>
          <t>100.000000</t>
        </is>
      </c>
      <c r="H971" t="inlineStr">
        <is>
          <t>42163.35</t>
        </is>
      </c>
      <c r="I971" t="inlineStr">
        <is>
          <t>2.65%</t>
        </is>
      </c>
      <c r="J971" t="inlineStr">
        <is>
          <t>1591062.00</t>
        </is>
      </c>
      <c r="K971" t="inlineStr">
        <is>
          <t>60000</t>
        </is>
      </c>
      <c r="L971" t="inlineStr">
        <is>
          <t>12.000000000000</t>
        </is>
      </c>
      <c r="M971" t="inlineStr">
        <is>
          <t>Y</t>
        </is>
      </c>
    </row>
    <row r="972">
      <c r="A972" t="inlineStr">
        <is>
          <t>06/25/2026</t>
        </is>
      </c>
      <c r="B972" t="inlineStr">
        <is>
          <t>DOCK</t>
        </is>
      </c>
      <c r="C972" s="1" t="inlineStr">
        <is>
          <t>FWRD</t>
        </is>
      </c>
      <c r="D972" s="1" t="inlineStr">
        <is>
          <t>34986A104</t>
        </is>
      </c>
      <c r="E972" t="inlineStr">
        <is>
          <t>Forward Air Corp</t>
        </is>
      </c>
      <c r="F972" t="inlineStr">
        <is>
          <t>276.00000000</t>
        </is>
      </c>
      <c r="G972" t="inlineStr">
        <is>
          <t>13.390000</t>
        </is>
      </c>
      <c r="H972" t="inlineStr">
        <is>
          <t>3695.64</t>
        </is>
      </c>
      <c r="I972" t="inlineStr">
        <is>
          <t>0.23%</t>
        </is>
      </c>
      <c r="J972" t="inlineStr">
        <is>
          <t>1591062.00</t>
        </is>
      </c>
      <c r="K972" t="inlineStr">
        <is>
          <t>60000</t>
        </is>
      </c>
      <c r="L972" t="inlineStr">
        <is>
          <t>12.000000000000</t>
        </is>
      </c>
      <c r="M972" t="inlineStr"/>
    </row>
    <row r="973">
      <c r="A973" t="inlineStr">
        <is>
          <t>06/25/2026</t>
        </is>
      </c>
      <c r="B973" t="inlineStr">
        <is>
          <t>DOCK</t>
        </is>
      </c>
      <c r="C973" s="1" t="inlineStr">
        <is>
          <t>GATX</t>
        </is>
      </c>
      <c r="D973" s="1" t="inlineStr">
        <is>
          <t>361448103</t>
        </is>
      </c>
      <c r="E973" t="inlineStr">
        <is>
          <t>GATX Corp</t>
        </is>
      </c>
      <c r="F973" t="inlineStr">
        <is>
          <t>120.00000000</t>
        </is>
      </c>
      <c r="G973" t="inlineStr">
        <is>
          <t>179.450000</t>
        </is>
      </c>
      <c r="H973" t="inlineStr">
        <is>
          <t>21534.00</t>
        </is>
      </c>
      <c r="I973" t="inlineStr">
        <is>
          <t>1.35%</t>
        </is>
      </c>
      <c r="J973" t="inlineStr">
        <is>
          <t>1591062.00</t>
        </is>
      </c>
      <c r="K973" t="inlineStr">
        <is>
          <t>60000</t>
        </is>
      </c>
      <c r="L973" t="inlineStr">
        <is>
          <t>12.000000000000</t>
        </is>
      </c>
      <c r="M973" t="inlineStr"/>
    </row>
    <row r="974">
      <c r="A974" t="inlineStr">
        <is>
          <t>06/25/2026</t>
        </is>
      </c>
      <c r="B974" t="inlineStr">
        <is>
          <t>DOCK</t>
        </is>
      </c>
      <c r="C974" s="1" t="inlineStr">
        <is>
          <t>GSL</t>
        </is>
      </c>
      <c r="D974" s="1" t="inlineStr">
        <is>
          <t>Y27183600</t>
        </is>
      </c>
      <c r="E974" t="inlineStr">
        <is>
          <t>Global Ship Lease Inc</t>
        </is>
      </c>
      <c r="F974" t="inlineStr">
        <is>
          <t>264.00000000</t>
        </is>
      </c>
      <c r="G974" t="inlineStr">
        <is>
          <t>38.690000</t>
        </is>
      </c>
      <c r="H974" t="inlineStr">
        <is>
          <t>10214.16</t>
        </is>
      </c>
      <c r="I974" t="inlineStr">
        <is>
          <t>0.64%</t>
        </is>
      </c>
      <c r="J974" t="inlineStr">
        <is>
          <t>1591062.00</t>
        </is>
      </c>
      <c r="K974" t="inlineStr">
        <is>
          <t>60000</t>
        </is>
      </c>
      <c r="L974" t="inlineStr">
        <is>
          <t>12.000000000000</t>
        </is>
      </c>
      <c r="M974" t="inlineStr"/>
    </row>
    <row r="975">
      <c r="A975" t="inlineStr">
        <is>
          <t>06/25/2026</t>
        </is>
      </c>
      <c r="B975" t="inlineStr">
        <is>
          <t>DOCK</t>
        </is>
      </c>
      <c r="C975" s="1" t="inlineStr">
        <is>
          <t>GXO</t>
        </is>
      </c>
      <c r="D975" s="1" t="inlineStr">
        <is>
          <t>36262G101</t>
        </is>
      </c>
      <c r="E975" t="inlineStr">
        <is>
          <t>GXO Logistics Inc</t>
        </is>
      </c>
      <c r="F975" t="inlineStr">
        <is>
          <t>396.00000000</t>
        </is>
      </c>
      <c r="G975" t="inlineStr">
        <is>
          <t>49.980000</t>
        </is>
      </c>
      <c r="H975" t="inlineStr">
        <is>
          <t>19792.08</t>
        </is>
      </c>
      <c r="I975" t="inlineStr">
        <is>
          <t>1.24%</t>
        </is>
      </c>
      <c r="J975" t="inlineStr">
        <is>
          <t>1591062.00</t>
        </is>
      </c>
      <c r="K975" t="inlineStr">
        <is>
          <t>60000</t>
        </is>
      </c>
      <c r="L975" t="inlineStr">
        <is>
          <t>12.000000000000</t>
        </is>
      </c>
      <c r="M975" t="inlineStr"/>
    </row>
    <row r="976">
      <c r="A976" t="inlineStr">
        <is>
          <t>06/25/2026</t>
        </is>
      </c>
      <c r="B976" t="inlineStr">
        <is>
          <t>DOCK</t>
        </is>
      </c>
      <c r="C976" s="1" t="inlineStr">
        <is>
          <t>HTLD</t>
        </is>
      </c>
      <c r="D976" s="1" t="inlineStr">
        <is>
          <t>422347104</t>
        </is>
      </c>
      <c r="E976" t="inlineStr">
        <is>
          <t>Heartland Express Inc</t>
        </is>
      </c>
      <c r="F976" t="inlineStr">
        <is>
          <t>810.00000000</t>
        </is>
      </c>
      <c r="G976" t="inlineStr">
        <is>
          <t>14.590000</t>
        </is>
      </c>
      <c r="H976" t="inlineStr">
        <is>
          <t>11817.90</t>
        </is>
      </c>
      <c r="I976" t="inlineStr">
        <is>
          <t>0.74%</t>
        </is>
      </c>
      <c r="J976" t="inlineStr">
        <is>
          <t>1591062.00</t>
        </is>
      </c>
      <c r="K976" t="inlineStr">
        <is>
          <t>60000</t>
        </is>
      </c>
      <c r="L976" t="inlineStr">
        <is>
          <t>12.000000000000</t>
        </is>
      </c>
      <c r="M976" t="inlineStr"/>
    </row>
    <row r="977">
      <c r="A977" t="inlineStr">
        <is>
          <t>06/25/2026</t>
        </is>
      </c>
      <c r="B977" t="inlineStr">
        <is>
          <t>DOCK</t>
        </is>
      </c>
      <c r="C977" s="1" t="inlineStr">
        <is>
          <t>HUBG</t>
        </is>
      </c>
      <c r="D977" s="1" t="inlineStr">
        <is>
          <t>443320106</t>
        </is>
      </c>
      <c r="E977" t="inlineStr">
        <is>
          <t>Hub Group Inc</t>
        </is>
      </c>
      <c r="F977" t="inlineStr">
        <is>
          <t>300.00000000</t>
        </is>
      </c>
      <c r="G977" t="inlineStr">
        <is>
          <t>43.000000</t>
        </is>
      </c>
      <c r="H977" t="inlineStr">
        <is>
          <t>12900.00</t>
        </is>
      </c>
      <c r="I977" t="inlineStr">
        <is>
          <t>0.81%</t>
        </is>
      </c>
      <c r="J977" t="inlineStr">
        <is>
          <t>1591062.00</t>
        </is>
      </c>
      <c r="K977" t="inlineStr">
        <is>
          <t>60000</t>
        </is>
      </c>
      <c r="L977" t="inlineStr">
        <is>
          <t>12.000000000000</t>
        </is>
      </c>
      <c r="M977" t="inlineStr"/>
    </row>
    <row r="978">
      <c r="A978" t="inlineStr">
        <is>
          <t>06/25/2026</t>
        </is>
      </c>
      <c r="B978" t="inlineStr">
        <is>
          <t>DOCK</t>
        </is>
      </c>
      <c r="C978" s="1" t="inlineStr">
        <is>
          <t>JBHT</t>
        </is>
      </c>
      <c r="D978" s="1" t="inlineStr">
        <is>
          <t>445658107</t>
        </is>
      </c>
      <c r="E978" t="inlineStr">
        <is>
          <t>JB Hunt Transport Services Inc</t>
        </is>
      </c>
      <c r="F978" t="inlineStr">
        <is>
          <t>180.00000000</t>
        </is>
      </c>
      <c r="G978" t="inlineStr">
        <is>
          <t>269.060000</t>
        </is>
      </c>
      <c r="H978" t="inlineStr">
        <is>
          <t>48430.80</t>
        </is>
      </c>
      <c r="I978" t="inlineStr">
        <is>
          <t>3.04%</t>
        </is>
      </c>
      <c r="J978" t="inlineStr">
        <is>
          <t>1591062.00</t>
        </is>
      </c>
      <c r="K978" t="inlineStr">
        <is>
          <t>60000</t>
        </is>
      </c>
      <c r="L978" t="inlineStr">
        <is>
          <t>12.000000000000</t>
        </is>
      </c>
      <c r="M978" t="inlineStr"/>
    </row>
    <row r="979">
      <c r="A979" t="inlineStr">
        <is>
          <t>06/25/2026</t>
        </is>
      </c>
      <c r="B979" t="inlineStr">
        <is>
          <t>DOCK</t>
        </is>
      </c>
      <c r="C979" s="1" t="inlineStr">
        <is>
          <t>KEX</t>
        </is>
      </c>
      <c r="D979" s="1" t="inlineStr">
        <is>
          <t>497266106</t>
        </is>
      </c>
      <c r="E979" t="inlineStr">
        <is>
          <t>Kirby Corp</t>
        </is>
      </c>
      <c r="F979" t="inlineStr">
        <is>
          <t>168.00000000</t>
        </is>
      </c>
      <c r="G979" t="inlineStr">
        <is>
          <t>137.130000</t>
        </is>
      </c>
      <c r="H979" t="inlineStr">
        <is>
          <t>23037.84</t>
        </is>
      </c>
      <c r="I979" t="inlineStr">
        <is>
          <t>1.45%</t>
        </is>
      </c>
      <c r="J979" t="inlineStr">
        <is>
          <t>1591062.00</t>
        </is>
      </c>
      <c r="K979" t="inlineStr">
        <is>
          <t>60000</t>
        </is>
      </c>
      <c r="L979" t="inlineStr">
        <is>
          <t>12.000000000000</t>
        </is>
      </c>
      <c r="M979" t="inlineStr"/>
    </row>
    <row r="980">
      <c r="A980" t="inlineStr">
        <is>
          <t>06/25/2026</t>
        </is>
      </c>
      <c r="B980" t="inlineStr">
        <is>
          <t>DOCK</t>
        </is>
      </c>
      <c r="C980" s="1" t="inlineStr">
        <is>
          <t>KNX</t>
        </is>
      </c>
      <c r="D980" s="1" t="inlineStr">
        <is>
          <t>499049104</t>
        </is>
      </c>
      <c r="E980" t="inlineStr">
        <is>
          <t>Knight-Swift Transportation Holdings Inc</t>
        </is>
      </c>
      <c r="F980" t="inlineStr">
        <is>
          <t>552.00000000</t>
        </is>
      </c>
      <c r="G980" t="inlineStr">
        <is>
          <t>74.520000</t>
        </is>
      </c>
      <c r="H980" t="inlineStr">
        <is>
          <t>41135.04</t>
        </is>
      </c>
      <c r="I980" t="inlineStr">
        <is>
          <t>2.59%</t>
        </is>
      </c>
      <c r="J980" t="inlineStr">
        <is>
          <t>1591062.00</t>
        </is>
      </c>
      <c r="K980" t="inlineStr">
        <is>
          <t>60000</t>
        </is>
      </c>
      <c r="L980" t="inlineStr">
        <is>
          <t>12.000000000000</t>
        </is>
      </c>
      <c r="M980" t="inlineStr"/>
    </row>
    <row r="981">
      <c r="A981" t="inlineStr">
        <is>
          <t>06/25/2026</t>
        </is>
      </c>
      <c r="B981" t="inlineStr">
        <is>
          <t>DOCK</t>
        </is>
      </c>
      <c r="C981" s="1" t="inlineStr">
        <is>
          <t>LSTR</t>
        </is>
      </c>
      <c r="D981" s="1" t="inlineStr">
        <is>
          <t>515098101</t>
        </is>
      </c>
      <c r="E981" t="inlineStr">
        <is>
          <t>Landstar System Inc</t>
        </is>
      </c>
      <c r="F981" t="inlineStr">
        <is>
          <t>120.00000000</t>
        </is>
      </c>
      <c r="G981" t="inlineStr">
        <is>
          <t>207.680000</t>
        </is>
      </c>
      <c r="H981" t="inlineStr">
        <is>
          <t>24921.60</t>
        </is>
      </c>
      <c r="I981" t="inlineStr">
        <is>
          <t>1.57%</t>
        </is>
      </c>
      <c r="J981" t="inlineStr">
        <is>
          <t>1591062.00</t>
        </is>
      </c>
      <c r="K981" t="inlineStr">
        <is>
          <t>60000</t>
        </is>
      </c>
      <c r="L981" t="inlineStr">
        <is>
          <t>12.000000000000</t>
        </is>
      </c>
      <c r="M981" t="inlineStr"/>
    </row>
    <row r="982">
      <c r="A982" t="inlineStr">
        <is>
          <t>06/25/2026</t>
        </is>
      </c>
      <c r="B982" t="inlineStr">
        <is>
          <t>DOCK</t>
        </is>
      </c>
      <c r="C982" s="1" t="inlineStr">
        <is>
          <t>MANH</t>
        </is>
      </c>
      <c r="D982" s="1" t="inlineStr">
        <is>
          <t>562750109</t>
        </is>
      </c>
      <c r="E982" t="inlineStr">
        <is>
          <t>Manhattan Associates Inc</t>
        </is>
      </c>
      <c r="F982" t="inlineStr">
        <is>
          <t>180.00000000</t>
        </is>
      </c>
      <c r="G982" t="inlineStr">
        <is>
          <t>130.870000</t>
        </is>
      </c>
      <c r="H982" t="inlineStr">
        <is>
          <t>23556.60</t>
        </is>
      </c>
      <c r="I982" t="inlineStr">
        <is>
          <t>1.48%</t>
        </is>
      </c>
      <c r="J982" t="inlineStr">
        <is>
          <t>1591062.00</t>
        </is>
      </c>
      <c r="K982" t="inlineStr">
        <is>
          <t>60000</t>
        </is>
      </c>
      <c r="L982" t="inlineStr">
        <is>
          <t>12.000000000000</t>
        </is>
      </c>
      <c r="M982" t="inlineStr"/>
    </row>
    <row r="983">
      <c r="A983" t="inlineStr">
        <is>
          <t>06/25/2026</t>
        </is>
      </c>
      <c r="B983" t="inlineStr">
        <is>
          <t>DOCK</t>
        </is>
      </c>
      <c r="C983" s="1" t="inlineStr">
        <is>
          <t>MATX</t>
        </is>
      </c>
      <c r="D983" s="1" t="inlineStr">
        <is>
          <t>57686G105</t>
        </is>
      </c>
      <c r="E983" t="inlineStr">
        <is>
          <t>Matson Inc</t>
        </is>
      </c>
      <c r="F983" t="inlineStr">
        <is>
          <t>120.00000000</t>
        </is>
      </c>
      <c r="G983" t="inlineStr">
        <is>
          <t>195.590000</t>
        </is>
      </c>
      <c r="H983" t="inlineStr">
        <is>
          <t>23470.80</t>
        </is>
      </c>
      <c r="I983" t="inlineStr">
        <is>
          <t>1.48%</t>
        </is>
      </c>
      <c r="J983" t="inlineStr">
        <is>
          <t>1591062.00</t>
        </is>
      </c>
      <c r="K983" t="inlineStr">
        <is>
          <t>60000</t>
        </is>
      </c>
      <c r="L983" t="inlineStr">
        <is>
          <t>12.000000000000</t>
        </is>
      </c>
      <c r="M983" t="inlineStr"/>
    </row>
    <row r="984">
      <c r="A984" t="inlineStr">
        <is>
          <t>06/25/2026</t>
        </is>
      </c>
      <c r="B984" t="inlineStr">
        <is>
          <t>DOCK</t>
        </is>
      </c>
      <c r="C984" s="1" t="inlineStr">
        <is>
          <t>MRTN</t>
        </is>
      </c>
      <c r="D984" s="1" t="inlineStr">
        <is>
          <t>573075108</t>
        </is>
      </c>
      <c r="E984" t="inlineStr">
        <is>
          <t>Marten Transport Ltd</t>
        </is>
      </c>
      <c r="F984" t="inlineStr">
        <is>
          <t>552.00000000</t>
        </is>
      </c>
      <c r="G984" t="inlineStr">
        <is>
          <t>16.840000</t>
        </is>
      </c>
      <c r="H984" t="inlineStr">
        <is>
          <t>9295.68</t>
        </is>
      </c>
      <c r="I984" t="inlineStr">
        <is>
          <t>0.58%</t>
        </is>
      </c>
      <c r="J984" t="inlineStr">
        <is>
          <t>1591062.00</t>
        </is>
      </c>
      <c r="K984" t="inlineStr">
        <is>
          <t>60000</t>
        </is>
      </c>
      <c r="L984" t="inlineStr">
        <is>
          <t>12.000000000000</t>
        </is>
      </c>
      <c r="M984" t="inlineStr"/>
    </row>
    <row r="985">
      <c r="A985" t="inlineStr">
        <is>
          <t>06/25/2026</t>
        </is>
      </c>
      <c r="B985" t="inlineStr">
        <is>
          <t>DOCK</t>
        </is>
      </c>
      <c r="C985" s="1" t="inlineStr">
        <is>
          <t>NSC</t>
        </is>
      </c>
      <c r="D985" s="1" t="inlineStr">
        <is>
          <t>655844108</t>
        </is>
      </c>
      <c r="E985" t="inlineStr">
        <is>
          <t>Norfolk Southern Corp</t>
        </is>
      </c>
      <c r="F985" t="inlineStr">
        <is>
          <t>228.00000000</t>
        </is>
      </c>
      <c r="G985" t="inlineStr">
        <is>
          <t>303.820000</t>
        </is>
      </c>
      <c r="H985" t="inlineStr">
        <is>
          <t>69270.96</t>
        </is>
      </c>
      <c r="I985" t="inlineStr">
        <is>
          <t>4.35%</t>
        </is>
      </c>
      <c r="J985" t="inlineStr">
        <is>
          <t>1591062.00</t>
        </is>
      </c>
      <c r="K985" t="inlineStr">
        <is>
          <t>60000</t>
        </is>
      </c>
      <c r="L985" t="inlineStr">
        <is>
          <t>12.000000000000</t>
        </is>
      </c>
      <c r="M985" t="inlineStr"/>
    </row>
    <row r="986">
      <c r="A986" t="inlineStr">
        <is>
          <t>06/25/2026</t>
        </is>
      </c>
      <c r="B986" t="inlineStr">
        <is>
          <t>DOCK</t>
        </is>
      </c>
      <c r="C986" s="1" t="inlineStr">
        <is>
          <t>ODFL</t>
        </is>
      </c>
      <c r="D986" s="1" t="inlineStr">
        <is>
          <t>679580100</t>
        </is>
      </c>
      <c r="E986" t="inlineStr">
        <is>
          <t>Old Dominion Freight Line Inc</t>
        </is>
      </c>
      <c r="F986" t="inlineStr">
        <is>
          <t>264.00000000</t>
        </is>
      </c>
      <c r="G986" t="inlineStr">
        <is>
          <t>219.040000</t>
        </is>
      </c>
      <c r="H986" t="inlineStr">
        <is>
          <t>57826.56</t>
        </is>
      </c>
      <c r="I986" t="inlineStr">
        <is>
          <t>3.63%</t>
        </is>
      </c>
      <c r="J986" t="inlineStr">
        <is>
          <t>1591062.00</t>
        </is>
      </c>
      <c r="K986" t="inlineStr">
        <is>
          <t>60000</t>
        </is>
      </c>
      <c r="L986" t="inlineStr">
        <is>
          <t>12.000000000000</t>
        </is>
      </c>
      <c r="M986" t="inlineStr"/>
    </row>
    <row r="987">
      <c r="A987" t="inlineStr">
        <is>
          <t>06/25/2026</t>
        </is>
      </c>
      <c r="B987" t="inlineStr">
        <is>
          <t>DOCK</t>
        </is>
      </c>
      <c r="C987" s="1" t="inlineStr">
        <is>
          <t>PCAR</t>
        </is>
      </c>
      <c r="D987" s="1" t="inlineStr">
        <is>
          <t>693718108</t>
        </is>
      </c>
      <c r="E987" t="inlineStr">
        <is>
          <t>PACCAR Inc</t>
        </is>
      </c>
      <c r="F987" t="inlineStr">
        <is>
          <t>647.00000000</t>
        </is>
      </c>
      <c r="G987" t="inlineStr">
        <is>
          <t>117.030000</t>
        </is>
      </c>
      <c r="H987" t="inlineStr">
        <is>
          <t>75718.41</t>
        </is>
      </c>
      <c r="I987" t="inlineStr">
        <is>
          <t>4.76%</t>
        </is>
      </c>
      <c r="J987" t="inlineStr">
        <is>
          <t>1591062.00</t>
        </is>
      </c>
      <c r="K987" t="inlineStr">
        <is>
          <t>60000</t>
        </is>
      </c>
      <c r="L987" t="inlineStr">
        <is>
          <t>12.000000000000</t>
        </is>
      </c>
      <c r="M987" t="inlineStr"/>
    </row>
    <row r="988">
      <c r="A988" t="inlineStr">
        <is>
          <t>06/25/2026</t>
        </is>
      </c>
      <c r="B988" t="inlineStr">
        <is>
          <t>DOCK</t>
        </is>
      </c>
      <c r="C988" s="1" t="inlineStr">
        <is>
          <t>R</t>
        </is>
      </c>
      <c r="D988" s="1" t="inlineStr">
        <is>
          <t>783549108</t>
        </is>
      </c>
      <c r="E988" t="inlineStr">
        <is>
          <t>Ryder System Inc</t>
        </is>
      </c>
      <c r="F988" t="inlineStr">
        <is>
          <t>96.00000000</t>
        </is>
      </c>
      <c r="G988" t="inlineStr">
        <is>
          <t>261.010000</t>
        </is>
      </c>
      <c r="H988" t="inlineStr">
        <is>
          <t>25056.96</t>
        </is>
      </c>
      <c r="I988" t="inlineStr">
        <is>
          <t>1.57%</t>
        </is>
      </c>
      <c r="J988" t="inlineStr">
        <is>
          <t>1591062.00</t>
        </is>
      </c>
      <c r="K988" t="inlineStr">
        <is>
          <t>60000</t>
        </is>
      </c>
      <c r="L988" t="inlineStr">
        <is>
          <t>12.000000000000</t>
        </is>
      </c>
      <c r="M988" t="inlineStr"/>
    </row>
    <row r="989">
      <c r="A989" t="inlineStr">
        <is>
          <t>06/25/2026</t>
        </is>
      </c>
      <c r="B989" t="inlineStr">
        <is>
          <t>DOCK</t>
        </is>
      </c>
      <c r="C989" s="1" t="inlineStr">
        <is>
          <t>RAIL</t>
        </is>
      </c>
      <c r="D989" s="1" t="inlineStr">
        <is>
          <t>357023100</t>
        </is>
      </c>
      <c r="E989" t="inlineStr">
        <is>
          <t>FreightCar America Inc</t>
        </is>
      </c>
      <c r="F989" t="inlineStr">
        <is>
          <t>420.00000000</t>
        </is>
      </c>
      <c r="G989" t="inlineStr">
        <is>
          <t>9.260000</t>
        </is>
      </c>
      <c r="H989" t="inlineStr">
        <is>
          <t>3889.20</t>
        </is>
      </c>
      <c r="I989" t="inlineStr">
        <is>
          <t>0.24%</t>
        </is>
      </c>
      <c r="J989" t="inlineStr">
        <is>
          <t>1591062.00</t>
        </is>
      </c>
      <c r="K989" t="inlineStr">
        <is>
          <t>60000</t>
        </is>
      </c>
      <c r="L989" t="inlineStr">
        <is>
          <t>12.000000000000</t>
        </is>
      </c>
      <c r="M989" t="inlineStr"/>
    </row>
    <row r="990">
      <c r="A990" t="inlineStr">
        <is>
          <t>06/25/2026</t>
        </is>
      </c>
      <c r="B990" t="inlineStr">
        <is>
          <t>DOCK</t>
        </is>
      </c>
      <c r="C990" s="1" t="inlineStr">
        <is>
          <t>RLGT</t>
        </is>
      </c>
      <c r="D990" s="1" t="inlineStr">
        <is>
          <t>75025X100</t>
        </is>
      </c>
      <c r="E990" t="inlineStr">
        <is>
          <t>Radiant Logistics Inc</t>
        </is>
      </c>
      <c r="F990" t="inlineStr">
        <is>
          <t>600.00000000</t>
        </is>
      </c>
      <c r="G990" t="inlineStr">
        <is>
          <t>9.090000</t>
        </is>
      </c>
      <c r="H990" t="inlineStr">
        <is>
          <t>5454.00</t>
        </is>
      </c>
      <c r="I990" t="inlineStr">
        <is>
          <t>0.34%</t>
        </is>
      </c>
      <c r="J990" t="inlineStr">
        <is>
          <t>1591062.00</t>
        </is>
      </c>
      <c r="K990" t="inlineStr">
        <is>
          <t>60000</t>
        </is>
      </c>
      <c r="L990" t="inlineStr">
        <is>
          <t>12.000000000000</t>
        </is>
      </c>
      <c r="M990" t="inlineStr"/>
    </row>
    <row r="991">
      <c r="A991" t="inlineStr">
        <is>
          <t>06/25/2026</t>
        </is>
      </c>
      <c r="B991" t="inlineStr">
        <is>
          <t>DOCK</t>
        </is>
      </c>
      <c r="C991" s="1" t="inlineStr">
        <is>
          <t>RXO</t>
        </is>
      </c>
      <c r="D991" s="1" t="inlineStr">
        <is>
          <t>74982T103</t>
        </is>
      </c>
      <c r="E991" t="inlineStr">
        <is>
          <t>RXO Inc</t>
        </is>
      </c>
      <c r="F991" t="inlineStr">
        <is>
          <t>720.00000000</t>
        </is>
      </c>
      <c r="G991" t="inlineStr">
        <is>
          <t>25.300000</t>
        </is>
      </c>
      <c r="H991" t="inlineStr">
        <is>
          <t>18216.00</t>
        </is>
      </c>
      <c r="I991" t="inlineStr">
        <is>
          <t>1.14%</t>
        </is>
      </c>
      <c r="J991" t="inlineStr">
        <is>
          <t>1591062.00</t>
        </is>
      </c>
      <c r="K991" t="inlineStr">
        <is>
          <t>60000</t>
        </is>
      </c>
      <c r="L991" t="inlineStr">
        <is>
          <t>12.000000000000</t>
        </is>
      </c>
      <c r="M991" t="inlineStr"/>
    </row>
    <row r="992">
      <c r="A992" t="inlineStr">
        <is>
          <t>06/25/2026</t>
        </is>
      </c>
      <c r="B992" t="inlineStr">
        <is>
          <t>DOCK</t>
        </is>
      </c>
      <c r="C992" s="1" t="inlineStr">
        <is>
          <t>SAIA</t>
        </is>
      </c>
      <c r="D992" s="1" t="inlineStr">
        <is>
          <t>78709Y105</t>
        </is>
      </c>
      <c r="E992" t="inlineStr">
        <is>
          <t>Saia Inc</t>
        </is>
      </c>
      <c r="F992" t="inlineStr">
        <is>
          <t>68.00000000</t>
        </is>
      </c>
      <c r="G992" t="inlineStr">
        <is>
          <t>428.440000</t>
        </is>
      </c>
      <c r="H992" t="inlineStr">
        <is>
          <t>29133.92</t>
        </is>
      </c>
      <c r="I992" t="inlineStr">
        <is>
          <t>1.83%</t>
        </is>
      </c>
      <c r="J992" t="inlineStr">
        <is>
          <t>1591062.00</t>
        </is>
      </c>
      <c r="K992" t="inlineStr">
        <is>
          <t>60000</t>
        </is>
      </c>
      <c r="L992" t="inlineStr">
        <is>
          <t>12.000000000000</t>
        </is>
      </c>
      <c r="M992" t="inlineStr"/>
    </row>
    <row r="993">
      <c r="A993" t="inlineStr">
        <is>
          <t>06/25/2026</t>
        </is>
      </c>
      <c r="B993" t="inlineStr">
        <is>
          <t>DOCK</t>
        </is>
      </c>
      <c r="C993" s="1" t="inlineStr">
        <is>
          <t>SNDR</t>
        </is>
      </c>
      <c r="D993" s="1" t="inlineStr">
        <is>
          <t>80689H102</t>
        </is>
      </c>
      <c r="E993" t="inlineStr">
        <is>
          <t>Schneider National Inc</t>
        </is>
      </c>
      <c r="F993" t="inlineStr">
        <is>
          <t>696.00000000</t>
        </is>
      </c>
      <c r="G993" t="inlineStr">
        <is>
          <t>34.970000</t>
        </is>
      </c>
      <c r="H993" t="inlineStr">
        <is>
          <t>24339.12</t>
        </is>
      </c>
      <c r="I993" t="inlineStr">
        <is>
          <t>1.53%</t>
        </is>
      </c>
      <c r="J993" t="inlineStr">
        <is>
          <t>1591062.00</t>
        </is>
      </c>
      <c r="K993" t="inlineStr">
        <is>
          <t>60000</t>
        </is>
      </c>
      <c r="L993" t="inlineStr">
        <is>
          <t>12.000000000000</t>
        </is>
      </c>
      <c r="M993" t="inlineStr"/>
    </row>
    <row r="994">
      <c r="A994" t="inlineStr">
        <is>
          <t>06/25/2026</t>
        </is>
      </c>
      <c r="B994" t="inlineStr">
        <is>
          <t>DOCK</t>
        </is>
      </c>
      <c r="C994" s="1" t="inlineStr">
        <is>
          <t>TEX</t>
        </is>
      </c>
      <c r="D994" s="1" t="inlineStr">
        <is>
          <t>880779103</t>
        </is>
      </c>
      <c r="E994" t="inlineStr">
        <is>
          <t>Terex Corp</t>
        </is>
      </c>
      <c r="F994" t="inlineStr">
        <is>
          <t>384.00000000</t>
        </is>
      </c>
      <c r="G994" t="inlineStr">
        <is>
          <t>70.100000</t>
        </is>
      </c>
      <c r="H994" t="inlineStr">
        <is>
          <t>26918.40</t>
        </is>
      </c>
      <c r="I994" t="inlineStr">
        <is>
          <t>1.69%</t>
        </is>
      </c>
      <c r="J994" t="inlineStr">
        <is>
          <t>1591062.00</t>
        </is>
      </c>
      <c r="K994" t="inlineStr">
        <is>
          <t>60000</t>
        </is>
      </c>
      <c r="L994" t="inlineStr">
        <is>
          <t>12.000000000000</t>
        </is>
      </c>
      <c r="M994" t="inlineStr"/>
    </row>
    <row r="995">
      <c r="A995" t="inlineStr">
        <is>
          <t>06/25/2026</t>
        </is>
      </c>
      <c r="B995" t="inlineStr">
        <is>
          <t>DOCK</t>
        </is>
      </c>
      <c r="C995" s="1" t="inlineStr">
        <is>
          <t>TFII</t>
        </is>
      </c>
      <c r="D995" s="1" t="inlineStr">
        <is>
          <t>87241L109</t>
        </is>
      </c>
      <c r="E995" t="inlineStr">
        <is>
          <t>TFI International Inc</t>
        </is>
      </c>
      <c r="F995" t="inlineStr">
        <is>
          <t>192.00000000</t>
        </is>
      </c>
      <c r="G995" t="inlineStr">
        <is>
          <t>143.180000</t>
        </is>
      </c>
      <c r="H995" t="inlineStr">
        <is>
          <t>27490.56</t>
        </is>
      </c>
      <c r="I995" t="inlineStr">
        <is>
          <t>1.73%</t>
        </is>
      </c>
      <c r="J995" t="inlineStr">
        <is>
          <t>1591062.00</t>
        </is>
      </c>
      <c r="K995" t="inlineStr">
        <is>
          <t>60000</t>
        </is>
      </c>
      <c r="L995" t="inlineStr">
        <is>
          <t>12.000000000000</t>
        </is>
      </c>
      <c r="M995" t="inlineStr"/>
    </row>
    <row r="996">
      <c r="A996" t="inlineStr">
        <is>
          <t>06/25/2026</t>
        </is>
      </c>
      <c r="B996" t="inlineStr">
        <is>
          <t>DOCK</t>
        </is>
      </c>
      <c r="C996" s="1" t="inlineStr">
        <is>
          <t>TRN</t>
        </is>
      </c>
      <c r="D996" s="1" t="inlineStr">
        <is>
          <t>896522109</t>
        </is>
      </c>
      <c r="E996" t="inlineStr">
        <is>
          <t>Trinity Industries Inc</t>
        </is>
      </c>
      <c r="F996" t="inlineStr">
        <is>
          <t>456.00000000</t>
        </is>
      </c>
      <c r="G996" t="inlineStr">
        <is>
          <t>35.320000</t>
        </is>
      </c>
      <c r="H996" t="inlineStr">
        <is>
          <t>16105.92</t>
        </is>
      </c>
      <c r="I996" t="inlineStr">
        <is>
          <t>1.01%</t>
        </is>
      </c>
      <c r="J996" t="inlineStr">
        <is>
          <t>1591062.00</t>
        </is>
      </c>
      <c r="K996" t="inlineStr">
        <is>
          <t>60000</t>
        </is>
      </c>
      <c r="L996" t="inlineStr">
        <is>
          <t>12.000000000000</t>
        </is>
      </c>
      <c r="M996" t="inlineStr"/>
    </row>
    <row r="997">
      <c r="A997" t="inlineStr">
        <is>
          <t>06/25/2026</t>
        </is>
      </c>
      <c r="B997" t="inlineStr">
        <is>
          <t>DOCK</t>
        </is>
      </c>
      <c r="C997" s="1" t="inlineStr">
        <is>
          <t>UNP</t>
        </is>
      </c>
      <c r="D997" s="1" t="inlineStr">
        <is>
          <t>907818108</t>
        </is>
      </c>
      <c r="E997" t="inlineStr">
        <is>
          <t>Union Pacific Corp</t>
        </is>
      </c>
      <c r="F997" t="inlineStr">
        <is>
          <t>456.00000000</t>
        </is>
      </c>
      <c r="G997" t="inlineStr">
        <is>
          <t>259.960000</t>
        </is>
      </c>
      <c r="H997" t="inlineStr">
        <is>
          <t>118541.76</t>
        </is>
      </c>
      <c r="I997" t="inlineStr">
        <is>
          <t>7.45%</t>
        </is>
      </c>
      <c r="J997" t="inlineStr">
        <is>
          <t>1591062.00</t>
        </is>
      </c>
      <c r="K997" t="inlineStr">
        <is>
          <t>60000</t>
        </is>
      </c>
      <c r="L997" t="inlineStr">
        <is>
          <t>12.000000000000</t>
        </is>
      </c>
      <c r="M997" t="inlineStr"/>
    </row>
    <row r="998">
      <c r="A998" t="inlineStr">
        <is>
          <t>06/25/2026</t>
        </is>
      </c>
      <c r="B998" t="inlineStr">
        <is>
          <t>DOCK</t>
        </is>
      </c>
      <c r="C998" s="1" t="inlineStr">
        <is>
          <t>UPS</t>
        </is>
      </c>
      <c r="D998" s="1" t="inlineStr">
        <is>
          <t>911312106</t>
        </is>
      </c>
      <c r="E998" t="inlineStr">
        <is>
          <t>United Parcel Service Inc</t>
        </is>
      </c>
      <c r="F998" t="inlineStr">
        <is>
          <t>696.00000000</t>
        </is>
      </c>
      <c r="G998" t="inlineStr">
        <is>
          <t>106.140000</t>
        </is>
      </c>
      <c r="H998" t="inlineStr">
        <is>
          <t>73873.44</t>
        </is>
      </c>
      <c r="I998" t="inlineStr">
        <is>
          <t>4.64%</t>
        </is>
      </c>
      <c r="J998" t="inlineStr">
        <is>
          <t>1591062.00</t>
        </is>
      </c>
      <c r="K998" t="inlineStr">
        <is>
          <t>60000</t>
        </is>
      </c>
      <c r="L998" t="inlineStr">
        <is>
          <t>12.000000000000</t>
        </is>
      </c>
      <c r="M998" t="inlineStr"/>
    </row>
    <row r="999">
      <c r="A999" t="inlineStr">
        <is>
          <t>06/25/2026</t>
        </is>
      </c>
      <c r="B999" t="inlineStr">
        <is>
          <t>DOCK</t>
        </is>
      </c>
      <c r="C999" s="1" t="inlineStr">
        <is>
          <t>WAB</t>
        </is>
      </c>
      <c r="D999" s="1" t="inlineStr">
        <is>
          <t>929740108</t>
        </is>
      </c>
      <c r="E999" t="inlineStr">
        <is>
          <t>Westinghouse Air Brake Technologies Corp</t>
        </is>
      </c>
      <c r="F999" t="inlineStr">
        <is>
          <t>240.00000000</t>
        </is>
      </c>
      <c r="G999" t="inlineStr">
        <is>
          <t>272.480000</t>
        </is>
      </c>
      <c r="H999" t="inlineStr">
        <is>
          <t>65395.20</t>
        </is>
      </c>
      <c r="I999" t="inlineStr">
        <is>
          <t>4.11%</t>
        </is>
      </c>
      <c r="J999" t="inlineStr">
        <is>
          <t>1591062.00</t>
        </is>
      </c>
      <c r="K999" t="inlineStr">
        <is>
          <t>60000</t>
        </is>
      </c>
      <c r="L999" t="inlineStr">
        <is>
          <t>12.000000000000</t>
        </is>
      </c>
      <c r="M999" t="inlineStr"/>
    </row>
    <row r="1000">
      <c r="A1000" t="inlineStr">
        <is>
          <t>06/25/2026</t>
        </is>
      </c>
      <c r="B1000" t="inlineStr">
        <is>
          <t>DOCK</t>
        </is>
      </c>
      <c r="C1000" s="1" t="inlineStr">
        <is>
          <t>WERN</t>
        </is>
      </c>
      <c r="D1000" s="1" t="inlineStr">
        <is>
          <t>950755108</t>
        </is>
      </c>
      <c r="E1000" t="inlineStr">
        <is>
          <t>Werner Enterprises Inc</t>
        </is>
      </c>
      <c r="F1000" t="inlineStr">
        <is>
          <t>545.00000000</t>
        </is>
      </c>
      <c r="G1000" t="inlineStr">
        <is>
          <t>40.990000</t>
        </is>
      </c>
      <c r="H1000" t="inlineStr">
        <is>
          <t>22339.55</t>
        </is>
      </c>
      <c r="I1000" t="inlineStr">
        <is>
          <t>1.40%</t>
        </is>
      </c>
      <c r="J1000" t="inlineStr">
        <is>
          <t>1591062.00</t>
        </is>
      </c>
      <c r="K1000" t="inlineStr">
        <is>
          <t>60000</t>
        </is>
      </c>
      <c r="L1000" t="inlineStr">
        <is>
          <t>12.000000000000</t>
        </is>
      </c>
      <c r="M1000" t="inlineStr"/>
    </row>
    <row r="1001">
      <c r="A1001" t="inlineStr">
        <is>
          <t>06/25/2026</t>
        </is>
      </c>
      <c r="B1001" t="inlineStr">
        <is>
          <t>DOCK</t>
        </is>
      </c>
      <c r="C1001" s="1" t="inlineStr">
        <is>
          <t>WNC</t>
        </is>
      </c>
      <c r="D1001" s="1" t="inlineStr">
        <is>
          <t>929566107</t>
        </is>
      </c>
      <c r="E1001" t="inlineStr">
        <is>
          <t>Wabash National Corp</t>
        </is>
      </c>
      <c r="F1001" t="inlineStr">
        <is>
          <t>624.00000000</t>
        </is>
      </c>
      <c r="G1001" t="inlineStr">
        <is>
          <t>13.100000</t>
        </is>
      </c>
      <c r="H1001" t="inlineStr">
        <is>
          <t>8174.40</t>
        </is>
      </c>
      <c r="I1001" t="inlineStr">
        <is>
          <t>0.51%</t>
        </is>
      </c>
      <c r="J1001" t="inlineStr">
        <is>
          <t>1591062.00</t>
        </is>
      </c>
      <c r="K1001" t="inlineStr">
        <is>
          <t>60000</t>
        </is>
      </c>
      <c r="L1001" t="inlineStr">
        <is>
          <t>12.000000000000</t>
        </is>
      </c>
      <c r="M1001" t="inlineStr"/>
    </row>
    <row r="1002">
      <c r="A1002" t="inlineStr">
        <is>
          <t>06/25/2026</t>
        </is>
      </c>
      <c r="B1002" t="inlineStr">
        <is>
          <t>DOCK</t>
        </is>
      </c>
      <c r="C1002" s="1" t="inlineStr">
        <is>
          <t>XPO</t>
        </is>
      </c>
      <c r="D1002" s="1" t="inlineStr">
        <is>
          <t>983793100</t>
        </is>
      </c>
      <c r="E1002" t="inlineStr">
        <is>
          <t>XPO Inc</t>
        </is>
      </c>
      <c r="F1002" t="inlineStr">
        <is>
          <t>229.00000000</t>
        </is>
      </c>
      <c r="G1002" t="inlineStr">
        <is>
          <t>196.830000</t>
        </is>
      </c>
      <c r="H1002" t="inlineStr">
        <is>
          <t>45074.07</t>
        </is>
      </c>
      <c r="I1002" t="inlineStr">
        <is>
          <t>2.83%</t>
        </is>
      </c>
      <c r="J1002" t="inlineStr">
        <is>
          <t>1591062.00</t>
        </is>
      </c>
      <c r="K1002" t="inlineStr">
        <is>
          <t>60000</t>
        </is>
      </c>
      <c r="L1002" t="inlineStr">
        <is>
          <t>12.000000000000</t>
        </is>
      </c>
      <c r="M1002" t="inlineStr"/>
    </row>
    <row r="1003">
      <c r="A1003" t="inlineStr">
        <is>
          <t>06/25/2026</t>
        </is>
      </c>
      <c r="B1003" t="inlineStr">
        <is>
          <t>DOCK</t>
        </is>
      </c>
      <c r="C1003" s="1" t="inlineStr">
        <is>
          <t>ZIM</t>
        </is>
      </c>
      <c r="D1003" s="1" t="inlineStr">
        <is>
          <t>M9T951109</t>
        </is>
      </c>
      <c r="E1003" t="inlineStr">
        <is>
          <t>ZIM Integrated Shipping Services Ltd</t>
        </is>
      </c>
      <c r="F1003" t="inlineStr">
        <is>
          <t>624.00000000</t>
        </is>
      </c>
      <c r="G1003" t="inlineStr">
        <is>
          <t>25.580000</t>
        </is>
      </c>
      <c r="H1003" t="inlineStr">
        <is>
          <t>15961.92</t>
        </is>
      </c>
      <c r="I1003" t="inlineStr">
        <is>
          <t>1.00%</t>
        </is>
      </c>
      <c r="J1003" t="inlineStr">
        <is>
          <t>1591062.00</t>
        </is>
      </c>
      <c r="K1003" t="inlineStr">
        <is>
          <t>60000</t>
        </is>
      </c>
      <c r="L1003" t="inlineStr">
        <is>
          <t>12.000000000000</t>
        </is>
      </c>
      <c r="M1003" t="inlineStr"/>
    </row>
    <row r="1004">
      <c r="A1004" t="inlineStr">
        <is>
          <t>06/25/2026</t>
        </is>
      </c>
      <c r="B1004" t="inlineStr">
        <is>
          <t>DOCK</t>
        </is>
      </c>
      <c r="C1004" s="1" t="inlineStr">
        <is>
          <t>Cash&amp;Other</t>
        </is>
      </c>
      <c r="D1004" s="1" t="inlineStr">
        <is>
          <t>Cash&amp;Other</t>
        </is>
      </c>
      <c r="E1004" t="inlineStr">
        <is>
          <t>Cash &amp; Other</t>
        </is>
      </c>
      <c r="F1004" t="inlineStr">
        <is>
          <t>1368.88000000</t>
        </is>
      </c>
      <c r="G1004" t="inlineStr">
        <is>
          <t>1.000000</t>
        </is>
      </c>
      <c r="H1004" t="inlineStr">
        <is>
          <t>1368.88</t>
        </is>
      </c>
      <c r="I1004" t="inlineStr">
        <is>
          <t>0.09%</t>
        </is>
      </c>
      <c r="J1004" t="inlineStr">
        <is>
          <t>1591062.00</t>
        </is>
      </c>
      <c r="K1004" t="inlineStr">
        <is>
          <t>60000</t>
        </is>
      </c>
      <c r="L1004" t="inlineStr">
        <is>
          <t>12.000000000000</t>
        </is>
      </c>
      <c r="M1004" t="inlineStr">
        <is>
          <t>Y</t>
        </is>
      </c>
    </row>
    <row r="1005">
      <c r="A1005" t="inlineStr">
        <is>
          <t>06/25/2026</t>
        </is>
      </c>
      <c r="B1005" t="inlineStr">
        <is>
          <t>EMJN</t>
        </is>
      </c>
      <c r="C1005" s="1" t="inlineStr">
        <is>
          <t>2EEM  270528C00014020</t>
        </is>
      </c>
      <c r="D1005" s="1" t="inlineStr">
        <is>
          <t>2EEM  270528C00014020</t>
        </is>
      </c>
      <c r="E1005" t="inlineStr">
        <is>
          <t>EEM 05/28/2027 14.02 C</t>
        </is>
      </c>
      <c r="F1005" t="inlineStr">
        <is>
          <t>217.00000000</t>
        </is>
      </c>
      <c r="G1005" t="inlineStr">
        <is>
          <t>52.986308</t>
        </is>
      </c>
      <c r="H1005" t="inlineStr">
        <is>
          <t>1149802.88</t>
        </is>
      </c>
      <c r="I1005" t="inlineStr">
        <is>
          <t>79.14%</t>
        </is>
      </c>
      <c r="J1005" t="inlineStr">
        <is>
          <t>1452852.00</t>
        </is>
      </c>
      <c r="K1005" t="inlineStr">
        <is>
          <t>60000</t>
        </is>
      </c>
      <c r="L1005" t="inlineStr">
        <is>
          <t>12.000000000000</t>
        </is>
      </c>
      <c r="M1005" t="inlineStr"/>
    </row>
    <row r="1006">
      <c r="A1006" t="inlineStr">
        <is>
          <t>06/25/2026</t>
        </is>
      </c>
      <c r="B1006" t="inlineStr">
        <is>
          <t>EMJN</t>
        </is>
      </c>
      <c r="C1006" s="1" t="inlineStr">
        <is>
          <t>2EEM  270528C00087030</t>
        </is>
      </c>
      <c r="D1006" s="1" t="inlineStr">
        <is>
          <t>2EEM  270528C00087030</t>
        </is>
      </c>
      <c r="E1006" t="inlineStr">
        <is>
          <t>EEM 05/28/2027 87.03 C</t>
        </is>
      </c>
      <c r="F1006" t="inlineStr">
        <is>
          <t>-217.00000000</t>
        </is>
      </c>
      <c r="G1006" t="inlineStr">
        <is>
          <t>2.550616</t>
        </is>
      </c>
      <c r="H1006" t="inlineStr">
        <is>
          <t>-55348.37</t>
        </is>
      </c>
      <c r="I1006" t="inlineStr">
        <is>
          <t>-3.81%</t>
        </is>
      </c>
      <c r="J1006" t="inlineStr">
        <is>
          <t>1452852.00</t>
        </is>
      </c>
      <c r="K1006" t="inlineStr">
        <is>
          <t>60000</t>
        </is>
      </c>
      <c r="L1006" t="inlineStr">
        <is>
          <t>12.000000000000</t>
        </is>
      </c>
      <c r="M1006" t="inlineStr"/>
    </row>
    <row r="1007">
      <c r="A1007" t="inlineStr">
        <is>
          <t>06/25/2026</t>
        </is>
      </c>
      <c r="B1007" t="inlineStr">
        <is>
          <t>EMJN</t>
        </is>
      </c>
      <c r="C1007" s="1" t="inlineStr">
        <is>
          <t>2EEM  270528P00059570</t>
        </is>
      </c>
      <c r="D1007" s="1" t="inlineStr">
        <is>
          <t>2EEM  270528P00059570</t>
        </is>
      </c>
      <c r="E1007" t="inlineStr">
        <is>
          <t>EEM 05/28/2027 59.57 P</t>
        </is>
      </c>
      <c r="F1007" t="inlineStr">
        <is>
          <t>-217.00000000</t>
        </is>
      </c>
      <c r="G1007" t="inlineStr">
        <is>
          <t>4.223073</t>
        </is>
      </c>
      <c r="H1007" t="inlineStr">
        <is>
          <t>-91640.68</t>
        </is>
      </c>
      <c r="I1007" t="inlineStr">
        <is>
          <t>-6.31%</t>
        </is>
      </c>
      <c r="J1007" t="inlineStr">
        <is>
          <t>1452852.00</t>
        </is>
      </c>
      <c r="K1007" t="inlineStr">
        <is>
          <t>60000</t>
        </is>
      </c>
      <c r="L1007" t="inlineStr">
        <is>
          <t>12.000000000000</t>
        </is>
      </c>
      <c r="M1007" t="inlineStr"/>
    </row>
    <row r="1008">
      <c r="A1008" t="inlineStr">
        <is>
          <t>06/25/2026</t>
        </is>
      </c>
      <c r="B1008" t="inlineStr">
        <is>
          <t>EMJN</t>
        </is>
      </c>
      <c r="C1008" s="1" t="inlineStr">
        <is>
          <t>2EEM  270528P00070080</t>
        </is>
      </c>
      <c r="D1008" s="1" t="inlineStr">
        <is>
          <t>2EEM  270528P00070080</t>
        </is>
      </c>
      <c r="E1008" t="inlineStr">
        <is>
          <t>EEM 05/28/2027 70.08 P</t>
        </is>
      </c>
      <c r="F1008" t="inlineStr">
        <is>
          <t>217.00000000</t>
        </is>
      </c>
      <c r="G1008" t="inlineStr">
        <is>
          <t>8.535585</t>
        </is>
      </c>
      <c r="H1008" t="inlineStr">
        <is>
          <t>185222.19</t>
        </is>
      </c>
      <c r="I1008" t="inlineStr">
        <is>
          <t>12.75%</t>
        </is>
      </c>
      <c r="J1008" t="inlineStr">
        <is>
          <t>1452852.00</t>
        </is>
      </c>
      <c r="K1008" t="inlineStr">
        <is>
          <t>60000</t>
        </is>
      </c>
      <c r="L1008" t="inlineStr">
        <is>
          <t>12.000000000000</t>
        </is>
      </c>
      <c r="M1008" t="inlineStr"/>
    </row>
    <row r="1009">
      <c r="A1009" t="inlineStr">
        <is>
          <t>06/25/2026</t>
        </is>
      </c>
      <c r="B1009" t="inlineStr">
        <is>
          <t>EMJN</t>
        </is>
      </c>
      <c r="C1009" s="1" t="inlineStr">
        <is>
          <t>912828ZS2</t>
        </is>
      </c>
      <c r="D1009" s="1" t="inlineStr">
        <is>
          <t>912828ZS2</t>
        </is>
      </c>
      <c r="E1009" t="inlineStr">
        <is>
          <t>United States Treasury Note/Bond 0.5% 05/31/2027</t>
        </is>
      </c>
      <c r="F1009" t="inlineStr">
        <is>
          <t>256000.00000000</t>
        </is>
      </c>
      <c r="G1009" t="inlineStr">
        <is>
          <t>96.755895</t>
        </is>
      </c>
      <c r="H1009" t="inlineStr">
        <is>
          <t>247695.09</t>
        </is>
      </c>
      <c r="I1009" t="inlineStr">
        <is>
          <t>17.05%</t>
        </is>
      </c>
      <c r="J1009" t="inlineStr">
        <is>
          <t>1452852.00</t>
        </is>
      </c>
      <c r="K1009" t="inlineStr">
        <is>
          <t>60000</t>
        </is>
      </c>
      <c r="L1009" t="inlineStr">
        <is>
          <t>12.000000000000</t>
        </is>
      </c>
      <c r="M1009" t="inlineStr"/>
    </row>
    <row r="1010">
      <c r="A1010" t="inlineStr">
        <is>
          <t>06/25/2026</t>
        </is>
      </c>
      <c r="B1010" t="inlineStr">
        <is>
          <t>EMJN</t>
        </is>
      </c>
      <c r="C1010" s="1" t="inlineStr">
        <is>
          <t>FGXXX</t>
        </is>
      </c>
      <c r="D1010" s="1" t="inlineStr">
        <is>
          <t>31846V336</t>
        </is>
      </c>
      <c r="E1010" t="inlineStr">
        <is>
          <t>First American Government Obligations Fund 12/01/2031</t>
        </is>
      </c>
      <c r="F1010" t="inlineStr">
        <is>
          <t>17103.15000000</t>
        </is>
      </c>
      <c r="G1010" t="inlineStr">
        <is>
          <t>100.000000</t>
        </is>
      </c>
      <c r="H1010" t="inlineStr">
        <is>
          <t>17103.15</t>
        </is>
      </c>
      <c r="I1010" t="inlineStr">
        <is>
          <t>1.18%</t>
        </is>
      </c>
      <c r="J1010" t="inlineStr">
        <is>
          <t>1452852.00</t>
        </is>
      </c>
      <c r="K1010" t="inlineStr">
        <is>
          <t>60000</t>
        </is>
      </c>
      <c r="L1010" t="inlineStr">
        <is>
          <t>12.000000000000</t>
        </is>
      </c>
      <c r="M1010" t="inlineStr">
        <is>
          <t>Y</t>
        </is>
      </c>
    </row>
    <row r="1011">
      <c r="A1011" t="inlineStr">
        <is>
          <t>06/25/2026</t>
        </is>
      </c>
      <c r="B1011" t="inlineStr">
        <is>
          <t>EMJN</t>
        </is>
      </c>
      <c r="C1011" s="1" t="inlineStr">
        <is>
          <t>Cash&amp;Other</t>
        </is>
      </c>
      <c r="D1011" s="1" t="inlineStr">
        <is>
          <t>Cash&amp;Other</t>
        </is>
      </c>
      <c r="E1011" t="inlineStr">
        <is>
          <t>Cash &amp; Other</t>
        </is>
      </c>
      <c r="F1011" t="inlineStr">
        <is>
          <t>10.90000000</t>
        </is>
      </c>
      <c r="G1011" t="inlineStr">
        <is>
          <t>1.000000</t>
        </is>
      </c>
      <c r="H1011" t="inlineStr">
        <is>
          <t>10.90</t>
        </is>
      </c>
      <c r="I1011" t="inlineStr">
        <is>
          <t>0.00%</t>
        </is>
      </c>
      <c r="J1011" t="inlineStr">
        <is>
          <t>1452852.00</t>
        </is>
      </c>
      <c r="K1011" t="inlineStr">
        <is>
          <t>60000</t>
        </is>
      </c>
      <c r="L1011" t="inlineStr">
        <is>
          <t>12.000000000000</t>
        </is>
      </c>
      <c r="M1011" t="inlineStr">
        <is>
          <t>Y</t>
        </is>
      </c>
    </row>
    <row r="1012">
      <c r="A1012" t="inlineStr">
        <is>
          <t>06/25/2026</t>
        </is>
      </c>
      <c r="B1012" t="inlineStr">
        <is>
          <t>EMMY</t>
        </is>
      </c>
      <c r="C1012" s="1" t="inlineStr">
        <is>
          <t>2EEM  270430C00013080</t>
        </is>
      </c>
      <c r="D1012" s="1" t="inlineStr">
        <is>
          <t>2EEM  270430C00013080</t>
        </is>
      </c>
      <c r="E1012" t="inlineStr">
        <is>
          <t>EEM 04/30/2027 13.08 C</t>
        </is>
      </c>
      <c r="F1012" t="inlineStr">
        <is>
          <t>793.00000000</t>
        </is>
      </c>
      <c r="G1012" t="inlineStr">
        <is>
          <t>53.691076</t>
        </is>
      </c>
      <c r="H1012" t="inlineStr">
        <is>
          <t>4257702.33</t>
        </is>
      </c>
      <c r="I1012" t="inlineStr">
        <is>
          <t>82.37%</t>
        </is>
      </c>
      <c r="J1012" t="inlineStr">
        <is>
          <t>5168709.00</t>
        </is>
      </c>
      <c r="K1012" t="inlineStr">
        <is>
          <t>210000</t>
        </is>
      </c>
      <c r="L1012" t="inlineStr">
        <is>
          <t>42.000000000000</t>
        </is>
      </c>
      <c r="M1012" t="inlineStr"/>
    </row>
    <row r="1013">
      <c r="A1013" t="inlineStr">
        <is>
          <t>06/25/2026</t>
        </is>
      </c>
      <c r="B1013" t="inlineStr">
        <is>
          <t>EMMY</t>
        </is>
      </c>
      <c r="C1013" s="1" t="inlineStr">
        <is>
          <t>2EEM  270430C00081100</t>
        </is>
      </c>
      <c r="D1013" s="1" t="inlineStr">
        <is>
          <t>2EEM  270430C00081100</t>
        </is>
      </c>
      <c r="E1013" t="inlineStr">
        <is>
          <t>EEM 04/30/2027 81.1 C</t>
        </is>
      </c>
      <c r="F1013" t="inlineStr">
        <is>
          <t>-793.00000000</t>
        </is>
      </c>
      <c r="G1013" t="inlineStr">
        <is>
          <t>3.639817</t>
        </is>
      </c>
      <c r="H1013" t="inlineStr">
        <is>
          <t>-288637.49</t>
        </is>
      </c>
      <c r="I1013" t="inlineStr">
        <is>
          <t>-5.58%</t>
        </is>
      </c>
      <c r="J1013" t="inlineStr">
        <is>
          <t>5168709.00</t>
        </is>
      </c>
      <c r="K1013" t="inlineStr">
        <is>
          <t>210000</t>
        </is>
      </c>
      <c r="L1013" t="inlineStr">
        <is>
          <t>42.000000000000</t>
        </is>
      </c>
      <c r="M1013" t="inlineStr"/>
    </row>
    <row r="1014">
      <c r="A1014" t="inlineStr">
        <is>
          <t>06/25/2026</t>
        </is>
      </c>
      <c r="B1014" t="inlineStr">
        <is>
          <t>EMMY</t>
        </is>
      </c>
      <c r="C1014" s="1" t="inlineStr">
        <is>
          <t>2EEM  270430P00055590</t>
        </is>
      </c>
      <c r="D1014" s="1" t="inlineStr">
        <is>
          <t>2EEM  270430P00055590</t>
        </is>
      </c>
      <c r="E1014" t="inlineStr">
        <is>
          <t>EEM 04/30/2027 55.59 P</t>
        </is>
      </c>
      <c r="F1014" t="inlineStr">
        <is>
          <t>-793.00000000</t>
        </is>
      </c>
      <c r="G1014" t="inlineStr">
        <is>
          <t>3.033490</t>
        </is>
      </c>
      <c r="H1014" t="inlineStr">
        <is>
          <t>-240555.76</t>
        </is>
      </c>
      <c r="I1014" t="inlineStr">
        <is>
          <t>-4.65%</t>
        </is>
      </c>
      <c r="J1014" t="inlineStr">
        <is>
          <t>5168709.00</t>
        </is>
      </c>
      <c r="K1014" t="inlineStr">
        <is>
          <t>210000</t>
        </is>
      </c>
      <c r="L1014" t="inlineStr">
        <is>
          <t>42.000000000000</t>
        </is>
      </c>
      <c r="M1014" t="inlineStr"/>
    </row>
    <row r="1015">
      <c r="A1015" t="inlineStr">
        <is>
          <t>06/25/2026</t>
        </is>
      </c>
      <c r="B1015" t="inlineStr">
        <is>
          <t>EMMY</t>
        </is>
      </c>
      <c r="C1015" s="1" t="inlineStr">
        <is>
          <t>2EEM  270430P00065400</t>
        </is>
      </c>
      <c r="D1015" s="1" t="inlineStr">
        <is>
          <t>2EEM  270430P00065400</t>
        </is>
      </c>
      <c r="E1015" t="inlineStr">
        <is>
          <t>EEM 04/30/2027 65.4 P</t>
        </is>
      </c>
      <c r="F1015" t="inlineStr">
        <is>
          <t>793.00000000</t>
        </is>
      </c>
      <c r="G1015" t="inlineStr">
        <is>
          <t>6.425721</t>
        </is>
      </c>
      <c r="H1015" t="inlineStr">
        <is>
          <t>509559.68</t>
        </is>
      </c>
      <c r="I1015" t="inlineStr">
        <is>
          <t>9.86%</t>
        </is>
      </c>
      <c r="J1015" t="inlineStr">
        <is>
          <t>5168709.00</t>
        </is>
      </c>
      <c r="K1015" t="inlineStr">
        <is>
          <t>210000</t>
        </is>
      </c>
      <c r="L1015" t="inlineStr">
        <is>
          <t>42.000000000000</t>
        </is>
      </c>
      <c r="M1015" t="inlineStr"/>
    </row>
    <row r="1016">
      <c r="A1016" t="inlineStr">
        <is>
          <t>06/25/2026</t>
        </is>
      </c>
      <c r="B1016" t="inlineStr">
        <is>
          <t>EMMY</t>
        </is>
      </c>
      <c r="C1016" s="1" t="inlineStr">
        <is>
          <t>91282CMY4</t>
        </is>
      </c>
      <c r="D1016" s="1" t="inlineStr">
        <is>
          <t>91282CMY4</t>
        </is>
      </c>
      <c r="E1016" t="inlineStr">
        <is>
          <t>United States Treasury Note/Bond 3.75% 04/30/2027</t>
        </is>
      </c>
      <c r="F1016" t="inlineStr">
        <is>
          <t>726000.00000000</t>
        </is>
      </c>
      <c r="G1016" t="inlineStr">
        <is>
          <t>99.758247</t>
        </is>
      </c>
      <c r="H1016" t="inlineStr">
        <is>
          <t>724244.87</t>
        </is>
      </c>
      <c r="I1016" t="inlineStr">
        <is>
          <t>14.01%</t>
        </is>
      </c>
      <c r="J1016" t="inlineStr">
        <is>
          <t>5168709.00</t>
        </is>
      </c>
      <c r="K1016" t="inlineStr">
        <is>
          <t>210000</t>
        </is>
      </c>
      <c r="L1016" t="inlineStr">
        <is>
          <t>42.000000000000</t>
        </is>
      </c>
      <c r="M1016" t="inlineStr"/>
    </row>
    <row r="1017">
      <c r="A1017" t="inlineStr">
        <is>
          <t>06/25/2026</t>
        </is>
      </c>
      <c r="B1017" t="inlineStr">
        <is>
          <t>EMMY</t>
        </is>
      </c>
      <c r="C1017" s="1" t="inlineStr">
        <is>
          <t>FGXXX</t>
        </is>
      </c>
      <c r="D1017" s="1" t="inlineStr">
        <is>
          <t>31846V336</t>
        </is>
      </c>
      <c r="E1017" t="inlineStr">
        <is>
          <t>First American Government Obligations Fund 12/01/2031</t>
        </is>
      </c>
      <c r="F1017" t="inlineStr">
        <is>
          <t>200646.30000000</t>
        </is>
      </c>
      <c r="G1017" t="inlineStr">
        <is>
          <t>100.000000</t>
        </is>
      </c>
      <c r="H1017" t="inlineStr">
        <is>
          <t>200646.30</t>
        </is>
      </c>
      <c r="I1017" t="inlineStr">
        <is>
          <t>3.88%</t>
        </is>
      </c>
      <c r="J1017" t="inlineStr">
        <is>
          <t>5168709.00</t>
        </is>
      </c>
      <c r="K1017" t="inlineStr">
        <is>
          <t>210000</t>
        </is>
      </c>
      <c r="L1017" t="inlineStr">
        <is>
          <t>42.000000000000</t>
        </is>
      </c>
      <c r="M1017" t="inlineStr">
        <is>
          <t>Y</t>
        </is>
      </c>
    </row>
    <row r="1018">
      <c r="A1018" t="inlineStr">
        <is>
          <t>06/25/2026</t>
        </is>
      </c>
      <c r="B1018" t="inlineStr">
        <is>
          <t>EMMY</t>
        </is>
      </c>
      <c r="C1018" s="1" t="inlineStr">
        <is>
          <t>Cash&amp;Other</t>
        </is>
      </c>
      <c r="D1018" s="1" t="inlineStr">
        <is>
          <t>Cash&amp;Other</t>
        </is>
      </c>
      <c r="E1018" t="inlineStr">
        <is>
          <t>Cash &amp; Other</t>
        </is>
      </c>
      <c r="F1018" t="inlineStr">
        <is>
          <t>5800.16000000</t>
        </is>
      </c>
      <c r="G1018" t="inlineStr">
        <is>
          <t>1.000000</t>
        </is>
      </c>
      <c r="H1018" t="inlineStr">
        <is>
          <t>5800.16</t>
        </is>
      </c>
      <c r="I1018" t="inlineStr">
        <is>
          <t>0.11%</t>
        </is>
      </c>
      <c r="J1018" t="inlineStr">
        <is>
          <t>5168709.00</t>
        </is>
      </c>
      <c r="K1018" t="inlineStr">
        <is>
          <t>210000</t>
        </is>
      </c>
      <c r="L1018" t="inlineStr">
        <is>
          <t>42.000000000000</t>
        </is>
      </c>
      <c r="M1018" t="inlineStr">
        <is>
          <t>Y</t>
        </is>
      </c>
    </row>
    <row r="1019">
      <c r="A1019" t="inlineStr">
        <is>
          <t>06/25/2026</t>
        </is>
      </c>
      <c r="B1019" t="inlineStr">
        <is>
          <t>EMXX</t>
        </is>
      </c>
      <c r="C1019" s="1" t="inlineStr">
        <is>
          <t>922042858-TRS-07/07/27-L-CLST</t>
        </is>
      </c>
      <c r="D1019" s="1" t="inlineStr">
        <is>
          <t>922042858-TRS-07/07/27-L-CLST</t>
        </is>
      </c>
      <c r="E1019" t="inlineStr">
        <is>
          <t>VANGUARD EMERGING MARKETS STOCK INDEX FUND-SWAP-CLST-L</t>
        </is>
      </c>
      <c r="F1019" t="inlineStr">
        <is>
          <t>15627.00000000</t>
        </is>
      </c>
      <c r="G1019" t="inlineStr">
        <is>
          <t>58.970000</t>
        </is>
      </c>
      <c r="H1019" t="inlineStr">
        <is>
          <t>921524.19</t>
        </is>
      </c>
      <c r="I1019" t="inlineStr">
        <is>
          <t>200.03%</t>
        </is>
      </c>
      <c r="J1019" t="inlineStr">
        <is>
          <t>460704.00</t>
        </is>
      </c>
      <c r="K1019" t="inlineStr">
        <is>
          <t>20000</t>
        </is>
      </c>
      <c r="L1019" t="inlineStr">
        <is>
          <t>4.000000000000</t>
        </is>
      </c>
      <c r="M1019" t="inlineStr"/>
    </row>
    <row r="1020">
      <c r="A1020" t="inlineStr">
        <is>
          <t>06/25/2026</t>
        </is>
      </c>
      <c r="B1020" t="inlineStr">
        <is>
          <t>EMXX</t>
        </is>
      </c>
      <c r="C1020" s="1" t="inlineStr">
        <is>
          <t>FGXXX</t>
        </is>
      </c>
      <c r="D1020" s="1" t="inlineStr">
        <is>
          <t>31846V336</t>
        </is>
      </c>
      <c r="E1020" t="inlineStr">
        <is>
          <t>First American Government Obligations Fund 12/01/2031</t>
        </is>
      </c>
      <c r="F1020" t="inlineStr">
        <is>
          <t>182262.03000000</t>
        </is>
      </c>
      <c r="G1020" t="inlineStr">
        <is>
          <t>100.000000</t>
        </is>
      </c>
      <c r="H1020" t="inlineStr">
        <is>
          <t>182262.03</t>
        </is>
      </c>
      <c r="I1020" t="inlineStr">
        <is>
          <t>39.56%</t>
        </is>
      </c>
      <c r="J1020" t="inlineStr">
        <is>
          <t>460704.00</t>
        </is>
      </c>
      <c r="K1020" t="inlineStr">
        <is>
          <t>20000</t>
        </is>
      </c>
      <c r="L1020" t="inlineStr">
        <is>
          <t>4.000000000000</t>
        </is>
      </c>
      <c r="M1020" t="inlineStr">
        <is>
          <t>Y</t>
        </is>
      </c>
    </row>
    <row r="1021">
      <c r="A1021" t="inlineStr">
        <is>
          <t>06/25/2026</t>
        </is>
      </c>
      <c r="B1021" t="inlineStr">
        <is>
          <t>EMXX</t>
        </is>
      </c>
      <c r="C1021" s="1" t="inlineStr">
        <is>
          <t>Cash&amp;Other</t>
        </is>
      </c>
      <c r="D1021" s="1" t="inlineStr">
        <is>
          <t>Cash&amp;Other</t>
        </is>
      </c>
      <c r="E1021" t="inlineStr">
        <is>
          <t>Cash &amp; Other</t>
        </is>
      </c>
      <c r="F1021" t="inlineStr">
        <is>
          <t>-643115.07000000</t>
        </is>
      </c>
      <c r="G1021" t="inlineStr">
        <is>
          <t>1.000000</t>
        </is>
      </c>
      <c r="H1021" t="inlineStr">
        <is>
          <t>-643115.07</t>
        </is>
      </c>
      <c r="I1021" t="inlineStr">
        <is>
          <t>-139.59%</t>
        </is>
      </c>
      <c r="J1021" t="inlineStr">
        <is>
          <t>460704.00</t>
        </is>
      </c>
      <c r="K1021" t="inlineStr">
        <is>
          <t>20000</t>
        </is>
      </c>
      <c r="L1021" t="inlineStr">
        <is>
          <t>4.000000000000</t>
        </is>
      </c>
      <c r="M1021" t="inlineStr">
        <is>
          <t>Y</t>
        </is>
      </c>
    </row>
    <row r="1022">
      <c r="A1022" t="inlineStr">
        <is>
          <t>06/25/2026</t>
        </is>
      </c>
      <c r="B1022" t="inlineStr">
        <is>
          <t>EUV</t>
        </is>
      </c>
      <c r="C1022" s="1" t="inlineStr">
        <is>
          <t>AAOI</t>
        </is>
      </c>
      <c r="D1022" s="1" t="inlineStr">
        <is>
          <t>03823U102</t>
        </is>
      </c>
      <c r="E1022" t="inlineStr">
        <is>
          <t>Applied Optoelectronics Inc</t>
        </is>
      </c>
      <c r="F1022" t="inlineStr">
        <is>
          <t>42656.00000000</t>
        </is>
      </c>
      <c r="G1022" t="inlineStr">
        <is>
          <t>146.970000</t>
        </is>
      </c>
      <c r="H1022" t="inlineStr">
        <is>
          <t>6269152.32</t>
        </is>
      </c>
      <c r="I1022" t="inlineStr">
        <is>
          <t>1.64%</t>
        </is>
      </c>
      <c r="J1022" t="inlineStr">
        <is>
          <t>382008474.00</t>
        </is>
      </c>
      <c r="K1022" t="inlineStr">
        <is>
          <t>13330000</t>
        </is>
      </c>
      <c r="L1022" t="inlineStr">
        <is>
          <t>2666.000000000000</t>
        </is>
      </c>
      <c r="M1022" t="inlineStr"/>
    </row>
    <row r="1023">
      <c r="A1023" t="inlineStr">
        <is>
          <t>06/25/2026</t>
        </is>
      </c>
      <c r="B1023" t="inlineStr">
        <is>
          <t>EUV</t>
        </is>
      </c>
      <c r="C1023" s="1" t="inlineStr">
        <is>
          <t>ADTN</t>
        </is>
      </c>
      <c r="D1023" s="1" t="inlineStr">
        <is>
          <t>00486H105</t>
        </is>
      </c>
      <c r="E1023" t="inlineStr">
        <is>
          <t>ADTRAN Holdings Inc</t>
        </is>
      </c>
      <c r="F1023" t="inlineStr">
        <is>
          <t>250604.00000000</t>
        </is>
      </c>
      <c r="G1023" t="inlineStr">
        <is>
          <t>13.960000</t>
        </is>
      </c>
      <c r="H1023" t="inlineStr">
        <is>
          <t>3498431.84</t>
        </is>
      </c>
      <c r="I1023" t="inlineStr">
        <is>
          <t>0.92%</t>
        </is>
      </c>
      <c r="J1023" t="inlineStr">
        <is>
          <t>382008474.00</t>
        </is>
      </c>
      <c r="K1023" t="inlineStr">
        <is>
          <t>13330000</t>
        </is>
      </c>
      <c r="L1023" t="inlineStr">
        <is>
          <t>2666.000000000000</t>
        </is>
      </c>
      <c r="M1023" t="inlineStr"/>
    </row>
    <row r="1024">
      <c r="A1024" t="inlineStr">
        <is>
          <t>06/25/2026</t>
        </is>
      </c>
      <c r="B1024" t="inlineStr">
        <is>
          <t>EUV</t>
        </is>
      </c>
      <c r="C1024" s="1" t="inlineStr">
        <is>
          <t>AEHR</t>
        </is>
      </c>
      <c r="D1024" s="1" t="inlineStr">
        <is>
          <t>00760J108</t>
        </is>
      </c>
      <c r="E1024" t="inlineStr">
        <is>
          <t>Aehr Test Systems</t>
        </is>
      </c>
      <c r="F1024" t="inlineStr">
        <is>
          <t>45322.00000000</t>
        </is>
      </c>
      <c r="G1024" t="inlineStr">
        <is>
          <t>95.200000</t>
        </is>
      </c>
      <c r="H1024" t="inlineStr">
        <is>
          <t>4314654.40</t>
        </is>
      </c>
      <c r="I1024" t="inlineStr">
        <is>
          <t>1.13%</t>
        </is>
      </c>
      <c r="J1024" t="inlineStr">
        <is>
          <t>382008474.00</t>
        </is>
      </c>
      <c r="K1024" t="inlineStr">
        <is>
          <t>13330000</t>
        </is>
      </c>
      <c r="L1024" t="inlineStr">
        <is>
          <t>2666.000000000000</t>
        </is>
      </c>
      <c r="M1024" t="inlineStr"/>
    </row>
    <row r="1025">
      <c r="A1025" t="inlineStr">
        <is>
          <t>06/25/2026</t>
        </is>
      </c>
      <c r="B1025" t="inlineStr">
        <is>
          <t>EUV</t>
        </is>
      </c>
      <c r="C1025" s="1" t="inlineStr">
        <is>
          <t>AEVA</t>
        </is>
      </c>
      <c r="D1025" s="1" t="inlineStr">
        <is>
          <t>00835Q202</t>
        </is>
      </c>
      <c r="E1025" t="inlineStr">
        <is>
          <t>Aeva Technologies Inc</t>
        </is>
      </c>
      <c r="F1025" t="inlineStr">
        <is>
          <t>197458.00000000</t>
        </is>
      </c>
      <c r="G1025" t="inlineStr">
        <is>
          <t>20.040000</t>
        </is>
      </c>
      <c r="H1025" t="inlineStr">
        <is>
          <t>3957058.32</t>
        </is>
      </c>
      <c r="I1025" t="inlineStr">
        <is>
          <t>1.04%</t>
        </is>
      </c>
      <c r="J1025" t="inlineStr">
        <is>
          <t>382008474.00</t>
        </is>
      </c>
      <c r="K1025" t="inlineStr">
        <is>
          <t>13330000</t>
        </is>
      </c>
      <c r="L1025" t="inlineStr">
        <is>
          <t>2666.000000000000</t>
        </is>
      </c>
      <c r="M1025" t="inlineStr"/>
    </row>
    <row r="1026">
      <c r="A1026" t="inlineStr">
        <is>
          <t>06/25/2026</t>
        </is>
      </c>
      <c r="B1026" t="inlineStr">
        <is>
          <t>EUV</t>
        </is>
      </c>
      <c r="C1026" s="1" t="inlineStr">
        <is>
          <t>AMAT</t>
        </is>
      </c>
      <c r="D1026" s="1" t="inlineStr">
        <is>
          <t>038222105</t>
        </is>
      </c>
      <c r="E1026" t="inlineStr">
        <is>
          <t>Applied Materials Inc</t>
        </is>
      </c>
      <c r="F1026" t="inlineStr">
        <is>
          <t>39990.00000000</t>
        </is>
      </c>
      <c r="G1026" t="inlineStr">
        <is>
          <t>588.970000</t>
        </is>
      </c>
      <c r="H1026" t="inlineStr">
        <is>
          <t>23552910.30</t>
        </is>
      </c>
      <c r="I1026" t="inlineStr">
        <is>
          <t>6.17%</t>
        </is>
      </c>
      <c r="J1026" t="inlineStr">
        <is>
          <t>382008474.00</t>
        </is>
      </c>
      <c r="K1026" t="inlineStr">
        <is>
          <t>13330000</t>
        </is>
      </c>
      <c r="L1026" t="inlineStr">
        <is>
          <t>2666.000000000000</t>
        </is>
      </c>
      <c r="M1026" t="inlineStr"/>
    </row>
    <row r="1027">
      <c r="A1027" t="inlineStr">
        <is>
          <t>06/25/2026</t>
        </is>
      </c>
      <c r="B1027" t="inlineStr">
        <is>
          <t>EUV</t>
        </is>
      </c>
      <c r="C1027" s="1" t="inlineStr">
        <is>
          <t>ASML</t>
        </is>
      </c>
      <c r="D1027" s="1" t="inlineStr">
        <is>
          <t>N07059210</t>
        </is>
      </c>
      <c r="E1027" t="inlineStr">
        <is>
          <t>ASML Holding NV</t>
        </is>
      </c>
      <c r="F1027" t="inlineStr">
        <is>
          <t>18662.00000000</t>
        </is>
      </c>
      <c r="G1027" t="inlineStr">
        <is>
          <t>1762.770000</t>
        </is>
      </c>
      <c r="H1027" t="inlineStr">
        <is>
          <t>32896813.74</t>
        </is>
      </c>
      <c r="I1027" t="inlineStr">
        <is>
          <t>8.61%</t>
        </is>
      </c>
      <c r="J1027" t="inlineStr">
        <is>
          <t>382008474.00</t>
        </is>
      </c>
      <c r="K1027" t="inlineStr">
        <is>
          <t>13330000</t>
        </is>
      </c>
      <c r="L1027" t="inlineStr">
        <is>
          <t>2666.000000000000</t>
        </is>
      </c>
      <c r="M1027" t="inlineStr"/>
    </row>
    <row r="1028">
      <c r="A1028" t="inlineStr">
        <is>
          <t>06/25/2026</t>
        </is>
      </c>
      <c r="B1028" t="inlineStr">
        <is>
          <t>EUV</t>
        </is>
      </c>
      <c r="C1028" s="1" t="inlineStr">
        <is>
          <t>AXTI</t>
        </is>
      </c>
      <c r="D1028" s="1" t="inlineStr">
        <is>
          <t>00246W103</t>
        </is>
      </c>
      <c r="E1028" t="inlineStr">
        <is>
          <t>AXT Inc</t>
        </is>
      </c>
      <c r="F1028" t="inlineStr">
        <is>
          <t>74648.00000000</t>
        </is>
      </c>
      <c r="G1028" t="inlineStr">
        <is>
          <t>70.140000</t>
        </is>
      </c>
      <c r="H1028" t="inlineStr">
        <is>
          <t>5235810.72</t>
        </is>
      </c>
      <c r="I1028" t="inlineStr">
        <is>
          <t>1.37%</t>
        </is>
      </c>
      <c r="J1028" t="inlineStr">
        <is>
          <t>382008474.00</t>
        </is>
      </c>
      <c r="K1028" t="inlineStr">
        <is>
          <t>13330000</t>
        </is>
      </c>
      <c r="L1028" t="inlineStr">
        <is>
          <t>2666.000000000000</t>
        </is>
      </c>
      <c r="M1028" t="inlineStr"/>
    </row>
    <row r="1029">
      <c r="A1029" t="inlineStr">
        <is>
          <t>06/25/2026</t>
        </is>
      </c>
      <c r="B1029" t="inlineStr">
        <is>
          <t>EUV</t>
        </is>
      </c>
      <c r="C1029" s="1" t="inlineStr">
        <is>
          <t>CAMT</t>
        </is>
      </c>
      <c r="D1029" s="1" t="inlineStr">
        <is>
          <t>M20791105</t>
        </is>
      </c>
      <c r="E1029" t="inlineStr">
        <is>
          <t>Camtek Ltd/Israel</t>
        </is>
      </c>
      <c r="F1029" t="inlineStr">
        <is>
          <t>29326.00000000</t>
        </is>
      </c>
      <c r="G1029" t="inlineStr">
        <is>
          <t>166.900000</t>
        </is>
      </c>
      <c r="H1029" t="inlineStr">
        <is>
          <t>4894509.40</t>
        </is>
      </c>
      <c r="I1029" t="inlineStr">
        <is>
          <t>1.28%</t>
        </is>
      </c>
      <c r="J1029" t="inlineStr">
        <is>
          <t>382008474.00</t>
        </is>
      </c>
      <c r="K1029" t="inlineStr">
        <is>
          <t>13330000</t>
        </is>
      </c>
      <c r="L1029" t="inlineStr">
        <is>
          <t>2666.000000000000</t>
        </is>
      </c>
      <c r="M1029" t="inlineStr"/>
    </row>
    <row r="1030">
      <c r="A1030" t="inlineStr">
        <is>
          <t>06/25/2026</t>
        </is>
      </c>
      <c r="B1030" t="inlineStr">
        <is>
          <t>EUV</t>
        </is>
      </c>
      <c r="C1030" s="1" t="inlineStr">
        <is>
          <t>CIEN</t>
        </is>
      </c>
      <c r="D1030" s="1" t="inlineStr">
        <is>
          <t>171779309</t>
        </is>
      </c>
      <c r="E1030" t="inlineStr">
        <is>
          <t>Ciena Corp</t>
        </is>
      </c>
      <c r="F1030" t="inlineStr">
        <is>
          <t>26660.00000000</t>
        </is>
      </c>
      <c r="G1030" t="inlineStr">
        <is>
          <t>463.510000</t>
        </is>
      </c>
      <c r="H1030" t="inlineStr">
        <is>
          <t>12357176.60</t>
        </is>
      </c>
      <c r="I1030" t="inlineStr">
        <is>
          <t>3.23%</t>
        </is>
      </c>
      <c r="J1030" t="inlineStr">
        <is>
          <t>382008474.00</t>
        </is>
      </c>
      <c r="K1030" t="inlineStr">
        <is>
          <t>13330000</t>
        </is>
      </c>
      <c r="L1030" t="inlineStr">
        <is>
          <t>2666.000000000000</t>
        </is>
      </c>
      <c r="M1030" t="inlineStr"/>
    </row>
    <row r="1031">
      <c r="A1031" t="inlineStr">
        <is>
          <t>06/25/2026</t>
        </is>
      </c>
      <c r="B1031" t="inlineStr">
        <is>
          <t>EUV</t>
        </is>
      </c>
      <c r="C1031" s="1" t="inlineStr">
        <is>
          <t>COHR</t>
        </is>
      </c>
      <c r="D1031" s="1" t="inlineStr">
        <is>
          <t>19247G107</t>
        </is>
      </c>
      <c r="E1031" t="inlineStr">
        <is>
          <t>Coherent Corp</t>
        </is>
      </c>
      <c r="F1031" t="inlineStr">
        <is>
          <t>37324.00000000</t>
        </is>
      </c>
      <c r="G1031" t="inlineStr">
        <is>
          <t>392.500000</t>
        </is>
      </c>
      <c r="H1031" t="inlineStr">
        <is>
          <t>14649670.00</t>
        </is>
      </c>
      <c r="I1031" t="inlineStr">
        <is>
          <t>3.83%</t>
        </is>
      </c>
      <c r="J1031" t="inlineStr">
        <is>
          <t>382008474.00</t>
        </is>
      </c>
      <c r="K1031" t="inlineStr">
        <is>
          <t>13330000</t>
        </is>
      </c>
      <c r="L1031" t="inlineStr">
        <is>
          <t>2666.000000000000</t>
        </is>
      </c>
      <c r="M1031" t="inlineStr"/>
    </row>
    <row r="1032">
      <c r="A1032" t="inlineStr">
        <is>
          <t>06/25/2026</t>
        </is>
      </c>
      <c r="B1032" t="inlineStr">
        <is>
          <t>EUV</t>
        </is>
      </c>
      <c r="C1032" s="1" t="inlineStr">
        <is>
          <t>CRDO</t>
        </is>
      </c>
      <c r="D1032" s="1" t="inlineStr">
        <is>
          <t>G25457105</t>
        </is>
      </c>
      <c r="E1032" t="inlineStr">
        <is>
          <t>Credo Technology Group Holding Ltd</t>
        </is>
      </c>
      <c r="F1032" t="inlineStr">
        <is>
          <t>45322.00000000</t>
        </is>
      </c>
      <c r="G1032" t="inlineStr">
        <is>
          <t>268.990000</t>
        </is>
      </c>
      <c r="H1032" t="inlineStr">
        <is>
          <t>12191164.78</t>
        </is>
      </c>
      <c r="I1032" t="inlineStr">
        <is>
          <t>3.19%</t>
        </is>
      </c>
      <c r="J1032" t="inlineStr">
        <is>
          <t>382008474.00</t>
        </is>
      </c>
      <c r="K1032" t="inlineStr">
        <is>
          <t>13330000</t>
        </is>
      </c>
      <c r="L1032" t="inlineStr">
        <is>
          <t>2666.000000000000</t>
        </is>
      </c>
      <c r="M1032" t="inlineStr"/>
    </row>
    <row r="1033">
      <c r="A1033" t="inlineStr">
        <is>
          <t>06/25/2026</t>
        </is>
      </c>
      <c r="B1033" t="inlineStr">
        <is>
          <t>EUV</t>
        </is>
      </c>
      <c r="C1033" s="1" t="inlineStr">
        <is>
          <t>ENTG</t>
        </is>
      </c>
      <c r="D1033" s="1" t="inlineStr">
        <is>
          <t>29362U104</t>
        </is>
      </c>
      <c r="E1033" t="inlineStr">
        <is>
          <t>Entegris Inc</t>
        </is>
      </c>
      <c r="F1033" t="inlineStr">
        <is>
          <t>58652.00000000</t>
        </is>
      </c>
      <c r="G1033" t="inlineStr">
        <is>
          <t>171.460000</t>
        </is>
      </c>
      <c r="H1033" t="inlineStr">
        <is>
          <t>10056471.92</t>
        </is>
      </c>
      <c r="I1033" t="inlineStr">
        <is>
          <t>2.63%</t>
        </is>
      </c>
      <c r="J1033" t="inlineStr">
        <is>
          <t>382008474.00</t>
        </is>
      </c>
      <c r="K1033" t="inlineStr">
        <is>
          <t>13330000</t>
        </is>
      </c>
      <c r="L1033" t="inlineStr">
        <is>
          <t>2666.000000000000</t>
        </is>
      </c>
      <c r="M1033" t="inlineStr"/>
    </row>
    <row r="1034">
      <c r="A1034" t="inlineStr">
        <is>
          <t>06/25/2026</t>
        </is>
      </c>
      <c r="B1034" t="inlineStr">
        <is>
          <t>EUV</t>
        </is>
      </c>
      <c r="C1034" s="1" t="inlineStr">
        <is>
          <t>FGXXX</t>
        </is>
      </c>
      <c r="D1034" s="1" t="inlineStr">
        <is>
          <t>31846V336</t>
        </is>
      </c>
      <c r="E1034" t="inlineStr">
        <is>
          <t>First American Government Obligations Fund 12/01/2031</t>
        </is>
      </c>
      <c r="F1034" t="inlineStr">
        <is>
          <t>11534676.00000000</t>
        </is>
      </c>
      <c r="G1034" t="inlineStr">
        <is>
          <t>100.000000</t>
        </is>
      </c>
      <c r="H1034" t="inlineStr">
        <is>
          <t>11534676.00</t>
        </is>
      </c>
      <c r="I1034" t="inlineStr">
        <is>
          <t>3.02%</t>
        </is>
      </c>
      <c r="J1034" t="inlineStr">
        <is>
          <t>382008474.00</t>
        </is>
      </c>
      <c r="K1034" t="inlineStr">
        <is>
          <t>13330000</t>
        </is>
      </c>
      <c r="L1034" t="inlineStr">
        <is>
          <t>2666.000000000000</t>
        </is>
      </c>
      <c r="M1034" t="inlineStr">
        <is>
          <t>Y</t>
        </is>
      </c>
    </row>
    <row r="1035">
      <c r="A1035" t="inlineStr">
        <is>
          <t>06/25/2026</t>
        </is>
      </c>
      <c r="B1035" t="inlineStr">
        <is>
          <t>EUV</t>
        </is>
      </c>
      <c r="C1035" s="1" t="inlineStr">
        <is>
          <t>FN</t>
        </is>
      </c>
      <c r="D1035" s="1" t="inlineStr">
        <is>
          <t>G3323L100</t>
        </is>
      </c>
      <c r="E1035" t="inlineStr">
        <is>
          <t>Fabrinet</t>
        </is>
      </c>
      <c r="F1035" t="inlineStr">
        <is>
          <t>13330.00000000</t>
        </is>
      </c>
      <c r="G1035" t="inlineStr">
        <is>
          <t>568.170000</t>
        </is>
      </c>
      <c r="H1035" t="inlineStr">
        <is>
          <t>7573706.10</t>
        </is>
      </c>
      <c r="I1035" t="inlineStr">
        <is>
          <t>1.98%</t>
        </is>
      </c>
      <c r="J1035" t="inlineStr">
        <is>
          <t>382008474.00</t>
        </is>
      </c>
      <c r="K1035" t="inlineStr">
        <is>
          <t>13330000</t>
        </is>
      </c>
      <c r="L1035" t="inlineStr">
        <is>
          <t>2666.000000000000</t>
        </is>
      </c>
      <c r="M1035" t="inlineStr"/>
    </row>
    <row r="1036">
      <c r="A1036" t="inlineStr">
        <is>
          <t>06/25/2026</t>
        </is>
      </c>
      <c r="B1036" t="inlineStr">
        <is>
          <t>EUV</t>
        </is>
      </c>
      <c r="C1036" s="1" t="inlineStr">
        <is>
          <t>FORM</t>
        </is>
      </c>
      <c r="D1036" s="1" t="inlineStr">
        <is>
          <t>346375108</t>
        </is>
      </c>
      <c r="E1036" t="inlineStr">
        <is>
          <t>FormFactor Inc</t>
        </is>
      </c>
      <c r="F1036" t="inlineStr">
        <is>
          <t>45322.00000000</t>
        </is>
      </c>
      <c r="G1036" t="inlineStr">
        <is>
          <t>141.420000</t>
        </is>
      </c>
      <c r="H1036" t="inlineStr">
        <is>
          <t>6409437.24</t>
        </is>
      </c>
      <c r="I1036" t="inlineStr">
        <is>
          <t>1.68%</t>
        </is>
      </c>
      <c r="J1036" t="inlineStr">
        <is>
          <t>382008474.00</t>
        </is>
      </c>
      <c r="K1036" t="inlineStr">
        <is>
          <t>13330000</t>
        </is>
      </c>
      <c r="L1036" t="inlineStr">
        <is>
          <t>2666.000000000000</t>
        </is>
      </c>
      <c r="M1036" t="inlineStr"/>
    </row>
    <row r="1037">
      <c r="A1037" t="inlineStr">
        <is>
          <t>06/25/2026</t>
        </is>
      </c>
      <c r="B1037" t="inlineStr">
        <is>
          <t>EUV</t>
        </is>
      </c>
      <c r="C1037" s="1" t="inlineStr">
        <is>
          <t>GFS</t>
        </is>
      </c>
      <c r="D1037" s="1" t="inlineStr">
        <is>
          <t>G39387108</t>
        </is>
      </c>
      <c r="E1037" t="inlineStr">
        <is>
          <t>GLOBALFOUNDRIES Inc</t>
        </is>
      </c>
      <c r="F1037" t="inlineStr">
        <is>
          <t>10664.00000000</t>
        </is>
      </c>
      <c r="G1037" t="inlineStr">
        <is>
          <t>83.700000</t>
        </is>
      </c>
      <c r="H1037" t="inlineStr">
        <is>
          <t>892576.80</t>
        </is>
      </c>
      <c r="I1037" t="inlineStr">
        <is>
          <t>0.23%</t>
        </is>
      </c>
      <c r="J1037" t="inlineStr">
        <is>
          <t>382008474.00</t>
        </is>
      </c>
      <c r="K1037" t="inlineStr">
        <is>
          <t>13330000</t>
        </is>
      </c>
      <c r="L1037" t="inlineStr">
        <is>
          <t>2666.000000000000</t>
        </is>
      </c>
      <c r="M1037" t="inlineStr"/>
    </row>
    <row r="1038">
      <c r="A1038" t="inlineStr">
        <is>
          <t>06/25/2026</t>
        </is>
      </c>
      <c r="B1038" t="inlineStr">
        <is>
          <t>EUV</t>
        </is>
      </c>
      <c r="C1038" s="1" t="inlineStr">
        <is>
          <t>GLW</t>
        </is>
      </c>
      <c r="D1038" s="1" t="inlineStr">
        <is>
          <t>219350105</t>
        </is>
      </c>
      <c r="E1038" t="inlineStr">
        <is>
          <t>Corning Inc</t>
        </is>
      </c>
      <c r="F1038" t="inlineStr">
        <is>
          <t>93310.00000000</t>
        </is>
      </c>
      <c r="G1038" t="inlineStr">
        <is>
          <t>205.830000</t>
        </is>
      </c>
      <c r="H1038" t="inlineStr">
        <is>
          <t>19205997.30</t>
        </is>
      </c>
      <c r="I1038" t="inlineStr">
        <is>
          <t>5.03%</t>
        </is>
      </c>
      <c r="J1038" t="inlineStr">
        <is>
          <t>382008474.00</t>
        </is>
      </c>
      <c r="K1038" t="inlineStr">
        <is>
          <t>13330000</t>
        </is>
      </c>
      <c r="L1038" t="inlineStr">
        <is>
          <t>2666.000000000000</t>
        </is>
      </c>
      <c r="M1038" t="inlineStr"/>
    </row>
    <row r="1039">
      <c r="A1039" t="inlineStr">
        <is>
          <t>06/25/2026</t>
        </is>
      </c>
      <c r="B1039" t="inlineStr">
        <is>
          <t>EUV</t>
        </is>
      </c>
      <c r="C1039" s="1" t="inlineStr">
        <is>
          <t>HSAI</t>
        </is>
      </c>
      <c r="D1039" s="1" t="inlineStr">
        <is>
          <t>428050108</t>
        </is>
      </c>
      <c r="E1039" t="inlineStr">
        <is>
          <t>Hesai Group</t>
        </is>
      </c>
      <c r="F1039" t="inlineStr">
        <is>
          <t>250604.00000000</t>
        </is>
      </c>
      <c r="G1039" t="inlineStr">
        <is>
          <t>15.610000</t>
        </is>
      </c>
      <c r="H1039" t="inlineStr">
        <is>
          <t>3911928.44</t>
        </is>
      </c>
      <c r="I1039" t="inlineStr">
        <is>
          <t>1.02%</t>
        </is>
      </c>
      <c r="J1039" t="inlineStr">
        <is>
          <t>382008474.00</t>
        </is>
      </c>
      <c r="K1039" t="inlineStr">
        <is>
          <t>13330000</t>
        </is>
      </c>
      <c r="L1039" t="inlineStr">
        <is>
          <t>2666.000000000000</t>
        </is>
      </c>
      <c r="M1039" t="inlineStr"/>
    </row>
    <row r="1040">
      <c r="A1040" t="inlineStr">
        <is>
          <t>06/25/2026</t>
        </is>
      </c>
      <c r="B1040" t="inlineStr">
        <is>
          <t>EUV</t>
        </is>
      </c>
      <c r="C1040" s="1" t="inlineStr">
        <is>
          <t>IPGP</t>
        </is>
      </c>
      <c r="D1040" s="1" t="inlineStr">
        <is>
          <t>44980X109</t>
        </is>
      </c>
      <c r="E1040" t="inlineStr">
        <is>
          <t>IPG Photonics Corp</t>
        </is>
      </c>
      <c r="F1040" t="inlineStr">
        <is>
          <t>42656.00000000</t>
        </is>
      </c>
      <c r="G1040" t="inlineStr">
        <is>
          <t>107.720000</t>
        </is>
      </c>
      <c r="H1040" t="inlineStr">
        <is>
          <t>4594904.32</t>
        </is>
      </c>
      <c r="I1040" t="inlineStr">
        <is>
          <t>1.20%</t>
        </is>
      </c>
      <c r="J1040" t="inlineStr">
        <is>
          <t>382008474.00</t>
        </is>
      </c>
      <c r="K1040" t="inlineStr">
        <is>
          <t>13330000</t>
        </is>
      </c>
      <c r="L1040" t="inlineStr">
        <is>
          <t>2666.000000000000</t>
        </is>
      </c>
      <c r="M1040" t="inlineStr"/>
    </row>
    <row r="1041">
      <c r="A1041" t="inlineStr">
        <is>
          <t>06/25/2026</t>
        </is>
      </c>
      <c r="B1041" t="inlineStr">
        <is>
          <t>EUV</t>
        </is>
      </c>
      <c r="C1041" s="1" t="inlineStr">
        <is>
          <t>KLAC</t>
        </is>
      </c>
      <c r="D1041" s="1" t="inlineStr">
        <is>
          <t>482480100</t>
        </is>
      </c>
      <c r="E1041" t="inlineStr">
        <is>
          <t>KLA CORP</t>
        </is>
      </c>
      <c r="F1041" t="inlineStr">
        <is>
          <t>79980.00000000</t>
        </is>
      </c>
      <c r="G1041" t="inlineStr">
        <is>
          <t>240.480000</t>
        </is>
      </c>
      <c r="H1041" t="inlineStr">
        <is>
          <t>19233590.40</t>
        </is>
      </c>
      <c r="I1041" t="inlineStr">
        <is>
          <t>5.03%</t>
        </is>
      </c>
      <c r="J1041" t="inlineStr">
        <is>
          <t>382008474.00</t>
        </is>
      </c>
      <c r="K1041" t="inlineStr">
        <is>
          <t>13330000</t>
        </is>
      </c>
      <c r="L1041" t="inlineStr">
        <is>
          <t>2666.000000000000</t>
        </is>
      </c>
      <c r="M1041" t="inlineStr"/>
    </row>
    <row r="1042">
      <c r="A1042" t="inlineStr">
        <is>
          <t>06/25/2026</t>
        </is>
      </c>
      <c r="B1042" t="inlineStr">
        <is>
          <t>EUV</t>
        </is>
      </c>
      <c r="C1042" s="1" t="inlineStr">
        <is>
          <t>LASR</t>
        </is>
      </c>
      <c r="D1042" s="1" t="inlineStr">
        <is>
          <t>65487K100</t>
        </is>
      </c>
      <c r="E1042" t="inlineStr">
        <is>
          <t>nLight Inc</t>
        </is>
      </c>
      <c r="F1042" t="inlineStr">
        <is>
          <t>74648.00000000</t>
        </is>
      </c>
      <c r="G1042" t="inlineStr">
        <is>
          <t>63.810000</t>
        </is>
      </c>
      <c r="H1042" t="inlineStr">
        <is>
          <t>4763288.88</t>
        </is>
      </c>
      <c r="I1042" t="inlineStr">
        <is>
          <t>1.25%</t>
        </is>
      </c>
      <c r="J1042" t="inlineStr">
        <is>
          <t>382008474.00</t>
        </is>
      </c>
      <c r="K1042" t="inlineStr">
        <is>
          <t>13330000</t>
        </is>
      </c>
      <c r="L1042" t="inlineStr">
        <is>
          <t>2666.000000000000</t>
        </is>
      </c>
      <c r="M1042" t="inlineStr"/>
    </row>
    <row r="1043">
      <c r="A1043" t="inlineStr">
        <is>
          <t>06/25/2026</t>
        </is>
      </c>
      <c r="B1043" t="inlineStr">
        <is>
          <t>EUV</t>
        </is>
      </c>
      <c r="C1043" s="1" t="inlineStr">
        <is>
          <t>LITE</t>
        </is>
      </c>
      <c r="D1043" s="1" t="inlineStr">
        <is>
          <t>55024U109</t>
        </is>
      </c>
      <c r="E1043" t="inlineStr">
        <is>
          <t>Lumentum Holdings Inc</t>
        </is>
      </c>
      <c r="F1043" t="inlineStr">
        <is>
          <t>15996.00000000</t>
        </is>
      </c>
      <c r="G1043" t="inlineStr">
        <is>
          <t>842.530000</t>
        </is>
      </c>
      <c r="H1043" t="inlineStr">
        <is>
          <t>13477109.88</t>
        </is>
      </c>
      <c r="I1043" t="inlineStr">
        <is>
          <t>3.53%</t>
        </is>
      </c>
      <c r="J1043" t="inlineStr">
        <is>
          <t>382008474.00</t>
        </is>
      </c>
      <c r="K1043" t="inlineStr">
        <is>
          <t>13330000</t>
        </is>
      </c>
      <c r="L1043" t="inlineStr">
        <is>
          <t>2666.000000000000</t>
        </is>
      </c>
      <c r="M1043" t="inlineStr"/>
    </row>
    <row r="1044">
      <c r="A1044" t="inlineStr">
        <is>
          <t>06/25/2026</t>
        </is>
      </c>
      <c r="B1044" t="inlineStr">
        <is>
          <t>EUV</t>
        </is>
      </c>
      <c r="C1044" s="1" t="inlineStr">
        <is>
          <t>LRCX</t>
        </is>
      </c>
      <c r="D1044" s="1" t="inlineStr">
        <is>
          <t>512807306</t>
        </is>
      </c>
      <c r="E1044" t="inlineStr">
        <is>
          <t>Lam Research Corp</t>
        </is>
      </c>
      <c r="F1044" t="inlineStr">
        <is>
          <t>61318.00000000</t>
        </is>
      </c>
      <c r="G1044" t="inlineStr">
        <is>
          <t>374.800000</t>
        </is>
      </c>
      <c r="H1044" t="inlineStr">
        <is>
          <t>22981986.40</t>
        </is>
      </c>
      <c r="I1044" t="inlineStr">
        <is>
          <t>6.02%</t>
        </is>
      </c>
      <c r="J1044" t="inlineStr">
        <is>
          <t>382008474.00</t>
        </is>
      </c>
      <c r="K1044" t="inlineStr">
        <is>
          <t>13330000</t>
        </is>
      </c>
      <c r="L1044" t="inlineStr">
        <is>
          <t>2666.000000000000</t>
        </is>
      </c>
      <c r="M1044" t="inlineStr"/>
    </row>
    <row r="1045">
      <c r="A1045" t="inlineStr">
        <is>
          <t>06/25/2026</t>
        </is>
      </c>
      <c r="B1045" t="inlineStr">
        <is>
          <t>EUV</t>
        </is>
      </c>
      <c r="C1045" s="1" t="inlineStr">
        <is>
          <t>LWLG</t>
        </is>
      </c>
      <c r="D1045" s="1" t="inlineStr">
        <is>
          <t>532275104</t>
        </is>
      </c>
      <c r="E1045" t="inlineStr">
        <is>
          <t>Lightwave Logic Inc</t>
        </is>
      </c>
      <c r="F1045" t="inlineStr">
        <is>
          <t>53320.00000000</t>
        </is>
      </c>
      <c r="G1045" t="inlineStr">
        <is>
          <t>8.390000</t>
        </is>
      </c>
      <c r="H1045" t="inlineStr">
        <is>
          <t>447354.80</t>
        </is>
      </c>
      <c r="I1045" t="inlineStr">
        <is>
          <t>0.12%</t>
        </is>
      </c>
      <c r="J1045" t="inlineStr">
        <is>
          <t>382008474.00</t>
        </is>
      </c>
      <c r="K1045" t="inlineStr">
        <is>
          <t>13330000</t>
        </is>
      </c>
      <c r="L1045" t="inlineStr">
        <is>
          <t>2666.000000000000</t>
        </is>
      </c>
      <c r="M1045" t="inlineStr"/>
    </row>
    <row r="1046">
      <c r="A1046" t="inlineStr">
        <is>
          <t>06/25/2026</t>
        </is>
      </c>
      <c r="B1046" t="inlineStr">
        <is>
          <t>EUV</t>
        </is>
      </c>
      <c r="C1046" s="1" t="inlineStr">
        <is>
          <t>MRVL</t>
        </is>
      </c>
      <c r="D1046" s="1" t="inlineStr">
        <is>
          <t>573874104</t>
        </is>
      </c>
      <c r="E1046" t="inlineStr">
        <is>
          <t>MARVELL TECHNOLOGY INC</t>
        </is>
      </c>
      <c r="F1046" t="inlineStr">
        <is>
          <t>47988.00000000</t>
        </is>
      </c>
      <c r="G1046" t="inlineStr">
        <is>
          <t>276.700000</t>
        </is>
      </c>
      <c r="H1046" t="inlineStr">
        <is>
          <t>13278279.60</t>
        </is>
      </c>
      <c r="I1046" t="inlineStr">
        <is>
          <t>3.48%</t>
        </is>
      </c>
      <c r="J1046" t="inlineStr">
        <is>
          <t>382008474.00</t>
        </is>
      </c>
      <c r="K1046" t="inlineStr">
        <is>
          <t>13330000</t>
        </is>
      </c>
      <c r="L1046" t="inlineStr">
        <is>
          <t>2666.000000000000</t>
        </is>
      </c>
      <c r="M1046" t="inlineStr"/>
    </row>
    <row r="1047">
      <c r="A1047" t="inlineStr">
        <is>
          <t>06/25/2026</t>
        </is>
      </c>
      <c r="B1047" t="inlineStr">
        <is>
          <t>EUV</t>
        </is>
      </c>
      <c r="C1047" s="1" t="inlineStr">
        <is>
          <t>MTRN</t>
        </is>
      </c>
      <c r="D1047" s="1" t="inlineStr">
        <is>
          <t>576690101</t>
        </is>
      </c>
      <c r="E1047" t="inlineStr">
        <is>
          <t>Materion Corp</t>
        </is>
      </c>
      <c r="F1047" t="inlineStr">
        <is>
          <t>2666.00000000</t>
        </is>
      </c>
      <c r="G1047" t="inlineStr">
        <is>
          <t>269.620000</t>
        </is>
      </c>
      <c r="H1047" t="inlineStr">
        <is>
          <t>718806.92</t>
        </is>
      </c>
      <c r="I1047" t="inlineStr">
        <is>
          <t>0.19%</t>
        </is>
      </c>
      <c r="J1047" t="inlineStr">
        <is>
          <t>382008474.00</t>
        </is>
      </c>
      <c r="K1047" t="inlineStr">
        <is>
          <t>13330000</t>
        </is>
      </c>
      <c r="L1047" t="inlineStr">
        <is>
          <t>2666.000000000000</t>
        </is>
      </c>
      <c r="M1047" t="inlineStr"/>
    </row>
    <row r="1048">
      <c r="A1048" t="inlineStr">
        <is>
          <t>06/25/2026</t>
        </is>
      </c>
      <c r="B1048" t="inlineStr">
        <is>
          <t>EUV</t>
        </is>
      </c>
      <c r="C1048" s="1" t="inlineStr">
        <is>
          <t>MTSI</t>
        </is>
      </c>
      <c r="D1048" s="1" t="inlineStr">
        <is>
          <t>55405Y100</t>
        </is>
      </c>
      <c r="E1048" t="inlineStr">
        <is>
          <t>MACOM Technology Solutions Holdings Inc</t>
        </is>
      </c>
      <c r="F1048" t="inlineStr">
        <is>
          <t>31992.00000000</t>
        </is>
      </c>
      <c r="G1048" t="inlineStr">
        <is>
          <t>373.080000</t>
        </is>
      </c>
      <c r="H1048" t="inlineStr">
        <is>
          <t>11935575.36</t>
        </is>
      </c>
      <c r="I1048" t="inlineStr">
        <is>
          <t>3.12%</t>
        </is>
      </c>
      <c r="J1048" t="inlineStr">
        <is>
          <t>382008474.00</t>
        </is>
      </c>
      <c r="K1048" t="inlineStr">
        <is>
          <t>13330000</t>
        </is>
      </c>
      <c r="L1048" t="inlineStr">
        <is>
          <t>2666.000000000000</t>
        </is>
      </c>
      <c r="M1048" t="inlineStr"/>
    </row>
    <row r="1049">
      <c r="A1049" t="inlineStr">
        <is>
          <t>06/25/2026</t>
        </is>
      </c>
      <c r="B1049" t="inlineStr">
        <is>
          <t>EUV</t>
        </is>
      </c>
      <c r="C1049" s="1" t="inlineStr">
        <is>
          <t>NOVT</t>
        </is>
      </c>
      <c r="D1049" s="1" t="inlineStr">
        <is>
          <t>67000B104</t>
        </is>
      </c>
      <c r="E1049" t="inlineStr">
        <is>
          <t>Novanta Inc</t>
        </is>
      </c>
      <c r="F1049" t="inlineStr">
        <is>
          <t>45322.00000000</t>
        </is>
      </c>
      <c r="G1049" t="inlineStr">
        <is>
          <t>152.000000</t>
        </is>
      </c>
      <c r="H1049" t="inlineStr">
        <is>
          <t>6888944.00</t>
        </is>
      </c>
      <c r="I1049" t="inlineStr">
        <is>
          <t>1.80%</t>
        </is>
      </c>
      <c r="J1049" t="inlineStr">
        <is>
          <t>382008474.00</t>
        </is>
      </c>
      <c r="K1049" t="inlineStr">
        <is>
          <t>13330000</t>
        </is>
      </c>
      <c r="L1049" t="inlineStr">
        <is>
          <t>2666.000000000000</t>
        </is>
      </c>
      <c r="M1049" t="inlineStr"/>
    </row>
    <row r="1050">
      <c r="A1050" t="inlineStr">
        <is>
          <t>06/25/2026</t>
        </is>
      </c>
      <c r="B1050" t="inlineStr">
        <is>
          <t>EUV</t>
        </is>
      </c>
      <c r="C1050" s="1" t="inlineStr">
        <is>
          <t>NVMI</t>
        </is>
      </c>
      <c r="D1050" s="1" t="inlineStr">
        <is>
          <t>M7516K103</t>
        </is>
      </c>
      <c r="E1050" t="inlineStr">
        <is>
          <t>Nova Ltd</t>
        </is>
      </c>
      <c r="F1050" t="inlineStr">
        <is>
          <t>15996.00000000</t>
        </is>
      </c>
      <c r="G1050" t="inlineStr">
        <is>
          <t>521.930000</t>
        </is>
      </c>
      <c r="H1050" t="inlineStr">
        <is>
          <t>8348792.28</t>
        </is>
      </c>
      <c r="I1050" t="inlineStr">
        <is>
          <t>2.19%</t>
        </is>
      </c>
      <c r="J1050" t="inlineStr">
        <is>
          <t>382008474.00</t>
        </is>
      </c>
      <c r="K1050" t="inlineStr">
        <is>
          <t>13330000</t>
        </is>
      </c>
      <c r="L1050" t="inlineStr">
        <is>
          <t>2666.000000000000</t>
        </is>
      </c>
      <c r="M1050" t="inlineStr"/>
    </row>
    <row r="1051">
      <c r="A1051" t="inlineStr">
        <is>
          <t>06/25/2026</t>
        </is>
      </c>
      <c r="B1051" t="inlineStr">
        <is>
          <t>EUV</t>
        </is>
      </c>
      <c r="C1051" s="1" t="inlineStr">
        <is>
          <t>ONTO</t>
        </is>
      </c>
      <c r="D1051" s="1" t="inlineStr">
        <is>
          <t>683344105</t>
        </is>
      </c>
      <c r="E1051" t="inlineStr">
        <is>
          <t>Onto Innovation Inc</t>
        </is>
      </c>
      <c r="F1051" t="inlineStr">
        <is>
          <t>26660.00000000</t>
        </is>
      </c>
      <c r="G1051" t="inlineStr">
        <is>
          <t>322.240000</t>
        </is>
      </c>
      <c r="H1051" t="inlineStr">
        <is>
          <t>8590918.40</t>
        </is>
      </c>
      <c r="I1051" t="inlineStr">
        <is>
          <t>2.25%</t>
        </is>
      </c>
      <c r="J1051" t="inlineStr">
        <is>
          <t>382008474.00</t>
        </is>
      </c>
      <c r="K1051" t="inlineStr">
        <is>
          <t>13330000</t>
        </is>
      </c>
      <c r="L1051" t="inlineStr">
        <is>
          <t>2666.000000000000</t>
        </is>
      </c>
      <c r="M1051" t="inlineStr"/>
    </row>
    <row r="1052">
      <c r="A1052" t="inlineStr">
        <is>
          <t>06/25/2026</t>
        </is>
      </c>
      <c r="B1052" t="inlineStr">
        <is>
          <t>EUV</t>
        </is>
      </c>
      <c r="C1052" s="1" t="inlineStr">
        <is>
          <t>OUST</t>
        </is>
      </c>
      <c r="D1052" s="1" t="inlineStr">
        <is>
          <t>68989M202</t>
        </is>
      </c>
      <c r="E1052" t="inlineStr">
        <is>
          <t>Ouster Inc</t>
        </is>
      </c>
      <c r="F1052" t="inlineStr">
        <is>
          <t>154628.00000000</t>
        </is>
      </c>
      <c r="G1052" t="inlineStr">
        <is>
          <t>40.710000</t>
        </is>
      </c>
      <c r="H1052" t="inlineStr">
        <is>
          <t>6294905.88</t>
        </is>
      </c>
      <c r="I1052" t="inlineStr">
        <is>
          <t>1.65%</t>
        </is>
      </c>
      <c r="J1052" t="inlineStr">
        <is>
          <t>382008474.00</t>
        </is>
      </c>
      <c r="K1052" t="inlineStr">
        <is>
          <t>13330000</t>
        </is>
      </c>
      <c r="L1052" t="inlineStr">
        <is>
          <t>2666.000000000000</t>
        </is>
      </c>
      <c r="M1052" t="inlineStr"/>
    </row>
    <row r="1053">
      <c r="A1053" t="inlineStr">
        <is>
          <t>06/25/2026</t>
        </is>
      </c>
      <c r="B1053" t="inlineStr">
        <is>
          <t>EUV</t>
        </is>
      </c>
      <c r="C1053" s="1" t="inlineStr">
        <is>
          <t>PDFS</t>
        </is>
      </c>
      <c r="D1053" s="1" t="inlineStr">
        <is>
          <t>693282105</t>
        </is>
      </c>
      <c r="E1053" t="inlineStr">
        <is>
          <t>PDF Solutions Inc</t>
        </is>
      </c>
      <c r="F1053" t="inlineStr">
        <is>
          <t>93310.00000000</t>
        </is>
      </c>
      <c r="G1053" t="inlineStr">
        <is>
          <t>63.560000</t>
        </is>
      </c>
      <c r="H1053" t="inlineStr">
        <is>
          <t>5930783.60</t>
        </is>
      </c>
      <c r="I1053" t="inlineStr">
        <is>
          <t>1.55%</t>
        </is>
      </c>
      <c r="J1053" t="inlineStr">
        <is>
          <t>382008474.00</t>
        </is>
      </c>
      <c r="K1053" t="inlineStr">
        <is>
          <t>13330000</t>
        </is>
      </c>
      <c r="L1053" t="inlineStr">
        <is>
          <t>2666.000000000000</t>
        </is>
      </c>
      <c r="M1053" t="inlineStr"/>
    </row>
    <row r="1054">
      <c r="A1054" t="inlineStr">
        <is>
          <t>06/25/2026</t>
        </is>
      </c>
      <c r="B1054" t="inlineStr">
        <is>
          <t>EUV</t>
        </is>
      </c>
      <c r="C1054" s="1" t="inlineStr">
        <is>
          <t>PLAB</t>
        </is>
      </c>
      <c r="D1054" s="1" t="inlineStr">
        <is>
          <t>719405102</t>
        </is>
      </c>
      <c r="E1054" t="inlineStr">
        <is>
          <t>Photronics Inc</t>
        </is>
      </c>
      <c r="F1054" t="inlineStr">
        <is>
          <t>98642.00000000</t>
        </is>
      </c>
      <c r="G1054" t="inlineStr">
        <is>
          <t>31.650000</t>
        </is>
      </c>
      <c r="H1054" t="inlineStr">
        <is>
          <t>3122019.30</t>
        </is>
      </c>
      <c r="I1054" t="inlineStr">
        <is>
          <t>0.82%</t>
        </is>
      </c>
      <c r="J1054" t="inlineStr">
        <is>
          <t>382008474.00</t>
        </is>
      </c>
      <c r="K1054" t="inlineStr">
        <is>
          <t>13330000</t>
        </is>
      </c>
      <c r="L1054" t="inlineStr">
        <is>
          <t>2666.000000000000</t>
        </is>
      </c>
      <c r="M1054" t="inlineStr"/>
    </row>
    <row r="1055">
      <c r="A1055" t="inlineStr">
        <is>
          <t>06/25/2026</t>
        </is>
      </c>
      <c r="B1055" t="inlineStr">
        <is>
          <t>EUV</t>
        </is>
      </c>
      <c r="C1055" s="1" t="inlineStr">
        <is>
          <t>POET</t>
        </is>
      </c>
      <c r="D1055" s="1" t="inlineStr">
        <is>
          <t>73044W302</t>
        </is>
      </c>
      <c r="E1055" t="inlineStr">
        <is>
          <t>POET Technologies Inc</t>
        </is>
      </c>
      <c r="F1055" t="inlineStr">
        <is>
          <t>274598.00000000</t>
        </is>
      </c>
      <c r="G1055" t="inlineStr">
        <is>
          <t>10.660000</t>
        </is>
      </c>
      <c r="H1055" t="inlineStr">
        <is>
          <t>2927214.68</t>
        </is>
      </c>
      <c r="I1055" t="inlineStr">
        <is>
          <t>0.77%</t>
        </is>
      </c>
      <c r="J1055" t="inlineStr">
        <is>
          <t>382008474.00</t>
        </is>
      </c>
      <c r="K1055" t="inlineStr">
        <is>
          <t>13330000</t>
        </is>
      </c>
      <c r="L1055" t="inlineStr">
        <is>
          <t>2666.000000000000</t>
        </is>
      </c>
      <c r="M1055" t="inlineStr"/>
    </row>
    <row r="1056">
      <c r="A1056" t="inlineStr">
        <is>
          <t>06/25/2026</t>
        </is>
      </c>
      <c r="B1056" t="inlineStr">
        <is>
          <t>EUV</t>
        </is>
      </c>
      <c r="C1056" s="1" t="inlineStr">
        <is>
          <t>TDY</t>
        </is>
      </c>
      <c r="D1056" s="1" t="inlineStr">
        <is>
          <t>879360105</t>
        </is>
      </c>
      <c r="E1056" t="inlineStr">
        <is>
          <t>Teledyne Technologies Inc</t>
        </is>
      </c>
      <c r="F1056" t="inlineStr">
        <is>
          <t>5332.00000000</t>
        </is>
      </c>
      <c r="G1056" t="inlineStr">
        <is>
          <t>612.170000</t>
        </is>
      </c>
      <c r="H1056" t="inlineStr">
        <is>
          <t>3264090.44</t>
        </is>
      </c>
      <c r="I1056" t="inlineStr">
        <is>
          <t>0.85%</t>
        </is>
      </c>
      <c r="J1056" t="inlineStr">
        <is>
          <t>382008474.00</t>
        </is>
      </c>
      <c r="K1056" t="inlineStr">
        <is>
          <t>13330000</t>
        </is>
      </c>
      <c r="L1056" t="inlineStr">
        <is>
          <t>2666.000000000000</t>
        </is>
      </c>
      <c r="M1056" t="inlineStr"/>
    </row>
    <row r="1057">
      <c r="A1057" t="inlineStr">
        <is>
          <t>06/25/2026</t>
        </is>
      </c>
      <c r="B1057" t="inlineStr">
        <is>
          <t>EUV</t>
        </is>
      </c>
      <c r="C1057" s="1" t="inlineStr">
        <is>
          <t>TSEM</t>
        </is>
      </c>
      <c r="D1057" s="1" t="inlineStr">
        <is>
          <t>M87915274</t>
        </is>
      </c>
      <c r="E1057" t="inlineStr">
        <is>
          <t>Tower Semiconductor Ltd</t>
        </is>
      </c>
      <c r="F1057" t="inlineStr">
        <is>
          <t>10664.00000000</t>
        </is>
      </c>
      <c r="G1057" t="inlineStr">
        <is>
          <t>275.320000</t>
        </is>
      </c>
      <c r="H1057" t="inlineStr">
        <is>
          <t>2936012.48</t>
        </is>
      </c>
      <c r="I1057" t="inlineStr">
        <is>
          <t>0.77%</t>
        </is>
      </c>
      <c r="J1057" t="inlineStr">
        <is>
          <t>382008474.00</t>
        </is>
      </c>
      <c r="K1057" t="inlineStr">
        <is>
          <t>13330000</t>
        </is>
      </c>
      <c r="L1057" t="inlineStr">
        <is>
          <t>2666.000000000000</t>
        </is>
      </c>
      <c r="M1057" t="inlineStr"/>
    </row>
    <row r="1058">
      <c r="A1058" t="inlineStr">
        <is>
          <t>06/25/2026</t>
        </is>
      </c>
      <c r="B1058" t="inlineStr">
        <is>
          <t>EUV</t>
        </is>
      </c>
      <c r="C1058" s="1" t="inlineStr">
        <is>
          <t>TSM</t>
        </is>
      </c>
      <c r="D1058" s="1" t="inlineStr">
        <is>
          <t>874039100</t>
        </is>
      </c>
      <c r="E1058" t="inlineStr">
        <is>
          <t>Taiwan Semiconductor Manufacturing Co Ltd</t>
        </is>
      </c>
      <c r="F1058" t="inlineStr">
        <is>
          <t>85312.00000000</t>
        </is>
      </c>
      <c r="G1058" t="inlineStr">
        <is>
          <t>440.830000</t>
        </is>
      </c>
      <c r="H1058" t="inlineStr">
        <is>
          <t>37608088.96</t>
        </is>
      </c>
      <c r="I1058" t="inlineStr">
        <is>
          <t>9.84%</t>
        </is>
      </c>
      <c r="J1058" t="inlineStr">
        <is>
          <t>382008474.00</t>
        </is>
      </c>
      <c r="K1058" t="inlineStr">
        <is>
          <t>13330000</t>
        </is>
      </c>
      <c r="L1058" t="inlineStr">
        <is>
          <t>2666.000000000000</t>
        </is>
      </c>
      <c r="M1058" t="inlineStr"/>
    </row>
    <row r="1059">
      <c r="A1059" t="inlineStr">
        <is>
          <t>06/25/2026</t>
        </is>
      </c>
      <c r="B1059" t="inlineStr">
        <is>
          <t>EUV</t>
        </is>
      </c>
      <c r="C1059" s="1" t="inlineStr">
        <is>
          <t>UCTT</t>
        </is>
      </c>
      <c r="D1059" s="1" t="inlineStr">
        <is>
          <t>90385V107</t>
        </is>
      </c>
      <c r="E1059" t="inlineStr">
        <is>
          <t>Ultra Clean Holdings Inc</t>
        </is>
      </c>
      <c r="F1059" t="inlineStr">
        <is>
          <t>63984.00000000</t>
        </is>
      </c>
      <c r="G1059" t="inlineStr">
        <is>
          <t>108.420000</t>
        </is>
      </c>
      <c r="H1059" t="inlineStr">
        <is>
          <t>6937145.28</t>
        </is>
      </c>
      <c r="I1059" t="inlineStr">
        <is>
          <t>1.82%</t>
        </is>
      </c>
      <c r="J1059" t="inlineStr">
        <is>
          <t>382008474.00</t>
        </is>
      </c>
      <c r="K1059" t="inlineStr">
        <is>
          <t>13330000</t>
        </is>
      </c>
      <c r="L1059" t="inlineStr">
        <is>
          <t>2666.000000000000</t>
        </is>
      </c>
      <c r="M1059" t="inlineStr"/>
    </row>
    <row r="1060">
      <c r="A1060" t="inlineStr">
        <is>
          <t>06/25/2026</t>
        </is>
      </c>
      <c r="B1060" t="inlineStr">
        <is>
          <t>EUV</t>
        </is>
      </c>
      <c r="C1060" s="1" t="inlineStr">
        <is>
          <t>VECO</t>
        </is>
      </c>
      <c r="D1060" s="1" t="inlineStr">
        <is>
          <t>922417100</t>
        </is>
      </c>
      <c r="E1060" t="inlineStr">
        <is>
          <t>Veeco Instruments Inc</t>
        </is>
      </c>
      <c r="F1060" t="inlineStr">
        <is>
          <t>95976.00000000</t>
        </is>
      </c>
      <c r="G1060" t="inlineStr">
        <is>
          <t>71.160000</t>
        </is>
      </c>
      <c r="H1060" t="inlineStr">
        <is>
          <t>6829652.16</t>
        </is>
      </c>
      <c r="I1060" t="inlineStr">
        <is>
          <t>1.79%</t>
        </is>
      </c>
      <c r="J1060" t="inlineStr">
        <is>
          <t>382008474.00</t>
        </is>
      </c>
      <c r="K1060" t="inlineStr">
        <is>
          <t>13330000</t>
        </is>
      </c>
      <c r="L1060" t="inlineStr">
        <is>
          <t>2666.000000000000</t>
        </is>
      </c>
      <c r="M1060" t="inlineStr"/>
    </row>
    <row r="1061">
      <c r="A1061" t="inlineStr">
        <is>
          <t>06/25/2026</t>
        </is>
      </c>
      <c r="B1061" t="inlineStr">
        <is>
          <t>EUV</t>
        </is>
      </c>
      <c r="C1061" s="1" t="inlineStr">
        <is>
          <t>VIAV</t>
        </is>
      </c>
      <c r="D1061" s="1" t="inlineStr">
        <is>
          <t>925550105</t>
        </is>
      </c>
      <c r="E1061" t="inlineStr">
        <is>
          <t>Viavi Solutions Inc</t>
        </is>
      </c>
      <c r="F1061" t="inlineStr">
        <is>
          <t>149296.00000000</t>
        </is>
      </c>
      <c r="G1061" t="inlineStr">
        <is>
          <t>49.410000</t>
        </is>
      </c>
      <c r="H1061" t="inlineStr">
        <is>
          <t>7376715.36</t>
        </is>
      </c>
      <c r="I1061" t="inlineStr">
        <is>
          <t>1.93%</t>
        </is>
      </c>
      <c r="J1061" t="inlineStr">
        <is>
          <t>382008474.00</t>
        </is>
      </c>
      <c r="K1061" t="inlineStr">
        <is>
          <t>13330000</t>
        </is>
      </c>
      <c r="L1061" t="inlineStr">
        <is>
          <t>2666.000000000000</t>
        </is>
      </c>
      <c r="M1061" t="inlineStr"/>
    </row>
    <row r="1062">
      <c r="A1062" t="inlineStr">
        <is>
          <t>06/25/2026</t>
        </is>
      </c>
      <c r="B1062" t="inlineStr">
        <is>
          <t>EUV</t>
        </is>
      </c>
      <c r="C1062" s="1" t="inlineStr">
        <is>
          <t>Cash&amp;Other</t>
        </is>
      </c>
      <c r="D1062" s="1" t="inlineStr">
        <is>
          <t>Cash&amp;Other</t>
        </is>
      </c>
      <c r="E1062" t="inlineStr">
        <is>
          <t>Cash &amp; Other</t>
        </is>
      </c>
      <c r="F1062" t="inlineStr">
        <is>
          <t>117645.29000000</t>
        </is>
      </c>
      <c r="G1062" t="inlineStr">
        <is>
          <t>1.000000</t>
        </is>
      </c>
      <c r="H1062" t="inlineStr">
        <is>
          <t>117645.29</t>
        </is>
      </c>
      <c r="I1062" t="inlineStr">
        <is>
          <t>0.03%</t>
        </is>
      </c>
      <c r="J1062" t="inlineStr">
        <is>
          <t>382008474.00</t>
        </is>
      </c>
      <c r="K1062" t="inlineStr">
        <is>
          <t>13330000</t>
        </is>
      </c>
      <c r="L1062" t="inlineStr">
        <is>
          <t>2666.000000000000</t>
        </is>
      </c>
      <c r="M1062" t="inlineStr">
        <is>
          <t>Y</t>
        </is>
      </c>
    </row>
    <row r="1063">
      <c r="A1063" t="inlineStr">
        <is>
          <t>06/25/2026</t>
        </is>
      </c>
      <c r="B1063" t="inlineStr">
        <is>
          <t>EUVX</t>
        </is>
      </c>
      <c r="C1063" s="1" t="inlineStr">
        <is>
          <t>218946663-TRS-07/07/27-L-CLST</t>
        </is>
      </c>
      <c r="D1063" s="1" t="inlineStr">
        <is>
          <t>218946663-TRS-07/07/27-L-CLST</t>
        </is>
      </c>
      <c r="E1063" t="inlineStr">
        <is>
          <t>EUROVEST EUV FUND MASTER FIC FIM-SWAP-CLST-L</t>
        </is>
      </c>
      <c r="F1063" t="inlineStr">
        <is>
          <t>135300.00000000</t>
        </is>
      </c>
      <c r="G1063" t="inlineStr">
        <is>
          <t>28.680000</t>
        </is>
      </c>
      <c r="H1063" t="inlineStr">
        <is>
          <t>3880404.00</t>
        </is>
      </c>
      <c r="I1063" t="inlineStr">
        <is>
          <t>199.40%</t>
        </is>
      </c>
      <c r="J1063" t="inlineStr">
        <is>
          <t>1946083.50</t>
        </is>
      </c>
      <c r="K1063" t="inlineStr">
        <is>
          <t>85000</t>
        </is>
      </c>
      <c r="L1063" t="inlineStr">
        <is>
          <t>17.000000000000</t>
        </is>
      </c>
      <c r="M1063" t="inlineStr"/>
    </row>
    <row r="1064">
      <c r="A1064" t="inlineStr">
        <is>
          <t>06/25/2026</t>
        </is>
      </c>
      <c r="B1064" t="inlineStr">
        <is>
          <t>EUVX</t>
        </is>
      </c>
      <c r="C1064" s="1" t="inlineStr">
        <is>
          <t>FGXXX</t>
        </is>
      </c>
      <c r="D1064" s="1" t="inlineStr">
        <is>
          <t>31846V336</t>
        </is>
      </c>
      <c r="E1064" t="inlineStr">
        <is>
          <t>First American Government Obligations Fund 12/01/2031</t>
        </is>
      </c>
      <c r="F1064" t="inlineStr">
        <is>
          <t>134729.97000000</t>
        </is>
      </c>
      <c r="G1064" t="inlineStr">
        <is>
          <t>100.000000</t>
        </is>
      </c>
      <c r="H1064" t="inlineStr">
        <is>
          <t>134729.97</t>
        </is>
      </c>
      <c r="I1064" t="inlineStr">
        <is>
          <t>6.92%</t>
        </is>
      </c>
      <c r="J1064" t="inlineStr">
        <is>
          <t>1946083.50</t>
        </is>
      </c>
      <c r="K1064" t="inlineStr">
        <is>
          <t>85000</t>
        </is>
      </c>
      <c r="L1064" t="inlineStr">
        <is>
          <t>17.000000000000</t>
        </is>
      </c>
      <c r="M1064" t="inlineStr">
        <is>
          <t>Y</t>
        </is>
      </c>
    </row>
    <row r="1065">
      <c r="A1065" t="inlineStr">
        <is>
          <t>06/25/2026</t>
        </is>
      </c>
      <c r="B1065" t="inlineStr">
        <is>
          <t>EUVX</t>
        </is>
      </c>
      <c r="C1065" s="1" t="inlineStr">
        <is>
          <t>Cash&amp;Other</t>
        </is>
      </c>
      <c r="D1065" s="1" t="inlineStr">
        <is>
          <t>Cash&amp;Other</t>
        </is>
      </c>
      <c r="E1065" t="inlineStr">
        <is>
          <t>Cash &amp; Other</t>
        </is>
      </c>
      <c r="F1065" t="inlineStr">
        <is>
          <t>-2068280.56000000</t>
        </is>
      </c>
      <c r="G1065" t="inlineStr">
        <is>
          <t>1.000000</t>
        </is>
      </c>
      <c r="H1065" t="inlineStr">
        <is>
          <t>-2068280.56</t>
        </is>
      </c>
      <c r="I1065" t="inlineStr">
        <is>
          <t>-106.28%</t>
        </is>
      </c>
      <c r="J1065" t="inlineStr">
        <is>
          <t>1946083.50</t>
        </is>
      </c>
      <c r="K1065" t="inlineStr">
        <is>
          <t>85000</t>
        </is>
      </c>
      <c r="L1065" t="inlineStr">
        <is>
          <t>17.000000000000</t>
        </is>
      </c>
      <c r="M1065" t="inlineStr">
        <is>
          <t>Y</t>
        </is>
      </c>
    </row>
    <row r="1066">
      <c r="A1066" t="inlineStr">
        <is>
          <t>06/25/2026</t>
        </is>
      </c>
      <c r="B1066" t="inlineStr">
        <is>
          <t>EYES</t>
        </is>
      </c>
      <c r="C1066" s="1" t="inlineStr">
        <is>
          <t>ADT</t>
        </is>
      </c>
      <c r="D1066" s="1" t="inlineStr">
        <is>
          <t>00090Q103</t>
        </is>
      </c>
      <c r="E1066" t="inlineStr">
        <is>
          <t>ADT Inc</t>
        </is>
      </c>
      <c r="F1066" t="inlineStr">
        <is>
          <t>8750.00000000</t>
        </is>
      </c>
      <c r="G1066" t="inlineStr">
        <is>
          <t>6.550000</t>
        </is>
      </c>
      <c r="H1066" t="inlineStr">
        <is>
          <t>57312.50</t>
        </is>
      </c>
      <c r="I1066" t="inlineStr">
        <is>
          <t>1.88%</t>
        </is>
      </c>
      <c r="J1066" t="inlineStr">
        <is>
          <t>3046762.50</t>
        </is>
      </c>
      <c r="K1066" t="inlineStr">
        <is>
          <t>125000</t>
        </is>
      </c>
      <c r="L1066" t="inlineStr">
        <is>
          <t>25.000000000000</t>
        </is>
      </c>
      <c r="M1066" t="inlineStr"/>
    </row>
    <row r="1067">
      <c r="A1067" t="inlineStr">
        <is>
          <t>06/25/2026</t>
        </is>
      </c>
      <c r="B1067" t="inlineStr">
        <is>
          <t>EYES</t>
        </is>
      </c>
      <c r="C1067" s="1" t="inlineStr">
        <is>
          <t>AIOT</t>
        </is>
      </c>
      <c r="D1067" s="1" t="inlineStr">
        <is>
          <t>73931J109</t>
        </is>
      </c>
      <c r="E1067" t="inlineStr">
        <is>
          <t>Powerfleet Inc NJ</t>
        </is>
      </c>
      <c r="F1067" t="inlineStr">
        <is>
          <t>7650.00000000</t>
        </is>
      </c>
      <c r="G1067" t="inlineStr">
        <is>
          <t>3.790000</t>
        </is>
      </c>
      <c r="H1067" t="inlineStr">
        <is>
          <t>28993.50</t>
        </is>
      </c>
      <c r="I1067" t="inlineStr">
        <is>
          <t>0.95%</t>
        </is>
      </c>
      <c r="J1067" t="inlineStr">
        <is>
          <t>3046762.50</t>
        </is>
      </c>
      <c r="K1067" t="inlineStr">
        <is>
          <t>125000</t>
        </is>
      </c>
      <c r="L1067" t="inlineStr">
        <is>
          <t>25.000000000000</t>
        </is>
      </c>
      <c r="M1067" t="inlineStr"/>
    </row>
    <row r="1068">
      <c r="A1068" t="inlineStr">
        <is>
          <t>06/25/2026</t>
        </is>
      </c>
      <c r="B1068" t="inlineStr">
        <is>
          <t>EYES</t>
        </is>
      </c>
      <c r="C1068" s="1" t="inlineStr">
        <is>
          <t>AXON</t>
        </is>
      </c>
      <c r="D1068" s="1" t="inlineStr">
        <is>
          <t>05464C101</t>
        </is>
      </c>
      <c r="E1068" t="inlineStr">
        <is>
          <t>Axon Enterprise Inc</t>
        </is>
      </c>
      <c r="F1068" t="inlineStr">
        <is>
          <t>400.00000000</t>
        </is>
      </c>
      <c r="G1068" t="inlineStr">
        <is>
          <t>456.730000</t>
        </is>
      </c>
      <c r="H1068" t="inlineStr">
        <is>
          <t>182692.00</t>
        </is>
      </c>
      <c r="I1068" t="inlineStr">
        <is>
          <t>6.00%</t>
        </is>
      </c>
      <c r="J1068" t="inlineStr">
        <is>
          <t>3046762.50</t>
        </is>
      </c>
      <c r="K1068" t="inlineStr">
        <is>
          <t>125000</t>
        </is>
      </c>
      <c r="L1068" t="inlineStr">
        <is>
          <t>25.000000000000</t>
        </is>
      </c>
      <c r="M1068" t="inlineStr"/>
    </row>
    <row r="1069">
      <c r="A1069" t="inlineStr">
        <is>
          <t>06/25/2026</t>
        </is>
      </c>
      <c r="B1069" t="inlineStr">
        <is>
          <t>EYES</t>
        </is>
      </c>
      <c r="C1069" s="1" t="inlineStr">
        <is>
          <t>BAH</t>
        </is>
      </c>
      <c r="D1069" s="1" t="inlineStr">
        <is>
          <t>099502106</t>
        </is>
      </c>
      <c r="E1069" t="inlineStr">
        <is>
          <t>Booz Allen Hamilton Holding Corp</t>
        </is>
      </c>
      <c r="F1069" t="inlineStr">
        <is>
          <t>1225.00000000</t>
        </is>
      </c>
      <c r="G1069" t="inlineStr">
        <is>
          <t>62.680000</t>
        </is>
      </c>
      <c r="H1069" t="inlineStr">
        <is>
          <t>76783.00</t>
        </is>
      </c>
      <c r="I1069" t="inlineStr">
        <is>
          <t>2.52%</t>
        </is>
      </c>
      <c r="J1069" t="inlineStr">
        <is>
          <t>3046762.50</t>
        </is>
      </c>
      <c r="K1069" t="inlineStr">
        <is>
          <t>125000</t>
        </is>
      </c>
      <c r="L1069" t="inlineStr">
        <is>
          <t>25.000000000000</t>
        </is>
      </c>
      <c r="M1069" t="inlineStr"/>
    </row>
    <row r="1070">
      <c r="A1070" t="inlineStr">
        <is>
          <t>06/25/2026</t>
        </is>
      </c>
      <c r="B1070" t="inlineStr">
        <is>
          <t>EYES</t>
        </is>
      </c>
      <c r="C1070" s="1" t="inlineStr">
        <is>
          <t>BBAI</t>
        </is>
      </c>
      <c r="D1070" s="1" t="inlineStr">
        <is>
          <t>08975B109</t>
        </is>
      </c>
      <c r="E1070" t="inlineStr">
        <is>
          <t>BIGBEAR.AI HOLDINGS INC</t>
        </is>
      </c>
      <c r="F1070" t="inlineStr">
        <is>
          <t>12800.00000000</t>
        </is>
      </c>
      <c r="G1070" t="inlineStr">
        <is>
          <t>3.520000</t>
        </is>
      </c>
      <c r="H1070" t="inlineStr">
        <is>
          <t>45056.00</t>
        </is>
      </c>
      <c r="I1070" t="inlineStr">
        <is>
          <t>1.48%</t>
        </is>
      </c>
      <c r="J1070" t="inlineStr">
        <is>
          <t>3046762.50</t>
        </is>
      </c>
      <c r="K1070" t="inlineStr">
        <is>
          <t>125000</t>
        </is>
      </c>
      <c r="L1070" t="inlineStr">
        <is>
          <t>25.000000000000</t>
        </is>
      </c>
      <c r="M1070" t="inlineStr"/>
    </row>
    <row r="1071">
      <c r="A1071" t="inlineStr">
        <is>
          <t>06/25/2026</t>
        </is>
      </c>
      <c r="B1071" t="inlineStr">
        <is>
          <t>EYES</t>
        </is>
      </c>
      <c r="C1071" s="1" t="inlineStr">
        <is>
          <t>BKSY</t>
        </is>
      </c>
      <c r="D1071" s="1" t="inlineStr">
        <is>
          <t>09263B207</t>
        </is>
      </c>
      <c r="E1071" t="inlineStr">
        <is>
          <t>BlackSky Technology Inc</t>
        </is>
      </c>
      <c r="F1071" t="inlineStr">
        <is>
          <t>1050.00000000</t>
        </is>
      </c>
      <c r="G1071" t="inlineStr">
        <is>
          <t>25.210000</t>
        </is>
      </c>
      <c r="H1071" t="inlineStr">
        <is>
          <t>26470.50</t>
        </is>
      </c>
      <c r="I1071" t="inlineStr">
        <is>
          <t>0.87%</t>
        </is>
      </c>
      <c r="J1071" t="inlineStr">
        <is>
          <t>3046762.50</t>
        </is>
      </c>
      <c r="K1071" t="inlineStr">
        <is>
          <t>125000</t>
        </is>
      </c>
      <c r="L1071" t="inlineStr">
        <is>
          <t>25.000000000000</t>
        </is>
      </c>
      <c r="M1071" t="inlineStr"/>
    </row>
    <row r="1072">
      <c r="A1072" t="inlineStr">
        <is>
          <t>06/25/2026</t>
        </is>
      </c>
      <c r="B1072" t="inlineStr">
        <is>
          <t>EYES</t>
        </is>
      </c>
      <c r="C1072" s="1" t="inlineStr">
        <is>
          <t>CACI</t>
        </is>
      </c>
      <c r="D1072" s="1" t="inlineStr">
        <is>
          <t>127190304</t>
        </is>
      </c>
      <c r="E1072" t="inlineStr">
        <is>
          <t>CACI International Inc</t>
        </is>
      </c>
      <c r="F1072" t="inlineStr">
        <is>
          <t>200.00000000</t>
        </is>
      </c>
      <c r="G1072" t="inlineStr">
        <is>
          <t>462.040000</t>
        </is>
      </c>
      <c r="H1072" t="inlineStr">
        <is>
          <t>92408.00</t>
        </is>
      </c>
      <c r="I1072" t="inlineStr">
        <is>
          <t>3.03%</t>
        </is>
      </c>
      <c r="J1072" t="inlineStr">
        <is>
          <t>3046762.50</t>
        </is>
      </c>
      <c r="K1072" t="inlineStr">
        <is>
          <t>125000</t>
        </is>
      </c>
      <c r="L1072" t="inlineStr">
        <is>
          <t>25.000000000000</t>
        </is>
      </c>
      <c r="M1072" t="inlineStr"/>
    </row>
    <row r="1073">
      <c r="A1073" t="inlineStr">
        <is>
          <t>06/25/2026</t>
        </is>
      </c>
      <c r="B1073" t="inlineStr">
        <is>
          <t>EYES</t>
        </is>
      </c>
      <c r="C1073" s="1" t="inlineStr">
        <is>
          <t>CGNT</t>
        </is>
      </c>
      <c r="D1073" s="1" t="inlineStr">
        <is>
          <t>M25133105</t>
        </is>
      </c>
      <c r="E1073" t="inlineStr">
        <is>
          <t>Cognyte Software Ltd</t>
        </is>
      </c>
      <c r="F1073" t="inlineStr">
        <is>
          <t>3125.00000000</t>
        </is>
      </c>
      <c r="G1073" t="inlineStr">
        <is>
          <t>7.980000</t>
        </is>
      </c>
      <c r="H1073" t="inlineStr">
        <is>
          <t>24937.50</t>
        </is>
      </c>
      <c r="I1073" t="inlineStr">
        <is>
          <t>0.82%</t>
        </is>
      </c>
      <c r="J1073" t="inlineStr">
        <is>
          <t>3046762.50</t>
        </is>
      </c>
      <c r="K1073" t="inlineStr">
        <is>
          <t>125000</t>
        </is>
      </c>
      <c r="L1073" t="inlineStr">
        <is>
          <t>25.000000000000</t>
        </is>
      </c>
      <c r="M1073" t="inlineStr"/>
    </row>
    <row r="1074">
      <c r="A1074" t="inlineStr">
        <is>
          <t>06/25/2026</t>
        </is>
      </c>
      <c r="B1074" t="inlineStr">
        <is>
          <t>EYES</t>
        </is>
      </c>
      <c r="C1074" s="1" t="inlineStr">
        <is>
          <t>CLBT</t>
        </is>
      </c>
      <c r="D1074" s="1" t="inlineStr">
        <is>
          <t>M2197Q107</t>
        </is>
      </c>
      <c r="E1074" t="inlineStr">
        <is>
          <t>Cellebrite DI Ltd</t>
        </is>
      </c>
      <c r="F1074" t="inlineStr">
        <is>
          <t>3800.00000000</t>
        </is>
      </c>
      <c r="G1074" t="inlineStr">
        <is>
          <t>12.690000</t>
        </is>
      </c>
      <c r="H1074" t="inlineStr">
        <is>
          <t>48222.00</t>
        </is>
      </c>
      <c r="I1074" t="inlineStr">
        <is>
          <t>1.58%</t>
        </is>
      </c>
      <c r="J1074" t="inlineStr">
        <is>
          <t>3046762.50</t>
        </is>
      </c>
      <c r="K1074" t="inlineStr">
        <is>
          <t>125000</t>
        </is>
      </c>
      <c r="L1074" t="inlineStr">
        <is>
          <t>25.000000000000</t>
        </is>
      </c>
      <c r="M1074" t="inlineStr"/>
    </row>
    <row r="1075">
      <c r="A1075" t="inlineStr">
        <is>
          <t>06/25/2026</t>
        </is>
      </c>
      <c r="B1075" t="inlineStr">
        <is>
          <t>EYES</t>
        </is>
      </c>
      <c r="C1075" s="1" t="inlineStr">
        <is>
          <t>DDOG</t>
        </is>
      </c>
      <c r="D1075" s="1" t="inlineStr">
        <is>
          <t>23804L103</t>
        </is>
      </c>
      <c r="E1075" t="inlineStr">
        <is>
          <t>Datadog Inc</t>
        </is>
      </c>
      <c r="F1075" t="inlineStr">
        <is>
          <t>1200.00000000</t>
        </is>
      </c>
      <c r="G1075" t="inlineStr">
        <is>
          <t>222.650000</t>
        </is>
      </c>
      <c r="H1075" t="inlineStr">
        <is>
          <t>267180.00</t>
        </is>
      </c>
      <c r="I1075" t="inlineStr">
        <is>
          <t>8.77%</t>
        </is>
      </c>
      <c r="J1075" t="inlineStr">
        <is>
          <t>3046762.50</t>
        </is>
      </c>
      <c r="K1075" t="inlineStr">
        <is>
          <t>125000</t>
        </is>
      </c>
      <c r="L1075" t="inlineStr">
        <is>
          <t>25.000000000000</t>
        </is>
      </c>
      <c r="M1075" t="inlineStr"/>
    </row>
    <row r="1076">
      <c r="A1076" t="inlineStr">
        <is>
          <t>06/25/2026</t>
        </is>
      </c>
      <c r="B1076" t="inlineStr">
        <is>
          <t>EYES</t>
        </is>
      </c>
      <c r="C1076" s="1" t="inlineStr">
        <is>
          <t>DGII</t>
        </is>
      </c>
      <c r="D1076" s="1" t="inlineStr">
        <is>
          <t>253798102</t>
        </is>
      </c>
      <c r="E1076" t="inlineStr">
        <is>
          <t>Digi International Inc</t>
        </is>
      </c>
      <c r="F1076" t="inlineStr">
        <is>
          <t>850.00000000</t>
        </is>
      </c>
      <c r="G1076" t="inlineStr">
        <is>
          <t>67.740000</t>
        </is>
      </c>
      <c r="H1076" t="inlineStr">
        <is>
          <t>57579.00</t>
        </is>
      </c>
      <c r="I1076" t="inlineStr">
        <is>
          <t>1.89%</t>
        </is>
      </c>
      <c r="J1076" t="inlineStr">
        <is>
          <t>3046762.50</t>
        </is>
      </c>
      <c r="K1076" t="inlineStr">
        <is>
          <t>125000</t>
        </is>
      </c>
      <c r="L1076" t="inlineStr">
        <is>
          <t>25.000000000000</t>
        </is>
      </c>
      <c r="M1076" t="inlineStr"/>
    </row>
    <row r="1077">
      <c r="A1077" t="inlineStr">
        <is>
          <t>06/25/2026</t>
        </is>
      </c>
      <c r="B1077" t="inlineStr">
        <is>
          <t>EYES</t>
        </is>
      </c>
      <c r="C1077" s="1" t="inlineStr">
        <is>
          <t>DT</t>
        </is>
      </c>
      <c r="D1077" s="1" t="inlineStr">
        <is>
          <t>268150109</t>
        </is>
      </c>
      <c r="E1077" t="inlineStr">
        <is>
          <t>Dynatrace Inc</t>
        </is>
      </c>
      <c r="F1077" t="inlineStr">
        <is>
          <t>2950.00000000</t>
        </is>
      </c>
      <c r="G1077" t="inlineStr">
        <is>
          <t>40.610000</t>
        </is>
      </c>
      <c r="H1077" t="inlineStr">
        <is>
          <t>119799.50</t>
        </is>
      </c>
      <c r="I1077" t="inlineStr">
        <is>
          <t>3.93%</t>
        </is>
      </c>
      <c r="J1077" t="inlineStr">
        <is>
          <t>3046762.50</t>
        </is>
      </c>
      <c r="K1077" t="inlineStr">
        <is>
          <t>125000</t>
        </is>
      </c>
      <c r="L1077" t="inlineStr">
        <is>
          <t>25.000000000000</t>
        </is>
      </c>
      <c r="M1077" t="inlineStr"/>
    </row>
    <row r="1078">
      <c r="A1078" t="inlineStr">
        <is>
          <t>06/25/2026</t>
        </is>
      </c>
      <c r="B1078" t="inlineStr">
        <is>
          <t>EYES</t>
        </is>
      </c>
      <c r="C1078" s="1" t="inlineStr">
        <is>
          <t>ESTC</t>
        </is>
      </c>
      <c r="D1078" s="1" t="inlineStr">
        <is>
          <t>N14506104</t>
        </is>
      </c>
      <c r="E1078" t="inlineStr">
        <is>
          <t>Elastic NV</t>
        </is>
      </c>
      <c r="F1078" t="inlineStr">
        <is>
          <t>1550.00000000</t>
        </is>
      </c>
      <c r="G1078" t="inlineStr">
        <is>
          <t>58.710000</t>
        </is>
      </c>
      <c r="H1078" t="inlineStr">
        <is>
          <t>91000.50</t>
        </is>
      </c>
      <c r="I1078" t="inlineStr">
        <is>
          <t>2.99%</t>
        </is>
      </c>
      <c r="J1078" t="inlineStr">
        <is>
          <t>3046762.50</t>
        </is>
      </c>
      <c r="K1078" t="inlineStr">
        <is>
          <t>125000</t>
        </is>
      </c>
      <c r="L1078" t="inlineStr">
        <is>
          <t>25.000000000000</t>
        </is>
      </c>
      <c r="M1078" t="inlineStr"/>
    </row>
    <row r="1079">
      <c r="A1079" t="inlineStr">
        <is>
          <t>06/25/2026</t>
        </is>
      </c>
      <c r="B1079" t="inlineStr">
        <is>
          <t>EYES</t>
        </is>
      </c>
      <c r="C1079" s="1" t="inlineStr">
        <is>
          <t>FGXXX</t>
        </is>
      </c>
      <c r="D1079" s="1" t="inlineStr">
        <is>
          <t>31846V336</t>
        </is>
      </c>
      <c r="E1079" t="inlineStr">
        <is>
          <t>First American Government Obligations Fund 12/01/2031</t>
        </is>
      </c>
      <c r="F1079" t="inlineStr">
        <is>
          <t>46373.20000000</t>
        </is>
      </c>
      <c r="G1079" t="inlineStr">
        <is>
          <t>100.000000</t>
        </is>
      </c>
      <c r="H1079" t="inlineStr">
        <is>
          <t>46373.20</t>
        </is>
      </c>
      <c r="I1079" t="inlineStr">
        <is>
          <t>1.52%</t>
        </is>
      </c>
      <c r="J1079" t="inlineStr">
        <is>
          <t>3046762.50</t>
        </is>
      </c>
      <c r="K1079" t="inlineStr">
        <is>
          <t>125000</t>
        </is>
      </c>
      <c r="L1079" t="inlineStr">
        <is>
          <t>25.000000000000</t>
        </is>
      </c>
      <c r="M1079" t="inlineStr">
        <is>
          <t>Y</t>
        </is>
      </c>
    </row>
    <row r="1080">
      <c r="A1080" t="inlineStr">
        <is>
          <t>06/25/2026</t>
        </is>
      </c>
      <c r="B1080" t="inlineStr">
        <is>
          <t>EYES</t>
        </is>
      </c>
      <c r="C1080" s="1" t="inlineStr">
        <is>
          <t>INVE</t>
        </is>
      </c>
      <c r="D1080" s="1" t="inlineStr">
        <is>
          <t>45170X205</t>
        </is>
      </c>
      <c r="E1080" t="inlineStr">
        <is>
          <t>Identiv Inc</t>
        </is>
      </c>
      <c r="F1080" t="inlineStr">
        <is>
          <t>3325.00000000</t>
        </is>
      </c>
      <c r="G1080" t="inlineStr">
        <is>
          <t>3.690000</t>
        </is>
      </c>
      <c r="H1080" t="inlineStr">
        <is>
          <t>12269.25</t>
        </is>
      </c>
      <c r="I1080" t="inlineStr">
        <is>
          <t>0.40%</t>
        </is>
      </c>
      <c r="J1080" t="inlineStr">
        <is>
          <t>3046762.50</t>
        </is>
      </c>
      <c r="K1080" t="inlineStr">
        <is>
          <t>125000</t>
        </is>
      </c>
      <c r="L1080" t="inlineStr">
        <is>
          <t>25.000000000000</t>
        </is>
      </c>
      <c r="M1080" t="inlineStr"/>
    </row>
    <row r="1081">
      <c r="A1081" t="inlineStr">
        <is>
          <t>06/25/2026</t>
        </is>
      </c>
      <c r="B1081" t="inlineStr">
        <is>
          <t>EYES</t>
        </is>
      </c>
      <c r="C1081" s="1" t="inlineStr">
        <is>
          <t>IOT</t>
        </is>
      </c>
      <c r="D1081" s="1" t="inlineStr">
        <is>
          <t>79589L106</t>
        </is>
      </c>
      <c r="E1081" t="inlineStr">
        <is>
          <t>Samsara Inc</t>
        </is>
      </c>
      <c r="F1081" t="inlineStr">
        <is>
          <t>3400.00000000</t>
        </is>
      </c>
      <c r="G1081" t="inlineStr">
        <is>
          <t>31.240000</t>
        </is>
      </c>
      <c r="H1081" t="inlineStr">
        <is>
          <t>106216.00</t>
        </is>
      </c>
      <c r="I1081" t="inlineStr">
        <is>
          <t>3.49%</t>
        </is>
      </c>
      <c r="J1081" t="inlineStr">
        <is>
          <t>3046762.50</t>
        </is>
      </c>
      <c r="K1081" t="inlineStr">
        <is>
          <t>125000</t>
        </is>
      </c>
      <c r="L1081" t="inlineStr">
        <is>
          <t>25.000000000000</t>
        </is>
      </c>
      <c r="M1081" t="inlineStr"/>
    </row>
    <row r="1082">
      <c r="A1082" t="inlineStr">
        <is>
          <t>06/25/2026</t>
        </is>
      </c>
      <c r="B1082" t="inlineStr">
        <is>
          <t>EYES</t>
        </is>
      </c>
      <c r="C1082" s="1" t="inlineStr">
        <is>
          <t>LDOS</t>
        </is>
      </c>
      <c r="D1082" s="1" t="inlineStr">
        <is>
          <t>525327102</t>
        </is>
      </c>
      <c r="E1082" t="inlineStr">
        <is>
          <t>Leidos Holdings Inc</t>
        </is>
      </c>
      <c r="F1082" t="inlineStr">
        <is>
          <t>900.00000000</t>
        </is>
      </c>
      <c r="G1082" t="inlineStr">
        <is>
          <t>104.320000</t>
        </is>
      </c>
      <c r="H1082" t="inlineStr">
        <is>
          <t>93888.00</t>
        </is>
      </c>
      <c r="I1082" t="inlineStr">
        <is>
          <t>3.08%</t>
        </is>
      </c>
      <c r="J1082" t="inlineStr">
        <is>
          <t>3046762.50</t>
        </is>
      </c>
      <c r="K1082" t="inlineStr">
        <is>
          <t>125000</t>
        </is>
      </c>
      <c r="L1082" t="inlineStr">
        <is>
          <t>25.000000000000</t>
        </is>
      </c>
      <c r="M1082" t="inlineStr"/>
    </row>
    <row r="1083">
      <c r="A1083" t="inlineStr">
        <is>
          <t>06/25/2026</t>
        </is>
      </c>
      <c r="B1083" t="inlineStr">
        <is>
          <t>EYES</t>
        </is>
      </c>
      <c r="C1083" s="1" t="inlineStr">
        <is>
          <t>LHX</t>
        </is>
      </c>
      <c r="D1083" s="1" t="inlineStr">
        <is>
          <t>502431109</t>
        </is>
      </c>
      <c r="E1083" t="inlineStr">
        <is>
          <t>L3Harris Technologies Inc</t>
        </is>
      </c>
      <c r="F1083" t="inlineStr">
        <is>
          <t>500.00000000</t>
        </is>
      </c>
      <c r="G1083" t="inlineStr">
        <is>
          <t>287.270000</t>
        </is>
      </c>
      <c r="H1083" t="inlineStr">
        <is>
          <t>143635.00</t>
        </is>
      </c>
      <c r="I1083" t="inlineStr">
        <is>
          <t>4.71%</t>
        </is>
      </c>
      <c r="J1083" t="inlineStr">
        <is>
          <t>3046762.50</t>
        </is>
      </c>
      <c r="K1083" t="inlineStr">
        <is>
          <t>125000</t>
        </is>
      </c>
      <c r="L1083" t="inlineStr">
        <is>
          <t>25.000000000000</t>
        </is>
      </c>
      <c r="M1083" t="inlineStr"/>
    </row>
    <row r="1084">
      <c r="A1084" t="inlineStr">
        <is>
          <t>06/25/2026</t>
        </is>
      </c>
      <c r="B1084" t="inlineStr">
        <is>
          <t>EYES</t>
        </is>
      </c>
      <c r="C1084" s="1" t="inlineStr">
        <is>
          <t>MITK</t>
        </is>
      </c>
      <c r="D1084" s="1" t="inlineStr">
        <is>
          <t>606710200</t>
        </is>
      </c>
      <c r="E1084" t="inlineStr">
        <is>
          <t>Mitek Systems Inc</t>
        </is>
      </c>
      <c r="F1084" t="inlineStr">
        <is>
          <t>2150.00000000</t>
        </is>
      </c>
      <c r="G1084" t="inlineStr">
        <is>
          <t>17.380000</t>
        </is>
      </c>
      <c r="H1084" t="inlineStr">
        <is>
          <t>37367.00</t>
        </is>
      </c>
      <c r="I1084" t="inlineStr">
        <is>
          <t>1.23%</t>
        </is>
      </c>
      <c r="J1084" t="inlineStr">
        <is>
          <t>3046762.50</t>
        </is>
      </c>
      <c r="K1084" t="inlineStr">
        <is>
          <t>125000</t>
        </is>
      </c>
      <c r="L1084" t="inlineStr">
        <is>
          <t>25.000000000000</t>
        </is>
      </c>
      <c r="M1084" t="inlineStr"/>
    </row>
    <row r="1085">
      <c r="A1085" t="inlineStr">
        <is>
          <t>06/25/2026</t>
        </is>
      </c>
      <c r="B1085" t="inlineStr">
        <is>
          <t>EYES</t>
        </is>
      </c>
      <c r="C1085" s="1" t="inlineStr">
        <is>
          <t>MSI</t>
        </is>
      </c>
      <c r="D1085" s="1" t="inlineStr">
        <is>
          <t>620076307</t>
        </is>
      </c>
      <c r="E1085" t="inlineStr">
        <is>
          <t>Motorola Solutions Inc</t>
        </is>
      </c>
      <c r="F1085" t="inlineStr">
        <is>
          <t>525.00000000</t>
        </is>
      </c>
      <c r="G1085" t="inlineStr">
        <is>
          <t>400.600000</t>
        </is>
      </c>
      <c r="H1085" t="inlineStr">
        <is>
          <t>210315.00</t>
        </is>
      </c>
      <c r="I1085" t="inlineStr">
        <is>
          <t>6.90%</t>
        </is>
      </c>
      <c r="J1085" t="inlineStr">
        <is>
          <t>3046762.50</t>
        </is>
      </c>
      <c r="K1085" t="inlineStr">
        <is>
          <t>125000</t>
        </is>
      </c>
      <c r="L1085" t="inlineStr">
        <is>
          <t>25.000000000000</t>
        </is>
      </c>
      <c r="M1085" t="inlineStr"/>
    </row>
    <row r="1086">
      <c r="A1086" t="inlineStr">
        <is>
          <t>06/25/2026</t>
        </is>
      </c>
      <c r="B1086" t="inlineStr">
        <is>
          <t>EYES</t>
        </is>
      </c>
      <c r="C1086" s="1" t="inlineStr">
        <is>
          <t>NIQ</t>
        </is>
      </c>
      <c r="D1086" s="1" t="inlineStr">
        <is>
          <t>G63755105</t>
        </is>
      </c>
      <c r="E1086" t="inlineStr">
        <is>
          <t>NIQ Global Intelligence Plc</t>
        </is>
      </c>
      <c r="F1086" t="inlineStr">
        <is>
          <t>3400.00000000</t>
        </is>
      </c>
      <c r="G1086" t="inlineStr">
        <is>
          <t>8.200000</t>
        </is>
      </c>
      <c r="H1086" t="inlineStr">
        <is>
          <t>27880.00</t>
        </is>
      </c>
      <c r="I1086" t="inlineStr">
        <is>
          <t>0.92%</t>
        </is>
      </c>
      <c r="J1086" t="inlineStr">
        <is>
          <t>3046762.50</t>
        </is>
      </c>
      <c r="K1086" t="inlineStr">
        <is>
          <t>125000</t>
        </is>
      </c>
      <c r="L1086" t="inlineStr">
        <is>
          <t>25.000000000000</t>
        </is>
      </c>
      <c r="M1086" t="inlineStr"/>
    </row>
    <row r="1087">
      <c r="A1087" t="inlineStr">
        <is>
          <t>06/25/2026</t>
        </is>
      </c>
      <c r="B1087" t="inlineStr">
        <is>
          <t>EYES</t>
        </is>
      </c>
      <c r="C1087" s="1" t="inlineStr">
        <is>
          <t>OSIS</t>
        </is>
      </c>
      <c r="D1087" s="1" t="inlineStr">
        <is>
          <t>671044105</t>
        </is>
      </c>
      <c r="E1087" t="inlineStr">
        <is>
          <t>OSI Systems Inc</t>
        </is>
      </c>
      <c r="F1087" t="inlineStr">
        <is>
          <t>250.00000000</t>
        </is>
      </c>
      <c r="G1087" t="inlineStr">
        <is>
          <t>213.720000</t>
        </is>
      </c>
      <c r="H1087" t="inlineStr">
        <is>
          <t>53430.00</t>
        </is>
      </c>
      <c r="I1087" t="inlineStr">
        <is>
          <t>1.75%</t>
        </is>
      </c>
      <c r="J1087" t="inlineStr">
        <is>
          <t>3046762.50</t>
        </is>
      </c>
      <c r="K1087" t="inlineStr">
        <is>
          <t>125000</t>
        </is>
      </c>
      <c r="L1087" t="inlineStr">
        <is>
          <t>25.000000000000</t>
        </is>
      </c>
      <c r="M1087" t="inlineStr"/>
    </row>
    <row r="1088">
      <c r="A1088" t="inlineStr">
        <is>
          <t>06/25/2026</t>
        </is>
      </c>
      <c r="B1088" t="inlineStr">
        <is>
          <t>EYES</t>
        </is>
      </c>
      <c r="C1088" s="1" t="inlineStr">
        <is>
          <t>PI</t>
        </is>
      </c>
      <c r="D1088" s="1" t="inlineStr">
        <is>
          <t>453204109</t>
        </is>
      </c>
      <c r="E1088" t="inlineStr">
        <is>
          <t>Impinj Inc</t>
        </is>
      </c>
      <c r="F1088" t="inlineStr">
        <is>
          <t>475.00000000</t>
        </is>
      </c>
      <c r="G1088" t="inlineStr">
        <is>
          <t>127.980000</t>
        </is>
      </c>
      <c r="H1088" t="inlineStr">
        <is>
          <t>60790.50</t>
        </is>
      </c>
      <c r="I1088" t="inlineStr">
        <is>
          <t>2.00%</t>
        </is>
      </c>
      <c r="J1088" t="inlineStr">
        <is>
          <t>3046762.50</t>
        </is>
      </c>
      <c r="K1088" t="inlineStr">
        <is>
          <t>125000</t>
        </is>
      </c>
      <c r="L1088" t="inlineStr">
        <is>
          <t>25.000000000000</t>
        </is>
      </c>
      <c r="M1088" t="inlineStr"/>
    </row>
    <row r="1089">
      <c r="A1089" t="inlineStr">
        <is>
          <t>06/25/2026</t>
        </is>
      </c>
      <c r="B1089" t="inlineStr">
        <is>
          <t>EYES</t>
        </is>
      </c>
      <c r="C1089" s="1" t="inlineStr">
        <is>
          <t>PL</t>
        </is>
      </c>
      <c r="D1089" s="1" t="inlineStr">
        <is>
          <t>72703X106</t>
        </is>
      </c>
      <c r="E1089" t="inlineStr">
        <is>
          <t>Planet Labs PBC</t>
        </is>
      </c>
      <c r="F1089" t="inlineStr">
        <is>
          <t>2500.00000000</t>
        </is>
      </c>
      <c r="G1089" t="inlineStr">
        <is>
          <t>26.300000</t>
        </is>
      </c>
      <c r="H1089" t="inlineStr">
        <is>
          <t>65750.00</t>
        </is>
      </c>
      <c r="I1089" t="inlineStr">
        <is>
          <t>2.16%</t>
        </is>
      </c>
      <c r="J1089" t="inlineStr">
        <is>
          <t>3046762.50</t>
        </is>
      </c>
      <c r="K1089" t="inlineStr">
        <is>
          <t>125000</t>
        </is>
      </c>
      <c r="L1089" t="inlineStr">
        <is>
          <t>25.000000000000</t>
        </is>
      </c>
      <c r="M1089" t="inlineStr"/>
    </row>
    <row r="1090">
      <c r="A1090" t="inlineStr">
        <is>
          <t>06/25/2026</t>
        </is>
      </c>
      <c r="B1090" t="inlineStr">
        <is>
          <t>EYES</t>
        </is>
      </c>
      <c r="C1090" s="1" t="inlineStr">
        <is>
          <t>PLTR</t>
        </is>
      </c>
      <c r="D1090" s="1" t="inlineStr">
        <is>
          <t>69608A108</t>
        </is>
      </c>
      <c r="E1090" t="inlineStr">
        <is>
          <t>Palantir Technologies Inc</t>
        </is>
      </c>
      <c r="F1090" t="inlineStr">
        <is>
          <t>3075.00000000</t>
        </is>
      </c>
      <c r="G1090" t="inlineStr">
        <is>
          <t>113.500000</t>
        </is>
      </c>
      <c r="H1090" t="inlineStr">
        <is>
          <t>349012.50</t>
        </is>
      </c>
      <c r="I1090" t="inlineStr">
        <is>
          <t>11.46%</t>
        </is>
      </c>
      <c r="J1090" t="inlineStr">
        <is>
          <t>3046762.50</t>
        </is>
      </c>
      <c r="K1090" t="inlineStr">
        <is>
          <t>125000</t>
        </is>
      </c>
      <c r="L1090" t="inlineStr">
        <is>
          <t>25.000000000000</t>
        </is>
      </c>
      <c r="M1090" t="inlineStr"/>
    </row>
    <row r="1091">
      <c r="A1091" t="inlineStr">
        <is>
          <t>06/25/2026</t>
        </is>
      </c>
      <c r="B1091" t="inlineStr">
        <is>
          <t>EYES</t>
        </is>
      </c>
      <c r="C1091" s="1" t="inlineStr">
        <is>
          <t>RSKD</t>
        </is>
      </c>
      <c r="D1091" s="1" t="inlineStr">
        <is>
          <t>M8216R109</t>
        </is>
      </c>
      <c r="E1091" t="inlineStr">
        <is>
          <t>Riskified Ltd</t>
        </is>
      </c>
      <c r="F1091" t="inlineStr">
        <is>
          <t>5000.00000000</t>
        </is>
      </c>
      <c r="G1091" t="inlineStr">
        <is>
          <t>4.880000</t>
        </is>
      </c>
      <c r="H1091" t="inlineStr">
        <is>
          <t>24400.00</t>
        </is>
      </c>
      <c r="I1091" t="inlineStr">
        <is>
          <t>0.80%</t>
        </is>
      </c>
      <c r="J1091" t="inlineStr">
        <is>
          <t>3046762.50</t>
        </is>
      </c>
      <c r="K1091" t="inlineStr">
        <is>
          <t>125000</t>
        </is>
      </c>
      <c r="L1091" t="inlineStr">
        <is>
          <t>25.000000000000</t>
        </is>
      </c>
      <c r="M1091" t="inlineStr"/>
    </row>
    <row r="1092">
      <c r="A1092" t="inlineStr">
        <is>
          <t>06/25/2026</t>
        </is>
      </c>
      <c r="B1092" t="inlineStr">
        <is>
          <t>EYES</t>
        </is>
      </c>
      <c r="C1092" s="1" t="inlineStr">
        <is>
          <t>SAIL</t>
        </is>
      </c>
      <c r="D1092" s="1" t="inlineStr">
        <is>
          <t>78781J109</t>
        </is>
      </c>
      <c r="E1092" t="inlineStr">
        <is>
          <t>SailPoint Inc</t>
        </is>
      </c>
      <c r="F1092" t="inlineStr">
        <is>
          <t>3075.00000000</t>
        </is>
      </c>
      <c r="G1092" t="inlineStr">
        <is>
          <t>12.570000</t>
        </is>
      </c>
      <c r="H1092" t="inlineStr">
        <is>
          <t>38652.75</t>
        </is>
      </c>
      <c r="I1092" t="inlineStr">
        <is>
          <t>1.27%</t>
        </is>
      </c>
      <c r="J1092" t="inlineStr">
        <is>
          <t>3046762.50</t>
        </is>
      </c>
      <c r="K1092" t="inlineStr">
        <is>
          <t>125000</t>
        </is>
      </c>
      <c r="L1092" t="inlineStr">
        <is>
          <t>25.000000000000</t>
        </is>
      </c>
      <c r="M1092" t="inlineStr"/>
    </row>
    <row r="1093">
      <c r="A1093" t="inlineStr">
        <is>
          <t>06/25/2026</t>
        </is>
      </c>
      <c r="B1093" t="inlineStr">
        <is>
          <t>EYES</t>
        </is>
      </c>
      <c r="C1093" s="1" t="inlineStr">
        <is>
          <t>SATL</t>
        </is>
      </c>
      <c r="D1093" s="1" t="inlineStr">
        <is>
          <t>80401C100</t>
        </is>
      </c>
      <c r="E1093" t="inlineStr">
        <is>
          <t>Satellogic Inc</t>
        </is>
      </c>
      <c r="F1093" t="inlineStr">
        <is>
          <t>4600.00000000</t>
        </is>
      </c>
      <c r="G1093" t="inlineStr">
        <is>
          <t>5.040000</t>
        </is>
      </c>
      <c r="H1093" t="inlineStr">
        <is>
          <t>23184.00</t>
        </is>
      </c>
      <c r="I1093" t="inlineStr">
        <is>
          <t>0.76%</t>
        </is>
      </c>
      <c r="J1093" t="inlineStr">
        <is>
          <t>3046762.50</t>
        </is>
      </c>
      <c r="K1093" t="inlineStr">
        <is>
          <t>125000</t>
        </is>
      </c>
      <c r="L1093" t="inlineStr">
        <is>
          <t>25.000000000000</t>
        </is>
      </c>
      <c r="M1093" t="inlineStr"/>
    </row>
    <row r="1094">
      <c r="A1094" t="inlineStr">
        <is>
          <t>06/25/2026</t>
        </is>
      </c>
      <c r="B1094" t="inlineStr">
        <is>
          <t>EYES</t>
        </is>
      </c>
      <c r="C1094" s="1" t="inlineStr">
        <is>
          <t>SPIR</t>
        </is>
      </c>
      <c r="D1094" s="1" t="inlineStr">
        <is>
          <t>848560306</t>
        </is>
      </c>
      <c r="E1094" t="inlineStr">
        <is>
          <t>Spire Global Inc</t>
        </is>
      </c>
      <c r="F1094" t="inlineStr">
        <is>
          <t>1550.00000000</t>
        </is>
      </c>
      <c r="G1094" t="inlineStr">
        <is>
          <t>17.130000</t>
        </is>
      </c>
      <c r="H1094" t="inlineStr">
        <is>
          <t>26551.50</t>
        </is>
      </c>
      <c r="I1094" t="inlineStr">
        <is>
          <t>0.87%</t>
        </is>
      </c>
      <c r="J1094" t="inlineStr">
        <is>
          <t>3046762.50</t>
        </is>
      </c>
      <c r="K1094" t="inlineStr">
        <is>
          <t>125000</t>
        </is>
      </c>
      <c r="L1094" t="inlineStr">
        <is>
          <t>25.000000000000</t>
        </is>
      </c>
      <c r="M1094" t="inlineStr"/>
    </row>
    <row r="1095">
      <c r="A1095" t="inlineStr">
        <is>
          <t>06/25/2026</t>
        </is>
      </c>
      <c r="B1095" t="inlineStr">
        <is>
          <t>EYES</t>
        </is>
      </c>
      <c r="C1095" s="1" t="inlineStr">
        <is>
          <t>TDY</t>
        </is>
      </c>
      <c r="D1095" s="1" t="inlineStr">
        <is>
          <t>879360105</t>
        </is>
      </c>
      <c r="E1095" t="inlineStr">
        <is>
          <t>Teledyne Technologies Inc</t>
        </is>
      </c>
      <c r="F1095" t="inlineStr">
        <is>
          <t>250.00000000</t>
        </is>
      </c>
      <c r="G1095" t="inlineStr">
        <is>
          <t>612.170000</t>
        </is>
      </c>
      <c r="H1095" t="inlineStr">
        <is>
          <t>153042.50</t>
        </is>
      </c>
      <c r="I1095" t="inlineStr">
        <is>
          <t>5.02%</t>
        </is>
      </c>
      <c r="J1095" t="inlineStr">
        <is>
          <t>3046762.50</t>
        </is>
      </c>
      <c r="K1095" t="inlineStr">
        <is>
          <t>125000</t>
        </is>
      </c>
      <c r="L1095" t="inlineStr">
        <is>
          <t>25.000000000000</t>
        </is>
      </c>
      <c r="M1095" t="inlineStr"/>
    </row>
    <row r="1096">
      <c r="A1096" t="inlineStr">
        <is>
          <t>06/25/2026</t>
        </is>
      </c>
      <c r="B1096" t="inlineStr">
        <is>
          <t>EYES</t>
        </is>
      </c>
      <c r="C1096" s="1" t="inlineStr">
        <is>
          <t>TRMB</t>
        </is>
      </c>
      <c r="D1096" s="1" t="inlineStr">
        <is>
          <t>896239100</t>
        </is>
      </c>
      <c r="E1096" t="inlineStr">
        <is>
          <t>Trimble Inc</t>
        </is>
      </c>
      <c r="F1096" t="inlineStr">
        <is>
          <t>1775.00000000</t>
        </is>
      </c>
      <c r="G1096" t="inlineStr">
        <is>
          <t>50.140000</t>
        </is>
      </c>
      <c r="H1096" t="inlineStr">
        <is>
          <t>88998.50</t>
        </is>
      </c>
      <c r="I1096" t="inlineStr">
        <is>
          <t>2.92%</t>
        </is>
      </c>
      <c r="J1096" t="inlineStr">
        <is>
          <t>3046762.50</t>
        </is>
      </c>
      <c r="K1096" t="inlineStr">
        <is>
          <t>125000</t>
        </is>
      </c>
      <c r="L1096" t="inlineStr">
        <is>
          <t>25.000000000000</t>
        </is>
      </c>
      <c r="M1096" t="inlineStr"/>
    </row>
    <row r="1097">
      <c r="A1097" t="inlineStr">
        <is>
          <t>06/25/2026</t>
        </is>
      </c>
      <c r="B1097" t="inlineStr">
        <is>
          <t>EYES</t>
        </is>
      </c>
      <c r="C1097" s="1" t="inlineStr">
        <is>
          <t>TYL</t>
        </is>
      </c>
      <c r="D1097" s="1" t="inlineStr">
        <is>
          <t>902252105</t>
        </is>
      </c>
      <c r="E1097" t="inlineStr">
        <is>
          <t>Tyler Technologies Inc</t>
        </is>
      </c>
      <c r="F1097" t="inlineStr">
        <is>
          <t>350.00000000</t>
        </is>
      </c>
      <c r="G1097" t="inlineStr">
        <is>
          <t>286.030000</t>
        </is>
      </c>
      <c r="H1097" t="inlineStr">
        <is>
          <t>100110.50</t>
        </is>
      </c>
      <c r="I1097" t="inlineStr">
        <is>
          <t>3.29%</t>
        </is>
      </c>
      <c r="J1097" t="inlineStr">
        <is>
          <t>3046762.50</t>
        </is>
      </c>
      <c r="K1097" t="inlineStr">
        <is>
          <t>125000</t>
        </is>
      </c>
      <c r="L1097" t="inlineStr">
        <is>
          <t>25.000000000000</t>
        </is>
      </c>
      <c r="M1097" t="inlineStr"/>
    </row>
    <row r="1098">
      <c r="A1098" t="inlineStr">
        <is>
          <t>06/25/2026</t>
        </is>
      </c>
      <c r="B1098" t="inlineStr">
        <is>
          <t>EYES</t>
        </is>
      </c>
      <c r="C1098" s="1" t="inlineStr">
        <is>
          <t>VRNS</t>
        </is>
      </c>
      <c r="D1098" s="1" t="inlineStr">
        <is>
          <t>922280102</t>
        </is>
      </c>
      <c r="E1098" t="inlineStr">
        <is>
          <t>Varonis Systems Inc</t>
        </is>
      </c>
      <c r="F1098" t="inlineStr">
        <is>
          <t>2250.00000000</t>
        </is>
      </c>
      <c r="G1098" t="inlineStr">
        <is>
          <t>37.290000</t>
        </is>
      </c>
      <c r="H1098" t="inlineStr">
        <is>
          <t>83902.50</t>
        </is>
      </c>
      <c r="I1098" t="inlineStr">
        <is>
          <t>2.75%</t>
        </is>
      </c>
      <c r="J1098" t="inlineStr">
        <is>
          <t>3046762.50</t>
        </is>
      </c>
      <c r="K1098" t="inlineStr">
        <is>
          <t>125000</t>
        </is>
      </c>
      <c r="L1098" t="inlineStr">
        <is>
          <t>25.000000000000</t>
        </is>
      </c>
      <c r="M1098" t="inlineStr"/>
    </row>
    <row r="1099">
      <c r="A1099" t="inlineStr">
        <is>
          <t>06/25/2026</t>
        </is>
      </c>
      <c r="B1099" t="inlineStr">
        <is>
          <t>EYES</t>
        </is>
      </c>
      <c r="C1099" s="1" t="inlineStr">
        <is>
          <t>YOU</t>
        </is>
      </c>
      <c r="D1099" s="1" t="inlineStr">
        <is>
          <t>18467V109</t>
        </is>
      </c>
      <c r="E1099" t="inlineStr">
        <is>
          <t>Clear Secure Inc</t>
        </is>
      </c>
      <c r="F1099" t="inlineStr">
        <is>
          <t>1300.00000000</t>
        </is>
      </c>
      <c r="G1099" t="inlineStr">
        <is>
          <t>52.950000</t>
        </is>
      </c>
      <c r="H1099" t="inlineStr">
        <is>
          <t>68835.00</t>
        </is>
      </c>
      <c r="I1099" t="inlineStr">
        <is>
          <t>2.26%</t>
        </is>
      </c>
      <c r="J1099" t="inlineStr">
        <is>
          <t>3046762.50</t>
        </is>
      </c>
      <c r="K1099" t="inlineStr">
        <is>
          <t>125000</t>
        </is>
      </c>
      <c r="L1099" t="inlineStr">
        <is>
          <t>25.000000000000</t>
        </is>
      </c>
      <c r="M1099" t="inlineStr"/>
    </row>
    <row r="1100">
      <c r="A1100" t="inlineStr">
        <is>
          <t>06/25/2026</t>
        </is>
      </c>
      <c r="B1100" t="inlineStr">
        <is>
          <t>EYES</t>
        </is>
      </c>
      <c r="C1100" s="1" t="inlineStr">
        <is>
          <t>ZBRA</t>
        </is>
      </c>
      <c r="D1100" s="1" t="inlineStr">
        <is>
          <t>989207105</t>
        </is>
      </c>
      <c r="E1100" t="inlineStr">
        <is>
          <t>Zebra Technologies Corp</t>
        </is>
      </c>
      <c r="F1100" t="inlineStr">
        <is>
          <t>450.00000000</t>
        </is>
      </c>
      <c r="G1100" t="inlineStr">
        <is>
          <t>247.780000</t>
        </is>
      </c>
      <c r="H1100" t="inlineStr">
        <is>
          <t>111501.00</t>
        </is>
      </c>
      <c r="I1100" t="inlineStr">
        <is>
          <t>3.66%</t>
        </is>
      </c>
      <c r="J1100" t="inlineStr">
        <is>
          <t>3046762.50</t>
        </is>
      </c>
      <c r="K1100" t="inlineStr">
        <is>
          <t>125000</t>
        </is>
      </c>
      <c r="L1100" t="inlineStr">
        <is>
          <t>25.000000000000</t>
        </is>
      </c>
      <c r="M1100" t="inlineStr"/>
    </row>
    <row r="1101">
      <c r="A1101" t="inlineStr">
        <is>
          <t>06/25/2026</t>
        </is>
      </c>
      <c r="B1101" t="inlineStr">
        <is>
          <t>EYES</t>
        </is>
      </c>
      <c r="C1101" s="1" t="inlineStr">
        <is>
          <t>Cash&amp;Other</t>
        </is>
      </c>
      <c r="D1101" s="1" t="inlineStr">
        <is>
          <t>Cash&amp;Other</t>
        </is>
      </c>
      <c r="E1101" t="inlineStr">
        <is>
          <t>Cash &amp; Other</t>
        </is>
      </c>
      <c r="F1101" t="inlineStr">
        <is>
          <t>2199.06000000</t>
        </is>
      </c>
      <c r="G1101" t="inlineStr">
        <is>
          <t>1.000000</t>
        </is>
      </c>
      <c r="H1101" t="inlineStr">
        <is>
          <t>2199.06</t>
        </is>
      </c>
      <c r="I1101" t="inlineStr">
        <is>
          <t>0.07%</t>
        </is>
      </c>
      <c r="J1101" t="inlineStr">
        <is>
          <t>3046762.50</t>
        </is>
      </c>
      <c r="K1101" t="inlineStr">
        <is>
          <t>125000</t>
        </is>
      </c>
      <c r="L1101" t="inlineStr">
        <is>
          <t>25.000000000000</t>
        </is>
      </c>
      <c r="M1101" t="inlineStr">
        <is>
          <t>Y</t>
        </is>
      </c>
    </row>
    <row r="1102">
      <c r="A1102" t="inlineStr">
        <is>
          <t>06/25/2026</t>
        </is>
      </c>
      <c r="B1102" t="inlineStr">
        <is>
          <t>FDRS</t>
        </is>
      </c>
      <c r="C1102" s="1" t="inlineStr">
        <is>
          <t>ABNB</t>
        </is>
      </c>
      <c r="D1102" s="1" t="inlineStr">
        <is>
          <t>009066101</t>
        </is>
      </c>
      <c r="E1102" t="inlineStr">
        <is>
          <t>Airbnb Inc</t>
        </is>
      </c>
      <c r="F1102" t="inlineStr">
        <is>
          <t>7932.00000000</t>
        </is>
      </c>
      <c r="G1102" t="inlineStr">
        <is>
          <t>144.400000</t>
        </is>
      </c>
      <c r="H1102" t="inlineStr">
        <is>
          <t>1145380.80</t>
        </is>
      </c>
      <c r="I1102" t="inlineStr">
        <is>
          <t>1.16%</t>
        </is>
      </c>
      <c r="J1102" t="inlineStr">
        <is>
          <t>98461524.00</t>
        </is>
      </c>
      <c r="K1102" t="inlineStr">
        <is>
          <t>4380000</t>
        </is>
      </c>
      <c r="L1102" t="inlineStr">
        <is>
          <t>438.000000000000</t>
        </is>
      </c>
      <c r="M1102" t="inlineStr"/>
    </row>
    <row r="1103">
      <c r="A1103" t="inlineStr">
        <is>
          <t>06/25/2026</t>
        </is>
      </c>
      <c r="B1103" t="inlineStr">
        <is>
          <t>FDRS</t>
        </is>
      </c>
      <c r="C1103" s="1" t="inlineStr">
        <is>
          <t>ALAB</t>
        </is>
      </c>
      <c r="D1103" s="1" t="inlineStr">
        <is>
          <t>04626A103</t>
        </is>
      </c>
      <c r="E1103" t="inlineStr">
        <is>
          <t>Astera Labs Inc</t>
        </is>
      </c>
      <c r="F1103" t="inlineStr">
        <is>
          <t>2896.00000000</t>
        </is>
      </c>
      <c r="G1103" t="inlineStr">
        <is>
          <t>399.920000</t>
        </is>
      </c>
      <c r="H1103" t="inlineStr">
        <is>
          <t>1158168.32</t>
        </is>
      </c>
      <c r="I1103" t="inlineStr">
        <is>
          <t>1.18%</t>
        </is>
      </c>
      <c r="J1103" t="inlineStr">
        <is>
          <t>98461524.00</t>
        </is>
      </c>
      <c r="K1103" t="inlineStr">
        <is>
          <t>4380000</t>
        </is>
      </c>
      <c r="L1103" t="inlineStr">
        <is>
          <t>438.000000000000</t>
        </is>
      </c>
      <c r="M1103" t="inlineStr"/>
    </row>
    <row r="1104">
      <c r="A1104" t="inlineStr">
        <is>
          <t>06/25/2026</t>
        </is>
      </c>
      <c r="B1104" t="inlineStr">
        <is>
          <t>FDRS</t>
        </is>
      </c>
      <c r="C1104" s="1" t="inlineStr">
        <is>
          <t>ANET</t>
        </is>
      </c>
      <c r="D1104" s="1" t="inlineStr">
        <is>
          <t>040413205</t>
        </is>
      </c>
      <c r="E1104" t="inlineStr">
        <is>
          <t>Arista Networks Inc</t>
        </is>
      </c>
      <c r="F1104" t="inlineStr">
        <is>
          <t>20478.00000000</t>
        </is>
      </c>
      <c r="G1104" t="inlineStr">
        <is>
          <t>161.740000</t>
        </is>
      </c>
      <c r="H1104" t="inlineStr">
        <is>
          <t>3312111.72</t>
        </is>
      </c>
      <c r="I1104" t="inlineStr">
        <is>
          <t>3.36%</t>
        </is>
      </c>
      <c r="J1104" t="inlineStr">
        <is>
          <t>98461524.00</t>
        </is>
      </c>
      <c r="K1104" t="inlineStr">
        <is>
          <t>4380000</t>
        </is>
      </c>
      <c r="L1104" t="inlineStr">
        <is>
          <t>438.000000000000</t>
        </is>
      </c>
      <c r="M1104" t="inlineStr"/>
    </row>
    <row r="1105">
      <c r="A1105" t="inlineStr">
        <is>
          <t>06/25/2026</t>
        </is>
      </c>
      <c r="B1105" t="inlineStr">
        <is>
          <t>FDRS</t>
        </is>
      </c>
      <c r="C1105" s="1" t="inlineStr">
        <is>
          <t>APO</t>
        </is>
      </c>
      <c r="D1105" s="1" t="inlineStr">
        <is>
          <t>03769M106</t>
        </is>
      </c>
      <c r="E1105" t="inlineStr">
        <is>
          <t>Apollo Global Management Inc</t>
        </is>
      </c>
      <c r="F1105" t="inlineStr">
        <is>
          <t>7953.00000000</t>
        </is>
      </c>
      <c r="G1105" t="inlineStr">
        <is>
          <t>122.600000</t>
        </is>
      </c>
      <c r="H1105" t="inlineStr">
        <is>
          <t>975037.80</t>
        </is>
      </c>
      <c r="I1105" t="inlineStr">
        <is>
          <t>0.99%</t>
        </is>
      </c>
      <c r="J1105" t="inlineStr">
        <is>
          <t>98461524.00</t>
        </is>
      </c>
      <c r="K1105" t="inlineStr">
        <is>
          <t>4380000</t>
        </is>
      </c>
      <c r="L1105" t="inlineStr">
        <is>
          <t>438.000000000000</t>
        </is>
      </c>
      <c r="M1105" t="inlineStr"/>
    </row>
    <row r="1106">
      <c r="A1106" t="inlineStr">
        <is>
          <t>06/25/2026</t>
        </is>
      </c>
      <c r="B1106" t="inlineStr">
        <is>
          <t>FDRS</t>
        </is>
      </c>
      <c r="C1106" s="1" t="inlineStr">
        <is>
          <t>APP</t>
        </is>
      </c>
      <c r="D1106" s="1" t="inlineStr">
        <is>
          <t>03831W108</t>
        </is>
      </c>
      <c r="E1106" t="inlineStr">
        <is>
          <t>AppLovin Corp</t>
        </is>
      </c>
      <c r="F1106" t="inlineStr">
        <is>
          <t>5481.00000000</t>
        </is>
      </c>
      <c r="G1106" t="inlineStr">
        <is>
          <t>464.960000</t>
        </is>
      </c>
      <c r="H1106" t="inlineStr">
        <is>
          <t>2548445.76</t>
        </is>
      </c>
      <c r="I1106" t="inlineStr">
        <is>
          <t>2.59%</t>
        </is>
      </c>
      <c r="J1106" t="inlineStr">
        <is>
          <t>98461524.00</t>
        </is>
      </c>
      <c r="K1106" t="inlineStr">
        <is>
          <t>4380000</t>
        </is>
      </c>
      <c r="L1106" t="inlineStr">
        <is>
          <t>438.000000000000</t>
        </is>
      </c>
      <c r="M1106" t="inlineStr"/>
    </row>
    <row r="1107">
      <c r="A1107" t="inlineStr">
        <is>
          <t>06/25/2026</t>
        </is>
      </c>
      <c r="B1107" t="inlineStr">
        <is>
          <t>FDRS</t>
        </is>
      </c>
      <c r="C1107" s="1" t="inlineStr">
        <is>
          <t>ARES</t>
        </is>
      </c>
      <c r="D1107" s="1" t="inlineStr">
        <is>
          <t>03990B101</t>
        </is>
      </c>
      <c r="E1107" t="inlineStr">
        <is>
          <t>Ares Management Corp</t>
        </is>
      </c>
      <c r="F1107" t="inlineStr">
        <is>
          <t>4043.00000000</t>
        </is>
      </c>
      <c r="G1107" t="inlineStr">
        <is>
          <t>113.870000</t>
        </is>
      </c>
      <c r="H1107" t="inlineStr">
        <is>
          <t>460376.41</t>
        </is>
      </c>
      <c r="I1107" t="inlineStr">
        <is>
          <t>0.47%</t>
        </is>
      </c>
      <c r="J1107" t="inlineStr">
        <is>
          <t>98461524.00</t>
        </is>
      </c>
      <c r="K1107" t="inlineStr">
        <is>
          <t>4380000</t>
        </is>
      </c>
      <c r="L1107" t="inlineStr">
        <is>
          <t>438.000000000000</t>
        </is>
      </c>
      <c r="M1107" t="inlineStr"/>
    </row>
    <row r="1108">
      <c r="A1108" t="inlineStr">
        <is>
          <t>06/25/2026</t>
        </is>
      </c>
      <c r="B1108" t="inlineStr">
        <is>
          <t>FDRS</t>
        </is>
      </c>
      <c r="C1108" s="1" t="inlineStr">
        <is>
          <t>ASTS</t>
        </is>
      </c>
      <c r="D1108" s="1" t="inlineStr">
        <is>
          <t>00217D100</t>
        </is>
      </c>
      <c r="E1108" t="inlineStr">
        <is>
          <t>AST SpaceMobile Inc</t>
        </is>
      </c>
      <c r="F1108" t="inlineStr">
        <is>
          <t>6050.00000000</t>
        </is>
      </c>
      <c r="G1108" t="inlineStr">
        <is>
          <t>68.010000</t>
        </is>
      </c>
      <c r="H1108" t="inlineStr">
        <is>
          <t>411460.50</t>
        </is>
      </c>
      <c r="I1108" t="inlineStr">
        <is>
          <t>0.42%</t>
        </is>
      </c>
      <c r="J1108" t="inlineStr">
        <is>
          <t>98461524.00</t>
        </is>
      </c>
      <c r="K1108" t="inlineStr">
        <is>
          <t>4380000</t>
        </is>
      </c>
      <c r="L1108" t="inlineStr">
        <is>
          <t>438.000000000000</t>
        </is>
      </c>
      <c r="M1108" t="inlineStr"/>
    </row>
    <row r="1109">
      <c r="A1109" t="inlineStr">
        <is>
          <t>06/25/2026</t>
        </is>
      </c>
      <c r="B1109" t="inlineStr">
        <is>
          <t>FDRS</t>
        </is>
      </c>
      <c r="C1109" s="1" t="inlineStr">
        <is>
          <t>AXON</t>
        </is>
      </c>
      <c r="D1109" s="1" t="inlineStr">
        <is>
          <t>05464C101</t>
        </is>
      </c>
      <c r="E1109" t="inlineStr">
        <is>
          <t>Axon Enterprise Inc</t>
        </is>
      </c>
      <c r="F1109" t="inlineStr">
        <is>
          <t>1494.00000000</t>
        </is>
      </c>
      <c r="G1109" t="inlineStr">
        <is>
          <t>456.730000</t>
        </is>
      </c>
      <c r="H1109" t="inlineStr">
        <is>
          <t>682354.62</t>
        </is>
      </c>
      <c r="I1109" t="inlineStr">
        <is>
          <t>0.69%</t>
        </is>
      </c>
      <c r="J1109" t="inlineStr">
        <is>
          <t>98461524.00</t>
        </is>
      </c>
      <c r="K1109" t="inlineStr">
        <is>
          <t>4380000</t>
        </is>
      </c>
      <c r="L1109" t="inlineStr">
        <is>
          <t>438.000000000000</t>
        </is>
      </c>
      <c r="M1109" t="inlineStr"/>
    </row>
    <row r="1110">
      <c r="A1110" t="inlineStr">
        <is>
          <t>06/25/2026</t>
        </is>
      </c>
      <c r="B1110" t="inlineStr">
        <is>
          <t>FDRS</t>
        </is>
      </c>
      <c r="C1110" s="1" t="inlineStr">
        <is>
          <t>BE</t>
        </is>
      </c>
      <c r="D1110" s="1" t="inlineStr">
        <is>
          <t>093712107</t>
        </is>
      </c>
      <c r="E1110" t="inlineStr">
        <is>
          <t>Bloom Energy Corp</t>
        </is>
      </c>
      <c r="F1110" t="inlineStr">
        <is>
          <t>4951.00000000</t>
        </is>
      </c>
      <c r="G1110" t="inlineStr">
        <is>
          <t>326.190000</t>
        </is>
      </c>
      <c r="H1110" t="inlineStr">
        <is>
          <t>1614966.69</t>
        </is>
      </c>
      <c r="I1110" t="inlineStr">
        <is>
          <t>1.64%</t>
        </is>
      </c>
      <c r="J1110" t="inlineStr">
        <is>
          <t>98461524.00</t>
        </is>
      </c>
      <c r="K1110" t="inlineStr">
        <is>
          <t>4380000</t>
        </is>
      </c>
      <c r="L1110" t="inlineStr">
        <is>
          <t>438.000000000000</t>
        </is>
      </c>
      <c r="M1110" t="inlineStr"/>
    </row>
    <row r="1111">
      <c r="A1111" t="inlineStr">
        <is>
          <t>06/25/2026</t>
        </is>
      </c>
      <c r="B1111" t="inlineStr">
        <is>
          <t>FDRS</t>
        </is>
      </c>
      <c r="C1111" s="1" t="inlineStr">
        <is>
          <t>BLK</t>
        </is>
      </c>
      <c r="D1111" s="1" t="inlineStr">
        <is>
          <t>09290D101</t>
        </is>
      </c>
      <c r="E1111" t="inlineStr">
        <is>
          <t>Blackrock Inc</t>
        </is>
      </c>
      <c r="F1111" t="inlineStr">
        <is>
          <t>2760.00000000</t>
        </is>
      </c>
      <c r="G1111" t="inlineStr">
        <is>
          <t>982.600000</t>
        </is>
      </c>
      <c r="H1111" t="inlineStr">
        <is>
          <t>2711976.00</t>
        </is>
      </c>
      <c r="I1111" t="inlineStr">
        <is>
          <t>2.75%</t>
        </is>
      </c>
      <c r="J1111" t="inlineStr">
        <is>
          <t>98461524.00</t>
        </is>
      </c>
      <c r="K1111" t="inlineStr">
        <is>
          <t>4380000</t>
        </is>
      </c>
      <c r="L1111" t="inlineStr">
        <is>
          <t>438.000000000000</t>
        </is>
      </c>
      <c r="M1111" t="inlineStr"/>
    </row>
    <row r="1112">
      <c r="A1112" t="inlineStr">
        <is>
          <t>06/25/2026</t>
        </is>
      </c>
      <c r="B1112" t="inlineStr">
        <is>
          <t>FDRS</t>
        </is>
      </c>
      <c r="C1112" s="1" t="inlineStr">
        <is>
          <t>BX</t>
        </is>
      </c>
      <c r="D1112" s="1" t="inlineStr">
        <is>
          <t>09260D107</t>
        </is>
      </c>
      <c r="E1112" t="inlineStr">
        <is>
          <t>Blackstone Inc</t>
        </is>
      </c>
      <c r="F1112" t="inlineStr">
        <is>
          <t>14494.00000000</t>
        </is>
      </c>
      <c r="G1112" t="inlineStr">
        <is>
          <t>112.990000</t>
        </is>
      </c>
      <c r="H1112" t="inlineStr">
        <is>
          <t>1637677.06</t>
        </is>
      </c>
      <c r="I1112" t="inlineStr">
        <is>
          <t>1.66%</t>
        </is>
      </c>
      <c r="J1112" t="inlineStr">
        <is>
          <t>98461524.00</t>
        </is>
      </c>
      <c r="K1112" t="inlineStr">
        <is>
          <t>4380000</t>
        </is>
      </c>
      <c r="L1112" t="inlineStr">
        <is>
          <t>438.000000000000</t>
        </is>
      </c>
      <c r="M1112" t="inlineStr"/>
    </row>
    <row r="1113">
      <c r="A1113" t="inlineStr">
        <is>
          <t>06/25/2026</t>
        </is>
      </c>
      <c r="B1113" t="inlineStr">
        <is>
          <t>FDRS</t>
        </is>
      </c>
      <c r="C1113" s="1" t="inlineStr">
        <is>
          <t>COF</t>
        </is>
      </c>
      <c r="D1113" s="1" t="inlineStr">
        <is>
          <t>14040H105</t>
        </is>
      </c>
      <c r="E1113" t="inlineStr">
        <is>
          <t>Capital One Financial Corp</t>
        </is>
      </c>
      <c r="F1113" t="inlineStr">
        <is>
          <t>12129.00000000</t>
        </is>
      </c>
      <c r="G1113" t="inlineStr">
        <is>
          <t>200.480000</t>
        </is>
      </c>
      <c r="H1113" t="inlineStr">
        <is>
          <t>2431621.92</t>
        </is>
      </c>
      <c r="I1113" t="inlineStr">
        <is>
          <t>2.47%</t>
        </is>
      </c>
      <c r="J1113" t="inlineStr">
        <is>
          <t>98461524.00</t>
        </is>
      </c>
      <c r="K1113" t="inlineStr">
        <is>
          <t>4380000</t>
        </is>
      </c>
      <c r="L1113" t="inlineStr">
        <is>
          <t>438.000000000000</t>
        </is>
      </c>
      <c r="M1113" t="inlineStr"/>
    </row>
    <row r="1114">
      <c r="A1114" t="inlineStr">
        <is>
          <t>06/25/2026</t>
        </is>
      </c>
      <c r="B1114" t="inlineStr">
        <is>
          <t>FDRS</t>
        </is>
      </c>
      <c r="C1114" s="1" t="inlineStr">
        <is>
          <t>COIN</t>
        </is>
      </c>
      <c r="D1114" s="1" t="inlineStr">
        <is>
          <t>19260Q107</t>
        </is>
      </c>
      <c r="E1114" t="inlineStr">
        <is>
          <t>Coinbase Global Inc</t>
        </is>
      </c>
      <c r="F1114" t="inlineStr">
        <is>
          <t>4218.00000000</t>
        </is>
      </c>
      <c r="G1114" t="inlineStr">
        <is>
          <t>150.110000</t>
        </is>
      </c>
      <c r="H1114" t="inlineStr">
        <is>
          <t>633163.98</t>
        </is>
      </c>
      <c r="I1114" t="inlineStr">
        <is>
          <t>0.64%</t>
        </is>
      </c>
      <c r="J1114" t="inlineStr">
        <is>
          <t>98461524.00</t>
        </is>
      </c>
      <c r="K1114" t="inlineStr">
        <is>
          <t>4380000</t>
        </is>
      </c>
      <c r="L1114" t="inlineStr">
        <is>
          <t>438.000000000000</t>
        </is>
      </c>
      <c r="M1114" t="inlineStr"/>
    </row>
    <row r="1115">
      <c r="A1115" t="inlineStr">
        <is>
          <t>06/25/2026</t>
        </is>
      </c>
      <c r="B1115" t="inlineStr">
        <is>
          <t>FDRS</t>
        </is>
      </c>
      <c r="C1115" s="1" t="inlineStr">
        <is>
          <t>CPNG</t>
        </is>
      </c>
      <c r="D1115" s="1" t="inlineStr">
        <is>
          <t>22266T109</t>
        </is>
      </c>
      <c r="E1115" t="inlineStr">
        <is>
          <t>Coupang Inc</t>
        </is>
      </c>
      <c r="F1115" t="inlineStr">
        <is>
          <t>30613.00000000</t>
        </is>
      </c>
      <c r="G1115" t="inlineStr">
        <is>
          <t>17.760000</t>
        </is>
      </c>
      <c r="H1115" t="inlineStr">
        <is>
          <t>543686.88</t>
        </is>
      </c>
      <c r="I1115" t="inlineStr">
        <is>
          <t>0.55%</t>
        </is>
      </c>
      <c r="J1115" t="inlineStr">
        <is>
          <t>98461524.00</t>
        </is>
      </c>
      <c r="K1115" t="inlineStr">
        <is>
          <t>4380000</t>
        </is>
      </c>
      <c r="L1115" t="inlineStr">
        <is>
          <t>438.000000000000</t>
        </is>
      </c>
      <c r="M1115" t="inlineStr"/>
    </row>
    <row r="1116">
      <c r="A1116" t="inlineStr">
        <is>
          <t>06/25/2026</t>
        </is>
      </c>
      <c r="B1116" t="inlineStr">
        <is>
          <t>FDRS</t>
        </is>
      </c>
      <c r="C1116" s="1" t="inlineStr">
        <is>
          <t>CRDO</t>
        </is>
      </c>
      <c r="D1116" s="1" t="inlineStr">
        <is>
          <t>G25457105</t>
        </is>
      </c>
      <c r="E1116" t="inlineStr">
        <is>
          <t>Credo Technology Group Holding Ltd</t>
        </is>
      </c>
      <c r="F1116" t="inlineStr">
        <is>
          <t>2871.00000000</t>
        </is>
      </c>
      <c r="G1116" t="inlineStr">
        <is>
          <t>268.990000</t>
        </is>
      </c>
      <c r="H1116" t="inlineStr">
        <is>
          <t>772270.29</t>
        </is>
      </c>
      <c r="I1116" t="inlineStr">
        <is>
          <t>0.78%</t>
        </is>
      </c>
      <c r="J1116" t="inlineStr">
        <is>
          <t>98461524.00</t>
        </is>
      </c>
      <c r="K1116" t="inlineStr">
        <is>
          <t>4380000</t>
        </is>
      </c>
      <c r="L1116" t="inlineStr">
        <is>
          <t>438.000000000000</t>
        </is>
      </c>
      <c r="M1116" t="inlineStr"/>
    </row>
    <row r="1117">
      <c r="A1117" t="inlineStr">
        <is>
          <t>06/25/2026</t>
        </is>
      </c>
      <c r="B1117" t="inlineStr">
        <is>
          <t>FDRS</t>
        </is>
      </c>
      <c r="C1117" s="1" t="inlineStr">
        <is>
          <t>CRM</t>
        </is>
      </c>
      <c r="D1117" s="1" t="inlineStr">
        <is>
          <t>79466L302</t>
        </is>
      </c>
      <c r="E1117" t="inlineStr">
        <is>
          <t>Salesforce Inc</t>
        </is>
      </c>
      <c r="F1117" t="inlineStr">
        <is>
          <t>15865.00000000</t>
        </is>
      </c>
      <c r="G1117" t="inlineStr">
        <is>
          <t>152.760000</t>
        </is>
      </c>
      <c r="H1117" t="inlineStr">
        <is>
          <t>2423537.40</t>
        </is>
      </c>
      <c r="I1117" t="inlineStr">
        <is>
          <t>2.46%</t>
        </is>
      </c>
      <c r="J1117" t="inlineStr">
        <is>
          <t>98461524.00</t>
        </is>
      </c>
      <c r="K1117" t="inlineStr">
        <is>
          <t>4380000</t>
        </is>
      </c>
      <c r="L1117" t="inlineStr">
        <is>
          <t>438.000000000000</t>
        </is>
      </c>
      <c r="M1117" t="inlineStr"/>
    </row>
    <row r="1118">
      <c r="A1118" t="inlineStr">
        <is>
          <t>06/25/2026</t>
        </is>
      </c>
      <c r="B1118" t="inlineStr">
        <is>
          <t>FDRS</t>
        </is>
      </c>
      <c r="C1118" s="1" t="inlineStr">
        <is>
          <t>CRWD</t>
        </is>
      </c>
      <c r="D1118" s="1" t="inlineStr">
        <is>
          <t>22788C105</t>
        </is>
      </c>
      <c r="E1118" t="inlineStr">
        <is>
          <t>Crowdstrike Holdings Inc</t>
        </is>
      </c>
      <c r="F1118" t="inlineStr">
        <is>
          <t>4846.00000000</t>
        </is>
      </c>
      <c r="G1118" t="inlineStr">
        <is>
          <t>673.020000</t>
        </is>
      </c>
      <c r="H1118" t="inlineStr">
        <is>
          <t>3261454.92</t>
        </is>
      </c>
      <c r="I1118" t="inlineStr">
        <is>
          <t>3.31%</t>
        </is>
      </c>
      <c r="J1118" t="inlineStr">
        <is>
          <t>98461524.00</t>
        </is>
      </c>
      <c r="K1118" t="inlineStr">
        <is>
          <t>4380000</t>
        </is>
      </c>
      <c r="L1118" t="inlineStr">
        <is>
          <t>438.000000000000</t>
        </is>
      </c>
      <c r="M1118" t="inlineStr"/>
    </row>
    <row r="1119">
      <c r="A1119" t="inlineStr">
        <is>
          <t>06/25/2026</t>
        </is>
      </c>
      <c r="B1119" t="inlineStr">
        <is>
          <t>FDRS</t>
        </is>
      </c>
      <c r="C1119" s="1" t="inlineStr">
        <is>
          <t>CRWV</t>
        </is>
      </c>
      <c r="D1119" s="1" t="inlineStr">
        <is>
          <t>21873S108</t>
        </is>
      </c>
      <c r="E1119" t="inlineStr">
        <is>
          <t>CoreWeave Inc</t>
        </is>
      </c>
      <c r="F1119" t="inlineStr">
        <is>
          <t>7173.00000000</t>
        </is>
      </c>
      <c r="G1119" t="inlineStr">
        <is>
          <t>100.880000</t>
        </is>
      </c>
      <c r="H1119" t="inlineStr">
        <is>
          <t>723612.24</t>
        </is>
      </c>
      <c r="I1119" t="inlineStr">
        <is>
          <t>0.73%</t>
        </is>
      </c>
      <c r="J1119" t="inlineStr">
        <is>
          <t>98461524.00</t>
        </is>
      </c>
      <c r="K1119" t="inlineStr">
        <is>
          <t>4380000</t>
        </is>
      </c>
      <c r="L1119" t="inlineStr">
        <is>
          <t>438.000000000000</t>
        </is>
      </c>
      <c r="M1119" t="inlineStr"/>
    </row>
    <row r="1120">
      <c r="A1120" t="inlineStr">
        <is>
          <t>06/25/2026</t>
        </is>
      </c>
      <c r="B1120" t="inlineStr">
        <is>
          <t>FDRS</t>
        </is>
      </c>
      <c r="C1120" s="1" t="inlineStr">
        <is>
          <t>CVNA</t>
        </is>
      </c>
      <c r="D1120" s="1" t="inlineStr">
        <is>
          <t>146869102</t>
        </is>
      </c>
      <c r="E1120" t="inlineStr">
        <is>
          <t>Carvana Co</t>
        </is>
      </c>
      <c r="F1120" t="inlineStr">
        <is>
          <t>13526.00000000</t>
        </is>
      </c>
      <c r="G1120" t="inlineStr">
        <is>
          <t>67.910000</t>
        </is>
      </c>
      <c r="H1120" t="inlineStr">
        <is>
          <t>918550.66</t>
        </is>
      </c>
      <c r="I1120" t="inlineStr">
        <is>
          <t>0.93%</t>
        </is>
      </c>
      <c r="J1120" t="inlineStr">
        <is>
          <t>98461524.00</t>
        </is>
      </c>
      <c r="K1120" t="inlineStr">
        <is>
          <t>4380000</t>
        </is>
      </c>
      <c r="L1120" t="inlineStr">
        <is>
          <t>438.000000000000</t>
        </is>
      </c>
      <c r="M1120" t="inlineStr"/>
    </row>
    <row r="1121">
      <c r="A1121" t="inlineStr">
        <is>
          <t>06/25/2026</t>
        </is>
      </c>
      <c r="B1121" t="inlineStr">
        <is>
          <t>FDRS</t>
        </is>
      </c>
      <c r="C1121" s="1" t="inlineStr">
        <is>
          <t>DASH</t>
        </is>
      </c>
      <c r="D1121" s="1" t="inlineStr">
        <is>
          <t>25809K105</t>
        </is>
      </c>
      <c r="E1121" t="inlineStr">
        <is>
          <t>DoorDash Inc</t>
        </is>
      </c>
      <c r="F1121" t="inlineStr">
        <is>
          <t>7383.00000000</t>
        </is>
      </c>
      <c r="G1121" t="inlineStr">
        <is>
          <t>177.930000</t>
        </is>
      </c>
      <c r="H1121" t="inlineStr">
        <is>
          <t>1313657.19</t>
        </is>
      </c>
      <c r="I1121" t="inlineStr">
        <is>
          <t>1.33%</t>
        </is>
      </c>
      <c r="J1121" t="inlineStr">
        <is>
          <t>98461524.00</t>
        </is>
      </c>
      <c r="K1121" t="inlineStr">
        <is>
          <t>4380000</t>
        </is>
      </c>
      <c r="L1121" t="inlineStr">
        <is>
          <t>438.000000000000</t>
        </is>
      </c>
      <c r="M1121" t="inlineStr"/>
    </row>
    <row r="1122">
      <c r="A1122" t="inlineStr">
        <is>
          <t>06/25/2026</t>
        </is>
      </c>
      <c r="B1122" t="inlineStr">
        <is>
          <t>FDRS</t>
        </is>
      </c>
      <c r="C1122" s="1" t="inlineStr">
        <is>
          <t>DDOG</t>
        </is>
      </c>
      <c r="D1122" s="1" t="inlineStr">
        <is>
          <t>23804L103</t>
        </is>
      </c>
      <c r="E1122" t="inlineStr">
        <is>
          <t>Datadog Inc</t>
        </is>
      </c>
      <c r="F1122" t="inlineStr">
        <is>
          <t>6368.00000000</t>
        </is>
      </c>
      <c r="G1122" t="inlineStr">
        <is>
          <t>222.650000</t>
        </is>
      </c>
      <c r="H1122" t="inlineStr">
        <is>
          <t>1417835.20</t>
        </is>
      </c>
      <c r="I1122" t="inlineStr">
        <is>
          <t>1.44%</t>
        </is>
      </c>
      <c r="J1122" t="inlineStr">
        <is>
          <t>98461524.00</t>
        </is>
      </c>
      <c r="K1122" t="inlineStr">
        <is>
          <t>4380000</t>
        </is>
      </c>
      <c r="L1122" t="inlineStr">
        <is>
          <t>438.000000000000</t>
        </is>
      </c>
      <c r="M1122" t="inlineStr"/>
    </row>
    <row r="1123">
      <c r="A1123" t="inlineStr">
        <is>
          <t>06/25/2026</t>
        </is>
      </c>
      <c r="B1123" t="inlineStr">
        <is>
          <t>FDRS</t>
        </is>
      </c>
      <c r="C1123" s="1" t="inlineStr">
        <is>
          <t>DELL</t>
        </is>
      </c>
      <c r="D1123" s="1" t="inlineStr">
        <is>
          <t>24703L202</t>
        </is>
      </c>
      <c r="E1123" t="inlineStr">
        <is>
          <t>Dell Technologies Inc</t>
        </is>
      </c>
      <c r="F1123" t="inlineStr">
        <is>
          <t>6247.00000000</t>
        </is>
      </c>
      <c r="G1123" t="inlineStr">
        <is>
          <t>434.060000</t>
        </is>
      </c>
      <c r="H1123" t="inlineStr">
        <is>
          <t>2711572.82</t>
        </is>
      </c>
      <c r="I1123" t="inlineStr">
        <is>
          <t>2.75%</t>
        </is>
      </c>
      <c r="J1123" t="inlineStr">
        <is>
          <t>98461524.00</t>
        </is>
      </c>
      <c r="K1123" t="inlineStr">
        <is>
          <t>4380000</t>
        </is>
      </c>
      <c r="L1123" t="inlineStr">
        <is>
          <t>438.000000000000</t>
        </is>
      </c>
      <c r="M1123" t="inlineStr"/>
    </row>
    <row r="1124">
      <c r="A1124" t="inlineStr">
        <is>
          <t>06/25/2026</t>
        </is>
      </c>
      <c r="B1124" t="inlineStr">
        <is>
          <t>FDRS</t>
        </is>
      </c>
      <c r="C1124" s="1" t="inlineStr">
        <is>
          <t>FGXXX</t>
        </is>
      </c>
      <c r="D1124" s="1" t="inlineStr">
        <is>
          <t>31846V336</t>
        </is>
      </c>
      <c r="E1124" t="inlineStr">
        <is>
          <t>First American Government Obligations Fund 12/01/2031</t>
        </is>
      </c>
      <c r="F1124" t="inlineStr">
        <is>
          <t>1149806.98000000</t>
        </is>
      </c>
      <c r="G1124" t="inlineStr">
        <is>
          <t>100.000000</t>
        </is>
      </c>
      <c r="H1124" t="inlineStr">
        <is>
          <t>1149806.98</t>
        </is>
      </c>
      <c r="I1124" t="inlineStr">
        <is>
          <t>1.17%</t>
        </is>
      </c>
      <c r="J1124" t="inlineStr">
        <is>
          <t>98461524.00</t>
        </is>
      </c>
      <c r="K1124" t="inlineStr">
        <is>
          <t>4380000</t>
        </is>
      </c>
      <c r="L1124" t="inlineStr">
        <is>
          <t>438.000000000000</t>
        </is>
      </c>
      <c r="M1124" t="inlineStr">
        <is>
          <t>Y</t>
        </is>
      </c>
    </row>
    <row r="1125">
      <c r="A1125" t="inlineStr">
        <is>
          <t>06/25/2026</t>
        </is>
      </c>
      <c r="B1125" t="inlineStr">
        <is>
          <t>FDRS</t>
        </is>
      </c>
      <c r="C1125" s="1" t="inlineStr">
        <is>
          <t>FTNT</t>
        </is>
      </c>
      <c r="D1125" s="1" t="inlineStr">
        <is>
          <t>34959E109</t>
        </is>
      </c>
      <c r="E1125" t="inlineStr">
        <is>
          <t>Fortinet Inc</t>
        </is>
      </c>
      <c r="F1125" t="inlineStr">
        <is>
          <t>12366.00000000</t>
        </is>
      </c>
      <c r="G1125" t="inlineStr">
        <is>
          <t>145.280000</t>
        </is>
      </c>
      <c r="H1125" t="inlineStr">
        <is>
          <t>1796532.48</t>
        </is>
      </c>
      <c r="I1125" t="inlineStr">
        <is>
          <t>1.82%</t>
        </is>
      </c>
      <c r="J1125" t="inlineStr">
        <is>
          <t>98461524.00</t>
        </is>
      </c>
      <c r="K1125" t="inlineStr">
        <is>
          <t>4380000</t>
        </is>
      </c>
      <c r="L1125" t="inlineStr">
        <is>
          <t>438.000000000000</t>
        </is>
      </c>
      <c r="M1125" t="inlineStr"/>
    </row>
    <row r="1126">
      <c r="A1126" t="inlineStr">
        <is>
          <t>06/25/2026</t>
        </is>
      </c>
      <c r="B1126" t="inlineStr">
        <is>
          <t>FDRS</t>
        </is>
      </c>
      <c r="C1126" s="1" t="inlineStr">
        <is>
          <t>HOOD</t>
        </is>
      </c>
      <c r="D1126" s="1" t="inlineStr">
        <is>
          <t>770700102</t>
        </is>
      </c>
      <c r="E1126" t="inlineStr">
        <is>
          <t>Robinhood Markets Inc</t>
        </is>
      </c>
      <c r="F1126" t="inlineStr">
        <is>
          <t>15095.00000000</t>
        </is>
      </c>
      <c r="G1126" t="inlineStr">
        <is>
          <t>97.190000</t>
        </is>
      </c>
      <c r="H1126" t="inlineStr">
        <is>
          <t>1467083.05</t>
        </is>
      </c>
      <c r="I1126" t="inlineStr">
        <is>
          <t>1.49%</t>
        </is>
      </c>
      <c r="J1126" t="inlineStr">
        <is>
          <t>98461524.00</t>
        </is>
      </c>
      <c r="K1126" t="inlineStr">
        <is>
          <t>4380000</t>
        </is>
      </c>
      <c r="L1126" t="inlineStr">
        <is>
          <t>438.000000000000</t>
        </is>
      </c>
      <c r="M1126" t="inlineStr"/>
    </row>
    <row r="1127">
      <c r="A1127" t="inlineStr">
        <is>
          <t>06/25/2026</t>
        </is>
      </c>
      <c r="B1127" t="inlineStr">
        <is>
          <t>FDRS</t>
        </is>
      </c>
      <c r="C1127" s="1" t="inlineStr">
        <is>
          <t>ICE</t>
        </is>
      </c>
      <c r="D1127" s="1" t="inlineStr">
        <is>
          <t>45866F104</t>
        </is>
      </c>
      <c r="E1127" t="inlineStr">
        <is>
          <t>Intercontinental Exchange Inc</t>
        </is>
      </c>
      <c r="F1127" t="inlineStr">
        <is>
          <t>11080.00000000</t>
        </is>
      </c>
      <c r="G1127" t="inlineStr">
        <is>
          <t>130.020000</t>
        </is>
      </c>
      <c r="H1127" t="inlineStr">
        <is>
          <t>1440621.60</t>
        </is>
      </c>
      <c r="I1127" t="inlineStr">
        <is>
          <t>1.46%</t>
        </is>
      </c>
      <c r="J1127" t="inlineStr">
        <is>
          <t>98461524.00</t>
        </is>
      </c>
      <c r="K1127" t="inlineStr">
        <is>
          <t>4380000</t>
        </is>
      </c>
      <c r="L1127" t="inlineStr">
        <is>
          <t>438.000000000000</t>
        </is>
      </c>
      <c r="M1127" t="inlineStr"/>
    </row>
    <row r="1128">
      <c r="A1128" t="inlineStr">
        <is>
          <t>06/25/2026</t>
        </is>
      </c>
      <c r="B1128" t="inlineStr">
        <is>
          <t>FDRS</t>
        </is>
      </c>
      <c r="C1128" s="1" t="inlineStr">
        <is>
          <t>META</t>
        </is>
      </c>
      <c r="D1128" s="1" t="inlineStr">
        <is>
          <t>30303M102</t>
        </is>
      </c>
      <c r="E1128" t="inlineStr">
        <is>
          <t>Meta Platforms Inc</t>
        </is>
      </c>
      <c r="F1128" t="inlineStr">
        <is>
          <t>17753.00000000</t>
        </is>
      </c>
      <c r="G1128" t="inlineStr">
        <is>
          <t>557.670000</t>
        </is>
      </c>
      <c r="H1128" t="inlineStr">
        <is>
          <t>9900315.51</t>
        </is>
      </c>
      <c r="I1128" t="inlineStr">
        <is>
          <t>10.06%</t>
        </is>
      </c>
      <c r="J1128" t="inlineStr">
        <is>
          <t>98461524.00</t>
        </is>
      </c>
      <c r="K1128" t="inlineStr">
        <is>
          <t>4380000</t>
        </is>
      </c>
      <c r="L1128" t="inlineStr">
        <is>
          <t>438.000000000000</t>
        </is>
      </c>
      <c r="M1128" t="inlineStr"/>
    </row>
    <row r="1129">
      <c r="A1129" t="inlineStr">
        <is>
          <t>06/25/2026</t>
        </is>
      </c>
      <c r="B1129" t="inlineStr">
        <is>
          <t>FDRS</t>
        </is>
      </c>
      <c r="C1129" s="1" t="inlineStr">
        <is>
          <t>MPWR</t>
        </is>
      </c>
      <c r="D1129" s="1" t="inlineStr">
        <is>
          <t>609839105</t>
        </is>
      </c>
      <c r="E1129" t="inlineStr">
        <is>
          <t>Monolithic Power Systems Inc</t>
        </is>
      </c>
      <c r="F1129" t="inlineStr">
        <is>
          <t>934.00000000</t>
        </is>
      </c>
      <c r="G1129" t="inlineStr">
        <is>
          <t>1434.950000</t>
        </is>
      </c>
      <c r="H1129" t="inlineStr">
        <is>
          <t>1340243.30</t>
        </is>
      </c>
      <c r="I1129" t="inlineStr">
        <is>
          <t>1.36%</t>
        </is>
      </c>
      <c r="J1129" t="inlineStr">
        <is>
          <t>98461524.00</t>
        </is>
      </c>
      <c r="K1129" t="inlineStr">
        <is>
          <t>4380000</t>
        </is>
      </c>
      <c r="L1129" t="inlineStr">
        <is>
          <t>438.000000000000</t>
        </is>
      </c>
      <c r="M1129" t="inlineStr"/>
    </row>
    <row r="1130">
      <c r="A1130" t="inlineStr">
        <is>
          <t>06/25/2026</t>
        </is>
      </c>
      <c r="B1130" t="inlineStr">
        <is>
          <t>FDRS</t>
        </is>
      </c>
      <c r="C1130" s="1" t="inlineStr">
        <is>
          <t>MSTR</t>
        </is>
      </c>
      <c r="D1130" s="1" t="inlineStr">
        <is>
          <t>594972408</t>
        </is>
      </c>
      <c r="E1130" t="inlineStr">
        <is>
          <t>Strategy Inc</t>
        </is>
      </c>
      <c r="F1130" t="inlineStr">
        <is>
          <t>6322.00000000</t>
        </is>
      </c>
      <c r="G1130" t="inlineStr">
        <is>
          <t>94.130000</t>
        </is>
      </c>
      <c r="H1130" t="inlineStr">
        <is>
          <t>595089.86</t>
        </is>
      </c>
      <c r="I1130" t="inlineStr">
        <is>
          <t>0.60%</t>
        </is>
      </c>
      <c r="J1130" t="inlineStr">
        <is>
          <t>98461524.00</t>
        </is>
      </c>
      <c r="K1130" t="inlineStr">
        <is>
          <t>4380000</t>
        </is>
      </c>
      <c r="L1130" t="inlineStr">
        <is>
          <t>438.000000000000</t>
        </is>
      </c>
      <c r="M1130" t="inlineStr"/>
    </row>
    <row r="1131">
      <c r="A1131" t="inlineStr">
        <is>
          <t>06/25/2026</t>
        </is>
      </c>
      <c r="B1131" t="inlineStr">
        <is>
          <t>FDRS</t>
        </is>
      </c>
      <c r="C1131" s="1" t="inlineStr">
        <is>
          <t>NBIS</t>
        </is>
      </c>
      <c r="D1131" s="1" t="inlineStr">
        <is>
          <t>N97284108</t>
        </is>
      </c>
      <c r="E1131" t="inlineStr">
        <is>
          <t>Nebius Group NV</t>
        </is>
      </c>
      <c r="F1131" t="inlineStr">
        <is>
          <t>4074.00000000</t>
        </is>
      </c>
      <c r="G1131" t="inlineStr">
        <is>
          <t>259.660000</t>
        </is>
      </c>
      <c r="H1131" t="inlineStr">
        <is>
          <t>1057854.84</t>
        </is>
      </c>
      <c r="I1131" t="inlineStr">
        <is>
          <t>1.07%</t>
        </is>
      </c>
      <c r="J1131" t="inlineStr">
        <is>
          <t>98461524.00</t>
        </is>
      </c>
      <c r="K1131" t="inlineStr">
        <is>
          <t>4380000</t>
        </is>
      </c>
      <c r="L1131" t="inlineStr">
        <is>
          <t>438.000000000000</t>
        </is>
      </c>
      <c r="M1131" t="inlineStr"/>
    </row>
    <row r="1132">
      <c r="A1132" t="inlineStr">
        <is>
          <t>06/25/2026</t>
        </is>
      </c>
      <c r="B1132" t="inlineStr">
        <is>
          <t>FDRS</t>
        </is>
      </c>
      <c r="C1132" s="1" t="inlineStr">
        <is>
          <t>NET</t>
        </is>
      </c>
      <c r="D1132" s="1" t="inlineStr">
        <is>
          <t>18915M107</t>
        </is>
      </c>
      <c r="E1132" t="inlineStr">
        <is>
          <t>Cloudflare Inc</t>
        </is>
      </c>
      <c r="F1132" t="inlineStr">
        <is>
          <t>6265.00000000</t>
        </is>
      </c>
      <c r="G1132" t="inlineStr">
        <is>
          <t>223.480000</t>
        </is>
      </c>
      <c r="H1132" t="inlineStr">
        <is>
          <t>1400102.20</t>
        </is>
      </c>
      <c r="I1132" t="inlineStr">
        <is>
          <t>1.42%</t>
        </is>
      </c>
      <c r="J1132" t="inlineStr">
        <is>
          <t>98461524.00</t>
        </is>
      </c>
      <c r="K1132" t="inlineStr">
        <is>
          <t>4380000</t>
        </is>
      </c>
      <c r="L1132" t="inlineStr">
        <is>
          <t>438.000000000000</t>
        </is>
      </c>
      <c r="M1132" t="inlineStr"/>
    </row>
    <row r="1133">
      <c r="A1133" t="inlineStr">
        <is>
          <t>06/25/2026</t>
        </is>
      </c>
      <c r="B1133" t="inlineStr">
        <is>
          <t>FDRS</t>
        </is>
      </c>
      <c r="C1133" s="1" t="inlineStr">
        <is>
          <t>NU</t>
        </is>
      </c>
      <c r="D1133" s="1" t="inlineStr">
        <is>
          <t>G6683N103</t>
        </is>
      </c>
      <c r="E1133" t="inlineStr">
        <is>
          <t>NU Holdings Ltd/Cayman Islands</t>
        </is>
      </c>
      <c r="F1133" t="inlineStr">
        <is>
          <t>73944.00000000</t>
        </is>
      </c>
      <c r="G1133" t="inlineStr">
        <is>
          <t>12.460000</t>
        </is>
      </c>
      <c r="H1133" t="inlineStr">
        <is>
          <t>921342.24</t>
        </is>
      </c>
      <c r="I1133" t="inlineStr">
        <is>
          <t>0.94%</t>
        </is>
      </c>
      <c r="J1133" t="inlineStr">
        <is>
          <t>98461524.00</t>
        </is>
      </c>
      <c r="K1133" t="inlineStr">
        <is>
          <t>4380000</t>
        </is>
      </c>
      <c r="L1133" t="inlineStr">
        <is>
          <t>438.000000000000</t>
        </is>
      </c>
      <c r="M1133" t="inlineStr"/>
    </row>
    <row r="1134">
      <c r="A1134" t="inlineStr">
        <is>
          <t>06/25/2026</t>
        </is>
      </c>
      <c r="B1134" t="inlineStr">
        <is>
          <t>FDRS</t>
        </is>
      </c>
      <c r="C1134" s="1" t="inlineStr">
        <is>
          <t>NVDA</t>
        </is>
      </c>
      <c r="D1134" s="1" t="inlineStr">
        <is>
          <t>67066G104</t>
        </is>
      </c>
      <c r="E1134" t="inlineStr">
        <is>
          <t>NVIDIA Corp</t>
        </is>
      </c>
      <c r="F1134" t="inlineStr">
        <is>
          <t>48463.00000000</t>
        </is>
      </c>
      <c r="G1134" t="inlineStr">
        <is>
          <t>199.000000</t>
        </is>
      </c>
      <c r="H1134" t="inlineStr">
        <is>
          <t>9644137.00</t>
        </is>
      </c>
      <c r="I1134" t="inlineStr">
        <is>
          <t>9.79%</t>
        </is>
      </c>
      <c r="J1134" t="inlineStr">
        <is>
          <t>98461524.00</t>
        </is>
      </c>
      <c r="K1134" t="inlineStr">
        <is>
          <t>4380000</t>
        </is>
      </c>
      <c r="L1134" t="inlineStr">
        <is>
          <t>438.000000000000</t>
        </is>
      </c>
      <c r="M1134" t="inlineStr"/>
    </row>
    <row r="1135">
      <c r="A1135" t="inlineStr">
        <is>
          <t>06/25/2026</t>
        </is>
      </c>
      <c r="B1135" t="inlineStr">
        <is>
          <t>FDRS</t>
        </is>
      </c>
      <c r="C1135" s="1" t="inlineStr">
        <is>
          <t>ORCL</t>
        </is>
      </c>
      <c r="D1135" s="1" t="inlineStr">
        <is>
          <t>68389X105</t>
        </is>
      </c>
      <c r="E1135" t="inlineStr">
        <is>
          <t>Oracle Corp</t>
        </is>
      </c>
      <c r="F1135" t="inlineStr">
        <is>
          <t>34206.00000000</t>
        </is>
      </c>
      <c r="G1135" t="inlineStr">
        <is>
          <t>157.530000</t>
        </is>
      </c>
      <c r="H1135" t="inlineStr">
        <is>
          <t>5388471.18</t>
        </is>
      </c>
      <c r="I1135" t="inlineStr">
        <is>
          <t>5.47%</t>
        </is>
      </c>
      <c r="J1135" t="inlineStr">
        <is>
          <t>98461524.00</t>
        </is>
      </c>
      <c r="K1135" t="inlineStr">
        <is>
          <t>4380000</t>
        </is>
      </c>
      <c r="L1135" t="inlineStr">
        <is>
          <t>438.000000000000</t>
        </is>
      </c>
      <c r="M1135" t="inlineStr"/>
    </row>
    <row r="1136">
      <c r="A1136" t="inlineStr">
        <is>
          <t>06/25/2026</t>
        </is>
      </c>
      <c r="B1136" t="inlineStr">
        <is>
          <t>FDRS</t>
        </is>
      </c>
      <c r="C1136" s="1" t="inlineStr">
        <is>
          <t>P</t>
        </is>
      </c>
      <c r="D1136" s="1" t="inlineStr">
        <is>
          <t>74624M102</t>
        </is>
      </c>
      <c r="E1136" t="inlineStr">
        <is>
          <t>Everpure Inc</t>
        </is>
      </c>
      <c r="F1136" t="inlineStr">
        <is>
          <t>6241.00000000</t>
        </is>
      </c>
      <c r="G1136" t="inlineStr">
        <is>
          <t>72.800000</t>
        </is>
      </c>
      <c r="H1136" t="inlineStr">
        <is>
          <t>454344.80</t>
        </is>
      </c>
      <c r="I1136" t="inlineStr">
        <is>
          <t>0.46%</t>
        </is>
      </c>
      <c r="J1136" t="inlineStr">
        <is>
          <t>98461524.00</t>
        </is>
      </c>
      <c r="K1136" t="inlineStr">
        <is>
          <t>4380000</t>
        </is>
      </c>
      <c r="L1136" t="inlineStr">
        <is>
          <t>438.000000000000</t>
        </is>
      </c>
      <c r="M1136" t="inlineStr"/>
    </row>
    <row r="1137">
      <c r="A1137" t="inlineStr">
        <is>
          <t>06/25/2026</t>
        </is>
      </c>
      <c r="B1137" t="inlineStr">
        <is>
          <t>FDRS</t>
        </is>
      </c>
      <c r="C1137" s="1" t="inlineStr">
        <is>
          <t>PLTR</t>
        </is>
      </c>
      <c r="D1137" s="1" t="inlineStr">
        <is>
          <t>69608A108</t>
        </is>
      </c>
      <c r="E1137" t="inlineStr">
        <is>
          <t>Palantir Technologies Inc</t>
        </is>
      </c>
      <c r="F1137" t="inlineStr">
        <is>
          <t>43701.00000000</t>
        </is>
      </c>
      <c r="G1137" t="inlineStr">
        <is>
          <t>113.500000</t>
        </is>
      </c>
      <c r="H1137" t="inlineStr">
        <is>
          <t>4960063.50</t>
        </is>
      </c>
      <c r="I1137" t="inlineStr">
        <is>
          <t>5.04%</t>
        </is>
      </c>
      <c r="J1137" t="inlineStr">
        <is>
          <t>98461524.00</t>
        </is>
      </c>
      <c r="K1137" t="inlineStr">
        <is>
          <t>4380000</t>
        </is>
      </c>
      <c r="L1137" t="inlineStr">
        <is>
          <t>438.000000000000</t>
        </is>
      </c>
      <c r="M1137" t="inlineStr"/>
    </row>
    <row r="1138">
      <c r="A1138" t="inlineStr">
        <is>
          <t>06/25/2026</t>
        </is>
      </c>
      <c r="B1138" t="inlineStr">
        <is>
          <t>FDRS</t>
        </is>
      </c>
      <c r="C1138" s="1" t="inlineStr">
        <is>
          <t>RBLX</t>
        </is>
      </c>
      <c r="D1138" s="1" t="inlineStr">
        <is>
          <t>771049103</t>
        </is>
      </c>
      <c r="E1138" t="inlineStr">
        <is>
          <t>ROBLOX Corp</t>
        </is>
      </c>
      <c r="F1138" t="inlineStr">
        <is>
          <t>12495.00000000</t>
        </is>
      </c>
      <c r="G1138" t="inlineStr">
        <is>
          <t>47.940000</t>
        </is>
      </c>
      <c r="H1138" t="inlineStr">
        <is>
          <t>599010.30</t>
        </is>
      </c>
      <c r="I1138" t="inlineStr">
        <is>
          <t>0.61%</t>
        </is>
      </c>
      <c r="J1138" t="inlineStr">
        <is>
          <t>98461524.00</t>
        </is>
      </c>
      <c r="K1138" t="inlineStr">
        <is>
          <t>4380000</t>
        </is>
      </c>
      <c r="L1138" t="inlineStr">
        <is>
          <t>438.000000000000</t>
        </is>
      </c>
      <c r="M1138" t="inlineStr"/>
    </row>
    <row r="1139">
      <c r="A1139" t="inlineStr">
        <is>
          <t>06/25/2026</t>
        </is>
      </c>
      <c r="B1139" t="inlineStr">
        <is>
          <t>FDRS</t>
        </is>
      </c>
      <c r="C1139" s="1" t="inlineStr">
        <is>
          <t>RDDT</t>
        </is>
      </c>
      <c r="D1139" s="1" t="inlineStr">
        <is>
          <t>75734B100</t>
        </is>
      </c>
      <c r="E1139" t="inlineStr">
        <is>
          <t>Reddit Inc</t>
        </is>
      </c>
      <c r="F1139" t="inlineStr">
        <is>
          <t>2634.00000000</t>
        </is>
      </c>
      <c r="G1139" t="inlineStr">
        <is>
          <t>160.720000</t>
        </is>
      </c>
      <c r="H1139" t="inlineStr">
        <is>
          <t>423336.48</t>
        </is>
      </c>
      <c r="I1139" t="inlineStr">
        <is>
          <t>0.43%</t>
        </is>
      </c>
      <c r="J1139" t="inlineStr">
        <is>
          <t>98461524.00</t>
        </is>
      </c>
      <c r="K1139" t="inlineStr">
        <is>
          <t>4380000</t>
        </is>
      </c>
      <c r="L1139" t="inlineStr">
        <is>
          <t>438.000000000000</t>
        </is>
      </c>
      <c r="M1139" t="inlineStr"/>
    </row>
    <row r="1140">
      <c r="A1140" t="inlineStr">
        <is>
          <t>06/25/2026</t>
        </is>
      </c>
      <c r="B1140" t="inlineStr">
        <is>
          <t>FDRS</t>
        </is>
      </c>
      <c r="C1140" s="1" t="inlineStr">
        <is>
          <t>REGN</t>
        </is>
      </c>
      <c r="D1140" s="1" t="inlineStr">
        <is>
          <t>75886F107</t>
        </is>
      </c>
      <c r="E1140" t="inlineStr">
        <is>
          <t>Regeneron Pharmaceuticals Inc</t>
        </is>
      </c>
      <c r="F1140" t="inlineStr">
        <is>
          <t>1945.00000000</t>
        </is>
      </c>
      <c r="G1140" t="inlineStr">
        <is>
          <t>623.430000</t>
        </is>
      </c>
      <c r="H1140" t="inlineStr">
        <is>
          <t>1212571.35</t>
        </is>
      </c>
      <c r="I1140" t="inlineStr">
        <is>
          <t>1.23%</t>
        </is>
      </c>
      <c r="J1140" t="inlineStr">
        <is>
          <t>98461524.00</t>
        </is>
      </c>
      <c r="K1140" t="inlineStr">
        <is>
          <t>4380000</t>
        </is>
      </c>
      <c r="L1140" t="inlineStr">
        <is>
          <t>438.000000000000</t>
        </is>
      </c>
      <c r="M1140" t="inlineStr"/>
    </row>
    <row r="1141">
      <c r="A1141" t="inlineStr">
        <is>
          <t>06/25/2026</t>
        </is>
      </c>
      <c r="B1141" t="inlineStr">
        <is>
          <t>FDRS</t>
        </is>
      </c>
      <c r="C1141" s="1" t="inlineStr">
        <is>
          <t>RKLB</t>
        </is>
      </c>
      <c r="D1141" s="1" t="inlineStr">
        <is>
          <t>773121108</t>
        </is>
      </c>
      <c r="E1141" t="inlineStr">
        <is>
          <t>Rocket Lab Corp</t>
        </is>
      </c>
      <c r="F1141" t="inlineStr">
        <is>
          <t>10805.00000000</t>
        </is>
      </c>
      <c r="G1141" t="inlineStr">
        <is>
          <t>85.410000</t>
        </is>
      </c>
      <c r="H1141" t="inlineStr">
        <is>
          <t>922855.05</t>
        </is>
      </c>
      <c r="I1141" t="inlineStr">
        <is>
          <t>0.94%</t>
        </is>
      </c>
      <c r="J1141" t="inlineStr">
        <is>
          <t>98461524.00</t>
        </is>
      </c>
      <c r="K1141" t="inlineStr">
        <is>
          <t>4380000</t>
        </is>
      </c>
      <c r="L1141" t="inlineStr">
        <is>
          <t>438.000000000000</t>
        </is>
      </c>
      <c r="M1141" t="inlineStr"/>
    </row>
    <row r="1142">
      <c r="A1142" t="inlineStr">
        <is>
          <t>06/25/2026</t>
        </is>
      </c>
      <c r="B1142" t="inlineStr">
        <is>
          <t>FDRS</t>
        </is>
      </c>
      <c r="C1142" s="1" t="inlineStr">
        <is>
          <t>SHOP</t>
        </is>
      </c>
      <c r="D1142" s="1" t="inlineStr">
        <is>
          <t>82509L107</t>
        </is>
      </c>
      <c r="E1142" t="inlineStr">
        <is>
          <t>Shopify Inc</t>
        </is>
      </c>
      <c r="F1142" t="inlineStr">
        <is>
          <t>23970.00000000</t>
        </is>
      </c>
      <c r="G1142" t="inlineStr">
        <is>
          <t>114.170000</t>
        </is>
      </c>
      <c r="H1142" t="inlineStr">
        <is>
          <t>2736654.90</t>
        </is>
      </c>
      <c r="I1142" t="inlineStr">
        <is>
          <t>2.78%</t>
        </is>
      </c>
      <c r="J1142" t="inlineStr">
        <is>
          <t>98461524.00</t>
        </is>
      </c>
      <c r="K1142" t="inlineStr">
        <is>
          <t>4380000</t>
        </is>
      </c>
      <c r="L1142" t="inlineStr">
        <is>
          <t>438.000000000000</t>
        </is>
      </c>
      <c r="M1142" t="inlineStr"/>
    </row>
    <row r="1143">
      <c r="A1143" t="inlineStr">
        <is>
          <t>06/25/2026</t>
        </is>
      </c>
      <c r="B1143" t="inlineStr">
        <is>
          <t>FDRS</t>
        </is>
      </c>
      <c r="C1143" s="1" t="inlineStr">
        <is>
          <t>SNOW</t>
        </is>
      </c>
      <c r="D1143" s="1" t="inlineStr">
        <is>
          <t>833445109</t>
        </is>
      </c>
      <c r="E1143" t="inlineStr">
        <is>
          <t>Snowflake Inc</t>
        </is>
      </c>
      <c r="F1143" t="inlineStr">
        <is>
          <t>6512.00000000</t>
        </is>
      </c>
      <c r="G1143" t="inlineStr">
        <is>
          <t>225.950000</t>
        </is>
      </c>
      <c r="H1143" t="inlineStr">
        <is>
          <t>1471386.40</t>
        </is>
      </c>
      <c r="I1143" t="inlineStr">
        <is>
          <t>1.49%</t>
        </is>
      </c>
      <c r="J1143" t="inlineStr">
        <is>
          <t>98461524.00</t>
        </is>
      </c>
      <c r="K1143" t="inlineStr">
        <is>
          <t>4380000</t>
        </is>
      </c>
      <c r="L1143" t="inlineStr">
        <is>
          <t>438.000000000000</t>
        </is>
      </c>
      <c r="M1143" t="inlineStr"/>
    </row>
    <row r="1144">
      <c r="A1144" t="inlineStr">
        <is>
          <t>06/25/2026</t>
        </is>
      </c>
      <c r="B1144" t="inlineStr">
        <is>
          <t>FDRS</t>
        </is>
      </c>
      <c r="C1144" s="1" t="inlineStr">
        <is>
          <t>SPCX</t>
        </is>
      </c>
      <c r="D1144" s="1" t="inlineStr">
        <is>
          <t>84615Q103</t>
        </is>
      </c>
      <c r="E1144" t="inlineStr">
        <is>
          <t>Space Exploration Technologies Corp</t>
        </is>
      </c>
      <c r="F1144" t="inlineStr">
        <is>
          <t>13735.00000000</t>
        </is>
      </c>
      <c r="G1144" t="inlineStr">
        <is>
          <t>154.540000</t>
        </is>
      </c>
      <c r="H1144" t="inlineStr">
        <is>
          <t>2122606.90</t>
        </is>
      </c>
      <c r="I1144" t="inlineStr">
        <is>
          <t>2.16%</t>
        </is>
      </c>
      <c r="J1144" t="inlineStr">
        <is>
          <t>98461524.00</t>
        </is>
      </c>
      <c r="K1144" t="inlineStr">
        <is>
          <t>4380000</t>
        </is>
      </c>
      <c r="L1144" t="inlineStr">
        <is>
          <t>438.000000000000</t>
        </is>
      </c>
      <c r="M1144" t="inlineStr"/>
    </row>
    <row r="1145">
      <c r="A1145" t="inlineStr">
        <is>
          <t>06/25/2026</t>
        </is>
      </c>
      <c r="B1145" t="inlineStr">
        <is>
          <t>FDRS</t>
        </is>
      </c>
      <c r="C1145" s="1" t="inlineStr">
        <is>
          <t>STLD</t>
        </is>
      </c>
      <c r="D1145" s="1" t="inlineStr">
        <is>
          <t>858119100</t>
        </is>
      </c>
      <c r="E1145" t="inlineStr">
        <is>
          <t>Steel Dynamics Inc</t>
        </is>
      </c>
      <c r="F1145" t="inlineStr">
        <is>
          <t>2667.00000000</t>
        </is>
      </c>
      <c r="G1145" t="inlineStr">
        <is>
          <t>241.430000</t>
        </is>
      </c>
      <c r="H1145" t="inlineStr">
        <is>
          <t>643893.81</t>
        </is>
      </c>
      <c r="I1145" t="inlineStr">
        <is>
          <t>0.65%</t>
        </is>
      </c>
      <c r="J1145" t="inlineStr">
        <is>
          <t>98461524.00</t>
        </is>
      </c>
      <c r="K1145" t="inlineStr">
        <is>
          <t>4380000</t>
        </is>
      </c>
      <c r="L1145" t="inlineStr">
        <is>
          <t>438.000000000000</t>
        </is>
      </c>
      <c r="M1145" t="inlineStr"/>
    </row>
    <row r="1146">
      <c r="A1146" t="inlineStr">
        <is>
          <t>06/25/2026</t>
        </is>
      </c>
      <c r="B1146" t="inlineStr">
        <is>
          <t>FDRS</t>
        </is>
      </c>
      <c r="C1146" s="1" t="inlineStr">
        <is>
          <t>TSLA</t>
        </is>
      </c>
      <c r="D1146" s="1" t="inlineStr">
        <is>
          <t>88160R101</t>
        </is>
      </c>
      <c r="E1146" t="inlineStr">
        <is>
          <t>Tesla Inc</t>
        </is>
      </c>
      <c r="F1146" t="inlineStr">
        <is>
          <t>25482.00000000</t>
        </is>
      </c>
      <c r="G1146" t="inlineStr">
        <is>
          <t>375.530000</t>
        </is>
      </c>
      <c r="H1146" t="inlineStr">
        <is>
          <t>9569255.46</t>
        </is>
      </c>
      <c r="I1146" t="inlineStr">
        <is>
          <t>9.72%</t>
        </is>
      </c>
      <c r="J1146" t="inlineStr">
        <is>
          <t>98461524.00</t>
        </is>
      </c>
      <c r="K1146" t="inlineStr">
        <is>
          <t>4380000</t>
        </is>
      </c>
      <c r="L1146" t="inlineStr">
        <is>
          <t>438.000000000000</t>
        </is>
      </c>
      <c r="M1146" t="inlineStr"/>
    </row>
    <row r="1147">
      <c r="A1147" t="inlineStr">
        <is>
          <t>06/25/2026</t>
        </is>
      </c>
      <c r="B1147" t="inlineStr">
        <is>
          <t>FDRS</t>
        </is>
      </c>
      <c r="C1147" s="1" t="inlineStr">
        <is>
          <t>UTHR</t>
        </is>
      </c>
      <c r="D1147" s="1" t="inlineStr">
        <is>
          <t>91307C102</t>
        </is>
      </c>
      <c r="E1147" t="inlineStr">
        <is>
          <t>United Therapeutics Corp</t>
        </is>
      </c>
      <c r="F1147" t="inlineStr">
        <is>
          <t>813.00000000</t>
        </is>
      </c>
      <c r="G1147" t="inlineStr">
        <is>
          <t>549.900000</t>
        </is>
      </c>
      <c r="H1147" t="inlineStr">
        <is>
          <t>447068.70</t>
        </is>
      </c>
      <c r="I1147" t="inlineStr">
        <is>
          <t>0.45%</t>
        </is>
      </c>
      <c r="J1147" t="inlineStr">
        <is>
          <t>98461524.00</t>
        </is>
      </c>
      <c r="K1147" t="inlineStr">
        <is>
          <t>4380000</t>
        </is>
      </c>
      <c r="L1147" t="inlineStr">
        <is>
          <t>438.000000000000</t>
        </is>
      </c>
      <c r="M1147" t="inlineStr"/>
    </row>
    <row r="1148">
      <c r="A1148" t="inlineStr">
        <is>
          <t>06/25/2026</t>
        </is>
      </c>
      <c r="B1148" t="inlineStr">
        <is>
          <t>FDRS</t>
        </is>
      </c>
      <c r="C1148" s="1" t="inlineStr">
        <is>
          <t>VEEV</t>
        </is>
      </c>
      <c r="D1148" s="1" t="inlineStr">
        <is>
          <t>922475108</t>
        </is>
      </c>
      <c r="E1148" t="inlineStr">
        <is>
          <t>Veeva Systems Inc</t>
        </is>
      </c>
      <c r="F1148" t="inlineStr">
        <is>
          <t>2905.00000000</t>
        </is>
      </c>
      <c r="G1148" t="inlineStr">
        <is>
          <t>161.350000</t>
        </is>
      </c>
      <c r="H1148" t="inlineStr">
        <is>
          <t>468721.75</t>
        </is>
      </c>
      <c r="I1148" t="inlineStr">
        <is>
          <t>0.48%</t>
        </is>
      </c>
      <c r="J1148" t="inlineStr">
        <is>
          <t>98461524.00</t>
        </is>
      </c>
      <c r="K1148" t="inlineStr">
        <is>
          <t>4380000</t>
        </is>
      </c>
      <c r="L1148" t="inlineStr">
        <is>
          <t>438.000000000000</t>
        </is>
      </c>
      <c r="M1148" t="inlineStr"/>
    </row>
    <row r="1149">
      <c r="A1149" t="inlineStr">
        <is>
          <t>06/25/2026</t>
        </is>
      </c>
      <c r="B1149" t="inlineStr">
        <is>
          <t>FDRS</t>
        </is>
      </c>
      <c r="C1149" s="1" t="inlineStr">
        <is>
          <t>WCN</t>
        </is>
      </c>
      <c r="D1149" s="1" t="inlineStr">
        <is>
          <t>94106B101</t>
        </is>
      </c>
      <c r="E1149" t="inlineStr">
        <is>
          <t>Waste Connections Inc</t>
        </is>
      </c>
      <c r="F1149" t="inlineStr">
        <is>
          <t>4957.00000000</t>
        </is>
      </c>
      <c r="G1149" t="inlineStr">
        <is>
          <t>166.450000</t>
        </is>
      </c>
      <c r="H1149" t="inlineStr">
        <is>
          <t>825092.65</t>
        </is>
      </c>
      <c r="I1149" t="inlineStr">
        <is>
          <t>0.84%</t>
        </is>
      </c>
      <c r="J1149" t="inlineStr">
        <is>
          <t>98461524.00</t>
        </is>
      </c>
      <c r="K1149" t="inlineStr">
        <is>
          <t>4380000</t>
        </is>
      </c>
      <c r="L1149" t="inlineStr">
        <is>
          <t>438.000000000000</t>
        </is>
      </c>
      <c r="M1149" t="inlineStr"/>
    </row>
    <row r="1150">
      <c r="A1150" t="inlineStr">
        <is>
          <t>06/25/2026</t>
        </is>
      </c>
      <c r="B1150" t="inlineStr">
        <is>
          <t>FDRS</t>
        </is>
      </c>
      <c r="C1150" s="1" t="inlineStr">
        <is>
          <t>WDAY</t>
        </is>
      </c>
      <c r="D1150" s="1" t="inlineStr">
        <is>
          <t>98138H101</t>
        </is>
      </c>
      <c r="E1150" t="inlineStr">
        <is>
          <t>Workday Inc</t>
        </is>
      </c>
      <c r="F1150" t="inlineStr">
        <is>
          <t>3956.00000000</t>
        </is>
      </c>
      <c r="G1150" t="inlineStr">
        <is>
          <t>118.090000</t>
        </is>
      </c>
      <c r="H1150" t="inlineStr">
        <is>
          <t>467164.04</t>
        </is>
      </c>
      <c r="I1150" t="inlineStr">
        <is>
          <t>0.47%</t>
        </is>
      </c>
      <c r="J1150" t="inlineStr">
        <is>
          <t>98461524.00</t>
        </is>
      </c>
      <c r="K1150" t="inlineStr">
        <is>
          <t>4380000</t>
        </is>
      </c>
      <c r="L1150" t="inlineStr">
        <is>
          <t>438.000000000000</t>
        </is>
      </c>
      <c r="M1150" t="inlineStr"/>
    </row>
    <row r="1151">
      <c r="A1151" t="inlineStr">
        <is>
          <t>06/25/2026</t>
        </is>
      </c>
      <c r="B1151" t="inlineStr">
        <is>
          <t>FDRS</t>
        </is>
      </c>
      <c r="C1151" s="1" t="inlineStr">
        <is>
          <t>XYZ</t>
        </is>
      </c>
      <c r="D1151" s="1" t="inlineStr">
        <is>
          <t>852234103</t>
        </is>
      </c>
      <c r="E1151" t="inlineStr">
        <is>
          <t>Block Inc</t>
        </is>
      </c>
      <c r="F1151" t="inlineStr">
        <is>
          <t>10370.00000000</t>
        </is>
      </c>
      <c r="G1151" t="inlineStr">
        <is>
          <t>75.680000</t>
        </is>
      </c>
      <c r="H1151" t="inlineStr">
        <is>
          <t>784801.60</t>
        </is>
      </c>
      <c r="I1151" t="inlineStr">
        <is>
          <t>0.80%</t>
        </is>
      </c>
      <c r="J1151" t="inlineStr">
        <is>
          <t>98461524.00</t>
        </is>
      </c>
      <c r="K1151" t="inlineStr">
        <is>
          <t>4380000</t>
        </is>
      </c>
      <c r="L1151" t="inlineStr">
        <is>
          <t>438.000000000000</t>
        </is>
      </c>
      <c r="M1151" t="inlineStr"/>
    </row>
    <row r="1152">
      <c r="A1152" t="inlineStr">
        <is>
          <t>06/25/2026</t>
        </is>
      </c>
      <c r="B1152" t="inlineStr">
        <is>
          <t>FDRS</t>
        </is>
      </c>
      <c r="C1152" s="1" t="inlineStr">
        <is>
          <t>ZM</t>
        </is>
      </c>
      <c r="D1152" s="1" t="inlineStr">
        <is>
          <t>98980L101</t>
        </is>
      </c>
      <c r="E1152" t="inlineStr">
        <is>
          <t>Zoom Communications Inc</t>
        </is>
      </c>
      <c r="F1152" t="inlineStr">
        <is>
          <t>5006.00000000</t>
        </is>
      </c>
      <c r="G1152" t="inlineStr">
        <is>
          <t>85.470000</t>
        </is>
      </c>
      <c r="H1152" t="inlineStr">
        <is>
          <t>427862.82</t>
        </is>
      </c>
      <c r="I1152" t="inlineStr">
        <is>
          <t>0.43%</t>
        </is>
      </c>
      <c r="J1152" t="inlineStr">
        <is>
          <t>98461524.00</t>
        </is>
      </c>
      <c r="K1152" t="inlineStr">
        <is>
          <t>4380000</t>
        </is>
      </c>
      <c r="L1152" t="inlineStr">
        <is>
          <t>438.000000000000</t>
        </is>
      </c>
      <c r="M1152" t="inlineStr"/>
    </row>
    <row r="1153">
      <c r="A1153" t="inlineStr">
        <is>
          <t>06/25/2026</t>
        </is>
      </c>
      <c r="B1153" t="inlineStr">
        <is>
          <t>FDRS</t>
        </is>
      </c>
      <c r="C1153" s="1" t="inlineStr">
        <is>
          <t>Cash&amp;Other</t>
        </is>
      </c>
      <c r="D1153" s="1" t="inlineStr">
        <is>
          <t>Cash&amp;Other</t>
        </is>
      </c>
      <c r="E1153" t="inlineStr">
        <is>
          <t>Cash &amp; Other</t>
        </is>
      </c>
      <c r="F1153" t="inlineStr">
        <is>
          <t>13103.22000000</t>
        </is>
      </c>
      <c r="G1153" t="inlineStr">
        <is>
          <t>1.000000</t>
        </is>
      </c>
      <c r="H1153" t="inlineStr">
        <is>
          <t>13103.22</t>
        </is>
      </c>
      <c r="I1153" t="inlineStr">
        <is>
          <t>0.01%</t>
        </is>
      </c>
      <c r="J1153" t="inlineStr">
        <is>
          <t>98461524.00</t>
        </is>
      </c>
      <c r="K1153" t="inlineStr">
        <is>
          <t>4380000</t>
        </is>
      </c>
      <c r="L1153" t="inlineStr">
        <is>
          <t>438.000000000000</t>
        </is>
      </c>
      <c r="M1153" t="inlineStr">
        <is>
          <t>Y</t>
        </is>
      </c>
    </row>
    <row r="1154">
      <c r="A1154" t="inlineStr">
        <is>
          <t>06/25/2026</t>
        </is>
      </c>
      <c r="B1154" t="inlineStr">
        <is>
          <t>FDRX</t>
        </is>
      </c>
      <c r="C1154" s="1" t="inlineStr">
        <is>
          <t>218946101-TRS-01/19/28-L</t>
        </is>
      </c>
      <c r="D1154" s="1" t="inlineStr">
        <is>
          <t>218946101-TRS-01/19/28-L</t>
        </is>
      </c>
      <c r="E1154" t="inlineStr">
        <is>
          <t>CORGI ETF TR SWAP CS</t>
        </is>
      </c>
      <c r="F1154" t="inlineStr">
        <is>
          <t>1495482.00000000</t>
        </is>
      </c>
      <c r="G1154" t="inlineStr">
        <is>
          <t>22.470000</t>
        </is>
      </c>
      <c r="H1154" t="inlineStr">
        <is>
          <t>33603480.54</t>
        </is>
      </c>
      <c r="I1154" t="inlineStr">
        <is>
          <t>200.34%</t>
        </is>
      </c>
      <c r="J1154" t="inlineStr">
        <is>
          <t>16773390.00</t>
        </is>
      </c>
      <c r="K1154" t="inlineStr">
        <is>
          <t>850000</t>
        </is>
      </c>
      <c r="L1154" t="inlineStr">
        <is>
          <t>85.000000000000</t>
        </is>
      </c>
      <c r="M1154" t="inlineStr"/>
    </row>
    <row r="1155">
      <c r="A1155" t="inlineStr">
        <is>
          <t>06/25/2026</t>
        </is>
      </c>
      <c r="B1155" t="inlineStr">
        <is>
          <t>FDRX</t>
        </is>
      </c>
      <c r="C1155" s="1" t="inlineStr">
        <is>
          <t>FGXXX</t>
        </is>
      </c>
      <c r="D1155" s="1" t="inlineStr">
        <is>
          <t>31846V336</t>
        </is>
      </c>
      <c r="E1155" t="inlineStr">
        <is>
          <t>First American Government Obligations Fund 12/01/2031</t>
        </is>
      </c>
      <c r="F1155" t="inlineStr">
        <is>
          <t>1685620.12000000</t>
        </is>
      </c>
      <c r="G1155" t="inlineStr">
        <is>
          <t>100.000000</t>
        </is>
      </c>
      <c r="H1155" t="inlineStr">
        <is>
          <t>1685620.12</t>
        </is>
      </c>
      <c r="I1155" t="inlineStr">
        <is>
          <t>10.05%</t>
        </is>
      </c>
      <c r="J1155" t="inlineStr">
        <is>
          <t>16773390.00</t>
        </is>
      </c>
      <c r="K1155" t="inlineStr">
        <is>
          <t>850000</t>
        </is>
      </c>
      <c r="L1155" t="inlineStr">
        <is>
          <t>85.000000000000</t>
        </is>
      </c>
      <c r="M1155" t="inlineStr">
        <is>
          <t>Y</t>
        </is>
      </c>
    </row>
    <row r="1156">
      <c r="A1156" t="inlineStr">
        <is>
          <t>06/25/2026</t>
        </is>
      </c>
      <c r="B1156" t="inlineStr">
        <is>
          <t>FDRX</t>
        </is>
      </c>
      <c r="C1156" s="1" t="inlineStr">
        <is>
          <t>Cash&amp;Other</t>
        </is>
      </c>
      <c r="D1156" s="1" t="inlineStr">
        <is>
          <t>Cash&amp;Other</t>
        </is>
      </c>
      <c r="E1156" t="inlineStr">
        <is>
          <t>Cash &amp; Other</t>
        </is>
      </c>
      <c r="F1156" t="inlineStr">
        <is>
          <t>-18510769.85000000</t>
        </is>
      </c>
      <c r="G1156" t="inlineStr">
        <is>
          <t>1.000000</t>
        </is>
      </c>
      <c r="H1156" t="inlineStr">
        <is>
          <t>-18510769.85</t>
        </is>
      </c>
      <c r="I1156" t="inlineStr">
        <is>
          <t>-110.36%</t>
        </is>
      </c>
      <c r="J1156" t="inlineStr">
        <is>
          <t>16773390.00</t>
        </is>
      </c>
      <c r="K1156" t="inlineStr">
        <is>
          <t>850000</t>
        </is>
      </c>
      <c r="L1156" t="inlineStr">
        <is>
          <t>85.000000000000</t>
        </is>
      </c>
      <c r="M1156" t="inlineStr">
        <is>
          <t>Y</t>
        </is>
      </c>
    </row>
    <row r="1157">
      <c r="A1157" t="inlineStr">
        <is>
          <t>06/25/2026</t>
        </is>
      </c>
      <c r="B1157" t="inlineStr">
        <is>
          <t>GASZ</t>
        </is>
      </c>
      <c r="C1157" s="1" t="inlineStr">
        <is>
          <t>AGX</t>
        </is>
      </c>
      <c r="D1157" s="1" t="inlineStr">
        <is>
          <t>04010E109</t>
        </is>
      </c>
      <c r="E1157" t="inlineStr">
        <is>
          <t>Argan Inc</t>
        </is>
      </c>
      <c r="F1157" t="inlineStr">
        <is>
          <t>651.00000000</t>
        </is>
      </c>
      <c r="G1157" t="inlineStr">
        <is>
          <t>732.240000</t>
        </is>
      </c>
      <c r="H1157" t="inlineStr">
        <is>
          <t>476688.24</t>
        </is>
      </c>
      <c r="I1157" t="inlineStr">
        <is>
          <t>4.11%</t>
        </is>
      </c>
      <c r="J1157" t="inlineStr">
        <is>
          <t>11602308.00</t>
        </is>
      </c>
      <c r="K1157" t="inlineStr">
        <is>
          <t>465000</t>
        </is>
      </c>
      <c r="L1157" t="inlineStr">
        <is>
          <t>93.000000000000</t>
        </is>
      </c>
      <c r="M1157" t="inlineStr"/>
    </row>
    <row r="1158">
      <c r="A1158" t="inlineStr">
        <is>
          <t>06/25/2026</t>
        </is>
      </c>
      <c r="B1158" t="inlineStr">
        <is>
          <t>GASZ</t>
        </is>
      </c>
      <c r="C1158" s="1" t="inlineStr">
        <is>
          <t>AROC</t>
        </is>
      </c>
      <c r="D1158" s="1" t="inlineStr">
        <is>
          <t>03957W106</t>
        </is>
      </c>
      <c r="E1158" t="inlineStr">
        <is>
          <t>Archrock Inc</t>
        </is>
      </c>
      <c r="F1158" t="inlineStr">
        <is>
          <t>10974.00000000</t>
        </is>
      </c>
      <c r="G1158" t="inlineStr">
        <is>
          <t>38.790000</t>
        </is>
      </c>
      <c r="H1158" t="inlineStr">
        <is>
          <t>425681.46</t>
        </is>
      </c>
      <c r="I1158" t="inlineStr">
        <is>
          <t>3.67%</t>
        </is>
      </c>
      <c r="J1158" t="inlineStr">
        <is>
          <t>11602308.00</t>
        </is>
      </c>
      <c r="K1158" t="inlineStr">
        <is>
          <t>465000</t>
        </is>
      </c>
      <c r="L1158" t="inlineStr">
        <is>
          <t>93.000000000000</t>
        </is>
      </c>
      <c r="M1158" t="inlineStr"/>
    </row>
    <row r="1159">
      <c r="A1159" t="inlineStr">
        <is>
          <t>06/25/2026</t>
        </is>
      </c>
      <c r="B1159" t="inlineStr">
        <is>
          <t>GASZ</t>
        </is>
      </c>
      <c r="C1159" s="1" t="inlineStr">
        <is>
          <t>BKR</t>
        </is>
      </c>
      <c r="D1159" s="1" t="inlineStr">
        <is>
          <t>05722G100</t>
        </is>
      </c>
      <c r="E1159" t="inlineStr">
        <is>
          <t>Baker Hughes Co</t>
        </is>
      </c>
      <c r="F1159" t="inlineStr">
        <is>
          <t>8277.00000000</t>
        </is>
      </c>
      <c r="G1159" t="inlineStr">
        <is>
          <t>56.380000</t>
        </is>
      </c>
      <c r="H1159" t="inlineStr">
        <is>
          <t>466657.26</t>
        </is>
      </c>
      <c r="I1159" t="inlineStr">
        <is>
          <t>4.02%</t>
        </is>
      </c>
      <c r="J1159" t="inlineStr">
        <is>
          <t>11602308.00</t>
        </is>
      </c>
      <c r="K1159" t="inlineStr">
        <is>
          <t>465000</t>
        </is>
      </c>
      <c r="L1159" t="inlineStr">
        <is>
          <t>93.000000000000</t>
        </is>
      </c>
      <c r="M1159" t="inlineStr"/>
    </row>
    <row r="1160">
      <c r="A1160" t="inlineStr">
        <is>
          <t>06/25/2026</t>
        </is>
      </c>
      <c r="B1160" t="inlineStr">
        <is>
          <t>GASZ</t>
        </is>
      </c>
      <c r="C1160" s="1" t="inlineStr">
        <is>
          <t>CAT</t>
        </is>
      </c>
      <c r="D1160" s="1" t="inlineStr">
        <is>
          <t>149123101</t>
        </is>
      </c>
      <c r="E1160" t="inlineStr">
        <is>
          <t>Caterpillar Inc</t>
        </is>
      </c>
      <c r="F1160" t="inlineStr">
        <is>
          <t>1767.00000000</t>
        </is>
      </c>
      <c r="G1160" t="inlineStr">
        <is>
          <t>994.450000</t>
        </is>
      </c>
      <c r="H1160" t="inlineStr">
        <is>
          <t>1757193.15</t>
        </is>
      </c>
      <c r="I1160" t="inlineStr">
        <is>
          <t>15.15%</t>
        </is>
      </c>
      <c r="J1160" t="inlineStr">
        <is>
          <t>11602308.00</t>
        </is>
      </c>
      <c r="K1160" t="inlineStr">
        <is>
          <t>465000</t>
        </is>
      </c>
      <c r="L1160" t="inlineStr">
        <is>
          <t>93.000000000000</t>
        </is>
      </c>
      <c r="M1160" t="inlineStr"/>
    </row>
    <row r="1161">
      <c r="A1161" t="inlineStr">
        <is>
          <t>06/25/2026</t>
        </is>
      </c>
      <c r="B1161" t="inlineStr">
        <is>
          <t>GASZ</t>
        </is>
      </c>
      <c r="C1161" s="1" t="inlineStr">
        <is>
          <t>CLNE</t>
        </is>
      </c>
      <c r="D1161" s="1" t="inlineStr">
        <is>
          <t>184499101</t>
        </is>
      </c>
      <c r="E1161" t="inlineStr">
        <is>
          <t>Clean Energy Fuels Corp</t>
        </is>
      </c>
      <c r="F1161" t="inlineStr">
        <is>
          <t>100533.00000000</t>
        </is>
      </c>
      <c r="G1161" t="inlineStr">
        <is>
          <t>1.730000</t>
        </is>
      </c>
      <c r="H1161" t="inlineStr">
        <is>
          <t>173922.09</t>
        </is>
      </c>
      <c r="I1161" t="inlineStr">
        <is>
          <t>1.50%</t>
        </is>
      </c>
      <c r="J1161" t="inlineStr">
        <is>
          <t>11602308.00</t>
        </is>
      </c>
      <c r="K1161" t="inlineStr">
        <is>
          <t>465000</t>
        </is>
      </c>
      <c r="L1161" t="inlineStr">
        <is>
          <t>93.000000000000</t>
        </is>
      </c>
      <c r="M1161" t="inlineStr"/>
    </row>
    <row r="1162">
      <c r="A1162" t="inlineStr">
        <is>
          <t>06/25/2026</t>
        </is>
      </c>
      <c r="B1162" t="inlineStr">
        <is>
          <t>GASZ</t>
        </is>
      </c>
      <c r="C1162" s="1" t="inlineStr">
        <is>
          <t>CMI</t>
        </is>
      </c>
      <c r="D1162" s="1" t="inlineStr">
        <is>
          <t>231021106</t>
        </is>
      </c>
      <c r="E1162" t="inlineStr">
        <is>
          <t>Cummins Inc</t>
        </is>
      </c>
      <c r="F1162" t="inlineStr">
        <is>
          <t>744.00000000</t>
        </is>
      </c>
      <c r="G1162" t="inlineStr">
        <is>
          <t>694.870000</t>
        </is>
      </c>
      <c r="H1162" t="inlineStr">
        <is>
          <t>516983.28</t>
        </is>
      </c>
      <c r="I1162" t="inlineStr">
        <is>
          <t>4.46%</t>
        </is>
      </c>
      <c r="J1162" t="inlineStr">
        <is>
          <t>11602308.00</t>
        </is>
      </c>
      <c r="K1162" t="inlineStr">
        <is>
          <t>465000</t>
        </is>
      </c>
      <c r="L1162" t="inlineStr">
        <is>
          <t>93.000000000000</t>
        </is>
      </c>
      <c r="M1162" t="inlineStr"/>
    </row>
    <row r="1163">
      <c r="A1163" t="inlineStr">
        <is>
          <t>06/25/2026</t>
        </is>
      </c>
      <c r="B1163" t="inlineStr">
        <is>
          <t>GASZ</t>
        </is>
      </c>
      <c r="C1163" s="1" t="inlineStr">
        <is>
          <t>CW</t>
        </is>
      </c>
      <c r="D1163" s="1" t="inlineStr">
        <is>
          <t>231561101</t>
        </is>
      </c>
      <c r="E1163" t="inlineStr">
        <is>
          <t>Curtiss-Wright Corp</t>
        </is>
      </c>
      <c r="F1163" t="inlineStr">
        <is>
          <t>372.00000000</t>
        </is>
      </c>
      <c r="G1163" t="inlineStr">
        <is>
          <t>762.920000</t>
        </is>
      </c>
      <c r="H1163" t="inlineStr">
        <is>
          <t>283806.24</t>
        </is>
      </c>
      <c r="I1163" t="inlineStr">
        <is>
          <t>2.45%</t>
        </is>
      </c>
      <c r="J1163" t="inlineStr">
        <is>
          <t>11602308.00</t>
        </is>
      </c>
      <c r="K1163" t="inlineStr">
        <is>
          <t>465000</t>
        </is>
      </c>
      <c r="L1163" t="inlineStr">
        <is>
          <t>93.000000000000</t>
        </is>
      </c>
      <c r="M1163" t="inlineStr"/>
    </row>
    <row r="1164">
      <c r="A1164" t="inlineStr">
        <is>
          <t>06/25/2026</t>
        </is>
      </c>
      <c r="B1164" t="inlineStr">
        <is>
          <t>GASZ</t>
        </is>
      </c>
      <c r="C1164" s="1" t="inlineStr">
        <is>
          <t>DCI</t>
        </is>
      </c>
      <c r="D1164" s="1" t="inlineStr">
        <is>
          <t>257651109</t>
        </is>
      </c>
      <c r="E1164" t="inlineStr">
        <is>
          <t>Donaldson Co Inc</t>
        </is>
      </c>
      <c r="F1164" t="inlineStr">
        <is>
          <t>1209.00000000</t>
        </is>
      </c>
      <c r="G1164" t="inlineStr">
        <is>
          <t>86.070000</t>
        </is>
      </c>
      <c r="H1164" t="inlineStr">
        <is>
          <t>104058.63</t>
        </is>
      </c>
      <c r="I1164" t="inlineStr">
        <is>
          <t>0.90%</t>
        </is>
      </c>
      <c r="J1164" t="inlineStr">
        <is>
          <t>11602308.00</t>
        </is>
      </c>
      <c r="K1164" t="inlineStr">
        <is>
          <t>465000</t>
        </is>
      </c>
      <c r="L1164" t="inlineStr">
        <is>
          <t>93.000000000000</t>
        </is>
      </c>
      <c r="M1164" t="inlineStr"/>
    </row>
    <row r="1165">
      <c r="A1165" t="inlineStr">
        <is>
          <t>06/25/2026</t>
        </is>
      </c>
      <c r="B1165" t="inlineStr">
        <is>
          <t>GASZ</t>
        </is>
      </c>
      <c r="C1165" s="1" t="inlineStr">
        <is>
          <t>ETN</t>
        </is>
      </c>
      <c r="D1165" s="1" t="inlineStr">
        <is>
          <t>G29183103</t>
        </is>
      </c>
      <c r="E1165" t="inlineStr">
        <is>
          <t>Eaton Corp PLC</t>
        </is>
      </c>
      <c r="F1165" t="inlineStr">
        <is>
          <t>1302.00000000</t>
        </is>
      </c>
      <c r="G1165" t="inlineStr">
        <is>
          <t>404.590000</t>
        </is>
      </c>
      <c r="H1165" t="inlineStr">
        <is>
          <t>526776.18</t>
        </is>
      </c>
      <c r="I1165" t="inlineStr">
        <is>
          <t>4.54%</t>
        </is>
      </c>
      <c r="J1165" t="inlineStr">
        <is>
          <t>11602308.00</t>
        </is>
      </c>
      <c r="K1165" t="inlineStr">
        <is>
          <t>465000</t>
        </is>
      </c>
      <c r="L1165" t="inlineStr">
        <is>
          <t>93.000000000000</t>
        </is>
      </c>
      <c r="M1165" t="inlineStr"/>
    </row>
    <row r="1166">
      <c r="A1166" t="inlineStr">
        <is>
          <t>06/25/2026</t>
        </is>
      </c>
      <c r="B1166" t="inlineStr">
        <is>
          <t>GASZ</t>
        </is>
      </c>
      <c r="C1166" s="1" t="inlineStr">
        <is>
          <t>FGXXX</t>
        </is>
      </c>
      <c r="D1166" s="1" t="inlineStr">
        <is>
          <t>31846V336</t>
        </is>
      </c>
      <c r="E1166" t="inlineStr">
        <is>
          <t>First American Government Obligations Fund 12/01/2031</t>
        </is>
      </c>
      <c r="F1166" t="inlineStr">
        <is>
          <t>341697.51000000</t>
        </is>
      </c>
      <c r="G1166" t="inlineStr">
        <is>
          <t>100.000000</t>
        </is>
      </c>
      <c r="H1166" t="inlineStr">
        <is>
          <t>341697.51</t>
        </is>
      </c>
      <c r="I1166" t="inlineStr">
        <is>
          <t>2.95%</t>
        </is>
      </c>
      <c r="J1166" t="inlineStr">
        <is>
          <t>11602308.00</t>
        </is>
      </c>
      <c r="K1166" t="inlineStr">
        <is>
          <t>465000</t>
        </is>
      </c>
      <c r="L1166" t="inlineStr">
        <is>
          <t>93.000000000000</t>
        </is>
      </c>
      <c r="M1166" t="inlineStr">
        <is>
          <t>Y</t>
        </is>
      </c>
    </row>
    <row r="1167">
      <c r="A1167" t="inlineStr">
        <is>
          <t>06/25/2026</t>
        </is>
      </c>
      <c r="B1167" t="inlineStr">
        <is>
          <t>GASZ</t>
        </is>
      </c>
      <c r="C1167" s="1" t="inlineStr">
        <is>
          <t>FLR</t>
        </is>
      </c>
      <c r="D1167" s="1" t="inlineStr">
        <is>
          <t>343412102</t>
        </is>
      </c>
      <c r="E1167" t="inlineStr">
        <is>
          <t>Fluor Corp</t>
        </is>
      </c>
      <c r="F1167" t="inlineStr">
        <is>
          <t>8742.00000000</t>
        </is>
      </c>
      <c r="G1167" t="inlineStr">
        <is>
          <t>53.170000</t>
        </is>
      </c>
      <c r="H1167" t="inlineStr">
        <is>
          <t>464812.14</t>
        </is>
      </c>
      <c r="I1167" t="inlineStr">
        <is>
          <t>4.01%</t>
        </is>
      </c>
      <c r="J1167" t="inlineStr">
        <is>
          <t>11602308.00</t>
        </is>
      </c>
      <c r="K1167" t="inlineStr">
        <is>
          <t>465000</t>
        </is>
      </c>
      <c r="L1167" t="inlineStr">
        <is>
          <t>93.000000000000</t>
        </is>
      </c>
      <c r="M1167" t="inlineStr"/>
    </row>
    <row r="1168">
      <c r="A1168" t="inlineStr">
        <is>
          <t>06/25/2026</t>
        </is>
      </c>
      <c r="B1168" t="inlineStr">
        <is>
          <t>GASZ</t>
        </is>
      </c>
      <c r="C1168" s="1" t="inlineStr">
        <is>
          <t>FLS</t>
        </is>
      </c>
      <c r="D1168" s="1" t="inlineStr">
        <is>
          <t>34354P105</t>
        </is>
      </c>
      <c r="E1168" t="inlineStr">
        <is>
          <t>Flowserve Corp</t>
        </is>
      </c>
      <c r="F1168" t="inlineStr">
        <is>
          <t>5580.00000000</t>
        </is>
      </c>
      <c r="G1168" t="inlineStr">
        <is>
          <t>72.930000</t>
        </is>
      </c>
      <c r="H1168" t="inlineStr">
        <is>
          <t>406949.40</t>
        </is>
      </c>
      <c r="I1168" t="inlineStr">
        <is>
          <t>3.51%</t>
        </is>
      </c>
      <c r="J1168" t="inlineStr">
        <is>
          <t>11602308.00</t>
        </is>
      </c>
      <c r="K1168" t="inlineStr">
        <is>
          <t>465000</t>
        </is>
      </c>
      <c r="L1168" t="inlineStr">
        <is>
          <t>93.000000000000</t>
        </is>
      </c>
      <c r="M1168" t="inlineStr"/>
    </row>
    <row r="1169">
      <c r="A1169" t="inlineStr">
        <is>
          <t>06/25/2026</t>
        </is>
      </c>
      <c r="B1169" t="inlineStr">
        <is>
          <t>GASZ</t>
        </is>
      </c>
      <c r="C1169" s="1" t="inlineStr">
        <is>
          <t>FTI</t>
        </is>
      </c>
      <c r="D1169" s="1" t="inlineStr">
        <is>
          <t>G87110105</t>
        </is>
      </c>
      <c r="E1169" t="inlineStr">
        <is>
          <t>TechnipFMC PLC</t>
        </is>
      </c>
      <c r="F1169" t="inlineStr">
        <is>
          <t>3627.00000000</t>
        </is>
      </c>
      <c r="G1169" t="inlineStr">
        <is>
          <t>64.290000</t>
        </is>
      </c>
      <c r="H1169" t="inlineStr">
        <is>
          <t>233179.83</t>
        </is>
      </c>
      <c r="I1169" t="inlineStr">
        <is>
          <t>2.01%</t>
        </is>
      </c>
      <c r="J1169" t="inlineStr">
        <is>
          <t>11602308.00</t>
        </is>
      </c>
      <c r="K1169" t="inlineStr">
        <is>
          <t>465000</t>
        </is>
      </c>
      <c r="L1169" t="inlineStr">
        <is>
          <t>93.000000000000</t>
        </is>
      </c>
      <c r="M1169" t="inlineStr"/>
    </row>
    <row r="1170">
      <c r="A1170" t="inlineStr">
        <is>
          <t>06/25/2026</t>
        </is>
      </c>
      <c r="B1170" t="inlineStr">
        <is>
          <t>GASZ</t>
        </is>
      </c>
      <c r="C1170" s="1" t="inlineStr">
        <is>
          <t>GEV</t>
        </is>
      </c>
      <c r="D1170" s="1" t="inlineStr">
        <is>
          <t>36828A101</t>
        </is>
      </c>
      <c r="E1170" t="inlineStr">
        <is>
          <t>GE Vernova Inc</t>
        </is>
      </c>
      <c r="F1170" t="inlineStr">
        <is>
          <t>1116.00000000</t>
        </is>
      </c>
      <c r="G1170" t="inlineStr">
        <is>
          <t>1057.650000</t>
        </is>
      </c>
      <c r="H1170" t="inlineStr">
        <is>
          <t>1180337.40</t>
        </is>
      </c>
      <c r="I1170" t="inlineStr">
        <is>
          <t>10.17%</t>
        </is>
      </c>
      <c r="J1170" t="inlineStr">
        <is>
          <t>11602308.00</t>
        </is>
      </c>
      <c r="K1170" t="inlineStr">
        <is>
          <t>465000</t>
        </is>
      </c>
      <c r="L1170" t="inlineStr">
        <is>
          <t>93.000000000000</t>
        </is>
      </c>
      <c r="M1170" t="inlineStr"/>
    </row>
    <row r="1171">
      <c r="A1171" t="inlineStr">
        <is>
          <t>06/25/2026</t>
        </is>
      </c>
      <c r="B1171" t="inlineStr">
        <is>
          <t>GASZ</t>
        </is>
      </c>
      <c r="C1171" s="1" t="inlineStr">
        <is>
          <t>GNRC</t>
        </is>
      </c>
      <c r="D1171" s="1" t="inlineStr">
        <is>
          <t>368736104</t>
        </is>
      </c>
      <c r="E1171" t="inlineStr">
        <is>
          <t>Generac Holdings Inc</t>
        </is>
      </c>
      <c r="F1171" t="inlineStr">
        <is>
          <t>2232.00000000</t>
        </is>
      </c>
      <c r="G1171" t="inlineStr">
        <is>
          <t>284.140000</t>
        </is>
      </c>
      <c r="H1171" t="inlineStr">
        <is>
          <t>634200.48</t>
        </is>
      </c>
      <c r="I1171" t="inlineStr">
        <is>
          <t>5.47%</t>
        </is>
      </c>
      <c r="J1171" t="inlineStr">
        <is>
          <t>11602308.00</t>
        </is>
      </c>
      <c r="K1171" t="inlineStr">
        <is>
          <t>465000</t>
        </is>
      </c>
      <c r="L1171" t="inlineStr">
        <is>
          <t>93.000000000000</t>
        </is>
      </c>
      <c r="M1171" t="inlineStr"/>
    </row>
    <row r="1172">
      <c r="A1172" t="inlineStr">
        <is>
          <t>06/25/2026</t>
        </is>
      </c>
      <c r="B1172" t="inlineStr">
        <is>
          <t>GASZ</t>
        </is>
      </c>
      <c r="C1172" s="1" t="inlineStr">
        <is>
          <t>GTLS</t>
        </is>
      </c>
      <c r="D1172" s="1" t="inlineStr">
        <is>
          <t>16115Q308</t>
        </is>
      </c>
      <c r="E1172" t="inlineStr">
        <is>
          <t>Chart Industries Inc</t>
        </is>
      </c>
      <c r="F1172" t="inlineStr">
        <is>
          <t>2232.00000000</t>
        </is>
      </c>
      <c r="G1172" t="inlineStr">
        <is>
          <t>208.700000</t>
        </is>
      </c>
      <c r="H1172" t="inlineStr">
        <is>
          <t>465818.40</t>
        </is>
      </c>
      <c r="I1172" t="inlineStr">
        <is>
          <t>4.01%</t>
        </is>
      </c>
      <c r="J1172" t="inlineStr">
        <is>
          <t>11602308.00</t>
        </is>
      </c>
      <c r="K1172" t="inlineStr">
        <is>
          <t>465000</t>
        </is>
      </c>
      <c r="L1172" t="inlineStr">
        <is>
          <t>93.000000000000</t>
        </is>
      </c>
      <c r="M1172" t="inlineStr"/>
    </row>
    <row r="1173">
      <c r="A1173" t="inlineStr">
        <is>
          <t>06/25/2026</t>
        </is>
      </c>
      <c r="B1173" t="inlineStr">
        <is>
          <t>GASZ</t>
        </is>
      </c>
      <c r="C1173" s="1" t="inlineStr">
        <is>
          <t>KGS</t>
        </is>
      </c>
      <c r="D1173" s="1" t="inlineStr">
        <is>
          <t>50012A108</t>
        </is>
      </c>
      <c r="E1173" t="inlineStr">
        <is>
          <t>Kodiak Gas Services Inc</t>
        </is>
      </c>
      <c r="F1173" t="inlineStr">
        <is>
          <t>5952.00000000</t>
        </is>
      </c>
      <c r="G1173" t="inlineStr">
        <is>
          <t>70.650000</t>
        </is>
      </c>
      <c r="H1173" t="inlineStr">
        <is>
          <t>420508.80</t>
        </is>
      </c>
      <c r="I1173" t="inlineStr">
        <is>
          <t>3.62%</t>
        </is>
      </c>
      <c r="J1173" t="inlineStr">
        <is>
          <t>11602308.00</t>
        </is>
      </c>
      <c r="K1173" t="inlineStr">
        <is>
          <t>465000</t>
        </is>
      </c>
      <c r="L1173" t="inlineStr">
        <is>
          <t>93.000000000000</t>
        </is>
      </c>
      <c r="M1173" t="inlineStr"/>
    </row>
    <row r="1174">
      <c r="A1174" t="inlineStr">
        <is>
          <t>06/25/2026</t>
        </is>
      </c>
      <c r="B1174" t="inlineStr">
        <is>
          <t>GASZ</t>
        </is>
      </c>
      <c r="C1174" s="1" t="inlineStr">
        <is>
          <t>KMI</t>
        </is>
      </c>
      <c r="D1174" s="1" t="inlineStr">
        <is>
          <t>49456B101</t>
        </is>
      </c>
      <c r="E1174" t="inlineStr">
        <is>
          <t>Kinder Morgan Inc</t>
        </is>
      </c>
      <c r="F1174" t="inlineStr">
        <is>
          <t>18042.00000000</t>
        </is>
      </c>
      <c r="G1174" t="inlineStr">
        <is>
          <t>32.590000</t>
        </is>
      </c>
      <c r="H1174" t="inlineStr">
        <is>
          <t>587988.78</t>
        </is>
      </c>
      <c r="I1174" t="inlineStr">
        <is>
          <t>5.07%</t>
        </is>
      </c>
      <c r="J1174" t="inlineStr">
        <is>
          <t>11602308.00</t>
        </is>
      </c>
      <c r="K1174" t="inlineStr">
        <is>
          <t>465000</t>
        </is>
      </c>
      <c r="L1174" t="inlineStr">
        <is>
          <t>93.000000000000</t>
        </is>
      </c>
      <c r="M1174" t="inlineStr"/>
    </row>
    <row r="1175">
      <c r="A1175" t="inlineStr">
        <is>
          <t>06/25/2026</t>
        </is>
      </c>
      <c r="B1175" t="inlineStr">
        <is>
          <t>GASZ</t>
        </is>
      </c>
      <c r="C1175" s="1" t="inlineStr">
        <is>
          <t>LNG</t>
        </is>
      </c>
      <c r="D1175" s="1" t="inlineStr">
        <is>
          <t>16411R208</t>
        </is>
      </c>
      <c r="E1175" t="inlineStr">
        <is>
          <t>Cheniere Energy Inc</t>
        </is>
      </c>
      <c r="F1175" t="inlineStr">
        <is>
          <t>2232.00000000</t>
        </is>
      </c>
      <c r="G1175" t="inlineStr">
        <is>
          <t>230.860000</t>
        </is>
      </c>
      <c r="H1175" t="inlineStr">
        <is>
          <t>515279.52</t>
        </is>
      </c>
      <c r="I1175" t="inlineStr">
        <is>
          <t>4.44%</t>
        </is>
      </c>
      <c r="J1175" t="inlineStr">
        <is>
          <t>11602308.00</t>
        </is>
      </c>
      <c r="K1175" t="inlineStr">
        <is>
          <t>465000</t>
        </is>
      </c>
      <c r="L1175" t="inlineStr">
        <is>
          <t>93.000000000000</t>
        </is>
      </c>
      <c r="M1175" t="inlineStr"/>
    </row>
    <row r="1176">
      <c r="A1176" t="inlineStr">
        <is>
          <t>06/25/2026</t>
        </is>
      </c>
      <c r="B1176" t="inlineStr">
        <is>
          <t>GASZ</t>
        </is>
      </c>
      <c r="C1176" s="1" t="inlineStr">
        <is>
          <t>NFE</t>
        </is>
      </c>
      <c r="D1176" s="1" t="inlineStr">
        <is>
          <t>644393100</t>
        </is>
      </c>
      <c r="E1176" t="inlineStr">
        <is>
          <t>New Fortress Energy Inc</t>
        </is>
      </c>
      <c r="F1176" t="inlineStr">
        <is>
          <t>302901.00000000</t>
        </is>
      </c>
      <c r="G1176" t="inlineStr">
        <is>
          <t>0.369500</t>
        </is>
      </c>
      <c r="H1176" t="inlineStr">
        <is>
          <t>111921.92</t>
        </is>
      </c>
      <c r="I1176" t="inlineStr">
        <is>
          <t>0.96%</t>
        </is>
      </c>
      <c r="J1176" t="inlineStr">
        <is>
          <t>11602308.00</t>
        </is>
      </c>
      <c r="K1176" t="inlineStr">
        <is>
          <t>465000</t>
        </is>
      </c>
      <c r="L1176" t="inlineStr">
        <is>
          <t>93.000000000000</t>
        </is>
      </c>
      <c r="M1176" t="inlineStr"/>
    </row>
    <row r="1177">
      <c r="A1177" t="inlineStr">
        <is>
          <t>06/25/2026</t>
        </is>
      </c>
      <c r="B1177" t="inlineStr">
        <is>
          <t>GASZ</t>
        </is>
      </c>
      <c r="C1177" s="1" t="inlineStr">
        <is>
          <t>NGS</t>
        </is>
      </c>
      <c r="D1177" s="1" t="inlineStr">
        <is>
          <t>63886Q109</t>
        </is>
      </c>
      <c r="E1177" t="inlineStr">
        <is>
          <t>Natural Gas Services Group Inc</t>
        </is>
      </c>
      <c r="F1177" t="inlineStr">
        <is>
          <t>5952.00000000</t>
        </is>
      </c>
      <c r="G1177" t="inlineStr">
        <is>
          <t>42.940000</t>
        </is>
      </c>
      <c r="H1177" t="inlineStr">
        <is>
          <t>255578.88</t>
        </is>
      </c>
      <c r="I1177" t="inlineStr">
        <is>
          <t>2.20%</t>
        </is>
      </c>
      <c r="J1177" t="inlineStr">
        <is>
          <t>11602308.00</t>
        </is>
      </c>
      <c r="K1177" t="inlineStr">
        <is>
          <t>465000</t>
        </is>
      </c>
      <c r="L1177" t="inlineStr">
        <is>
          <t>93.000000000000</t>
        </is>
      </c>
      <c r="M1177" t="inlineStr"/>
    </row>
    <row r="1178">
      <c r="A1178" t="inlineStr">
        <is>
          <t>06/25/2026</t>
        </is>
      </c>
      <c r="B1178" t="inlineStr">
        <is>
          <t>GASZ</t>
        </is>
      </c>
      <c r="C1178" s="1" t="inlineStr">
        <is>
          <t>OKE</t>
        </is>
      </c>
      <c r="D1178" s="1" t="inlineStr">
        <is>
          <t>682680103</t>
        </is>
      </c>
      <c r="E1178" t="inlineStr">
        <is>
          <t>ONEOK Inc</t>
        </is>
      </c>
      <c r="F1178" t="inlineStr">
        <is>
          <t>6510.00000000</t>
        </is>
      </c>
      <c r="G1178" t="inlineStr">
        <is>
          <t>87.310000</t>
        </is>
      </c>
      <c r="H1178" t="inlineStr">
        <is>
          <t>568388.10</t>
        </is>
      </c>
      <c r="I1178" t="inlineStr">
        <is>
          <t>4.90%</t>
        </is>
      </c>
      <c r="J1178" t="inlineStr">
        <is>
          <t>11602308.00</t>
        </is>
      </c>
      <c r="K1178" t="inlineStr">
        <is>
          <t>465000</t>
        </is>
      </c>
      <c r="L1178" t="inlineStr">
        <is>
          <t>93.000000000000</t>
        </is>
      </c>
      <c r="M1178" t="inlineStr"/>
    </row>
    <row r="1179">
      <c r="A1179" t="inlineStr">
        <is>
          <t>06/25/2026</t>
        </is>
      </c>
      <c r="B1179" t="inlineStr">
        <is>
          <t>GASZ</t>
        </is>
      </c>
      <c r="C1179" s="1" t="inlineStr">
        <is>
          <t>WWD</t>
        </is>
      </c>
      <c r="D1179" s="1" t="inlineStr">
        <is>
          <t>980745103</t>
        </is>
      </c>
      <c r="E1179" t="inlineStr">
        <is>
          <t>Woodward Inc</t>
        </is>
      </c>
      <c r="F1179" t="inlineStr">
        <is>
          <t>1581.00000000</t>
        </is>
      </c>
      <c r="G1179" t="inlineStr">
        <is>
          <t>432.800000</t>
        </is>
      </c>
      <c r="H1179" t="inlineStr">
        <is>
          <t>684256.80</t>
        </is>
      </c>
      <c r="I1179" t="inlineStr">
        <is>
          <t>5.90%</t>
        </is>
      </c>
      <c r="J1179" t="inlineStr">
        <is>
          <t>11602308.00</t>
        </is>
      </c>
      <c r="K1179" t="inlineStr">
        <is>
          <t>465000</t>
        </is>
      </c>
      <c r="L1179" t="inlineStr">
        <is>
          <t>93.000000000000</t>
        </is>
      </c>
      <c r="M1179" t="inlineStr"/>
    </row>
    <row r="1180">
      <c r="A1180" t="inlineStr">
        <is>
          <t>06/25/2026</t>
        </is>
      </c>
      <c r="B1180" t="inlineStr">
        <is>
          <t>GASZ</t>
        </is>
      </c>
      <c r="C1180" s="1" t="inlineStr">
        <is>
          <t>Cash&amp;Other</t>
        </is>
      </c>
      <c r="D1180" s="1" t="inlineStr">
        <is>
          <t>Cash&amp;Other</t>
        </is>
      </c>
      <c r="E1180" t="inlineStr">
        <is>
          <t>Cash &amp; Other</t>
        </is>
      </c>
      <c r="F1180" t="inlineStr">
        <is>
          <t>-454.83000000</t>
        </is>
      </c>
      <c r="G1180" t="inlineStr">
        <is>
          <t>1.000000</t>
        </is>
      </c>
      <c r="H1180" t="inlineStr">
        <is>
          <t>-454.83</t>
        </is>
      </c>
      <c r="I1180" t="inlineStr">
        <is>
          <t>0.00%</t>
        </is>
      </c>
      <c r="J1180" t="inlineStr">
        <is>
          <t>11602308.00</t>
        </is>
      </c>
      <c r="K1180" t="inlineStr">
        <is>
          <t>465000</t>
        </is>
      </c>
      <c r="L1180" t="inlineStr">
        <is>
          <t>93.000000000000</t>
        </is>
      </c>
      <c r="M1180" t="inlineStr">
        <is>
          <t>Y</t>
        </is>
      </c>
    </row>
    <row r="1181">
      <c r="A1181" t="inlineStr">
        <is>
          <t>06/25/2026</t>
        </is>
      </c>
      <c r="B1181" t="inlineStr">
        <is>
          <t>GLAM</t>
        </is>
      </c>
      <c r="C1181" s="1" t="inlineStr">
        <is>
          <t>ABBV</t>
        </is>
      </c>
      <c r="D1181" s="1" t="inlineStr">
        <is>
          <t>00287Y109</t>
        </is>
      </c>
      <c r="E1181" t="inlineStr">
        <is>
          <t>AbbVie Inc</t>
        </is>
      </c>
      <c r="F1181" t="inlineStr">
        <is>
          <t>869.00000000</t>
        </is>
      </c>
      <c r="G1181" t="inlineStr">
        <is>
          <t>234.890000</t>
        </is>
      </c>
      <c r="H1181" t="inlineStr">
        <is>
          <t>204119.41</t>
        </is>
      </c>
      <c r="I1181" t="inlineStr">
        <is>
          <t>13.78%</t>
        </is>
      </c>
      <c r="J1181" t="inlineStr">
        <is>
          <t>1480787.00</t>
        </is>
      </c>
      <c r="K1181" t="inlineStr">
        <is>
          <t>55000</t>
        </is>
      </c>
      <c r="L1181" t="inlineStr">
        <is>
          <t>11.000000000000</t>
        </is>
      </c>
      <c r="M1181" t="inlineStr"/>
    </row>
    <row r="1182">
      <c r="A1182" t="inlineStr">
        <is>
          <t>06/25/2026</t>
        </is>
      </c>
      <c r="B1182" t="inlineStr">
        <is>
          <t>GLAM</t>
        </is>
      </c>
      <c r="C1182" s="1" t="inlineStr">
        <is>
          <t>AIRS</t>
        </is>
      </c>
      <c r="D1182" s="1" t="inlineStr">
        <is>
          <t>009496100</t>
        </is>
      </c>
      <c r="E1182" t="inlineStr">
        <is>
          <t>AirSculpt Technologies Inc</t>
        </is>
      </c>
      <c r="F1182" t="inlineStr">
        <is>
          <t>6710.00000000</t>
        </is>
      </c>
      <c r="G1182" t="inlineStr">
        <is>
          <t>4.545000</t>
        </is>
      </c>
      <c r="H1182" t="inlineStr">
        <is>
          <t>30496.95</t>
        </is>
      </c>
      <c r="I1182" t="inlineStr">
        <is>
          <t>2.06%</t>
        </is>
      </c>
      <c r="J1182" t="inlineStr">
        <is>
          <t>1480787.00</t>
        </is>
      </c>
      <c r="K1182" t="inlineStr">
        <is>
          <t>55000</t>
        </is>
      </c>
      <c r="L1182" t="inlineStr">
        <is>
          <t>11.000000000000</t>
        </is>
      </c>
      <c r="M1182" t="inlineStr"/>
    </row>
    <row r="1183">
      <c r="A1183" t="inlineStr">
        <is>
          <t>06/25/2026</t>
        </is>
      </c>
      <c r="B1183" t="inlineStr">
        <is>
          <t>GLAM</t>
        </is>
      </c>
      <c r="C1183" s="1" t="inlineStr">
        <is>
          <t>ALGN</t>
        </is>
      </c>
      <c r="D1183" s="1" t="inlineStr">
        <is>
          <t>016255101</t>
        </is>
      </c>
      <c r="E1183" t="inlineStr">
        <is>
          <t>Align Technology Inc</t>
        </is>
      </c>
      <c r="F1183" t="inlineStr">
        <is>
          <t>374.00000000</t>
        </is>
      </c>
      <c r="G1183" t="inlineStr">
        <is>
          <t>170.900000</t>
        </is>
      </c>
      <c r="H1183" t="inlineStr">
        <is>
          <t>63916.60</t>
        </is>
      </c>
      <c r="I1183" t="inlineStr">
        <is>
          <t>4.32%</t>
        </is>
      </c>
      <c r="J1183" t="inlineStr">
        <is>
          <t>1480787.00</t>
        </is>
      </c>
      <c r="K1183" t="inlineStr">
        <is>
          <t>55000</t>
        </is>
      </c>
      <c r="L1183" t="inlineStr">
        <is>
          <t>11.000000000000</t>
        </is>
      </c>
      <c r="M1183" t="inlineStr"/>
    </row>
    <row r="1184">
      <c r="A1184" t="inlineStr">
        <is>
          <t>06/25/2026</t>
        </is>
      </c>
      <c r="B1184" t="inlineStr">
        <is>
          <t>GLAM</t>
        </is>
      </c>
      <c r="C1184" s="1" t="inlineStr">
        <is>
          <t>ATR</t>
        </is>
      </c>
      <c r="D1184" s="1" t="inlineStr">
        <is>
          <t>038336103</t>
        </is>
      </c>
      <c r="E1184" t="inlineStr">
        <is>
          <t>AptarGroup Inc</t>
        </is>
      </c>
      <c r="F1184" t="inlineStr">
        <is>
          <t>517.00000000</t>
        </is>
      </c>
      <c r="G1184" t="inlineStr">
        <is>
          <t>124.280000</t>
        </is>
      </c>
      <c r="H1184" t="inlineStr">
        <is>
          <t>64252.76</t>
        </is>
      </c>
      <c r="I1184" t="inlineStr">
        <is>
          <t>4.34%</t>
        </is>
      </c>
      <c r="J1184" t="inlineStr">
        <is>
          <t>1480787.00</t>
        </is>
      </c>
      <c r="K1184" t="inlineStr">
        <is>
          <t>55000</t>
        </is>
      </c>
      <c r="L1184" t="inlineStr">
        <is>
          <t>11.000000000000</t>
        </is>
      </c>
      <c r="M1184" t="inlineStr"/>
    </row>
    <row r="1185">
      <c r="A1185" t="inlineStr">
        <is>
          <t>06/25/2026</t>
        </is>
      </c>
      <c r="B1185" t="inlineStr">
        <is>
          <t>GLAM</t>
        </is>
      </c>
      <c r="C1185" s="1" t="inlineStr">
        <is>
          <t>BBWI</t>
        </is>
      </c>
      <c r="D1185" s="1" t="inlineStr">
        <is>
          <t>070830104</t>
        </is>
      </c>
      <c r="E1185" t="inlineStr">
        <is>
          <t>Bath &amp; Body Works Inc</t>
        </is>
      </c>
      <c r="F1185" t="inlineStr">
        <is>
          <t>2640.00000000</t>
        </is>
      </c>
      <c r="G1185" t="inlineStr">
        <is>
          <t>21.810000</t>
        </is>
      </c>
      <c r="H1185" t="inlineStr">
        <is>
          <t>57578.40</t>
        </is>
      </c>
      <c r="I1185" t="inlineStr">
        <is>
          <t>3.89%</t>
        </is>
      </c>
      <c r="J1185" t="inlineStr">
        <is>
          <t>1480787.00</t>
        </is>
      </c>
      <c r="K1185" t="inlineStr">
        <is>
          <t>55000</t>
        </is>
      </c>
      <c r="L1185" t="inlineStr">
        <is>
          <t>11.000000000000</t>
        </is>
      </c>
      <c r="M1185" t="inlineStr"/>
    </row>
    <row r="1186">
      <c r="A1186" t="inlineStr">
        <is>
          <t>06/25/2026</t>
        </is>
      </c>
      <c r="B1186" t="inlineStr">
        <is>
          <t>GLAM</t>
        </is>
      </c>
      <c r="C1186" s="1" t="inlineStr">
        <is>
          <t>CL</t>
        </is>
      </c>
      <c r="D1186" s="1" t="inlineStr">
        <is>
          <t>194162103</t>
        </is>
      </c>
      <c r="E1186" t="inlineStr">
        <is>
          <t>Colgate-Palmolive Co</t>
        </is>
      </c>
      <c r="F1186" t="inlineStr">
        <is>
          <t>1309.00000000</t>
        </is>
      </c>
      <c r="G1186" t="inlineStr">
        <is>
          <t>91.880000</t>
        </is>
      </c>
      <c r="H1186" t="inlineStr">
        <is>
          <t>120270.92</t>
        </is>
      </c>
      <c r="I1186" t="inlineStr">
        <is>
          <t>8.12%</t>
        </is>
      </c>
      <c r="J1186" t="inlineStr">
        <is>
          <t>1480787.00</t>
        </is>
      </c>
      <c r="K1186" t="inlineStr">
        <is>
          <t>55000</t>
        </is>
      </c>
      <c r="L1186" t="inlineStr">
        <is>
          <t>11.000000000000</t>
        </is>
      </c>
      <c r="M1186" t="inlineStr"/>
    </row>
    <row r="1187">
      <c r="A1187" t="inlineStr">
        <is>
          <t>06/25/2026</t>
        </is>
      </c>
      <c r="B1187" t="inlineStr">
        <is>
          <t>GLAM</t>
        </is>
      </c>
      <c r="C1187" s="1" t="inlineStr">
        <is>
          <t>COTY</t>
        </is>
      </c>
      <c r="D1187" s="1" t="inlineStr">
        <is>
          <t>222070203</t>
        </is>
      </c>
      <c r="E1187" t="inlineStr">
        <is>
          <t>Coty Inc</t>
        </is>
      </c>
      <c r="F1187" t="inlineStr">
        <is>
          <t>14740.00000000</t>
        </is>
      </c>
      <c r="G1187" t="inlineStr">
        <is>
          <t>1.950000</t>
        </is>
      </c>
      <c r="H1187" t="inlineStr">
        <is>
          <t>28743.00</t>
        </is>
      </c>
      <c r="I1187" t="inlineStr">
        <is>
          <t>1.94%</t>
        </is>
      </c>
      <c r="J1187" t="inlineStr">
        <is>
          <t>1480787.00</t>
        </is>
      </c>
      <c r="K1187" t="inlineStr">
        <is>
          <t>55000</t>
        </is>
      </c>
      <c r="L1187" t="inlineStr">
        <is>
          <t>11.000000000000</t>
        </is>
      </c>
      <c r="M1187" t="inlineStr"/>
    </row>
    <row r="1188">
      <c r="A1188" t="inlineStr">
        <is>
          <t>06/25/2026</t>
        </is>
      </c>
      <c r="B1188" t="inlineStr">
        <is>
          <t>GLAM</t>
        </is>
      </c>
      <c r="C1188" s="1" t="inlineStr">
        <is>
          <t>EL</t>
        </is>
      </c>
      <c r="D1188" s="1" t="inlineStr">
        <is>
          <t>518439104</t>
        </is>
      </c>
      <c r="E1188" t="inlineStr">
        <is>
          <t>Estee Lauder Cos Inc/The</t>
        </is>
      </c>
      <c r="F1188" t="inlineStr">
        <is>
          <t>913.00000000</t>
        </is>
      </c>
      <c r="G1188" t="inlineStr">
        <is>
          <t>83.270000</t>
        </is>
      </c>
      <c r="H1188" t="inlineStr">
        <is>
          <t>76025.51</t>
        </is>
      </c>
      <c r="I1188" t="inlineStr">
        <is>
          <t>5.13%</t>
        </is>
      </c>
      <c r="J1188" t="inlineStr">
        <is>
          <t>1480787.00</t>
        </is>
      </c>
      <c r="K1188" t="inlineStr">
        <is>
          <t>55000</t>
        </is>
      </c>
      <c r="L1188" t="inlineStr">
        <is>
          <t>11.000000000000</t>
        </is>
      </c>
      <c r="M1188" t="inlineStr"/>
    </row>
    <row r="1189">
      <c r="A1189" t="inlineStr">
        <is>
          <t>06/25/2026</t>
        </is>
      </c>
      <c r="B1189" t="inlineStr">
        <is>
          <t>GLAM</t>
        </is>
      </c>
      <c r="C1189" s="1" t="inlineStr">
        <is>
          <t>ELF</t>
        </is>
      </c>
      <c r="D1189" s="1" t="inlineStr">
        <is>
          <t>26856L103</t>
        </is>
      </c>
      <c r="E1189" t="inlineStr">
        <is>
          <t>elf Beauty Inc</t>
        </is>
      </c>
      <c r="F1189" t="inlineStr">
        <is>
          <t>792.00000000</t>
        </is>
      </c>
      <c r="G1189" t="inlineStr">
        <is>
          <t>64.540000</t>
        </is>
      </c>
      <c r="H1189" t="inlineStr">
        <is>
          <t>51115.68</t>
        </is>
      </c>
      <c r="I1189" t="inlineStr">
        <is>
          <t>3.45%</t>
        </is>
      </c>
      <c r="J1189" t="inlineStr">
        <is>
          <t>1480787.00</t>
        </is>
      </c>
      <c r="K1189" t="inlineStr">
        <is>
          <t>55000</t>
        </is>
      </c>
      <c r="L1189" t="inlineStr">
        <is>
          <t>11.000000000000</t>
        </is>
      </c>
      <c r="M1189" t="inlineStr"/>
    </row>
    <row r="1190">
      <c r="A1190" t="inlineStr">
        <is>
          <t>06/25/2026</t>
        </is>
      </c>
      <c r="B1190" t="inlineStr">
        <is>
          <t>GLAM</t>
        </is>
      </c>
      <c r="C1190" s="1" t="inlineStr">
        <is>
          <t>EOLS</t>
        </is>
      </c>
      <c r="D1190" s="1" t="inlineStr">
        <is>
          <t>30052C107</t>
        </is>
      </c>
      <c r="E1190" t="inlineStr">
        <is>
          <t>Evolus Inc</t>
        </is>
      </c>
      <c r="F1190" t="inlineStr">
        <is>
          <t>7233.00000000</t>
        </is>
      </c>
      <c r="G1190" t="inlineStr">
        <is>
          <t>6.970000</t>
        </is>
      </c>
      <c r="H1190" t="inlineStr">
        <is>
          <t>50414.01</t>
        </is>
      </c>
      <c r="I1190" t="inlineStr">
        <is>
          <t>3.40%</t>
        </is>
      </c>
      <c r="J1190" t="inlineStr">
        <is>
          <t>1480787.00</t>
        </is>
      </c>
      <c r="K1190" t="inlineStr">
        <is>
          <t>55000</t>
        </is>
      </c>
      <c r="L1190" t="inlineStr">
        <is>
          <t>11.000000000000</t>
        </is>
      </c>
      <c r="M1190" t="inlineStr"/>
    </row>
    <row r="1191">
      <c r="A1191" t="inlineStr">
        <is>
          <t>06/25/2026</t>
        </is>
      </c>
      <c r="B1191" t="inlineStr">
        <is>
          <t>GLAM</t>
        </is>
      </c>
      <c r="C1191" s="1" t="inlineStr">
        <is>
          <t>EPC</t>
        </is>
      </c>
      <c r="D1191" s="1" t="inlineStr">
        <is>
          <t>28035Q102</t>
        </is>
      </c>
      <c r="E1191" t="inlineStr">
        <is>
          <t>Edgewell Personal Care Co</t>
        </is>
      </c>
      <c r="F1191" t="inlineStr">
        <is>
          <t>1628.00000000</t>
        </is>
      </c>
      <c r="G1191" t="inlineStr">
        <is>
          <t>26.580000</t>
        </is>
      </c>
      <c r="H1191" t="inlineStr">
        <is>
          <t>43272.24</t>
        </is>
      </c>
      <c r="I1191" t="inlineStr">
        <is>
          <t>2.92%</t>
        </is>
      </c>
      <c r="J1191" t="inlineStr">
        <is>
          <t>1480787.00</t>
        </is>
      </c>
      <c r="K1191" t="inlineStr">
        <is>
          <t>55000</t>
        </is>
      </c>
      <c r="L1191" t="inlineStr">
        <is>
          <t>11.000000000000</t>
        </is>
      </c>
      <c r="M1191" t="inlineStr"/>
    </row>
    <row r="1192">
      <c r="A1192" t="inlineStr">
        <is>
          <t>06/25/2026</t>
        </is>
      </c>
      <c r="B1192" t="inlineStr">
        <is>
          <t>GLAM</t>
        </is>
      </c>
      <c r="C1192" s="1" t="inlineStr">
        <is>
          <t>ESTA</t>
        </is>
      </c>
      <c r="D1192" s="1" t="inlineStr">
        <is>
          <t>G31249108</t>
        </is>
      </c>
      <c r="E1192" t="inlineStr">
        <is>
          <t>Establishment Labs Holdings Inc</t>
        </is>
      </c>
      <c r="F1192" t="inlineStr">
        <is>
          <t>638.00000000</t>
        </is>
      </c>
      <c r="G1192" t="inlineStr">
        <is>
          <t>87.210000</t>
        </is>
      </c>
      <c r="H1192" t="inlineStr">
        <is>
          <t>55639.98</t>
        </is>
      </c>
      <c r="I1192" t="inlineStr">
        <is>
          <t>3.76%</t>
        </is>
      </c>
      <c r="J1192" t="inlineStr">
        <is>
          <t>1480787.00</t>
        </is>
      </c>
      <c r="K1192" t="inlineStr">
        <is>
          <t>55000</t>
        </is>
      </c>
      <c r="L1192" t="inlineStr">
        <is>
          <t>11.000000000000</t>
        </is>
      </c>
      <c r="M1192" t="inlineStr"/>
    </row>
    <row r="1193">
      <c r="A1193" t="inlineStr">
        <is>
          <t>06/25/2026</t>
        </is>
      </c>
      <c r="B1193" t="inlineStr">
        <is>
          <t>GLAM</t>
        </is>
      </c>
      <c r="C1193" s="1" t="inlineStr">
        <is>
          <t>FGXXX</t>
        </is>
      </c>
      <c r="D1193" s="1" t="inlineStr">
        <is>
          <t>31846V336</t>
        </is>
      </c>
      <c r="E1193" t="inlineStr">
        <is>
          <t>First American Government Obligations Fund 12/01/2031</t>
        </is>
      </c>
      <c r="F1193" t="inlineStr">
        <is>
          <t>48345.85000000</t>
        </is>
      </c>
      <c r="G1193" t="inlineStr">
        <is>
          <t>100.000000</t>
        </is>
      </c>
      <c r="H1193" t="inlineStr">
        <is>
          <t>48345.85</t>
        </is>
      </c>
      <c r="I1193" t="inlineStr">
        <is>
          <t>3.26%</t>
        </is>
      </c>
      <c r="J1193" t="inlineStr">
        <is>
          <t>1480787.00</t>
        </is>
      </c>
      <c r="K1193" t="inlineStr">
        <is>
          <t>55000</t>
        </is>
      </c>
      <c r="L1193" t="inlineStr">
        <is>
          <t>11.000000000000</t>
        </is>
      </c>
      <c r="M1193" t="inlineStr">
        <is>
          <t>Y</t>
        </is>
      </c>
    </row>
    <row r="1194">
      <c r="A1194" t="inlineStr">
        <is>
          <t>06/25/2026</t>
        </is>
      </c>
      <c r="B1194" t="inlineStr">
        <is>
          <t>GLAM</t>
        </is>
      </c>
      <c r="C1194" s="1" t="inlineStr">
        <is>
          <t>HELE</t>
        </is>
      </c>
      <c r="D1194" s="1" t="inlineStr">
        <is>
          <t>G4388N106</t>
        </is>
      </c>
      <c r="E1194" t="inlineStr">
        <is>
          <t>Helen of Troy Ltd</t>
        </is>
      </c>
      <c r="F1194" t="inlineStr">
        <is>
          <t>1232.00000000</t>
        </is>
      </c>
      <c r="G1194" t="inlineStr">
        <is>
          <t>27.920000</t>
        </is>
      </c>
      <c r="H1194" t="inlineStr">
        <is>
          <t>34397.44</t>
        </is>
      </c>
      <c r="I1194" t="inlineStr">
        <is>
          <t>2.32%</t>
        </is>
      </c>
      <c r="J1194" t="inlineStr">
        <is>
          <t>1480787.00</t>
        </is>
      </c>
      <c r="K1194" t="inlineStr">
        <is>
          <t>55000</t>
        </is>
      </c>
      <c r="L1194" t="inlineStr">
        <is>
          <t>11.000000000000</t>
        </is>
      </c>
      <c r="M1194" t="inlineStr"/>
    </row>
    <row r="1195">
      <c r="A1195" t="inlineStr">
        <is>
          <t>06/25/2026</t>
        </is>
      </c>
      <c r="B1195" t="inlineStr">
        <is>
          <t>GLAM</t>
        </is>
      </c>
      <c r="C1195" s="1" t="inlineStr">
        <is>
          <t>HIMS</t>
        </is>
      </c>
      <c r="D1195" s="1" t="inlineStr">
        <is>
          <t>433000106</t>
        </is>
      </c>
      <c r="E1195" t="inlineStr">
        <is>
          <t>Hims &amp; Hers Health Inc</t>
        </is>
      </c>
      <c r="F1195" t="inlineStr">
        <is>
          <t>2318.00000000</t>
        </is>
      </c>
      <c r="G1195" t="inlineStr">
        <is>
          <t>32.700000</t>
        </is>
      </c>
      <c r="H1195" t="inlineStr">
        <is>
          <t>75798.60</t>
        </is>
      </c>
      <c r="I1195" t="inlineStr">
        <is>
          <t>5.12%</t>
        </is>
      </c>
      <c r="J1195" t="inlineStr">
        <is>
          <t>1480787.00</t>
        </is>
      </c>
      <c r="K1195" t="inlineStr">
        <is>
          <t>55000</t>
        </is>
      </c>
      <c r="L1195" t="inlineStr">
        <is>
          <t>11.000000000000</t>
        </is>
      </c>
      <c r="M1195" t="inlineStr"/>
    </row>
    <row r="1196">
      <c r="A1196" t="inlineStr">
        <is>
          <t>06/25/2026</t>
        </is>
      </c>
      <c r="B1196" t="inlineStr">
        <is>
          <t>GLAM</t>
        </is>
      </c>
      <c r="C1196" s="1" t="inlineStr">
        <is>
          <t>HNST</t>
        </is>
      </c>
      <c r="D1196" s="1" t="inlineStr">
        <is>
          <t>438333106</t>
        </is>
      </c>
      <c r="E1196" t="inlineStr">
        <is>
          <t>Honest Co Inc/The</t>
        </is>
      </c>
      <c r="F1196" t="inlineStr">
        <is>
          <t>7821.00000000</t>
        </is>
      </c>
      <c r="G1196" t="inlineStr">
        <is>
          <t>3.690000</t>
        </is>
      </c>
      <c r="H1196" t="inlineStr">
        <is>
          <t>28859.49</t>
        </is>
      </c>
      <c r="I1196" t="inlineStr">
        <is>
          <t>1.95%</t>
        </is>
      </c>
      <c r="J1196" t="inlineStr">
        <is>
          <t>1480787.00</t>
        </is>
      </c>
      <c r="K1196" t="inlineStr">
        <is>
          <t>55000</t>
        </is>
      </c>
      <c r="L1196" t="inlineStr">
        <is>
          <t>11.000000000000</t>
        </is>
      </c>
      <c r="M1196" t="inlineStr"/>
    </row>
    <row r="1197">
      <c r="A1197" t="inlineStr">
        <is>
          <t>06/25/2026</t>
        </is>
      </c>
      <c r="B1197" t="inlineStr">
        <is>
          <t>GLAM</t>
        </is>
      </c>
      <c r="C1197" s="1" t="inlineStr">
        <is>
          <t>IFF</t>
        </is>
      </c>
      <c r="D1197" s="1" t="inlineStr">
        <is>
          <t>459506101</t>
        </is>
      </c>
      <c r="E1197" t="inlineStr">
        <is>
          <t>International Flavors &amp; Fragrances Inc</t>
        </is>
      </c>
      <c r="F1197" t="inlineStr">
        <is>
          <t>1001.00000000</t>
        </is>
      </c>
      <c r="G1197" t="inlineStr">
        <is>
          <t>75.830000</t>
        </is>
      </c>
      <c r="H1197" t="inlineStr">
        <is>
          <t>75905.83</t>
        </is>
      </c>
      <c r="I1197" t="inlineStr">
        <is>
          <t>5.13%</t>
        </is>
      </c>
      <c r="J1197" t="inlineStr">
        <is>
          <t>1480787.00</t>
        </is>
      </c>
      <c r="K1197" t="inlineStr">
        <is>
          <t>55000</t>
        </is>
      </c>
      <c r="L1197" t="inlineStr">
        <is>
          <t>11.000000000000</t>
        </is>
      </c>
      <c r="M1197" t="inlineStr"/>
    </row>
    <row r="1198">
      <c r="A1198" t="inlineStr">
        <is>
          <t>06/25/2026</t>
        </is>
      </c>
      <c r="B1198" t="inlineStr">
        <is>
          <t>GLAM</t>
        </is>
      </c>
      <c r="C1198" s="1" t="inlineStr">
        <is>
          <t>INMD</t>
        </is>
      </c>
      <c r="D1198" s="1" t="inlineStr">
        <is>
          <t>M5425M103</t>
        </is>
      </c>
      <c r="E1198" t="inlineStr">
        <is>
          <t>Inmode Ltd</t>
        </is>
      </c>
      <c r="F1198" t="inlineStr">
        <is>
          <t>2486.00000000</t>
        </is>
      </c>
      <c r="G1198" t="inlineStr">
        <is>
          <t>14.790000</t>
        </is>
      </c>
      <c r="H1198" t="inlineStr">
        <is>
          <t>36767.94</t>
        </is>
      </c>
      <c r="I1198" t="inlineStr">
        <is>
          <t>2.48%</t>
        </is>
      </c>
      <c r="J1198" t="inlineStr">
        <is>
          <t>1480787.00</t>
        </is>
      </c>
      <c r="K1198" t="inlineStr">
        <is>
          <t>55000</t>
        </is>
      </c>
      <c r="L1198" t="inlineStr">
        <is>
          <t>11.000000000000</t>
        </is>
      </c>
      <c r="M1198" t="inlineStr"/>
    </row>
    <row r="1199">
      <c r="A1199" t="inlineStr">
        <is>
          <t>06/25/2026</t>
        </is>
      </c>
      <c r="B1199" t="inlineStr">
        <is>
          <t>GLAM</t>
        </is>
      </c>
      <c r="C1199" s="1" t="inlineStr">
        <is>
          <t>IPAR</t>
        </is>
      </c>
      <c r="D1199" s="1" t="inlineStr">
        <is>
          <t>458334109</t>
        </is>
      </c>
      <c r="E1199" t="inlineStr">
        <is>
          <t>Interparfums Inc</t>
        </is>
      </c>
      <c r="F1199" t="inlineStr">
        <is>
          <t>473.00000000</t>
        </is>
      </c>
      <c r="G1199" t="inlineStr">
        <is>
          <t>104.250000</t>
        </is>
      </c>
      <c r="H1199" t="inlineStr">
        <is>
          <t>49310.25</t>
        </is>
      </c>
      <c r="I1199" t="inlineStr">
        <is>
          <t>3.33%</t>
        </is>
      </c>
      <c r="J1199" t="inlineStr">
        <is>
          <t>1480787.00</t>
        </is>
      </c>
      <c r="K1199" t="inlineStr">
        <is>
          <t>55000</t>
        </is>
      </c>
      <c r="L1199" t="inlineStr">
        <is>
          <t>11.000000000000</t>
        </is>
      </c>
      <c r="M1199" t="inlineStr"/>
    </row>
    <row r="1200">
      <c r="A1200" t="inlineStr">
        <is>
          <t>06/25/2026</t>
        </is>
      </c>
      <c r="B1200" t="inlineStr">
        <is>
          <t>GLAM</t>
        </is>
      </c>
      <c r="C1200" s="1" t="inlineStr">
        <is>
          <t>KVUE</t>
        </is>
      </c>
      <c r="D1200" s="1" t="inlineStr">
        <is>
          <t>49177J102</t>
        </is>
      </c>
      <c r="E1200" t="inlineStr">
        <is>
          <t>Kenvue Inc</t>
        </is>
      </c>
      <c r="F1200" t="inlineStr">
        <is>
          <t>4070.00000000</t>
        </is>
      </c>
      <c r="G1200" t="inlineStr">
        <is>
          <t>18.800000</t>
        </is>
      </c>
      <c r="H1200" t="inlineStr">
        <is>
          <t>76516.00</t>
        </is>
      </c>
      <c r="I1200" t="inlineStr">
        <is>
          <t>5.17%</t>
        </is>
      </c>
      <c r="J1200" t="inlineStr">
        <is>
          <t>1480787.00</t>
        </is>
      </c>
      <c r="K1200" t="inlineStr">
        <is>
          <t>55000</t>
        </is>
      </c>
      <c r="L1200" t="inlineStr">
        <is>
          <t>11.000000000000</t>
        </is>
      </c>
      <c r="M1200" t="inlineStr"/>
    </row>
    <row r="1201">
      <c r="A1201" t="inlineStr">
        <is>
          <t>06/25/2026</t>
        </is>
      </c>
      <c r="B1201" t="inlineStr">
        <is>
          <t>GLAM</t>
        </is>
      </c>
      <c r="C1201" s="1" t="inlineStr">
        <is>
          <t>NUS</t>
        </is>
      </c>
      <c r="D1201" s="1" t="inlineStr">
        <is>
          <t>67018T105</t>
        </is>
      </c>
      <c r="E1201" t="inlineStr">
        <is>
          <t>Nu Skin Enterprises Inc</t>
        </is>
      </c>
      <c r="F1201" t="inlineStr">
        <is>
          <t>3872.00000000</t>
        </is>
      </c>
      <c r="G1201" t="inlineStr">
        <is>
          <t>5.110000</t>
        </is>
      </c>
      <c r="H1201" t="inlineStr">
        <is>
          <t>19785.92</t>
        </is>
      </c>
      <c r="I1201" t="inlineStr">
        <is>
          <t>1.34%</t>
        </is>
      </c>
      <c r="J1201" t="inlineStr">
        <is>
          <t>1480787.00</t>
        </is>
      </c>
      <c r="K1201" t="inlineStr">
        <is>
          <t>55000</t>
        </is>
      </c>
      <c r="L1201" t="inlineStr">
        <is>
          <t>11.000000000000</t>
        </is>
      </c>
      <c r="M1201" t="inlineStr"/>
    </row>
    <row r="1202">
      <c r="A1202" t="inlineStr">
        <is>
          <t>06/25/2026</t>
        </is>
      </c>
      <c r="B1202" t="inlineStr">
        <is>
          <t>GLAM</t>
        </is>
      </c>
      <c r="C1202" s="1" t="inlineStr">
        <is>
          <t>ODD</t>
        </is>
      </c>
      <c r="D1202" s="1" t="inlineStr">
        <is>
          <t>M7518J104</t>
        </is>
      </c>
      <c r="E1202" t="inlineStr">
        <is>
          <t>Oddity Tech Ltd</t>
        </is>
      </c>
      <c r="F1202" t="inlineStr">
        <is>
          <t>2079.00000000</t>
        </is>
      </c>
      <c r="G1202" t="inlineStr">
        <is>
          <t>12.870000</t>
        </is>
      </c>
      <c r="H1202" t="inlineStr">
        <is>
          <t>26756.73</t>
        </is>
      </c>
      <c r="I1202" t="inlineStr">
        <is>
          <t>1.81%</t>
        </is>
      </c>
      <c r="J1202" t="inlineStr">
        <is>
          <t>1480787.00</t>
        </is>
      </c>
      <c r="K1202" t="inlineStr">
        <is>
          <t>55000</t>
        </is>
      </c>
      <c r="L1202" t="inlineStr">
        <is>
          <t>11.000000000000</t>
        </is>
      </c>
      <c r="M1202" t="inlineStr"/>
    </row>
    <row r="1203">
      <c r="A1203" t="inlineStr">
        <is>
          <t>06/25/2026</t>
        </is>
      </c>
      <c r="B1203" t="inlineStr">
        <is>
          <t>GLAM</t>
        </is>
      </c>
      <c r="C1203" s="1" t="inlineStr">
        <is>
          <t>OLPX</t>
        </is>
      </c>
      <c r="D1203" s="1" t="inlineStr">
        <is>
          <t>679369108</t>
        </is>
      </c>
      <c r="E1203" t="inlineStr">
        <is>
          <t>Olaplex Holdings Inc</t>
        </is>
      </c>
      <c r="F1203" t="inlineStr">
        <is>
          <t>12386.00000000</t>
        </is>
      </c>
      <c r="G1203" t="inlineStr">
        <is>
          <t>2.040000</t>
        </is>
      </c>
      <c r="H1203" t="inlineStr">
        <is>
          <t>25267.44</t>
        </is>
      </c>
      <c r="I1203" t="inlineStr">
        <is>
          <t>1.71%</t>
        </is>
      </c>
      <c r="J1203" t="inlineStr">
        <is>
          <t>1480787.00</t>
        </is>
      </c>
      <c r="K1203" t="inlineStr">
        <is>
          <t>55000</t>
        </is>
      </c>
      <c r="L1203" t="inlineStr">
        <is>
          <t>11.000000000000</t>
        </is>
      </c>
      <c r="M1203" t="inlineStr"/>
    </row>
    <row r="1204">
      <c r="A1204" t="inlineStr">
        <is>
          <t>06/25/2026</t>
        </is>
      </c>
      <c r="B1204" t="inlineStr">
        <is>
          <t>GLAM</t>
        </is>
      </c>
      <c r="C1204" s="1" t="inlineStr">
        <is>
          <t>SBH</t>
        </is>
      </c>
      <c r="D1204" s="1" t="inlineStr">
        <is>
          <t>79546E104</t>
        </is>
      </c>
      <c r="E1204" t="inlineStr">
        <is>
          <t>Sally Beauty Holdings Inc</t>
        </is>
      </c>
      <c r="F1204" t="inlineStr">
        <is>
          <t>2772.00000000</t>
        </is>
      </c>
      <c r="G1204" t="inlineStr">
        <is>
          <t>14.320000</t>
        </is>
      </c>
      <c r="H1204" t="inlineStr">
        <is>
          <t>39695.04</t>
        </is>
      </c>
      <c r="I1204" t="inlineStr">
        <is>
          <t>2.68%</t>
        </is>
      </c>
      <c r="J1204" t="inlineStr">
        <is>
          <t>1480787.00</t>
        </is>
      </c>
      <c r="K1204" t="inlineStr">
        <is>
          <t>55000</t>
        </is>
      </c>
      <c r="L1204" t="inlineStr">
        <is>
          <t>11.000000000000</t>
        </is>
      </c>
      <c r="M1204" t="inlineStr"/>
    </row>
    <row r="1205">
      <c r="A1205" t="inlineStr">
        <is>
          <t>06/25/2026</t>
        </is>
      </c>
      <c r="B1205" t="inlineStr">
        <is>
          <t>GLAM</t>
        </is>
      </c>
      <c r="C1205" s="1" t="inlineStr">
        <is>
          <t>ULTA</t>
        </is>
      </c>
      <c r="D1205" s="1" t="inlineStr">
        <is>
          <t>90384S303</t>
        </is>
      </c>
      <c r="E1205" t="inlineStr">
        <is>
          <t>ULTA BEAUTY INC</t>
        </is>
      </c>
      <c r="F1205" t="inlineStr">
        <is>
          <t>147.00000000</t>
        </is>
      </c>
      <c r="G1205" t="inlineStr">
        <is>
          <t>478.930000</t>
        </is>
      </c>
      <c r="H1205" t="inlineStr">
        <is>
          <t>70402.71</t>
        </is>
      </c>
      <c r="I1205" t="inlineStr">
        <is>
          <t>4.75%</t>
        </is>
      </c>
      <c r="J1205" t="inlineStr">
        <is>
          <t>1480787.00</t>
        </is>
      </c>
      <c r="K1205" t="inlineStr">
        <is>
          <t>55000</t>
        </is>
      </c>
      <c r="L1205" t="inlineStr">
        <is>
          <t>11.000000000000</t>
        </is>
      </c>
      <c r="M1205" t="inlineStr"/>
    </row>
    <row r="1206">
      <c r="A1206" t="inlineStr">
        <is>
          <t>06/25/2026</t>
        </is>
      </c>
      <c r="B1206" t="inlineStr">
        <is>
          <t>GLAM</t>
        </is>
      </c>
      <c r="C1206" s="1" t="inlineStr">
        <is>
          <t>USNA</t>
        </is>
      </c>
      <c r="D1206" s="1" t="inlineStr">
        <is>
          <t>90328M107</t>
        </is>
      </c>
      <c r="E1206" t="inlineStr">
        <is>
          <t>USANA Health Sciences Inc</t>
        </is>
      </c>
      <c r="F1206" t="inlineStr">
        <is>
          <t>1320.00000000</t>
        </is>
      </c>
      <c r="G1206" t="inlineStr">
        <is>
          <t>19.940000</t>
        </is>
      </c>
      <c r="H1206" t="inlineStr">
        <is>
          <t>26320.80</t>
        </is>
      </c>
      <c r="I1206" t="inlineStr">
        <is>
          <t>1.78%</t>
        </is>
      </c>
      <c r="J1206" t="inlineStr">
        <is>
          <t>1480787.00</t>
        </is>
      </c>
      <c r="K1206" t="inlineStr">
        <is>
          <t>55000</t>
        </is>
      </c>
      <c r="L1206" t="inlineStr">
        <is>
          <t>11.000000000000</t>
        </is>
      </c>
      <c r="M1206" t="inlineStr"/>
    </row>
    <row r="1207">
      <c r="A1207" t="inlineStr">
        <is>
          <t>06/25/2026</t>
        </is>
      </c>
      <c r="B1207" t="inlineStr">
        <is>
          <t>GLAM</t>
        </is>
      </c>
      <c r="C1207" s="1" t="inlineStr">
        <is>
          <t>Cash&amp;Other</t>
        </is>
      </c>
      <c r="D1207" s="1" t="inlineStr">
        <is>
          <t>Cash&amp;Other</t>
        </is>
      </c>
      <c r="E1207" t="inlineStr">
        <is>
          <t>Cash &amp; Other</t>
        </is>
      </c>
      <c r="F1207" t="inlineStr">
        <is>
          <t>802.02000000</t>
        </is>
      </c>
      <c r="G1207" t="inlineStr">
        <is>
          <t>1.000000</t>
        </is>
      </c>
      <c r="H1207" t="inlineStr">
        <is>
          <t>802.02</t>
        </is>
      </c>
      <c r="I1207" t="inlineStr">
        <is>
          <t>0.05%</t>
        </is>
      </c>
      <c r="J1207" t="inlineStr">
        <is>
          <t>1480787.00</t>
        </is>
      </c>
      <c r="K1207" t="inlineStr">
        <is>
          <t>55000</t>
        </is>
      </c>
      <c r="L1207" t="inlineStr">
        <is>
          <t>11.000000000000</t>
        </is>
      </c>
      <c r="M1207" t="inlineStr">
        <is>
          <t>Y</t>
        </is>
      </c>
    </row>
    <row r="1208">
      <c r="A1208" t="inlineStr">
        <is>
          <t>06/25/2026</t>
        </is>
      </c>
      <c r="B1208" t="inlineStr">
        <is>
          <t>GNMX</t>
        </is>
      </c>
      <c r="C1208" s="1" t="inlineStr">
        <is>
          <t>ABSI</t>
        </is>
      </c>
      <c r="D1208" s="1" t="inlineStr">
        <is>
          <t>00091E109</t>
        </is>
      </c>
      <c r="E1208" t="inlineStr">
        <is>
          <t>Absci Corp</t>
        </is>
      </c>
      <c r="F1208" t="inlineStr">
        <is>
          <t>2387.00000000</t>
        </is>
      </c>
      <c r="G1208" t="inlineStr">
        <is>
          <t>10.075000</t>
        </is>
      </c>
      <c r="H1208" t="inlineStr">
        <is>
          <t>24049.03</t>
        </is>
      </c>
      <c r="I1208" t="inlineStr">
        <is>
          <t>1.50%</t>
        </is>
      </c>
      <c r="J1208" t="inlineStr">
        <is>
          <t>1605384.00</t>
        </is>
      </c>
      <c r="K1208" t="inlineStr">
        <is>
          <t>55000</t>
        </is>
      </c>
      <c r="L1208" t="inlineStr">
        <is>
          <t>11.000000000000</t>
        </is>
      </c>
      <c r="M1208" t="inlineStr"/>
    </row>
    <row r="1209">
      <c r="A1209" t="inlineStr">
        <is>
          <t>06/25/2026</t>
        </is>
      </c>
      <c r="B1209" t="inlineStr">
        <is>
          <t>GNMX</t>
        </is>
      </c>
      <c r="C1209" s="1" t="inlineStr">
        <is>
          <t>ADPT</t>
        </is>
      </c>
      <c r="D1209" s="1" t="inlineStr">
        <is>
          <t>00650F109</t>
        </is>
      </c>
      <c r="E1209" t="inlineStr">
        <is>
          <t>Adaptive Biotechnologies Corp</t>
        </is>
      </c>
      <c r="F1209" t="inlineStr">
        <is>
          <t>1298.00000000</t>
        </is>
      </c>
      <c r="G1209" t="inlineStr">
        <is>
          <t>19.340000</t>
        </is>
      </c>
      <c r="H1209" t="inlineStr">
        <is>
          <t>25103.32</t>
        </is>
      </c>
      <c r="I1209" t="inlineStr">
        <is>
          <t>1.56%</t>
        </is>
      </c>
      <c r="J1209" t="inlineStr">
        <is>
          <t>1605384.00</t>
        </is>
      </c>
      <c r="K1209" t="inlineStr">
        <is>
          <t>55000</t>
        </is>
      </c>
      <c r="L1209" t="inlineStr">
        <is>
          <t>11.000000000000</t>
        </is>
      </c>
      <c r="M1209" t="inlineStr"/>
    </row>
    <row r="1210">
      <c r="A1210" t="inlineStr">
        <is>
          <t>06/25/2026</t>
        </is>
      </c>
      <c r="B1210" t="inlineStr">
        <is>
          <t>GNMX</t>
        </is>
      </c>
      <c r="C1210" s="1" t="inlineStr">
        <is>
          <t>ALNY</t>
        </is>
      </c>
      <c r="D1210" s="1" t="inlineStr">
        <is>
          <t>02043Q107</t>
        </is>
      </c>
      <c r="E1210" t="inlineStr">
        <is>
          <t>Alnylam Pharmaceuticals Inc</t>
        </is>
      </c>
      <c r="F1210" t="inlineStr">
        <is>
          <t>220.00000000</t>
        </is>
      </c>
      <c r="G1210" t="inlineStr">
        <is>
          <t>294.060000</t>
        </is>
      </c>
      <c r="H1210" t="inlineStr">
        <is>
          <t>64693.20</t>
        </is>
      </c>
      <c r="I1210" t="inlineStr">
        <is>
          <t>4.03%</t>
        </is>
      </c>
      <c r="J1210" t="inlineStr">
        <is>
          <t>1605384.00</t>
        </is>
      </c>
      <c r="K1210" t="inlineStr">
        <is>
          <t>55000</t>
        </is>
      </c>
      <c r="L1210" t="inlineStr">
        <is>
          <t>11.000000000000</t>
        </is>
      </c>
      <c r="M1210" t="inlineStr"/>
    </row>
    <row r="1211">
      <c r="A1211" t="inlineStr">
        <is>
          <t>06/25/2026</t>
        </is>
      </c>
      <c r="B1211" t="inlineStr">
        <is>
          <t>GNMX</t>
        </is>
      </c>
      <c r="C1211" s="1" t="inlineStr">
        <is>
          <t>ARCT</t>
        </is>
      </c>
      <c r="D1211" s="1" t="inlineStr">
        <is>
          <t>03969T109</t>
        </is>
      </c>
      <c r="E1211" t="inlineStr">
        <is>
          <t>Arcturus Therapeutics Holdings Inc</t>
        </is>
      </c>
      <c r="F1211" t="inlineStr">
        <is>
          <t>792.00000000</t>
        </is>
      </c>
      <c r="G1211" t="inlineStr">
        <is>
          <t>7.010000</t>
        </is>
      </c>
      <c r="H1211" t="inlineStr">
        <is>
          <t>5551.92</t>
        </is>
      </c>
      <c r="I1211" t="inlineStr">
        <is>
          <t>0.35%</t>
        </is>
      </c>
      <c r="J1211" t="inlineStr">
        <is>
          <t>1605384.00</t>
        </is>
      </c>
      <c r="K1211" t="inlineStr">
        <is>
          <t>55000</t>
        </is>
      </c>
      <c r="L1211" t="inlineStr">
        <is>
          <t>11.000000000000</t>
        </is>
      </c>
      <c r="M1211" t="inlineStr"/>
    </row>
    <row r="1212">
      <c r="A1212" t="inlineStr">
        <is>
          <t>06/25/2026</t>
        </is>
      </c>
      <c r="B1212" t="inlineStr">
        <is>
          <t>GNMX</t>
        </is>
      </c>
      <c r="C1212" s="1" t="inlineStr">
        <is>
          <t>ARWR</t>
        </is>
      </c>
      <c r="D1212" s="1" t="inlineStr">
        <is>
          <t>04280A100</t>
        </is>
      </c>
      <c r="E1212" t="inlineStr">
        <is>
          <t>Arrowhead Pharmaceuticals Inc</t>
        </is>
      </c>
      <c r="F1212" t="inlineStr">
        <is>
          <t>451.00000000</t>
        </is>
      </c>
      <c r="G1212" t="inlineStr">
        <is>
          <t>79.810000</t>
        </is>
      </c>
      <c r="H1212" t="inlineStr">
        <is>
          <t>35994.31</t>
        </is>
      </c>
      <c r="I1212" t="inlineStr">
        <is>
          <t>2.24%</t>
        </is>
      </c>
      <c r="J1212" t="inlineStr">
        <is>
          <t>1605384.00</t>
        </is>
      </c>
      <c r="K1212" t="inlineStr">
        <is>
          <t>55000</t>
        </is>
      </c>
      <c r="L1212" t="inlineStr">
        <is>
          <t>11.000000000000</t>
        </is>
      </c>
      <c r="M1212" t="inlineStr"/>
    </row>
    <row r="1213">
      <c r="A1213" t="inlineStr">
        <is>
          <t>06/25/2026</t>
        </is>
      </c>
      <c r="B1213" t="inlineStr">
        <is>
          <t>GNMX</t>
        </is>
      </c>
      <c r="C1213" s="1" t="inlineStr">
        <is>
          <t>AZTA</t>
        </is>
      </c>
      <c r="D1213" s="1" t="inlineStr">
        <is>
          <t>114340102</t>
        </is>
      </c>
      <c r="E1213" t="inlineStr">
        <is>
          <t>Azenta Inc</t>
        </is>
      </c>
      <c r="F1213" t="inlineStr">
        <is>
          <t>495.00000000</t>
        </is>
      </c>
      <c r="G1213" t="inlineStr">
        <is>
          <t>23.860000</t>
        </is>
      </c>
      <c r="H1213" t="inlineStr">
        <is>
          <t>11810.70</t>
        </is>
      </c>
      <c r="I1213" t="inlineStr">
        <is>
          <t>0.74%</t>
        </is>
      </c>
      <c r="J1213" t="inlineStr">
        <is>
          <t>1605384.00</t>
        </is>
      </c>
      <c r="K1213" t="inlineStr">
        <is>
          <t>55000</t>
        </is>
      </c>
      <c r="L1213" t="inlineStr">
        <is>
          <t>11.000000000000</t>
        </is>
      </c>
      <c r="M1213" t="inlineStr"/>
    </row>
    <row r="1214">
      <c r="A1214" t="inlineStr">
        <is>
          <t>06/25/2026</t>
        </is>
      </c>
      <c r="B1214" t="inlineStr">
        <is>
          <t>GNMX</t>
        </is>
      </c>
      <c r="C1214" s="1" t="inlineStr">
        <is>
          <t>BDSX</t>
        </is>
      </c>
      <c r="D1214" s="1" t="inlineStr">
        <is>
          <t>09075X207</t>
        </is>
      </c>
      <c r="E1214" t="inlineStr">
        <is>
          <t>Biodesix Inc</t>
        </is>
      </c>
      <c r="F1214" t="inlineStr">
        <is>
          <t>462.00000000</t>
        </is>
      </c>
      <c r="G1214" t="inlineStr">
        <is>
          <t>18.670000</t>
        </is>
      </c>
      <c r="H1214" t="inlineStr">
        <is>
          <t>8625.54</t>
        </is>
      </c>
      <c r="I1214" t="inlineStr">
        <is>
          <t>0.54%</t>
        </is>
      </c>
      <c r="J1214" t="inlineStr">
        <is>
          <t>1605384.00</t>
        </is>
      </c>
      <c r="K1214" t="inlineStr">
        <is>
          <t>55000</t>
        </is>
      </c>
      <c r="L1214" t="inlineStr">
        <is>
          <t>11.000000000000</t>
        </is>
      </c>
      <c r="M1214" t="inlineStr"/>
    </row>
    <row r="1215">
      <c r="A1215" t="inlineStr">
        <is>
          <t>06/25/2026</t>
        </is>
      </c>
      <c r="B1215" t="inlineStr">
        <is>
          <t>GNMX</t>
        </is>
      </c>
      <c r="C1215" s="1" t="inlineStr">
        <is>
          <t>BEAM</t>
        </is>
      </c>
      <c r="D1215" s="1" t="inlineStr">
        <is>
          <t>07373V105</t>
        </is>
      </c>
      <c r="E1215" t="inlineStr">
        <is>
          <t>Beam Therapeutics Inc</t>
        </is>
      </c>
      <c r="F1215" t="inlineStr">
        <is>
          <t>704.00000000</t>
        </is>
      </c>
      <c r="G1215" t="inlineStr">
        <is>
          <t>33.900000</t>
        </is>
      </c>
      <c r="H1215" t="inlineStr">
        <is>
          <t>23865.60</t>
        </is>
      </c>
      <c r="I1215" t="inlineStr">
        <is>
          <t>1.49%</t>
        </is>
      </c>
      <c r="J1215" t="inlineStr">
        <is>
          <t>1605384.00</t>
        </is>
      </c>
      <c r="K1215" t="inlineStr">
        <is>
          <t>55000</t>
        </is>
      </c>
      <c r="L1215" t="inlineStr">
        <is>
          <t>11.000000000000</t>
        </is>
      </c>
      <c r="M1215" t="inlineStr"/>
    </row>
    <row r="1216">
      <c r="A1216" t="inlineStr">
        <is>
          <t>06/25/2026</t>
        </is>
      </c>
      <c r="B1216" t="inlineStr">
        <is>
          <t>GNMX</t>
        </is>
      </c>
      <c r="C1216" s="1" t="inlineStr">
        <is>
          <t>BMRN</t>
        </is>
      </c>
      <c r="D1216" s="1" t="inlineStr">
        <is>
          <t>09061G101</t>
        </is>
      </c>
      <c r="E1216" t="inlineStr">
        <is>
          <t>BioMarin Pharmaceutical Inc</t>
        </is>
      </c>
      <c r="F1216" t="inlineStr">
        <is>
          <t>693.00000000</t>
        </is>
      </c>
      <c r="G1216" t="inlineStr">
        <is>
          <t>57.330000</t>
        </is>
      </c>
      <c r="H1216" t="inlineStr">
        <is>
          <t>39729.69</t>
        </is>
      </c>
      <c r="I1216" t="inlineStr">
        <is>
          <t>2.47%</t>
        </is>
      </c>
      <c r="J1216" t="inlineStr">
        <is>
          <t>1605384.00</t>
        </is>
      </c>
      <c r="K1216" t="inlineStr">
        <is>
          <t>55000</t>
        </is>
      </c>
      <c r="L1216" t="inlineStr">
        <is>
          <t>11.000000000000</t>
        </is>
      </c>
      <c r="M1216" t="inlineStr"/>
    </row>
    <row r="1217">
      <c r="A1217" t="inlineStr">
        <is>
          <t>06/25/2026</t>
        </is>
      </c>
      <c r="B1217" t="inlineStr">
        <is>
          <t>GNMX</t>
        </is>
      </c>
      <c r="C1217" s="1" t="inlineStr">
        <is>
          <t>CAI</t>
        </is>
      </c>
      <c r="D1217" s="1" t="inlineStr">
        <is>
          <t>142152107</t>
        </is>
      </c>
      <c r="E1217" t="inlineStr">
        <is>
          <t>Caris Life Sciences Inc</t>
        </is>
      </c>
      <c r="F1217" t="inlineStr">
        <is>
          <t>880.00000000</t>
        </is>
      </c>
      <c r="G1217" t="inlineStr">
        <is>
          <t>18.150000</t>
        </is>
      </c>
      <c r="H1217" t="inlineStr">
        <is>
          <t>15972.00</t>
        </is>
      </c>
      <c r="I1217" t="inlineStr">
        <is>
          <t>0.99%</t>
        </is>
      </c>
      <c r="J1217" t="inlineStr">
        <is>
          <t>1605384.00</t>
        </is>
      </c>
      <c r="K1217" t="inlineStr">
        <is>
          <t>55000</t>
        </is>
      </c>
      <c r="L1217" t="inlineStr">
        <is>
          <t>11.000000000000</t>
        </is>
      </c>
      <c r="M1217" t="inlineStr"/>
    </row>
    <row r="1218">
      <c r="A1218" t="inlineStr">
        <is>
          <t>06/25/2026</t>
        </is>
      </c>
      <c r="B1218" t="inlineStr">
        <is>
          <t>GNMX</t>
        </is>
      </c>
      <c r="C1218" s="1" t="inlineStr">
        <is>
          <t>CDNA</t>
        </is>
      </c>
      <c r="D1218" s="1" t="inlineStr">
        <is>
          <t>14167L103</t>
        </is>
      </c>
      <c r="E1218" t="inlineStr">
        <is>
          <t>CareDx Inc</t>
        </is>
      </c>
      <c r="F1218" t="inlineStr">
        <is>
          <t>594.00000000</t>
        </is>
      </c>
      <c r="G1218" t="inlineStr">
        <is>
          <t>27.130000</t>
        </is>
      </c>
      <c r="H1218" t="inlineStr">
        <is>
          <t>16115.22</t>
        </is>
      </c>
      <c r="I1218" t="inlineStr">
        <is>
          <t>1.00%</t>
        </is>
      </c>
      <c r="J1218" t="inlineStr">
        <is>
          <t>1605384.00</t>
        </is>
      </c>
      <c r="K1218" t="inlineStr">
        <is>
          <t>55000</t>
        </is>
      </c>
      <c r="L1218" t="inlineStr">
        <is>
          <t>11.000000000000</t>
        </is>
      </c>
      <c r="M1218" t="inlineStr"/>
    </row>
    <row r="1219">
      <c r="A1219" t="inlineStr">
        <is>
          <t>06/25/2026</t>
        </is>
      </c>
      <c r="B1219" t="inlineStr">
        <is>
          <t>GNMX</t>
        </is>
      </c>
      <c r="C1219" s="1" t="inlineStr">
        <is>
          <t>CERT</t>
        </is>
      </c>
      <c r="D1219" s="1" t="inlineStr">
        <is>
          <t>15687V109</t>
        </is>
      </c>
      <c r="E1219" t="inlineStr">
        <is>
          <t>Certara Inc</t>
        </is>
      </c>
      <c r="F1219" t="inlineStr">
        <is>
          <t>1815.00000000</t>
        </is>
      </c>
      <c r="G1219" t="inlineStr">
        <is>
          <t>5.430000</t>
        </is>
      </c>
      <c r="H1219" t="inlineStr">
        <is>
          <t>9855.45</t>
        </is>
      </c>
      <c r="I1219" t="inlineStr">
        <is>
          <t>0.61%</t>
        </is>
      </c>
      <c r="J1219" t="inlineStr">
        <is>
          <t>1605384.00</t>
        </is>
      </c>
      <c r="K1219" t="inlineStr">
        <is>
          <t>55000</t>
        </is>
      </c>
      <c r="L1219" t="inlineStr">
        <is>
          <t>11.000000000000</t>
        </is>
      </c>
      <c r="M1219" t="inlineStr"/>
    </row>
    <row r="1220">
      <c r="A1220" t="inlineStr">
        <is>
          <t>06/25/2026</t>
        </is>
      </c>
      <c r="B1220" t="inlineStr">
        <is>
          <t>GNMX</t>
        </is>
      </c>
      <c r="C1220" s="1" t="inlineStr">
        <is>
          <t>CRBU</t>
        </is>
      </c>
      <c r="D1220" s="1" t="inlineStr">
        <is>
          <t>142038108</t>
        </is>
      </c>
      <c r="E1220" t="inlineStr">
        <is>
          <t>Caribou Biosciences Inc</t>
        </is>
      </c>
      <c r="F1220" t="inlineStr">
        <is>
          <t>3058.00000000</t>
        </is>
      </c>
      <c r="G1220" t="inlineStr">
        <is>
          <t>1.660000</t>
        </is>
      </c>
      <c r="H1220" t="inlineStr">
        <is>
          <t>5076.28</t>
        </is>
      </c>
      <c r="I1220" t="inlineStr">
        <is>
          <t>0.32%</t>
        </is>
      </c>
      <c r="J1220" t="inlineStr">
        <is>
          <t>1605384.00</t>
        </is>
      </c>
      <c r="K1220" t="inlineStr">
        <is>
          <t>55000</t>
        </is>
      </c>
      <c r="L1220" t="inlineStr">
        <is>
          <t>11.000000000000</t>
        </is>
      </c>
      <c r="M1220" t="inlineStr"/>
    </row>
    <row r="1221">
      <c r="A1221" t="inlineStr">
        <is>
          <t>06/25/2026</t>
        </is>
      </c>
      <c r="B1221" t="inlineStr">
        <is>
          <t>GNMX</t>
        </is>
      </c>
      <c r="C1221" s="1" t="inlineStr">
        <is>
          <t>CRSP</t>
        </is>
      </c>
      <c r="D1221" s="1" t="inlineStr">
        <is>
          <t>H17182108</t>
        </is>
      </c>
      <c r="E1221" t="inlineStr">
        <is>
          <t>CRISPR Therapeutics AG</t>
        </is>
      </c>
      <c r="F1221" t="inlineStr">
        <is>
          <t>517.00000000</t>
        </is>
      </c>
      <c r="G1221" t="inlineStr">
        <is>
          <t>53.550000</t>
        </is>
      </c>
      <c r="H1221" t="inlineStr">
        <is>
          <t>27685.35</t>
        </is>
      </c>
      <c r="I1221" t="inlineStr">
        <is>
          <t>1.72%</t>
        </is>
      </c>
      <c r="J1221" t="inlineStr">
        <is>
          <t>1605384.00</t>
        </is>
      </c>
      <c r="K1221" t="inlineStr">
        <is>
          <t>55000</t>
        </is>
      </c>
      <c r="L1221" t="inlineStr">
        <is>
          <t>11.000000000000</t>
        </is>
      </c>
      <c r="M1221" t="inlineStr"/>
    </row>
    <row r="1222">
      <c r="A1222" t="inlineStr">
        <is>
          <t>06/25/2026</t>
        </is>
      </c>
      <c r="B1222" t="inlineStr">
        <is>
          <t>GNMX</t>
        </is>
      </c>
      <c r="C1222" s="1" t="inlineStr">
        <is>
          <t>CSTL</t>
        </is>
      </c>
      <c r="D1222" s="1" t="inlineStr">
        <is>
          <t>14843C105</t>
        </is>
      </c>
      <c r="E1222" t="inlineStr">
        <is>
          <t>Castle Biosciences Inc</t>
        </is>
      </c>
      <c r="F1222" t="inlineStr">
        <is>
          <t>462.00000000</t>
        </is>
      </c>
      <c r="G1222" t="inlineStr">
        <is>
          <t>22.120000</t>
        </is>
      </c>
      <c r="H1222" t="inlineStr">
        <is>
          <t>10219.44</t>
        </is>
      </c>
      <c r="I1222" t="inlineStr">
        <is>
          <t>0.64%</t>
        </is>
      </c>
      <c r="J1222" t="inlineStr">
        <is>
          <t>1605384.00</t>
        </is>
      </c>
      <c r="K1222" t="inlineStr">
        <is>
          <t>55000</t>
        </is>
      </c>
      <c r="L1222" t="inlineStr">
        <is>
          <t>11.000000000000</t>
        </is>
      </c>
      <c r="M1222" t="inlineStr"/>
    </row>
    <row r="1223">
      <c r="A1223" t="inlineStr">
        <is>
          <t>06/25/2026</t>
        </is>
      </c>
      <c r="B1223" t="inlineStr">
        <is>
          <t>GNMX</t>
        </is>
      </c>
      <c r="C1223" s="1" t="inlineStr">
        <is>
          <t>DTIL</t>
        </is>
      </c>
      <c r="D1223" s="1" t="inlineStr">
        <is>
          <t>74019P207</t>
        </is>
      </c>
      <c r="E1223" t="inlineStr">
        <is>
          <t>Precision BioSciences Inc</t>
        </is>
      </c>
      <c r="F1223" t="inlineStr">
        <is>
          <t>825.00000000</t>
        </is>
      </c>
      <c r="G1223" t="inlineStr">
        <is>
          <t>6.740000</t>
        </is>
      </c>
      <c r="H1223" t="inlineStr">
        <is>
          <t>5560.50</t>
        </is>
      </c>
      <c r="I1223" t="inlineStr">
        <is>
          <t>0.35%</t>
        </is>
      </c>
      <c r="J1223" t="inlineStr">
        <is>
          <t>1605384.00</t>
        </is>
      </c>
      <c r="K1223" t="inlineStr">
        <is>
          <t>55000</t>
        </is>
      </c>
      <c r="L1223" t="inlineStr">
        <is>
          <t>11.000000000000</t>
        </is>
      </c>
      <c r="M1223" t="inlineStr"/>
    </row>
    <row r="1224">
      <c r="A1224" t="inlineStr">
        <is>
          <t>06/25/2026</t>
        </is>
      </c>
      <c r="B1224" t="inlineStr">
        <is>
          <t>GNMX</t>
        </is>
      </c>
      <c r="C1224" s="1" t="inlineStr">
        <is>
          <t>EDIT</t>
        </is>
      </c>
      <c r="D1224" s="1" t="inlineStr">
        <is>
          <t>28106W103</t>
        </is>
      </c>
      <c r="E1224" t="inlineStr">
        <is>
          <t>Editas Medicine Inc</t>
        </is>
      </c>
      <c r="F1224" t="inlineStr">
        <is>
          <t>2574.00000000</t>
        </is>
      </c>
      <c r="G1224" t="inlineStr">
        <is>
          <t>2.800000</t>
        </is>
      </c>
      <c r="H1224" t="inlineStr">
        <is>
          <t>7207.20</t>
        </is>
      </c>
      <c r="I1224" t="inlineStr">
        <is>
          <t>0.45%</t>
        </is>
      </c>
      <c r="J1224" t="inlineStr">
        <is>
          <t>1605384.00</t>
        </is>
      </c>
      <c r="K1224" t="inlineStr">
        <is>
          <t>55000</t>
        </is>
      </c>
      <c r="L1224" t="inlineStr">
        <is>
          <t>11.000000000000</t>
        </is>
      </c>
      <c r="M1224" t="inlineStr"/>
    </row>
    <row r="1225">
      <c r="A1225" t="inlineStr">
        <is>
          <t>06/25/2026</t>
        </is>
      </c>
      <c r="B1225" t="inlineStr">
        <is>
          <t>GNMX</t>
        </is>
      </c>
      <c r="C1225" s="1" t="inlineStr">
        <is>
          <t>FDMT</t>
        </is>
      </c>
      <c r="D1225" s="1" t="inlineStr">
        <is>
          <t>35104E100</t>
        </is>
      </c>
      <c r="E1225" t="inlineStr">
        <is>
          <t>4D Molecular Therapeutics Inc</t>
        </is>
      </c>
      <c r="F1225" t="inlineStr">
        <is>
          <t>1045.00000000</t>
        </is>
      </c>
      <c r="G1225" t="inlineStr">
        <is>
          <t>11.620000</t>
        </is>
      </c>
      <c r="H1225" t="inlineStr">
        <is>
          <t>12142.90</t>
        </is>
      </c>
      <c r="I1225" t="inlineStr">
        <is>
          <t>0.76%</t>
        </is>
      </c>
      <c r="J1225" t="inlineStr">
        <is>
          <t>1605384.00</t>
        </is>
      </c>
      <c r="K1225" t="inlineStr">
        <is>
          <t>55000</t>
        </is>
      </c>
      <c r="L1225" t="inlineStr">
        <is>
          <t>11.000000000000</t>
        </is>
      </c>
      <c r="M1225" t="inlineStr"/>
    </row>
    <row r="1226">
      <c r="A1226" t="inlineStr">
        <is>
          <t>06/25/2026</t>
        </is>
      </c>
      <c r="B1226" t="inlineStr">
        <is>
          <t>GNMX</t>
        </is>
      </c>
      <c r="C1226" s="1" t="inlineStr">
        <is>
          <t>FGXXX</t>
        </is>
      </c>
      <c r="D1226" s="1" t="inlineStr">
        <is>
          <t>31846V336</t>
        </is>
      </c>
      <c r="E1226" t="inlineStr">
        <is>
          <t>First American Government Obligations Fund 12/01/2031</t>
        </is>
      </c>
      <c r="F1226" t="inlineStr">
        <is>
          <t>20316.41000000</t>
        </is>
      </c>
      <c r="G1226" t="inlineStr">
        <is>
          <t>100.000000</t>
        </is>
      </c>
      <c r="H1226" t="inlineStr">
        <is>
          <t>20316.41</t>
        </is>
      </c>
      <c r="I1226" t="inlineStr">
        <is>
          <t>1.27%</t>
        </is>
      </c>
      <c r="J1226" t="inlineStr">
        <is>
          <t>1605384.00</t>
        </is>
      </c>
      <c r="K1226" t="inlineStr">
        <is>
          <t>55000</t>
        </is>
      </c>
      <c r="L1226" t="inlineStr">
        <is>
          <t>11.000000000000</t>
        </is>
      </c>
      <c r="M1226" t="inlineStr">
        <is>
          <t>Y</t>
        </is>
      </c>
    </row>
    <row r="1227">
      <c r="A1227" t="inlineStr">
        <is>
          <t>06/25/2026</t>
        </is>
      </c>
      <c r="B1227" t="inlineStr">
        <is>
          <t>GNMX</t>
        </is>
      </c>
      <c r="C1227" s="1" t="inlineStr">
        <is>
          <t>FLGT</t>
        </is>
      </c>
      <c r="D1227" s="1" t="inlineStr">
        <is>
          <t>359664109</t>
        </is>
      </c>
      <c r="E1227" t="inlineStr">
        <is>
          <t>Fulgent Genetics Inc</t>
        </is>
      </c>
      <c r="F1227" t="inlineStr">
        <is>
          <t>517.00000000</t>
        </is>
      </c>
      <c r="G1227" t="inlineStr">
        <is>
          <t>19.130000</t>
        </is>
      </c>
      <c r="H1227" t="inlineStr">
        <is>
          <t>9890.21</t>
        </is>
      </c>
      <c r="I1227" t="inlineStr">
        <is>
          <t>0.62%</t>
        </is>
      </c>
      <c r="J1227" t="inlineStr">
        <is>
          <t>1605384.00</t>
        </is>
      </c>
      <c r="K1227" t="inlineStr">
        <is>
          <t>55000</t>
        </is>
      </c>
      <c r="L1227" t="inlineStr">
        <is>
          <t>11.000000000000</t>
        </is>
      </c>
      <c r="M1227" t="inlineStr"/>
    </row>
    <row r="1228">
      <c r="A1228" t="inlineStr">
        <is>
          <t>06/25/2026</t>
        </is>
      </c>
      <c r="B1228" t="inlineStr">
        <is>
          <t>GNMX</t>
        </is>
      </c>
      <c r="C1228" s="1" t="inlineStr">
        <is>
          <t>GENB</t>
        </is>
      </c>
      <c r="D1228" s="1" t="inlineStr">
        <is>
          <t>370920100</t>
        </is>
      </c>
      <c r="E1228" t="inlineStr">
        <is>
          <t>Generate Biomedicines Inc</t>
        </is>
      </c>
      <c r="F1228" t="inlineStr">
        <is>
          <t>924.00000000</t>
        </is>
      </c>
      <c r="G1228" t="inlineStr">
        <is>
          <t>16.230000</t>
        </is>
      </c>
      <c r="H1228" t="inlineStr">
        <is>
          <t>14996.52</t>
        </is>
      </c>
      <c r="I1228" t="inlineStr">
        <is>
          <t>0.93%</t>
        </is>
      </c>
      <c r="J1228" t="inlineStr">
        <is>
          <t>1605384.00</t>
        </is>
      </c>
      <c r="K1228" t="inlineStr">
        <is>
          <t>55000</t>
        </is>
      </c>
      <c r="L1228" t="inlineStr">
        <is>
          <t>11.000000000000</t>
        </is>
      </c>
      <c r="M1228" t="inlineStr"/>
    </row>
    <row r="1229">
      <c r="A1229" t="inlineStr">
        <is>
          <t>06/25/2026</t>
        </is>
      </c>
      <c r="B1229" t="inlineStr">
        <is>
          <t>GNMX</t>
        </is>
      </c>
      <c r="C1229" s="1" t="inlineStr">
        <is>
          <t>GH</t>
        </is>
      </c>
      <c r="D1229" s="1" t="inlineStr">
        <is>
          <t>40131M109</t>
        </is>
      </c>
      <c r="E1229" t="inlineStr">
        <is>
          <t>Guardant Health Inc</t>
        </is>
      </c>
      <c r="F1229" t="inlineStr">
        <is>
          <t>429.00000000</t>
        </is>
      </c>
      <c r="G1229" t="inlineStr">
        <is>
          <t>136.960000</t>
        </is>
      </c>
      <c r="H1229" t="inlineStr">
        <is>
          <t>58755.84</t>
        </is>
      </c>
      <c r="I1229" t="inlineStr">
        <is>
          <t>3.66%</t>
        </is>
      </c>
      <c r="J1229" t="inlineStr">
        <is>
          <t>1605384.00</t>
        </is>
      </c>
      <c r="K1229" t="inlineStr">
        <is>
          <t>55000</t>
        </is>
      </c>
      <c r="L1229" t="inlineStr">
        <is>
          <t>11.000000000000</t>
        </is>
      </c>
      <c r="M1229" t="inlineStr"/>
    </row>
    <row r="1230">
      <c r="A1230" t="inlineStr">
        <is>
          <t>06/25/2026</t>
        </is>
      </c>
      <c r="B1230" t="inlineStr">
        <is>
          <t>GNMX</t>
        </is>
      </c>
      <c r="C1230" s="1" t="inlineStr">
        <is>
          <t>GMAB</t>
        </is>
      </c>
      <c r="D1230" s="1" t="inlineStr">
        <is>
          <t>372303206</t>
        </is>
      </c>
      <c r="E1230" t="inlineStr">
        <is>
          <t>Genmab A/S</t>
        </is>
      </c>
      <c r="F1230" t="inlineStr">
        <is>
          <t>1672.00000000</t>
        </is>
      </c>
      <c r="G1230" t="inlineStr">
        <is>
          <t>25.865000</t>
        </is>
      </c>
      <c r="H1230" t="inlineStr">
        <is>
          <t>43246.28</t>
        </is>
      </c>
      <c r="I1230" t="inlineStr">
        <is>
          <t>2.69%</t>
        </is>
      </c>
      <c r="J1230" t="inlineStr">
        <is>
          <t>1605384.00</t>
        </is>
      </c>
      <c r="K1230" t="inlineStr">
        <is>
          <t>55000</t>
        </is>
      </c>
      <c r="L1230" t="inlineStr">
        <is>
          <t>11.000000000000</t>
        </is>
      </c>
      <c r="M1230" t="inlineStr"/>
    </row>
    <row r="1231">
      <c r="A1231" t="inlineStr">
        <is>
          <t>06/25/2026</t>
        </is>
      </c>
      <c r="B1231" t="inlineStr">
        <is>
          <t>GNMX</t>
        </is>
      </c>
      <c r="C1231" s="1" t="inlineStr">
        <is>
          <t>GRAL</t>
        </is>
      </c>
      <c r="D1231" s="1" t="inlineStr">
        <is>
          <t>384747101</t>
        </is>
      </c>
      <c r="E1231" t="inlineStr">
        <is>
          <t>GRAIL Inc</t>
        </is>
      </c>
      <c r="F1231" t="inlineStr">
        <is>
          <t>330.00000000</t>
        </is>
      </c>
      <c r="G1231" t="inlineStr">
        <is>
          <t>64.580000</t>
        </is>
      </c>
      <c r="H1231" t="inlineStr">
        <is>
          <t>21311.40</t>
        </is>
      </c>
      <c r="I1231" t="inlineStr">
        <is>
          <t>1.33%</t>
        </is>
      </c>
      <c r="J1231" t="inlineStr">
        <is>
          <t>1605384.00</t>
        </is>
      </c>
      <c r="K1231" t="inlineStr">
        <is>
          <t>55000</t>
        </is>
      </c>
      <c r="L1231" t="inlineStr">
        <is>
          <t>11.000000000000</t>
        </is>
      </c>
      <c r="M1231" t="inlineStr"/>
    </row>
    <row r="1232">
      <c r="A1232" t="inlineStr">
        <is>
          <t>06/25/2026</t>
        </is>
      </c>
      <c r="B1232" t="inlineStr">
        <is>
          <t>GNMX</t>
        </is>
      </c>
      <c r="C1232" s="1" t="inlineStr">
        <is>
          <t>IDYA</t>
        </is>
      </c>
      <c r="D1232" s="1" t="inlineStr">
        <is>
          <t>45166A102</t>
        </is>
      </c>
      <c r="E1232" t="inlineStr">
        <is>
          <t>Ideaya Biosciences Inc</t>
        </is>
      </c>
      <c r="F1232" t="inlineStr">
        <is>
          <t>682.00000000</t>
        </is>
      </c>
      <c r="G1232" t="inlineStr">
        <is>
          <t>36.280000</t>
        </is>
      </c>
      <c r="H1232" t="inlineStr">
        <is>
          <t>24742.96</t>
        </is>
      </c>
      <c r="I1232" t="inlineStr">
        <is>
          <t>1.54%</t>
        </is>
      </c>
      <c r="J1232" t="inlineStr">
        <is>
          <t>1605384.00</t>
        </is>
      </c>
      <c r="K1232" t="inlineStr">
        <is>
          <t>55000</t>
        </is>
      </c>
      <c r="L1232" t="inlineStr">
        <is>
          <t>11.000000000000</t>
        </is>
      </c>
      <c r="M1232" t="inlineStr"/>
    </row>
    <row r="1233">
      <c r="A1233" t="inlineStr">
        <is>
          <t>06/25/2026</t>
        </is>
      </c>
      <c r="B1233" t="inlineStr">
        <is>
          <t>GNMX</t>
        </is>
      </c>
      <c r="C1233" s="1" t="inlineStr">
        <is>
          <t>ILMN</t>
        </is>
      </c>
      <c r="D1233" s="1" t="inlineStr">
        <is>
          <t>452327109</t>
        </is>
      </c>
      <c r="E1233" t="inlineStr">
        <is>
          <t>Illumina Inc</t>
        </is>
      </c>
      <c r="F1233" t="inlineStr">
        <is>
          <t>363.00000000</t>
        </is>
      </c>
      <c r="G1233" t="inlineStr">
        <is>
          <t>175.090000</t>
        </is>
      </c>
      <c r="H1233" t="inlineStr">
        <is>
          <t>63557.67</t>
        </is>
      </c>
      <c r="I1233" t="inlineStr">
        <is>
          <t>3.96%</t>
        </is>
      </c>
      <c r="J1233" t="inlineStr">
        <is>
          <t>1605384.00</t>
        </is>
      </c>
      <c r="K1233" t="inlineStr">
        <is>
          <t>55000</t>
        </is>
      </c>
      <c r="L1233" t="inlineStr">
        <is>
          <t>11.000000000000</t>
        </is>
      </c>
      <c r="M1233" t="inlineStr"/>
    </row>
    <row r="1234">
      <c r="A1234" t="inlineStr">
        <is>
          <t>06/25/2026</t>
        </is>
      </c>
      <c r="B1234" t="inlineStr">
        <is>
          <t>GNMX</t>
        </is>
      </c>
      <c r="C1234" s="1" t="inlineStr">
        <is>
          <t>INCY</t>
        </is>
      </c>
      <c r="D1234" s="1" t="inlineStr">
        <is>
          <t>45337C102</t>
        </is>
      </c>
      <c r="E1234" t="inlineStr">
        <is>
          <t>Incyte Corp</t>
        </is>
      </c>
      <c r="F1234" t="inlineStr">
        <is>
          <t>462.00000000</t>
        </is>
      </c>
      <c r="G1234" t="inlineStr">
        <is>
          <t>108.460000</t>
        </is>
      </c>
      <c r="H1234" t="inlineStr">
        <is>
          <t>50108.52</t>
        </is>
      </c>
      <c r="I1234" t="inlineStr">
        <is>
          <t>3.12%</t>
        </is>
      </c>
      <c r="J1234" t="inlineStr">
        <is>
          <t>1605384.00</t>
        </is>
      </c>
      <c r="K1234" t="inlineStr">
        <is>
          <t>55000</t>
        </is>
      </c>
      <c r="L1234" t="inlineStr">
        <is>
          <t>11.000000000000</t>
        </is>
      </c>
      <c r="M1234" t="inlineStr"/>
    </row>
    <row r="1235">
      <c r="A1235" t="inlineStr">
        <is>
          <t>06/25/2026</t>
        </is>
      </c>
      <c r="B1235" t="inlineStr">
        <is>
          <t>GNMX</t>
        </is>
      </c>
      <c r="C1235" s="1" t="inlineStr">
        <is>
          <t>IONS</t>
        </is>
      </c>
      <c r="D1235" s="1" t="inlineStr">
        <is>
          <t>462222100</t>
        </is>
      </c>
      <c r="E1235" t="inlineStr">
        <is>
          <t>Ionis Pharmaceuticals Inc</t>
        </is>
      </c>
      <c r="F1235" t="inlineStr">
        <is>
          <t>528.00000000</t>
        </is>
      </c>
      <c r="G1235" t="inlineStr">
        <is>
          <t>76.520000</t>
        </is>
      </c>
      <c r="H1235" t="inlineStr">
        <is>
          <t>40402.56</t>
        </is>
      </c>
      <c r="I1235" t="inlineStr">
        <is>
          <t>2.52%</t>
        </is>
      </c>
      <c r="J1235" t="inlineStr">
        <is>
          <t>1605384.00</t>
        </is>
      </c>
      <c r="K1235" t="inlineStr">
        <is>
          <t>55000</t>
        </is>
      </c>
      <c r="L1235" t="inlineStr">
        <is>
          <t>11.000000000000</t>
        </is>
      </c>
      <c r="M1235" t="inlineStr"/>
    </row>
    <row r="1236">
      <c r="A1236" t="inlineStr">
        <is>
          <t>06/25/2026</t>
        </is>
      </c>
      <c r="B1236" t="inlineStr">
        <is>
          <t>GNMX</t>
        </is>
      </c>
      <c r="C1236" s="1" t="inlineStr">
        <is>
          <t>IOVA</t>
        </is>
      </c>
      <c r="D1236" s="1" t="inlineStr">
        <is>
          <t>462260100</t>
        </is>
      </c>
      <c r="E1236" t="inlineStr">
        <is>
          <t>Iovance Biotherapeutics Inc</t>
        </is>
      </c>
      <c r="F1236" t="inlineStr">
        <is>
          <t>4477.00000000</t>
        </is>
      </c>
      <c r="G1236" t="inlineStr">
        <is>
          <t>4.250000</t>
        </is>
      </c>
      <c r="H1236" t="inlineStr">
        <is>
          <t>19027.25</t>
        </is>
      </c>
      <c r="I1236" t="inlineStr">
        <is>
          <t>1.19%</t>
        </is>
      </c>
      <c r="J1236" t="inlineStr">
        <is>
          <t>1605384.00</t>
        </is>
      </c>
      <c r="K1236" t="inlineStr">
        <is>
          <t>55000</t>
        </is>
      </c>
      <c r="L1236" t="inlineStr">
        <is>
          <t>11.000000000000</t>
        </is>
      </c>
      <c r="M1236" t="inlineStr"/>
    </row>
    <row r="1237">
      <c r="A1237" t="inlineStr">
        <is>
          <t>06/25/2026</t>
        </is>
      </c>
      <c r="B1237" t="inlineStr">
        <is>
          <t>GNMX</t>
        </is>
      </c>
      <c r="C1237" s="1" t="inlineStr">
        <is>
          <t>KRYS</t>
        </is>
      </c>
      <c r="D1237" s="1" t="inlineStr">
        <is>
          <t>501147102</t>
        </is>
      </c>
      <c r="E1237" t="inlineStr">
        <is>
          <t>Krystal Biotech Inc</t>
        </is>
      </c>
      <c r="F1237" t="inlineStr">
        <is>
          <t>110.00000000</t>
        </is>
      </c>
      <c r="G1237" t="inlineStr">
        <is>
          <t>347.630000</t>
        </is>
      </c>
      <c r="H1237" t="inlineStr">
        <is>
          <t>38239.30</t>
        </is>
      </c>
      <c r="I1237" t="inlineStr">
        <is>
          <t>2.38%</t>
        </is>
      </c>
      <c r="J1237" t="inlineStr">
        <is>
          <t>1605384.00</t>
        </is>
      </c>
      <c r="K1237" t="inlineStr">
        <is>
          <t>55000</t>
        </is>
      </c>
      <c r="L1237" t="inlineStr">
        <is>
          <t>11.000000000000</t>
        </is>
      </c>
      <c r="M1237" t="inlineStr"/>
    </row>
    <row r="1238">
      <c r="A1238" t="inlineStr">
        <is>
          <t>06/25/2026</t>
        </is>
      </c>
      <c r="B1238" t="inlineStr">
        <is>
          <t>GNMX</t>
        </is>
      </c>
      <c r="C1238" s="1" t="inlineStr">
        <is>
          <t>LAB</t>
        </is>
      </c>
      <c r="D1238" s="1" t="inlineStr">
        <is>
          <t>34385P108</t>
        </is>
      </c>
      <c r="E1238" t="inlineStr">
        <is>
          <t>STANDARD BIOTOOLS INC</t>
        </is>
      </c>
      <c r="F1238" t="inlineStr">
        <is>
          <t>8547.00000000</t>
        </is>
      </c>
      <c r="G1238" t="inlineStr">
        <is>
          <t>0.753000</t>
        </is>
      </c>
      <c r="H1238" t="inlineStr">
        <is>
          <t>6435.89</t>
        </is>
      </c>
      <c r="I1238" t="inlineStr">
        <is>
          <t>0.40%</t>
        </is>
      </c>
      <c r="J1238" t="inlineStr">
        <is>
          <t>1605384.00</t>
        </is>
      </c>
      <c r="K1238" t="inlineStr">
        <is>
          <t>55000</t>
        </is>
      </c>
      <c r="L1238" t="inlineStr">
        <is>
          <t>11.000000000000</t>
        </is>
      </c>
      <c r="M1238" t="inlineStr"/>
    </row>
    <row r="1239">
      <c r="A1239" t="inlineStr">
        <is>
          <t>06/25/2026</t>
        </is>
      </c>
      <c r="B1239" t="inlineStr">
        <is>
          <t>GNMX</t>
        </is>
      </c>
      <c r="C1239" s="1" t="inlineStr">
        <is>
          <t>MRNA</t>
        </is>
      </c>
      <c r="D1239" s="1" t="inlineStr">
        <is>
          <t>60770K107</t>
        </is>
      </c>
      <c r="E1239" t="inlineStr">
        <is>
          <t>Moderna Inc</t>
        </is>
      </c>
      <c r="F1239" t="inlineStr">
        <is>
          <t>913.00000000</t>
        </is>
      </c>
      <c r="G1239" t="inlineStr">
        <is>
          <t>60.420000</t>
        </is>
      </c>
      <c r="H1239" t="inlineStr">
        <is>
          <t>55163.46</t>
        </is>
      </c>
      <c r="I1239" t="inlineStr">
        <is>
          <t>3.44%</t>
        </is>
      </c>
      <c r="J1239" t="inlineStr">
        <is>
          <t>1605384.00</t>
        </is>
      </c>
      <c r="K1239" t="inlineStr">
        <is>
          <t>55000</t>
        </is>
      </c>
      <c r="L1239" t="inlineStr">
        <is>
          <t>11.000000000000</t>
        </is>
      </c>
      <c r="M1239" t="inlineStr"/>
    </row>
    <row r="1240">
      <c r="A1240" t="inlineStr">
        <is>
          <t>06/25/2026</t>
        </is>
      </c>
      <c r="B1240" t="inlineStr">
        <is>
          <t>GNMX</t>
        </is>
      </c>
      <c r="C1240" s="1" t="inlineStr">
        <is>
          <t>MYGN</t>
        </is>
      </c>
      <c r="D1240" s="1" t="inlineStr">
        <is>
          <t>62855J104</t>
        </is>
      </c>
      <c r="E1240" t="inlineStr">
        <is>
          <t>Myriad Genetics Inc</t>
        </is>
      </c>
      <c r="F1240" t="inlineStr">
        <is>
          <t>1925.00000000</t>
        </is>
      </c>
      <c r="G1240" t="inlineStr">
        <is>
          <t>5.220000</t>
        </is>
      </c>
      <c r="H1240" t="inlineStr">
        <is>
          <t>10048.50</t>
        </is>
      </c>
      <c r="I1240" t="inlineStr">
        <is>
          <t>0.63%</t>
        </is>
      </c>
      <c r="J1240" t="inlineStr">
        <is>
          <t>1605384.00</t>
        </is>
      </c>
      <c r="K1240" t="inlineStr">
        <is>
          <t>55000</t>
        </is>
      </c>
      <c r="L1240" t="inlineStr">
        <is>
          <t>11.000000000000</t>
        </is>
      </c>
      <c r="M1240" t="inlineStr"/>
    </row>
    <row r="1241">
      <c r="A1241" t="inlineStr">
        <is>
          <t>06/25/2026</t>
        </is>
      </c>
      <c r="B1241" t="inlineStr">
        <is>
          <t>GNMX</t>
        </is>
      </c>
      <c r="C1241" s="1" t="inlineStr">
        <is>
          <t>NEO</t>
        </is>
      </c>
      <c r="D1241" s="1" t="inlineStr">
        <is>
          <t>64049M209</t>
        </is>
      </c>
      <c r="E1241" t="inlineStr">
        <is>
          <t>NeoGenomics Inc</t>
        </is>
      </c>
      <c r="F1241" t="inlineStr">
        <is>
          <t>1606.00000000</t>
        </is>
      </c>
      <c r="G1241" t="inlineStr">
        <is>
          <t>12.900000</t>
        </is>
      </c>
      <c r="H1241" t="inlineStr">
        <is>
          <t>20717.40</t>
        </is>
      </c>
      <c r="I1241" t="inlineStr">
        <is>
          <t>1.29%</t>
        </is>
      </c>
      <c r="J1241" t="inlineStr">
        <is>
          <t>1605384.00</t>
        </is>
      </c>
      <c r="K1241" t="inlineStr">
        <is>
          <t>55000</t>
        </is>
      </c>
      <c r="L1241" t="inlineStr">
        <is>
          <t>11.000000000000</t>
        </is>
      </c>
      <c r="M1241" t="inlineStr"/>
    </row>
    <row r="1242">
      <c r="A1242" t="inlineStr">
        <is>
          <t>06/25/2026</t>
        </is>
      </c>
      <c r="B1242" t="inlineStr">
        <is>
          <t>GNMX</t>
        </is>
      </c>
      <c r="C1242" s="1" t="inlineStr">
        <is>
          <t>NRIX</t>
        </is>
      </c>
      <c r="D1242" s="1" t="inlineStr">
        <is>
          <t>67080M103</t>
        </is>
      </c>
      <c r="E1242" t="inlineStr">
        <is>
          <t>Nurix Therapeutics Inc</t>
        </is>
      </c>
      <c r="F1242" t="inlineStr">
        <is>
          <t>990.00000000</t>
        </is>
      </c>
      <c r="G1242" t="inlineStr">
        <is>
          <t>19.300000</t>
        </is>
      </c>
      <c r="H1242" t="inlineStr">
        <is>
          <t>19107.00</t>
        </is>
      </c>
      <c r="I1242" t="inlineStr">
        <is>
          <t>1.19%</t>
        </is>
      </c>
      <c r="J1242" t="inlineStr">
        <is>
          <t>1605384.00</t>
        </is>
      </c>
      <c r="K1242" t="inlineStr">
        <is>
          <t>55000</t>
        </is>
      </c>
      <c r="L1242" t="inlineStr">
        <is>
          <t>11.000000000000</t>
        </is>
      </c>
      <c r="M1242" t="inlineStr"/>
    </row>
    <row r="1243">
      <c r="A1243" t="inlineStr">
        <is>
          <t>06/25/2026</t>
        </is>
      </c>
      <c r="B1243" t="inlineStr">
        <is>
          <t>GNMX</t>
        </is>
      </c>
      <c r="C1243" s="1" t="inlineStr">
        <is>
          <t>NTLA</t>
        </is>
      </c>
      <c r="D1243" s="1" t="inlineStr">
        <is>
          <t>45826J105</t>
        </is>
      </c>
      <c r="E1243" t="inlineStr">
        <is>
          <t>Intellia Therapeutics Inc</t>
        </is>
      </c>
      <c r="F1243" t="inlineStr">
        <is>
          <t>1177.00000000</t>
        </is>
      </c>
      <c r="G1243" t="inlineStr">
        <is>
          <t>15.500000</t>
        </is>
      </c>
      <c r="H1243" t="inlineStr">
        <is>
          <t>18243.50</t>
        </is>
      </c>
      <c r="I1243" t="inlineStr">
        <is>
          <t>1.14%</t>
        </is>
      </c>
      <c r="J1243" t="inlineStr">
        <is>
          <t>1605384.00</t>
        </is>
      </c>
      <c r="K1243" t="inlineStr">
        <is>
          <t>55000</t>
        </is>
      </c>
      <c r="L1243" t="inlineStr">
        <is>
          <t>11.000000000000</t>
        </is>
      </c>
      <c r="M1243" t="inlineStr"/>
    </row>
    <row r="1244">
      <c r="A1244" t="inlineStr">
        <is>
          <t>06/25/2026</t>
        </is>
      </c>
      <c r="B1244" t="inlineStr">
        <is>
          <t>GNMX</t>
        </is>
      </c>
      <c r="C1244" s="1" t="inlineStr">
        <is>
          <t>NUVL</t>
        </is>
      </c>
      <c r="D1244" s="1" t="inlineStr">
        <is>
          <t>670703107</t>
        </is>
      </c>
      <c r="E1244" t="inlineStr">
        <is>
          <t>Nuvalent Inc</t>
        </is>
      </c>
      <c r="F1244" t="inlineStr">
        <is>
          <t>264.00000000</t>
        </is>
      </c>
      <c r="G1244" t="inlineStr">
        <is>
          <t>123.580000</t>
        </is>
      </c>
      <c r="H1244" t="inlineStr">
        <is>
          <t>32625.12</t>
        </is>
      </c>
      <c r="I1244" t="inlineStr">
        <is>
          <t>2.03%</t>
        </is>
      </c>
      <c r="J1244" t="inlineStr">
        <is>
          <t>1605384.00</t>
        </is>
      </c>
      <c r="K1244" t="inlineStr">
        <is>
          <t>55000</t>
        </is>
      </c>
      <c r="L1244" t="inlineStr">
        <is>
          <t>11.000000000000</t>
        </is>
      </c>
      <c r="M1244" t="inlineStr"/>
    </row>
    <row r="1245">
      <c r="A1245" t="inlineStr">
        <is>
          <t>06/25/2026</t>
        </is>
      </c>
      <c r="B1245" t="inlineStr">
        <is>
          <t>GNMX</t>
        </is>
      </c>
      <c r="C1245" s="1" t="inlineStr">
        <is>
          <t>PACB</t>
        </is>
      </c>
      <c r="D1245" s="1" t="inlineStr">
        <is>
          <t>69404D108</t>
        </is>
      </c>
      <c r="E1245" t="inlineStr">
        <is>
          <t>Pacific Biosciences of California Inc</t>
        </is>
      </c>
      <c r="F1245" t="inlineStr">
        <is>
          <t>5852.00000000</t>
        </is>
      </c>
      <c r="G1245" t="inlineStr">
        <is>
          <t>1.440000</t>
        </is>
      </c>
      <c r="H1245" t="inlineStr">
        <is>
          <t>8426.88</t>
        </is>
      </c>
      <c r="I1245" t="inlineStr">
        <is>
          <t>0.52%</t>
        </is>
      </c>
      <c r="J1245" t="inlineStr">
        <is>
          <t>1605384.00</t>
        </is>
      </c>
      <c r="K1245" t="inlineStr">
        <is>
          <t>55000</t>
        </is>
      </c>
      <c r="L1245" t="inlineStr">
        <is>
          <t>11.000000000000</t>
        </is>
      </c>
      <c r="M1245" t="inlineStr"/>
    </row>
    <row r="1246">
      <c r="A1246" t="inlineStr">
        <is>
          <t>06/25/2026</t>
        </is>
      </c>
      <c r="B1246" t="inlineStr">
        <is>
          <t>GNMX</t>
        </is>
      </c>
      <c r="C1246" s="1" t="inlineStr">
        <is>
          <t>PRME</t>
        </is>
      </c>
      <c r="D1246" s="1" t="inlineStr">
        <is>
          <t>74168J101</t>
        </is>
      </c>
      <c r="E1246" t="inlineStr">
        <is>
          <t>Prime Medicine Inc</t>
        </is>
      </c>
      <c r="F1246" t="inlineStr">
        <is>
          <t>2387.00000000</t>
        </is>
      </c>
      <c r="G1246" t="inlineStr">
        <is>
          <t>3.120000</t>
        </is>
      </c>
      <c r="H1246" t="inlineStr">
        <is>
          <t>7447.44</t>
        </is>
      </c>
      <c r="I1246" t="inlineStr">
        <is>
          <t>0.46%</t>
        </is>
      </c>
      <c r="J1246" t="inlineStr">
        <is>
          <t>1605384.00</t>
        </is>
      </c>
      <c r="K1246" t="inlineStr">
        <is>
          <t>55000</t>
        </is>
      </c>
      <c r="L1246" t="inlineStr">
        <is>
          <t>11.000000000000</t>
        </is>
      </c>
      <c r="M1246" t="inlineStr"/>
    </row>
    <row r="1247">
      <c r="A1247" t="inlineStr">
        <is>
          <t>06/25/2026</t>
        </is>
      </c>
      <c r="B1247" t="inlineStr">
        <is>
          <t>GNMX</t>
        </is>
      </c>
      <c r="C1247" s="1" t="inlineStr">
        <is>
          <t>PSNL</t>
        </is>
      </c>
      <c r="D1247" s="1" t="inlineStr">
        <is>
          <t>71535D106</t>
        </is>
      </c>
      <c r="E1247" t="inlineStr">
        <is>
          <t>Personalis Inc</t>
        </is>
      </c>
      <c r="F1247" t="inlineStr">
        <is>
          <t>1562.00000000</t>
        </is>
      </c>
      <c r="G1247" t="inlineStr">
        <is>
          <t>11.360000</t>
        </is>
      </c>
      <c r="H1247" t="inlineStr">
        <is>
          <t>17744.32</t>
        </is>
      </c>
      <c r="I1247" t="inlineStr">
        <is>
          <t>1.11%</t>
        </is>
      </c>
      <c r="J1247" t="inlineStr">
        <is>
          <t>1605384.00</t>
        </is>
      </c>
      <c r="K1247" t="inlineStr">
        <is>
          <t>55000</t>
        </is>
      </c>
      <c r="L1247" t="inlineStr">
        <is>
          <t>11.000000000000</t>
        </is>
      </c>
      <c r="M1247" t="inlineStr"/>
    </row>
    <row r="1248">
      <c r="A1248" t="inlineStr">
        <is>
          <t>06/25/2026</t>
        </is>
      </c>
      <c r="B1248" t="inlineStr">
        <is>
          <t>GNMX</t>
        </is>
      </c>
      <c r="C1248" s="1" t="inlineStr">
        <is>
          <t>QGEN</t>
        </is>
      </c>
      <c r="D1248" s="1" t="inlineStr">
        <is>
          <t>N72482156</t>
        </is>
      </c>
      <c r="E1248" t="inlineStr">
        <is>
          <t>QIAGEN NV</t>
        </is>
      </c>
      <c r="F1248" t="inlineStr">
        <is>
          <t>858.00000000</t>
        </is>
      </c>
      <c r="G1248" t="inlineStr">
        <is>
          <t>38.730000</t>
        </is>
      </c>
      <c r="H1248" t="inlineStr">
        <is>
          <t>33230.34</t>
        </is>
      </c>
      <c r="I1248" t="inlineStr">
        <is>
          <t>2.07%</t>
        </is>
      </c>
      <c r="J1248" t="inlineStr">
        <is>
          <t>1605384.00</t>
        </is>
      </c>
      <c r="K1248" t="inlineStr">
        <is>
          <t>55000</t>
        </is>
      </c>
      <c r="L1248" t="inlineStr">
        <is>
          <t>11.000000000000</t>
        </is>
      </c>
      <c r="M1248" t="inlineStr"/>
    </row>
    <row r="1249">
      <c r="A1249" t="inlineStr">
        <is>
          <t>06/25/2026</t>
        </is>
      </c>
      <c r="B1249" t="inlineStr">
        <is>
          <t>GNMX</t>
        </is>
      </c>
      <c r="C1249" s="1" t="inlineStr">
        <is>
          <t>QURE</t>
        </is>
      </c>
      <c r="D1249" s="1" t="inlineStr">
        <is>
          <t>N90064101</t>
        </is>
      </c>
      <c r="E1249" t="inlineStr">
        <is>
          <t>uniQure NV</t>
        </is>
      </c>
      <c r="F1249" t="inlineStr">
        <is>
          <t>748.00000000</t>
        </is>
      </c>
      <c r="G1249" t="inlineStr">
        <is>
          <t>48.850000</t>
        </is>
      </c>
      <c r="H1249" t="inlineStr">
        <is>
          <t>36539.80</t>
        </is>
      </c>
      <c r="I1249" t="inlineStr">
        <is>
          <t>2.28%</t>
        </is>
      </c>
      <c r="J1249" t="inlineStr">
        <is>
          <t>1605384.00</t>
        </is>
      </c>
      <c r="K1249" t="inlineStr">
        <is>
          <t>55000</t>
        </is>
      </c>
      <c r="L1249" t="inlineStr">
        <is>
          <t>11.000000000000</t>
        </is>
      </c>
      <c r="M1249" t="inlineStr"/>
    </row>
    <row r="1250">
      <c r="A1250" t="inlineStr">
        <is>
          <t>06/25/2026</t>
        </is>
      </c>
      <c r="B1250" t="inlineStr">
        <is>
          <t>GNMX</t>
        </is>
      </c>
      <c r="C1250" s="1" t="inlineStr">
        <is>
          <t>RARE</t>
        </is>
      </c>
      <c r="D1250" s="1" t="inlineStr">
        <is>
          <t>90400D108</t>
        </is>
      </c>
      <c r="E1250" t="inlineStr">
        <is>
          <t>Ultragenyx Pharmaceutical Inc</t>
        </is>
      </c>
      <c r="F1250" t="inlineStr">
        <is>
          <t>748.00000000</t>
        </is>
      </c>
      <c r="G1250" t="inlineStr">
        <is>
          <t>29.110000</t>
        </is>
      </c>
      <c r="H1250" t="inlineStr">
        <is>
          <t>21774.28</t>
        </is>
      </c>
      <c r="I1250" t="inlineStr">
        <is>
          <t>1.36%</t>
        </is>
      </c>
      <c r="J1250" t="inlineStr">
        <is>
          <t>1605384.00</t>
        </is>
      </c>
      <c r="K1250" t="inlineStr">
        <is>
          <t>55000</t>
        </is>
      </c>
      <c r="L1250" t="inlineStr">
        <is>
          <t>11.000000000000</t>
        </is>
      </c>
      <c r="M1250" t="inlineStr"/>
    </row>
    <row r="1251">
      <c r="A1251" t="inlineStr">
        <is>
          <t>06/25/2026</t>
        </is>
      </c>
      <c r="B1251" t="inlineStr">
        <is>
          <t>GNMX</t>
        </is>
      </c>
      <c r="C1251" s="1" t="inlineStr">
        <is>
          <t>RCKT</t>
        </is>
      </c>
      <c r="D1251" s="1" t="inlineStr">
        <is>
          <t>77313F106</t>
        </is>
      </c>
      <c r="E1251" t="inlineStr">
        <is>
          <t>Rocket Pharmaceuticals Inc</t>
        </is>
      </c>
      <c r="F1251" t="inlineStr">
        <is>
          <t>2343.00000000</t>
        </is>
      </c>
      <c r="G1251" t="inlineStr">
        <is>
          <t>3.300000</t>
        </is>
      </c>
      <c r="H1251" t="inlineStr">
        <is>
          <t>7731.90</t>
        </is>
      </c>
      <c r="I1251" t="inlineStr">
        <is>
          <t>0.48%</t>
        </is>
      </c>
      <c r="J1251" t="inlineStr">
        <is>
          <t>1605384.00</t>
        </is>
      </c>
      <c r="K1251" t="inlineStr">
        <is>
          <t>55000</t>
        </is>
      </c>
      <c r="L1251" t="inlineStr">
        <is>
          <t>11.000000000000</t>
        </is>
      </c>
      <c r="M1251" t="inlineStr"/>
    </row>
    <row r="1252">
      <c r="A1252" t="inlineStr">
        <is>
          <t>06/25/2026</t>
        </is>
      </c>
      <c r="B1252" t="inlineStr">
        <is>
          <t>GNMX</t>
        </is>
      </c>
      <c r="C1252" s="1" t="inlineStr">
        <is>
          <t>RLAY</t>
        </is>
      </c>
      <c r="D1252" s="1" t="inlineStr">
        <is>
          <t>75943R102</t>
        </is>
      </c>
      <c r="E1252" t="inlineStr">
        <is>
          <t>Relay Therapeutics Inc</t>
        </is>
      </c>
      <c r="F1252" t="inlineStr">
        <is>
          <t>1111.00000000</t>
        </is>
      </c>
      <c r="G1252" t="inlineStr">
        <is>
          <t>18.020000</t>
        </is>
      </c>
      <c r="H1252" t="inlineStr">
        <is>
          <t>20020.22</t>
        </is>
      </c>
      <c r="I1252" t="inlineStr">
        <is>
          <t>1.25%</t>
        </is>
      </c>
      <c r="J1252" t="inlineStr">
        <is>
          <t>1605384.00</t>
        </is>
      </c>
      <c r="K1252" t="inlineStr">
        <is>
          <t>55000</t>
        </is>
      </c>
      <c r="L1252" t="inlineStr">
        <is>
          <t>11.000000000000</t>
        </is>
      </c>
      <c r="M1252" t="inlineStr"/>
    </row>
    <row r="1253">
      <c r="A1253" t="inlineStr">
        <is>
          <t>06/25/2026</t>
        </is>
      </c>
      <c r="B1253" t="inlineStr">
        <is>
          <t>GNMX</t>
        </is>
      </c>
      <c r="C1253" s="1" t="inlineStr">
        <is>
          <t>RVMD</t>
        </is>
      </c>
      <c r="D1253" s="1" t="inlineStr">
        <is>
          <t>76155X100</t>
        </is>
      </c>
      <c r="E1253" t="inlineStr">
        <is>
          <t>Revolution Medicines Inc</t>
        </is>
      </c>
      <c r="F1253" t="inlineStr">
        <is>
          <t>341.00000000</t>
        </is>
      </c>
      <c r="G1253" t="inlineStr">
        <is>
          <t>169.770000</t>
        </is>
      </c>
      <c r="H1253" t="inlineStr">
        <is>
          <t>57891.57</t>
        </is>
      </c>
      <c r="I1253" t="inlineStr">
        <is>
          <t>3.61%</t>
        </is>
      </c>
      <c r="J1253" t="inlineStr">
        <is>
          <t>1605384.00</t>
        </is>
      </c>
      <c r="K1253" t="inlineStr">
        <is>
          <t>55000</t>
        </is>
      </c>
      <c r="L1253" t="inlineStr">
        <is>
          <t>11.000000000000</t>
        </is>
      </c>
      <c r="M1253" t="inlineStr"/>
    </row>
    <row r="1254">
      <c r="A1254" t="inlineStr">
        <is>
          <t>06/25/2026</t>
        </is>
      </c>
      <c r="B1254" t="inlineStr">
        <is>
          <t>GNMX</t>
        </is>
      </c>
      <c r="C1254" s="1" t="inlineStr">
        <is>
          <t>RXRX</t>
        </is>
      </c>
      <c r="D1254" s="1" t="inlineStr">
        <is>
          <t>75629V104</t>
        </is>
      </c>
      <c r="E1254" t="inlineStr">
        <is>
          <t>Recursion Pharmaceuticals Inc</t>
        </is>
      </c>
      <c r="F1254" t="inlineStr">
        <is>
          <t>4664.00000000</t>
        </is>
      </c>
      <c r="G1254" t="inlineStr">
        <is>
          <t>3.230000</t>
        </is>
      </c>
      <c r="H1254" t="inlineStr">
        <is>
          <t>15064.72</t>
        </is>
      </c>
      <c r="I1254" t="inlineStr">
        <is>
          <t>0.94%</t>
        </is>
      </c>
      <c r="J1254" t="inlineStr">
        <is>
          <t>1605384.00</t>
        </is>
      </c>
      <c r="K1254" t="inlineStr">
        <is>
          <t>55000</t>
        </is>
      </c>
      <c r="L1254" t="inlineStr">
        <is>
          <t>11.000000000000</t>
        </is>
      </c>
      <c r="M1254" t="inlineStr"/>
    </row>
    <row r="1255">
      <c r="A1255" t="inlineStr">
        <is>
          <t>06/25/2026</t>
        </is>
      </c>
      <c r="B1255" t="inlineStr">
        <is>
          <t>GNMX</t>
        </is>
      </c>
      <c r="C1255" s="1" t="inlineStr">
        <is>
          <t>SDGR</t>
        </is>
      </c>
      <c r="D1255" s="1" t="inlineStr">
        <is>
          <t>80810D103</t>
        </is>
      </c>
      <c r="E1255" t="inlineStr">
        <is>
          <t>Schrodinger Inc/United States</t>
        </is>
      </c>
      <c r="F1255" t="inlineStr">
        <is>
          <t>1001.00000000</t>
        </is>
      </c>
      <c r="G1255" t="inlineStr">
        <is>
          <t>15.330000</t>
        </is>
      </c>
      <c r="H1255" t="inlineStr">
        <is>
          <t>15345.33</t>
        </is>
      </c>
      <c r="I1255" t="inlineStr">
        <is>
          <t>0.96%</t>
        </is>
      </c>
      <c r="J1255" t="inlineStr">
        <is>
          <t>1605384.00</t>
        </is>
      </c>
      <c r="K1255" t="inlineStr">
        <is>
          <t>55000</t>
        </is>
      </c>
      <c r="L1255" t="inlineStr">
        <is>
          <t>11.000000000000</t>
        </is>
      </c>
      <c r="M1255" t="inlineStr"/>
    </row>
    <row r="1256">
      <c r="A1256" t="inlineStr">
        <is>
          <t>06/25/2026</t>
        </is>
      </c>
      <c r="B1256" t="inlineStr">
        <is>
          <t>GNMX</t>
        </is>
      </c>
      <c r="C1256" s="1" t="inlineStr">
        <is>
          <t>SLDB</t>
        </is>
      </c>
      <c r="D1256" s="1" t="inlineStr">
        <is>
          <t>83422E204</t>
        </is>
      </c>
      <c r="E1256" t="inlineStr">
        <is>
          <t>Solid Biosciences Inc</t>
        </is>
      </c>
      <c r="F1256" t="inlineStr">
        <is>
          <t>1397.00000000</t>
        </is>
      </c>
      <c r="G1256" t="inlineStr">
        <is>
          <t>9.250000</t>
        </is>
      </c>
      <c r="H1256" t="inlineStr">
        <is>
          <t>12922.25</t>
        </is>
      </c>
      <c r="I1256" t="inlineStr">
        <is>
          <t>0.80%</t>
        </is>
      </c>
      <c r="J1256" t="inlineStr">
        <is>
          <t>1605384.00</t>
        </is>
      </c>
      <c r="K1256" t="inlineStr">
        <is>
          <t>55000</t>
        </is>
      </c>
      <c r="L1256" t="inlineStr">
        <is>
          <t>11.000000000000</t>
        </is>
      </c>
      <c r="M1256" t="inlineStr"/>
    </row>
    <row r="1257">
      <c r="A1257" t="inlineStr">
        <is>
          <t>06/25/2026</t>
        </is>
      </c>
      <c r="B1257" t="inlineStr">
        <is>
          <t>GNMX</t>
        </is>
      </c>
      <c r="C1257" s="1" t="inlineStr">
        <is>
          <t>SOPH</t>
        </is>
      </c>
      <c r="D1257" s="1" t="inlineStr">
        <is>
          <t>H82027105</t>
        </is>
      </c>
      <c r="E1257" t="inlineStr">
        <is>
          <t>Sophia Genetics SA</t>
        </is>
      </c>
      <c r="F1257" t="inlineStr">
        <is>
          <t>1551.00000000</t>
        </is>
      </c>
      <c r="G1257" t="inlineStr">
        <is>
          <t>5.520000</t>
        </is>
      </c>
      <c r="H1257" t="inlineStr">
        <is>
          <t>8561.52</t>
        </is>
      </c>
      <c r="I1257" t="inlineStr">
        <is>
          <t>0.53%</t>
        </is>
      </c>
      <c r="J1257" t="inlineStr">
        <is>
          <t>1605384.00</t>
        </is>
      </c>
      <c r="K1257" t="inlineStr">
        <is>
          <t>55000</t>
        </is>
      </c>
      <c r="L1257" t="inlineStr">
        <is>
          <t>11.000000000000</t>
        </is>
      </c>
      <c r="M1257" t="inlineStr"/>
    </row>
    <row r="1258">
      <c r="A1258" t="inlineStr">
        <is>
          <t>06/25/2026</t>
        </is>
      </c>
      <c r="B1258" t="inlineStr">
        <is>
          <t>GNMX</t>
        </is>
      </c>
      <c r="C1258" s="1" t="inlineStr">
        <is>
          <t>SRPT</t>
        </is>
      </c>
      <c r="D1258" s="1" t="inlineStr">
        <is>
          <t>803607100</t>
        </is>
      </c>
      <c r="E1258" t="inlineStr">
        <is>
          <t>Sarepta Therapeutics Inc</t>
        </is>
      </c>
      <c r="F1258" t="inlineStr">
        <is>
          <t>924.00000000</t>
        </is>
      </c>
      <c r="G1258" t="inlineStr">
        <is>
          <t>16.695000</t>
        </is>
      </c>
      <c r="H1258" t="inlineStr">
        <is>
          <t>15426.18</t>
        </is>
      </c>
      <c r="I1258" t="inlineStr">
        <is>
          <t>0.96%</t>
        </is>
      </c>
      <c r="J1258" t="inlineStr">
        <is>
          <t>1605384.00</t>
        </is>
      </c>
      <c r="K1258" t="inlineStr">
        <is>
          <t>55000</t>
        </is>
      </c>
      <c r="L1258" t="inlineStr">
        <is>
          <t>11.000000000000</t>
        </is>
      </c>
      <c r="M1258" t="inlineStr"/>
    </row>
    <row r="1259">
      <c r="A1259" t="inlineStr">
        <is>
          <t>06/25/2026</t>
        </is>
      </c>
      <c r="B1259" t="inlineStr">
        <is>
          <t>GNMX</t>
        </is>
      </c>
      <c r="C1259" s="1" t="inlineStr">
        <is>
          <t>TECH</t>
        </is>
      </c>
      <c r="D1259" s="1" t="inlineStr">
        <is>
          <t>09073M104</t>
        </is>
      </c>
      <c r="E1259" t="inlineStr">
        <is>
          <t>Bio-Techne Corp</t>
        </is>
      </c>
      <c r="F1259" t="inlineStr">
        <is>
          <t>605.00000000</t>
        </is>
      </c>
      <c r="G1259" t="inlineStr">
        <is>
          <t>58.875000</t>
        </is>
      </c>
      <c r="H1259" t="inlineStr">
        <is>
          <t>35619.38</t>
        </is>
      </c>
      <c r="I1259" t="inlineStr">
        <is>
          <t>2.22%</t>
        </is>
      </c>
      <c r="J1259" t="inlineStr">
        <is>
          <t>1605384.00</t>
        </is>
      </c>
      <c r="K1259" t="inlineStr">
        <is>
          <t>55000</t>
        </is>
      </c>
      <c r="L1259" t="inlineStr">
        <is>
          <t>11.000000000000</t>
        </is>
      </c>
      <c r="M1259" t="inlineStr"/>
    </row>
    <row r="1260">
      <c r="A1260" t="inlineStr">
        <is>
          <t>06/25/2026</t>
        </is>
      </c>
      <c r="B1260" t="inlineStr">
        <is>
          <t>GNMX</t>
        </is>
      </c>
      <c r="C1260" s="1" t="inlineStr">
        <is>
          <t>TEM</t>
        </is>
      </c>
      <c r="D1260" s="1" t="inlineStr">
        <is>
          <t>88023B103</t>
        </is>
      </c>
      <c r="E1260" t="inlineStr">
        <is>
          <t>Tempus AI Inc</t>
        </is>
      </c>
      <c r="F1260" t="inlineStr">
        <is>
          <t>517.00000000</t>
        </is>
      </c>
      <c r="G1260" t="inlineStr">
        <is>
          <t>51.940000</t>
        </is>
      </c>
      <c r="H1260" t="inlineStr">
        <is>
          <t>26852.98</t>
        </is>
      </c>
      <c r="I1260" t="inlineStr">
        <is>
          <t>1.67%</t>
        </is>
      </c>
      <c r="J1260" t="inlineStr">
        <is>
          <t>1605384.00</t>
        </is>
      </c>
      <c r="K1260" t="inlineStr">
        <is>
          <t>55000</t>
        </is>
      </c>
      <c r="L1260" t="inlineStr">
        <is>
          <t>11.000000000000</t>
        </is>
      </c>
      <c r="M1260" t="inlineStr"/>
    </row>
    <row r="1261">
      <c r="A1261" t="inlineStr">
        <is>
          <t>06/25/2026</t>
        </is>
      </c>
      <c r="B1261" t="inlineStr">
        <is>
          <t>GNMX</t>
        </is>
      </c>
      <c r="C1261" s="1" t="inlineStr">
        <is>
          <t>TMO</t>
        </is>
      </c>
      <c r="D1261" s="1" t="inlineStr">
        <is>
          <t>883556102</t>
        </is>
      </c>
      <c r="E1261" t="inlineStr">
        <is>
          <t>Thermo Fisher Scientific Inc</t>
        </is>
      </c>
      <c r="F1261" t="inlineStr">
        <is>
          <t>264.00000000</t>
        </is>
      </c>
      <c r="G1261" t="inlineStr">
        <is>
          <t>492.200000</t>
        </is>
      </c>
      <c r="H1261" t="inlineStr">
        <is>
          <t>129940.80</t>
        </is>
      </c>
      <c r="I1261" t="inlineStr">
        <is>
          <t>8.09%</t>
        </is>
      </c>
      <c r="J1261" t="inlineStr">
        <is>
          <t>1605384.00</t>
        </is>
      </c>
      <c r="K1261" t="inlineStr">
        <is>
          <t>55000</t>
        </is>
      </c>
      <c r="L1261" t="inlineStr">
        <is>
          <t>11.000000000000</t>
        </is>
      </c>
      <c r="M1261" t="inlineStr"/>
    </row>
    <row r="1262">
      <c r="A1262" t="inlineStr">
        <is>
          <t>06/25/2026</t>
        </is>
      </c>
      <c r="B1262" t="inlineStr">
        <is>
          <t>GNMX</t>
        </is>
      </c>
      <c r="C1262" s="1" t="inlineStr">
        <is>
          <t>TWST</t>
        </is>
      </c>
      <c r="D1262" s="1" t="inlineStr">
        <is>
          <t>90184D100</t>
        </is>
      </c>
      <c r="E1262" t="inlineStr">
        <is>
          <t>Twist Bioscience Corp</t>
        </is>
      </c>
      <c r="F1262" t="inlineStr">
        <is>
          <t>341.00000000</t>
        </is>
      </c>
      <c r="G1262" t="inlineStr">
        <is>
          <t>91.350000</t>
        </is>
      </c>
      <c r="H1262" t="inlineStr">
        <is>
          <t>31150.35</t>
        </is>
      </c>
      <c r="I1262" t="inlineStr">
        <is>
          <t>1.94%</t>
        </is>
      </c>
      <c r="J1262" t="inlineStr">
        <is>
          <t>1605384.00</t>
        </is>
      </c>
      <c r="K1262" t="inlineStr">
        <is>
          <t>55000</t>
        </is>
      </c>
      <c r="L1262" t="inlineStr">
        <is>
          <t>11.000000000000</t>
        </is>
      </c>
      <c r="M1262" t="inlineStr"/>
    </row>
    <row r="1263">
      <c r="A1263" t="inlineStr">
        <is>
          <t>06/25/2026</t>
        </is>
      </c>
      <c r="B1263" t="inlineStr">
        <is>
          <t>GNMX</t>
        </is>
      </c>
      <c r="C1263" s="1" t="inlineStr">
        <is>
          <t>TXG</t>
        </is>
      </c>
      <c r="D1263" s="1" t="inlineStr">
        <is>
          <t>88025U109</t>
        </is>
      </c>
      <c r="E1263" t="inlineStr">
        <is>
          <t>10X Genomics Inc</t>
        </is>
      </c>
      <c r="F1263" t="inlineStr">
        <is>
          <t>891.00000000</t>
        </is>
      </c>
      <c r="G1263" t="inlineStr">
        <is>
          <t>34.600000</t>
        </is>
      </c>
      <c r="H1263" t="inlineStr">
        <is>
          <t>30828.60</t>
        </is>
      </c>
      <c r="I1263" t="inlineStr">
        <is>
          <t>1.92%</t>
        </is>
      </c>
      <c r="J1263" t="inlineStr">
        <is>
          <t>1605384.00</t>
        </is>
      </c>
      <c r="K1263" t="inlineStr">
        <is>
          <t>55000</t>
        </is>
      </c>
      <c r="L1263" t="inlineStr">
        <is>
          <t>11.000000000000</t>
        </is>
      </c>
      <c r="M1263" t="inlineStr"/>
    </row>
    <row r="1264">
      <c r="A1264" t="inlineStr">
        <is>
          <t>06/25/2026</t>
        </is>
      </c>
      <c r="B1264" t="inlineStr">
        <is>
          <t>GNMX</t>
        </is>
      </c>
      <c r="C1264" s="1" t="inlineStr">
        <is>
          <t>VCYT</t>
        </is>
      </c>
      <c r="D1264" s="1" t="inlineStr">
        <is>
          <t>92337F107</t>
        </is>
      </c>
      <c r="E1264" t="inlineStr">
        <is>
          <t>Veracyte Inc</t>
        </is>
      </c>
      <c r="F1264" t="inlineStr">
        <is>
          <t>583.00000000</t>
        </is>
      </c>
      <c r="G1264" t="inlineStr">
        <is>
          <t>56.760000</t>
        </is>
      </c>
      <c r="H1264" t="inlineStr">
        <is>
          <t>33091.08</t>
        </is>
      </c>
      <c r="I1264" t="inlineStr">
        <is>
          <t>2.06%</t>
        </is>
      </c>
      <c r="J1264" t="inlineStr">
        <is>
          <t>1605384.00</t>
        </is>
      </c>
      <c r="K1264" t="inlineStr">
        <is>
          <t>55000</t>
        </is>
      </c>
      <c r="L1264" t="inlineStr">
        <is>
          <t>11.000000000000</t>
        </is>
      </c>
      <c r="M1264" t="inlineStr"/>
    </row>
    <row r="1265">
      <c r="A1265" t="inlineStr">
        <is>
          <t>06/25/2026</t>
        </is>
      </c>
      <c r="B1265" t="inlineStr">
        <is>
          <t>GNMX</t>
        </is>
      </c>
      <c r="C1265" s="1" t="inlineStr">
        <is>
          <t>VRTX</t>
        </is>
      </c>
      <c r="D1265" s="1" t="inlineStr">
        <is>
          <t>92532F100</t>
        </is>
      </c>
      <c r="E1265" t="inlineStr">
        <is>
          <t>Vertex Pharmaceuticals Inc</t>
        </is>
      </c>
      <c r="F1265" t="inlineStr">
        <is>
          <t>231.00000000</t>
        </is>
      </c>
      <c r="G1265" t="inlineStr">
        <is>
          <t>475.200000</t>
        </is>
      </c>
      <c r="H1265" t="inlineStr">
        <is>
          <t>109771.20</t>
        </is>
      </c>
      <c r="I1265" t="inlineStr">
        <is>
          <t>6.84%</t>
        </is>
      </c>
      <c r="J1265" t="inlineStr">
        <is>
          <t>1605384.00</t>
        </is>
      </c>
      <c r="K1265" t="inlineStr">
        <is>
          <t>55000</t>
        </is>
      </c>
      <c r="L1265" t="inlineStr">
        <is>
          <t>11.000000000000</t>
        </is>
      </c>
      <c r="M1265" t="inlineStr"/>
    </row>
    <row r="1266">
      <c r="A1266" t="inlineStr">
        <is>
          <t>06/25/2026</t>
        </is>
      </c>
      <c r="B1266" t="inlineStr">
        <is>
          <t>GNMX</t>
        </is>
      </c>
      <c r="C1266" s="1" t="inlineStr">
        <is>
          <t>WGS</t>
        </is>
      </c>
      <c r="D1266" s="1" t="inlineStr">
        <is>
          <t>81663L200</t>
        </is>
      </c>
      <c r="E1266" t="inlineStr">
        <is>
          <t>GeneDx Holdings Corp</t>
        </is>
      </c>
      <c r="F1266" t="inlineStr">
        <is>
          <t>220.00000000</t>
        </is>
      </c>
      <c r="G1266" t="inlineStr">
        <is>
          <t>63.540000</t>
        </is>
      </c>
      <c r="H1266" t="inlineStr">
        <is>
          <t>13978.80</t>
        </is>
      </c>
      <c r="I1266" t="inlineStr">
        <is>
          <t>0.87%</t>
        </is>
      </c>
      <c r="J1266" t="inlineStr">
        <is>
          <t>1605384.00</t>
        </is>
      </c>
      <c r="K1266" t="inlineStr">
        <is>
          <t>55000</t>
        </is>
      </c>
      <c r="L1266" t="inlineStr">
        <is>
          <t>11.000000000000</t>
        </is>
      </c>
      <c r="M1266" t="inlineStr"/>
    </row>
    <row r="1267">
      <c r="A1267" t="inlineStr">
        <is>
          <t>06/25/2026</t>
        </is>
      </c>
      <c r="B1267" t="inlineStr">
        <is>
          <t>GNMX</t>
        </is>
      </c>
      <c r="C1267" s="1" t="inlineStr">
        <is>
          <t>Cash&amp;Other</t>
        </is>
      </c>
      <c r="D1267" s="1" t="inlineStr">
        <is>
          <t>Cash&amp;Other</t>
        </is>
      </c>
      <c r="E1267" t="inlineStr">
        <is>
          <t>Cash &amp; Other</t>
        </is>
      </c>
      <c r="F1267" t="inlineStr">
        <is>
          <t>-182.79000000</t>
        </is>
      </c>
      <c r="G1267" t="inlineStr">
        <is>
          <t>1.000000</t>
        </is>
      </c>
      <c r="H1267" t="inlineStr">
        <is>
          <t>-182.79</t>
        </is>
      </c>
      <c r="I1267" t="inlineStr">
        <is>
          <t>-0.01%</t>
        </is>
      </c>
      <c r="J1267" t="inlineStr">
        <is>
          <t>1605384.00</t>
        </is>
      </c>
      <c r="K1267" t="inlineStr">
        <is>
          <t>55000</t>
        </is>
      </c>
      <c r="L1267" t="inlineStr">
        <is>
          <t>11.000000000000</t>
        </is>
      </c>
      <c r="M1267" t="inlineStr">
        <is>
          <t>Y</t>
        </is>
      </c>
    </row>
    <row r="1268">
      <c r="A1268" t="inlineStr">
        <is>
          <t>06/25/2026</t>
        </is>
      </c>
      <c r="B1268" t="inlineStr">
        <is>
          <t>HJUN</t>
        </is>
      </c>
      <c r="C1268" s="1" t="inlineStr">
        <is>
          <t>2SPY  270528C00151710</t>
        </is>
      </c>
      <c r="D1268" s="1" t="inlineStr">
        <is>
          <t>2SPY  270528C00151710</t>
        </is>
      </c>
      <c r="E1268" t="inlineStr">
        <is>
          <t>SPY 05/28/2027 151.71 C</t>
        </is>
      </c>
      <c r="F1268" t="inlineStr">
        <is>
          <t>18.00000000</t>
        </is>
      </c>
      <c r="G1268" t="inlineStr">
        <is>
          <t>587.712214</t>
        </is>
      </c>
      <c r="H1268" t="inlineStr">
        <is>
          <t>1057881.99</t>
        </is>
      </c>
      <c r="I1268" t="inlineStr">
        <is>
          <t>77.12%</t>
        </is>
      </c>
      <c r="J1268" t="inlineStr">
        <is>
          <t>1371793.50</t>
        </is>
      </c>
      <c r="K1268" t="inlineStr">
        <is>
          <t>55000</t>
        </is>
      </c>
      <c r="L1268" t="inlineStr">
        <is>
          <t>11.000000000000</t>
        </is>
      </c>
      <c r="M1268" t="inlineStr"/>
    </row>
    <row r="1269">
      <c r="A1269" t="inlineStr">
        <is>
          <t>06/25/2026</t>
        </is>
      </c>
      <c r="B1269" t="inlineStr">
        <is>
          <t>HJUN</t>
        </is>
      </c>
      <c r="C1269" s="1" t="inlineStr">
        <is>
          <t>2SPY  270528C00819680</t>
        </is>
      </c>
      <c r="D1269" s="1" t="inlineStr">
        <is>
          <t>2SPY  270528C00819680</t>
        </is>
      </c>
      <c r="E1269" t="inlineStr">
        <is>
          <t>SPY 05/28/2027 819.68 C</t>
        </is>
      </c>
      <c r="F1269" t="inlineStr">
        <is>
          <t>-18.00000000</t>
        </is>
      </c>
      <c r="G1269" t="inlineStr">
        <is>
          <t>21.757617</t>
        </is>
      </c>
      <c r="H1269" t="inlineStr">
        <is>
          <t>-39163.71</t>
        </is>
      </c>
      <c r="I1269" t="inlineStr">
        <is>
          <t>-2.85%</t>
        </is>
      </c>
      <c r="J1269" t="inlineStr">
        <is>
          <t>1371793.50</t>
        </is>
      </c>
      <c r="K1269" t="inlineStr">
        <is>
          <t>55000</t>
        </is>
      </c>
      <c r="L1269" t="inlineStr">
        <is>
          <t>11.000000000000</t>
        </is>
      </c>
      <c r="M1269" t="inlineStr"/>
    </row>
    <row r="1270">
      <c r="A1270" t="inlineStr">
        <is>
          <t>06/25/2026</t>
        </is>
      </c>
      <c r="B1270" t="inlineStr">
        <is>
          <t>HJUN</t>
        </is>
      </c>
      <c r="C1270" s="1" t="inlineStr">
        <is>
          <t>2SPY  270528P00758540</t>
        </is>
      </c>
      <c r="D1270" s="1" t="inlineStr">
        <is>
          <t>2SPY  270528P00758540</t>
        </is>
      </c>
      <c r="E1270" t="inlineStr">
        <is>
          <t>SPY 05/28/2027 758.54 P</t>
        </is>
      </c>
      <c r="F1270" t="inlineStr">
        <is>
          <t>18.00000000</t>
        </is>
      </c>
      <c r="G1270" t="inlineStr">
        <is>
          <t>47.816167</t>
        </is>
      </c>
      <c r="H1270" t="inlineStr">
        <is>
          <t>86069.10</t>
        </is>
      </c>
      <c r="I1270" t="inlineStr">
        <is>
          <t>6.27%</t>
        </is>
      </c>
      <c r="J1270" t="inlineStr">
        <is>
          <t>1371793.50</t>
        </is>
      </c>
      <c r="K1270" t="inlineStr">
        <is>
          <t>55000</t>
        </is>
      </c>
      <c r="L1270" t="inlineStr">
        <is>
          <t>11.000000000000</t>
        </is>
      </c>
      <c r="M1270" t="inlineStr"/>
    </row>
    <row r="1271">
      <c r="A1271" t="inlineStr">
        <is>
          <t>06/25/2026</t>
        </is>
      </c>
      <c r="B1271" t="inlineStr">
        <is>
          <t>HJUN</t>
        </is>
      </c>
      <c r="C1271" s="1" t="inlineStr">
        <is>
          <t>912828ZS2</t>
        </is>
      </c>
      <c r="D1271" s="1" t="inlineStr">
        <is>
          <t>912828ZS2</t>
        </is>
      </c>
      <c r="E1271" t="inlineStr">
        <is>
          <t>United States Treasury Note/Bond 0.5% 05/31/2027</t>
        </is>
      </c>
      <c r="F1271" t="inlineStr">
        <is>
          <t>189000.00000000</t>
        </is>
      </c>
      <c r="G1271" t="inlineStr">
        <is>
          <t>96.755895</t>
        </is>
      </c>
      <c r="H1271" t="inlineStr">
        <is>
          <t>182868.64</t>
        </is>
      </c>
      <c r="I1271" t="inlineStr">
        <is>
          <t>13.33%</t>
        </is>
      </c>
      <c r="J1271" t="inlineStr">
        <is>
          <t>1371793.50</t>
        </is>
      </c>
      <c r="K1271" t="inlineStr">
        <is>
          <t>55000</t>
        </is>
      </c>
      <c r="L1271" t="inlineStr">
        <is>
          <t>11.000000000000</t>
        </is>
      </c>
      <c r="M1271" t="inlineStr"/>
    </row>
    <row r="1272">
      <c r="A1272" t="inlineStr">
        <is>
          <t>06/25/2026</t>
        </is>
      </c>
      <c r="B1272" t="inlineStr">
        <is>
          <t>HJUN</t>
        </is>
      </c>
      <c r="C1272" s="1" t="inlineStr">
        <is>
          <t>FGXXX</t>
        </is>
      </c>
      <c r="D1272" s="1" t="inlineStr">
        <is>
          <t>31846V336</t>
        </is>
      </c>
      <c r="E1272" t="inlineStr">
        <is>
          <t>First American Government Obligations Fund 12/01/2031</t>
        </is>
      </c>
      <c r="F1272" t="inlineStr">
        <is>
          <t>84053.57000000</t>
        </is>
      </c>
      <c r="G1272" t="inlineStr">
        <is>
          <t>100.000000</t>
        </is>
      </c>
      <c r="H1272" t="inlineStr">
        <is>
          <t>84053.57</t>
        </is>
      </c>
      <c r="I1272" t="inlineStr">
        <is>
          <t>6.13%</t>
        </is>
      </c>
      <c r="J1272" t="inlineStr">
        <is>
          <t>1371793.50</t>
        </is>
      </c>
      <c r="K1272" t="inlineStr">
        <is>
          <t>55000</t>
        </is>
      </c>
      <c r="L1272" t="inlineStr">
        <is>
          <t>11.000000000000</t>
        </is>
      </c>
      <c r="M1272" t="inlineStr">
        <is>
          <t>Y</t>
        </is>
      </c>
    </row>
    <row r="1273">
      <c r="A1273" t="inlineStr">
        <is>
          <t>06/25/2026</t>
        </is>
      </c>
      <c r="B1273" t="inlineStr">
        <is>
          <t>HJUN</t>
        </is>
      </c>
      <c r="C1273" s="1" t="inlineStr">
        <is>
          <t>Cash&amp;Other</t>
        </is>
      </c>
      <c r="D1273" s="1" t="inlineStr">
        <is>
          <t>Cash&amp;Other</t>
        </is>
      </c>
      <c r="E1273" t="inlineStr">
        <is>
          <t>Cash &amp; Other</t>
        </is>
      </c>
      <c r="F1273" t="inlineStr">
        <is>
          <t>83.46000000</t>
        </is>
      </c>
      <c r="G1273" t="inlineStr">
        <is>
          <t>1.000000</t>
        </is>
      </c>
      <c r="H1273" t="inlineStr">
        <is>
          <t>83.46</t>
        </is>
      </c>
      <c r="I1273" t="inlineStr">
        <is>
          <t>0.01%</t>
        </is>
      </c>
      <c r="J1273" t="inlineStr">
        <is>
          <t>1371793.50</t>
        </is>
      </c>
      <c r="K1273" t="inlineStr">
        <is>
          <t>55000</t>
        </is>
      </c>
      <c r="L1273" t="inlineStr">
        <is>
          <t>11.000000000000</t>
        </is>
      </c>
      <c r="M1273" t="inlineStr">
        <is>
          <t>Y</t>
        </is>
      </c>
    </row>
    <row r="1274">
      <c r="A1274" t="inlineStr">
        <is>
          <t>06/25/2026</t>
        </is>
      </c>
      <c r="B1274" t="inlineStr">
        <is>
          <t>HMAY</t>
        </is>
      </c>
      <c r="C1274" s="1" t="inlineStr">
        <is>
          <t>2SPY  270430C00144740</t>
        </is>
      </c>
      <c r="D1274" s="1" t="inlineStr">
        <is>
          <t>2SPY  270430C00144740</t>
        </is>
      </c>
      <c r="E1274" t="inlineStr">
        <is>
          <t>SPY 04/30/2027 144.74 C</t>
        </is>
      </c>
      <c r="F1274" t="inlineStr">
        <is>
          <t>65.00000000</t>
        </is>
      </c>
      <c r="G1274" t="inlineStr">
        <is>
          <t>593.209989</t>
        </is>
      </c>
      <c r="H1274" t="inlineStr">
        <is>
          <t>3855864.93</t>
        </is>
      </c>
      <c r="I1274" t="inlineStr">
        <is>
          <t>80.41%</t>
        </is>
      </c>
      <c r="J1274" t="inlineStr">
        <is>
          <t>4795353.00</t>
        </is>
      </c>
      <c r="K1274" t="inlineStr">
        <is>
          <t>190000</t>
        </is>
      </c>
      <c r="L1274" t="inlineStr">
        <is>
          <t>38.000000000000</t>
        </is>
      </c>
      <c r="M1274" t="inlineStr"/>
    </row>
    <row r="1275">
      <c r="A1275" t="inlineStr">
        <is>
          <t>06/25/2026</t>
        </is>
      </c>
      <c r="B1275" t="inlineStr">
        <is>
          <t>HMAY</t>
        </is>
      </c>
      <c r="C1275" s="1" t="inlineStr">
        <is>
          <t>2SPY  270430C00770750</t>
        </is>
      </c>
      <c r="D1275" s="1" t="inlineStr">
        <is>
          <t>2SPY  270430C00770750</t>
        </is>
      </c>
      <c r="E1275" t="inlineStr">
        <is>
          <t>SPY 04/30/2027 770.75 C</t>
        </is>
      </c>
      <c r="F1275" t="inlineStr">
        <is>
          <t>-65.00000000</t>
        </is>
      </c>
      <c r="G1275" t="inlineStr">
        <is>
          <t>39.547493</t>
        </is>
      </c>
      <c r="H1275" t="inlineStr">
        <is>
          <t>-257058.70</t>
        </is>
      </c>
      <c r="I1275" t="inlineStr">
        <is>
          <t>-5.36%</t>
        </is>
      </c>
      <c r="J1275" t="inlineStr">
        <is>
          <t>4795353.00</t>
        </is>
      </c>
      <c r="K1275" t="inlineStr">
        <is>
          <t>190000</t>
        </is>
      </c>
      <c r="L1275" t="inlineStr">
        <is>
          <t>38.000000000000</t>
        </is>
      </c>
      <c r="M1275" t="inlineStr"/>
    </row>
    <row r="1276">
      <c r="A1276" t="inlineStr">
        <is>
          <t>06/25/2026</t>
        </is>
      </c>
      <c r="B1276" t="inlineStr">
        <is>
          <t>HMAY</t>
        </is>
      </c>
      <c r="C1276" s="1" t="inlineStr">
        <is>
          <t>2SPY  270430P00723710</t>
        </is>
      </c>
      <c r="D1276" s="1" t="inlineStr">
        <is>
          <t>2SPY  270430P00723710</t>
        </is>
      </c>
      <c r="E1276" t="inlineStr">
        <is>
          <t>SPY 04/30/2027 723.71 P</t>
        </is>
      </c>
      <c r="F1276" t="inlineStr">
        <is>
          <t>65.00000000</t>
        </is>
      </c>
      <c r="G1276" t="inlineStr">
        <is>
          <t>35.161236</t>
        </is>
      </c>
      <c r="H1276" t="inlineStr">
        <is>
          <t>228548.03</t>
        </is>
      </c>
      <c r="I1276" t="inlineStr">
        <is>
          <t>4.77%</t>
        </is>
      </c>
      <c r="J1276" t="inlineStr">
        <is>
          <t>4795353.00</t>
        </is>
      </c>
      <c r="K1276" t="inlineStr">
        <is>
          <t>190000</t>
        </is>
      </c>
      <c r="L1276" t="inlineStr">
        <is>
          <t>38.000000000000</t>
        </is>
      </c>
      <c r="M1276" t="inlineStr"/>
    </row>
    <row r="1277">
      <c r="A1277" t="inlineStr">
        <is>
          <t>06/25/2026</t>
        </is>
      </c>
      <c r="B1277" t="inlineStr">
        <is>
          <t>HMAY</t>
        </is>
      </c>
      <c r="C1277" s="1" t="inlineStr">
        <is>
          <t>91282CMY4</t>
        </is>
      </c>
      <c r="D1277" s="1" t="inlineStr">
        <is>
          <t>91282CMY4</t>
        </is>
      </c>
      <c r="E1277" t="inlineStr">
        <is>
          <t>United States Treasury Note/Bond 3.75% 04/30/2027</t>
        </is>
      </c>
      <c r="F1277" t="inlineStr">
        <is>
          <t>834000.00000000</t>
        </is>
      </c>
      <c r="G1277" t="inlineStr">
        <is>
          <t>99.758247</t>
        </is>
      </c>
      <c r="H1277" t="inlineStr">
        <is>
          <t>831983.78</t>
        </is>
      </c>
      <c r="I1277" t="inlineStr">
        <is>
          <t>17.35%</t>
        </is>
      </c>
      <c r="J1277" t="inlineStr">
        <is>
          <t>4795353.00</t>
        </is>
      </c>
      <c r="K1277" t="inlineStr">
        <is>
          <t>190000</t>
        </is>
      </c>
      <c r="L1277" t="inlineStr">
        <is>
          <t>38.000000000000</t>
        </is>
      </c>
      <c r="M1277" t="inlineStr"/>
    </row>
    <row r="1278">
      <c r="A1278" t="inlineStr">
        <is>
          <t>06/25/2026</t>
        </is>
      </c>
      <c r="B1278" t="inlineStr">
        <is>
          <t>HMAY</t>
        </is>
      </c>
      <c r="C1278" s="1" t="inlineStr">
        <is>
          <t>FGXXX</t>
        </is>
      </c>
      <c r="D1278" s="1" t="inlineStr">
        <is>
          <t>31846V336</t>
        </is>
      </c>
      <c r="E1278" t="inlineStr">
        <is>
          <t>First American Government Obligations Fund 12/01/2031</t>
        </is>
      </c>
      <c r="F1278" t="inlineStr">
        <is>
          <t>131947.99000000</t>
        </is>
      </c>
      <c r="G1278" t="inlineStr">
        <is>
          <t>100.000000</t>
        </is>
      </c>
      <c r="H1278" t="inlineStr">
        <is>
          <t>131947.99</t>
        </is>
      </c>
      <c r="I1278" t="inlineStr">
        <is>
          <t>2.75%</t>
        </is>
      </c>
      <c r="J1278" t="inlineStr">
        <is>
          <t>4795353.00</t>
        </is>
      </c>
      <c r="K1278" t="inlineStr">
        <is>
          <t>190000</t>
        </is>
      </c>
      <c r="L1278" t="inlineStr">
        <is>
          <t>38.000000000000</t>
        </is>
      </c>
      <c r="M1278" t="inlineStr">
        <is>
          <t>Y</t>
        </is>
      </c>
    </row>
    <row r="1279">
      <c r="A1279" t="inlineStr">
        <is>
          <t>06/25/2026</t>
        </is>
      </c>
      <c r="B1279" t="inlineStr">
        <is>
          <t>HMAY</t>
        </is>
      </c>
      <c r="C1279" s="1" t="inlineStr">
        <is>
          <t>Cash&amp;Other</t>
        </is>
      </c>
      <c r="D1279" s="1" t="inlineStr">
        <is>
          <t>Cash&amp;Other</t>
        </is>
      </c>
      <c r="E1279" t="inlineStr">
        <is>
          <t>Cash &amp; Other</t>
        </is>
      </c>
      <c r="F1279" t="inlineStr">
        <is>
          <t>4125.29000000</t>
        </is>
      </c>
      <c r="G1279" t="inlineStr">
        <is>
          <t>1.000000</t>
        </is>
      </c>
      <c r="H1279" t="inlineStr">
        <is>
          <t>4125.29</t>
        </is>
      </c>
      <c r="I1279" t="inlineStr">
        <is>
          <t>0.09%</t>
        </is>
      </c>
      <c r="J1279" t="inlineStr">
        <is>
          <t>4795353.00</t>
        </is>
      </c>
      <c r="K1279" t="inlineStr">
        <is>
          <t>190000</t>
        </is>
      </c>
      <c r="L1279" t="inlineStr">
        <is>
          <t>38.000000000000</t>
        </is>
      </c>
      <c r="M1279" t="inlineStr">
        <is>
          <t>Y</t>
        </is>
      </c>
    </row>
    <row r="1280">
      <c r="A1280" t="inlineStr">
        <is>
          <t>06/25/2026</t>
        </is>
      </c>
      <c r="B1280" t="inlineStr">
        <is>
          <t>HULL</t>
        </is>
      </c>
      <c r="C1280" s="1" t="inlineStr">
        <is>
          <t>AMZN</t>
        </is>
      </c>
      <c r="D1280" s="1" t="inlineStr">
        <is>
          <t>023135106</t>
        </is>
      </c>
      <c r="E1280" t="inlineStr">
        <is>
          <t>Amazon.com Inc</t>
        </is>
      </c>
      <c r="F1280" t="inlineStr">
        <is>
          <t>1292.00000000</t>
        </is>
      </c>
      <c r="G1280" t="inlineStr">
        <is>
          <t>234.270000</t>
        </is>
      </c>
      <c r="H1280" t="inlineStr">
        <is>
          <t>302676.84</t>
        </is>
      </c>
      <c r="I1280" t="inlineStr">
        <is>
          <t>12.67%</t>
        </is>
      </c>
      <c r="J1280" t="inlineStr">
        <is>
          <t>2388461.50</t>
        </is>
      </c>
      <c r="K1280" t="inlineStr">
        <is>
          <t>95000</t>
        </is>
      </c>
      <c r="L1280" t="inlineStr">
        <is>
          <t>19.000000000000</t>
        </is>
      </c>
      <c r="M1280" t="inlineStr"/>
    </row>
    <row r="1281">
      <c r="A1281" t="inlineStr">
        <is>
          <t>06/25/2026</t>
        </is>
      </c>
      <c r="B1281" t="inlineStr">
        <is>
          <t>HULL</t>
        </is>
      </c>
      <c r="C1281" s="1" t="inlineStr">
        <is>
          <t>ASC</t>
        </is>
      </c>
      <c r="D1281" s="1" t="inlineStr">
        <is>
          <t>Y0207T100</t>
        </is>
      </c>
      <c r="E1281" t="inlineStr">
        <is>
          <t>Ardmore Shipping Corp</t>
        </is>
      </c>
      <c r="F1281" t="inlineStr">
        <is>
          <t>1862.00000000</t>
        </is>
      </c>
      <c r="G1281" t="inlineStr">
        <is>
          <t>16.940000</t>
        </is>
      </c>
      <c r="H1281" t="inlineStr">
        <is>
          <t>31542.28</t>
        </is>
      </c>
      <c r="I1281" t="inlineStr">
        <is>
          <t>1.32%</t>
        </is>
      </c>
      <c r="J1281" t="inlineStr">
        <is>
          <t>2388461.50</t>
        </is>
      </c>
      <c r="K1281" t="inlineStr">
        <is>
          <t>95000</t>
        </is>
      </c>
      <c r="L1281" t="inlineStr">
        <is>
          <t>19.000000000000</t>
        </is>
      </c>
      <c r="M1281" t="inlineStr"/>
    </row>
    <row r="1282">
      <c r="A1282" t="inlineStr">
        <is>
          <t>06/25/2026</t>
        </is>
      </c>
      <c r="B1282" t="inlineStr">
        <is>
          <t>HULL</t>
        </is>
      </c>
      <c r="C1282" s="1" t="inlineStr">
        <is>
          <t>CHRW</t>
        </is>
      </c>
      <c r="D1282" s="1" t="inlineStr">
        <is>
          <t>12541W209</t>
        </is>
      </c>
      <c r="E1282" t="inlineStr">
        <is>
          <t>CH Robinson Worldwide Inc</t>
        </is>
      </c>
      <c r="F1282" t="inlineStr">
        <is>
          <t>475.00000000</t>
        </is>
      </c>
      <c r="G1282" t="inlineStr">
        <is>
          <t>177.280000</t>
        </is>
      </c>
      <c r="H1282" t="inlineStr">
        <is>
          <t>84208.00</t>
        </is>
      </c>
      <c r="I1282" t="inlineStr">
        <is>
          <t>3.53%</t>
        </is>
      </c>
      <c r="J1282" t="inlineStr">
        <is>
          <t>2388461.50</t>
        </is>
      </c>
      <c r="K1282" t="inlineStr">
        <is>
          <t>95000</t>
        </is>
      </c>
      <c r="L1282" t="inlineStr">
        <is>
          <t>19.000000000000</t>
        </is>
      </c>
      <c r="M1282" t="inlineStr"/>
    </row>
    <row r="1283">
      <c r="A1283" t="inlineStr">
        <is>
          <t>06/25/2026</t>
        </is>
      </c>
      <c r="B1283" t="inlineStr">
        <is>
          <t>HULL</t>
        </is>
      </c>
      <c r="C1283" s="1" t="inlineStr">
        <is>
          <t>CMBT</t>
        </is>
      </c>
      <c r="D1283" s="1" t="inlineStr">
        <is>
          <t>B38564108</t>
        </is>
      </c>
      <c r="E1283" t="inlineStr">
        <is>
          <t>CMB Tech NV</t>
        </is>
      </c>
      <c r="F1283" t="inlineStr">
        <is>
          <t>3116.00000000</t>
        </is>
      </c>
      <c r="G1283" t="inlineStr">
        <is>
          <t>15.460000</t>
        </is>
      </c>
      <c r="H1283" t="inlineStr">
        <is>
          <t>48173.36</t>
        </is>
      </c>
      <c r="I1283" t="inlineStr">
        <is>
          <t>2.02%</t>
        </is>
      </c>
      <c r="J1283" t="inlineStr">
        <is>
          <t>2388461.50</t>
        </is>
      </c>
      <c r="K1283" t="inlineStr">
        <is>
          <t>95000</t>
        </is>
      </c>
      <c r="L1283" t="inlineStr">
        <is>
          <t>19.000000000000</t>
        </is>
      </c>
      <c r="M1283" t="inlineStr"/>
    </row>
    <row r="1284">
      <c r="A1284" t="inlineStr">
        <is>
          <t>06/25/2026</t>
        </is>
      </c>
      <c r="B1284" t="inlineStr">
        <is>
          <t>HULL</t>
        </is>
      </c>
      <c r="C1284" s="1" t="inlineStr">
        <is>
          <t>CMRE</t>
        </is>
      </c>
      <c r="D1284" s="1" t="inlineStr">
        <is>
          <t>Y1771G102</t>
        </is>
      </c>
      <c r="E1284" t="inlineStr">
        <is>
          <t>Costamare Inc</t>
        </is>
      </c>
      <c r="F1284" t="inlineStr">
        <is>
          <t>1957.00000000</t>
        </is>
      </c>
      <c r="G1284" t="inlineStr">
        <is>
          <t>15.070000</t>
        </is>
      </c>
      <c r="H1284" t="inlineStr">
        <is>
          <t>29491.99</t>
        </is>
      </c>
      <c r="I1284" t="inlineStr">
        <is>
          <t>1.23%</t>
        </is>
      </c>
      <c r="J1284" t="inlineStr">
        <is>
          <t>2388461.50</t>
        </is>
      </c>
      <c r="K1284" t="inlineStr">
        <is>
          <t>95000</t>
        </is>
      </c>
      <c r="L1284" t="inlineStr">
        <is>
          <t>19.000000000000</t>
        </is>
      </c>
      <c r="M1284" t="inlineStr"/>
    </row>
    <row r="1285">
      <c r="A1285" t="inlineStr">
        <is>
          <t>06/25/2026</t>
        </is>
      </c>
      <c r="B1285" t="inlineStr">
        <is>
          <t>HULL</t>
        </is>
      </c>
      <c r="C1285" s="1" t="inlineStr">
        <is>
          <t>DAC</t>
        </is>
      </c>
      <c r="D1285" s="1" t="inlineStr">
        <is>
          <t>Y1968P121</t>
        </is>
      </c>
      <c r="E1285" t="inlineStr">
        <is>
          <t>Danaos Corp</t>
        </is>
      </c>
      <c r="F1285" t="inlineStr">
        <is>
          <t>304.00000000</t>
        </is>
      </c>
      <c r="G1285" t="inlineStr">
        <is>
          <t>125.290000</t>
        </is>
      </c>
      <c r="H1285" t="inlineStr">
        <is>
          <t>38088.16</t>
        </is>
      </c>
      <c r="I1285" t="inlineStr">
        <is>
          <t>1.59%</t>
        </is>
      </c>
      <c r="J1285" t="inlineStr">
        <is>
          <t>2388461.50</t>
        </is>
      </c>
      <c r="K1285" t="inlineStr">
        <is>
          <t>95000</t>
        </is>
      </c>
      <c r="L1285" t="inlineStr">
        <is>
          <t>19.000000000000</t>
        </is>
      </c>
      <c r="M1285" t="inlineStr"/>
    </row>
    <row r="1286">
      <c r="A1286" t="inlineStr">
        <is>
          <t>06/25/2026</t>
        </is>
      </c>
      <c r="B1286" t="inlineStr">
        <is>
          <t>HULL</t>
        </is>
      </c>
      <c r="C1286" s="1" t="inlineStr">
        <is>
          <t>DHT</t>
        </is>
      </c>
      <c r="D1286" s="1" t="inlineStr">
        <is>
          <t>Y2065G121</t>
        </is>
      </c>
      <c r="E1286" t="inlineStr">
        <is>
          <t>DHT Holdings Inc</t>
        </is>
      </c>
      <c r="F1286" t="inlineStr">
        <is>
          <t>2641.00000000</t>
        </is>
      </c>
      <c r="G1286" t="inlineStr">
        <is>
          <t>19.390000</t>
        </is>
      </c>
      <c r="H1286" t="inlineStr">
        <is>
          <t>51208.99</t>
        </is>
      </c>
      <c r="I1286" t="inlineStr">
        <is>
          <t>2.14%</t>
        </is>
      </c>
      <c r="J1286" t="inlineStr">
        <is>
          <t>2388461.50</t>
        </is>
      </c>
      <c r="K1286" t="inlineStr">
        <is>
          <t>95000</t>
        </is>
      </c>
      <c r="L1286" t="inlineStr">
        <is>
          <t>19.000000000000</t>
        </is>
      </c>
      <c r="M1286" t="inlineStr"/>
    </row>
    <row r="1287">
      <c r="A1287" t="inlineStr">
        <is>
          <t>06/25/2026</t>
        </is>
      </c>
      <c r="B1287" t="inlineStr">
        <is>
          <t>HULL</t>
        </is>
      </c>
      <c r="C1287" s="1" t="inlineStr">
        <is>
          <t>DSGX</t>
        </is>
      </c>
      <c r="D1287" s="1" t="inlineStr">
        <is>
          <t>249906108</t>
        </is>
      </c>
      <c r="E1287" t="inlineStr">
        <is>
          <t>Descartes Systems Group Inc/The</t>
        </is>
      </c>
      <c r="F1287" t="inlineStr">
        <is>
          <t>855.00000000</t>
        </is>
      </c>
      <c r="G1287" t="inlineStr">
        <is>
          <t>67.770000</t>
        </is>
      </c>
      <c r="H1287" t="inlineStr">
        <is>
          <t>57943.35</t>
        </is>
      </c>
      <c r="I1287" t="inlineStr">
        <is>
          <t>2.43%</t>
        </is>
      </c>
      <c r="J1287" t="inlineStr">
        <is>
          <t>2388461.50</t>
        </is>
      </c>
      <c r="K1287" t="inlineStr">
        <is>
          <t>95000</t>
        </is>
      </c>
      <c r="L1287" t="inlineStr">
        <is>
          <t>19.000000000000</t>
        </is>
      </c>
      <c r="M1287" t="inlineStr"/>
    </row>
    <row r="1288">
      <c r="A1288" t="inlineStr">
        <is>
          <t>06/25/2026</t>
        </is>
      </c>
      <c r="B1288" t="inlineStr">
        <is>
          <t>HULL</t>
        </is>
      </c>
      <c r="C1288" s="1" t="inlineStr">
        <is>
          <t>DSX</t>
        </is>
      </c>
      <c r="D1288" s="1" t="inlineStr">
        <is>
          <t>Y2066G104</t>
        </is>
      </c>
      <c r="E1288" t="inlineStr">
        <is>
          <t>Diana Shipping Inc</t>
        </is>
      </c>
      <c r="F1288" t="inlineStr">
        <is>
          <t>9044.00000000</t>
        </is>
      </c>
      <c r="G1288" t="inlineStr">
        <is>
          <t>2.060000</t>
        </is>
      </c>
      <c r="H1288" t="inlineStr">
        <is>
          <t>18630.64</t>
        </is>
      </c>
      <c r="I1288" t="inlineStr">
        <is>
          <t>0.78%</t>
        </is>
      </c>
      <c r="J1288" t="inlineStr">
        <is>
          <t>2388461.50</t>
        </is>
      </c>
      <c r="K1288" t="inlineStr">
        <is>
          <t>95000</t>
        </is>
      </c>
      <c r="L1288" t="inlineStr">
        <is>
          <t>19.000000000000</t>
        </is>
      </c>
      <c r="M1288" t="inlineStr"/>
    </row>
    <row r="1289">
      <c r="A1289" t="inlineStr">
        <is>
          <t>06/25/2026</t>
        </is>
      </c>
      <c r="B1289" t="inlineStr">
        <is>
          <t>HULL</t>
        </is>
      </c>
      <c r="C1289" s="1" t="inlineStr">
        <is>
          <t>EE</t>
        </is>
      </c>
      <c r="D1289" s="1" t="inlineStr">
        <is>
          <t>30069T101</t>
        </is>
      </c>
      <c r="E1289" t="inlineStr">
        <is>
          <t>Excelerate Energy Inc</t>
        </is>
      </c>
      <c r="F1289" t="inlineStr">
        <is>
          <t>988.00000000</t>
        </is>
      </c>
      <c r="G1289" t="inlineStr">
        <is>
          <t>35.700000</t>
        </is>
      </c>
      <c r="H1289" t="inlineStr">
        <is>
          <t>35271.60</t>
        </is>
      </c>
      <c r="I1289" t="inlineStr">
        <is>
          <t>1.48%</t>
        </is>
      </c>
      <c r="J1289" t="inlineStr">
        <is>
          <t>2388461.50</t>
        </is>
      </c>
      <c r="K1289" t="inlineStr">
        <is>
          <t>95000</t>
        </is>
      </c>
      <c r="L1289" t="inlineStr">
        <is>
          <t>19.000000000000</t>
        </is>
      </c>
      <c r="M1289" t="inlineStr"/>
    </row>
    <row r="1290">
      <c r="A1290" t="inlineStr">
        <is>
          <t>06/25/2026</t>
        </is>
      </c>
      <c r="B1290" t="inlineStr">
        <is>
          <t>HULL</t>
        </is>
      </c>
      <c r="C1290" s="1" t="inlineStr">
        <is>
          <t>ESEA</t>
        </is>
      </c>
      <c r="D1290" s="1" t="inlineStr">
        <is>
          <t>Y23592135</t>
        </is>
      </c>
      <c r="E1290" t="inlineStr">
        <is>
          <t>Euroseas Ltd</t>
        </is>
      </c>
      <c r="F1290" t="inlineStr">
        <is>
          <t>380.00000000</t>
        </is>
      </c>
      <c r="G1290" t="inlineStr">
        <is>
          <t>68.260000</t>
        </is>
      </c>
      <c r="H1290" t="inlineStr">
        <is>
          <t>25938.80</t>
        </is>
      </c>
      <c r="I1290" t="inlineStr">
        <is>
          <t>1.09%</t>
        </is>
      </c>
      <c r="J1290" t="inlineStr">
        <is>
          <t>2388461.50</t>
        </is>
      </c>
      <c r="K1290" t="inlineStr">
        <is>
          <t>95000</t>
        </is>
      </c>
      <c r="L1290" t="inlineStr">
        <is>
          <t>19.000000000000</t>
        </is>
      </c>
      <c r="M1290" t="inlineStr"/>
    </row>
    <row r="1291">
      <c r="A1291" t="inlineStr">
        <is>
          <t>06/25/2026</t>
        </is>
      </c>
      <c r="B1291" t="inlineStr">
        <is>
          <t>HULL</t>
        </is>
      </c>
      <c r="C1291" s="1" t="inlineStr">
        <is>
          <t>EXPD</t>
        </is>
      </c>
      <c r="D1291" s="1" t="inlineStr">
        <is>
          <t>302130109</t>
        </is>
      </c>
      <c r="E1291" t="inlineStr">
        <is>
          <t>Expeditors International of Washington Inc</t>
        </is>
      </c>
      <c r="F1291" t="inlineStr">
        <is>
          <t>570.00000000</t>
        </is>
      </c>
      <c r="G1291" t="inlineStr">
        <is>
          <t>160.160000</t>
        </is>
      </c>
      <c r="H1291" t="inlineStr">
        <is>
          <t>91291.20</t>
        </is>
      </c>
      <c r="I1291" t="inlineStr">
        <is>
          <t>3.82%</t>
        </is>
      </c>
      <c r="J1291" t="inlineStr">
        <is>
          <t>2388461.50</t>
        </is>
      </c>
      <c r="K1291" t="inlineStr">
        <is>
          <t>95000</t>
        </is>
      </c>
      <c r="L1291" t="inlineStr">
        <is>
          <t>19.000000000000</t>
        </is>
      </c>
      <c r="M1291" t="inlineStr"/>
    </row>
    <row r="1292">
      <c r="A1292" t="inlineStr">
        <is>
          <t>06/25/2026</t>
        </is>
      </c>
      <c r="B1292" t="inlineStr">
        <is>
          <t>HULL</t>
        </is>
      </c>
      <c r="C1292" s="1" t="inlineStr">
        <is>
          <t>FDX</t>
        </is>
      </c>
      <c r="D1292" s="1" t="inlineStr">
        <is>
          <t>31428X106</t>
        </is>
      </c>
      <c r="E1292" t="inlineStr">
        <is>
          <t>FedEx Corp</t>
        </is>
      </c>
      <c r="F1292" t="inlineStr">
        <is>
          <t>342.00000000</t>
        </is>
      </c>
      <c r="G1292" t="inlineStr">
        <is>
          <t>316.830000</t>
        </is>
      </c>
      <c r="H1292" t="inlineStr">
        <is>
          <t>108355.86</t>
        </is>
      </c>
      <c r="I1292" t="inlineStr">
        <is>
          <t>4.54%</t>
        </is>
      </c>
      <c r="J1292" t="inlineStr">
        <is>
          <t>2388461.50</t>
        </is>
      </c>
      <c r="K1292" t="inlineStr">
        <is>
          <t>95000</t>
        </is>
      </c>
      <c r="L1292" t="inlineStr">
        <is>
          <t>19.000000000000</t>
        </is>
      </c>
      <c r="M1292" t="inlineStr"/>
    </row>
    <row r="1293">
      <c r="A1293" t="inlineStr">
        <is>
          <t>06/25/2026</t>
        </is>
      </c>
      <c r="B1293" t="inlineStr">
        <is>
          <t>HULL</t>
        </is>
      </c>
      <c r="C1293" s="1" t="inlineStr">
        <is>
          <t>FDXF</t>
        </is>
      </c>
      <c r="D1293" s="1" t="inlineStr">
        <is>
          <t>314352105</t>
        </is>
      </c>
      <c r="E1293" t="inlineStr">
        <is>
          <t>Fedex Freight Holding Co Inc</t>
        </is>
      </c>
      <c r="F1293" t="inlineStr">
        <is>
          <t>171.00000000</t>
        </is>
      </c>
      <c r="G1293" t="inlineStr">
        <is>
          <t>160.450000</t>
        </is>
      </c>
      <c r="H1293" t="inlineStr">
        <is>
          <t>27436.95</t>
        </is>
      </c>
      <c r="I1293" t="inlineStr">
        <is>
          <t>1.15%</t>
        </is>
      </c>
      <c r="J1293" t="inlineStr">
        <is>
          <t>2388461.50</t>
        </is>
      </c>
      <c r="K1293" t="inlineStr">
        <is>
          <t>95000</t>
        </is>
      </c>
      <c r="L1293" t="inlineStr">
        <is>
          <t>19.000000000000</t>
        </is>
      </c>
      <c r="M1293" t="inlineStr"/>
    </row>
    <row r="1294">
      <c r="A1294" t="inlineStr">
        <is>
          <t>06/25/2026</t>
        </is>
      </c>
      <c r="B1294" t="inlineStr">
        <is>
          <t>HULL</t>
        </is>
      </c>
      <c r="C1294" s="1" t="inlineStr">
        <is>
          <t>FGXXX</t>
        </is>
      </c>
      <c r="D1294" s="1" t="inlineStr">
        <is>
          <t>31846V336</t>
        </is>
      </c>
      <c r="E1294" t="inlineStr">
        <is>
          <t>First American Government Obligations Fund 12/01/2031</t>
        </is>
      </c>
      <c r="F1294" t="inlineStr">
        <is>
          <t>59113.32000000</t>
        </is>
      </c>
      <c r="G1294" t="inlineStr">
        <is>
          <t>100.000000</t>
        </is>
      </c>
      <c r="H1294" t="inlineStr">
        <is>
          <t>59113.32</t>
        </is>
      </c>
      <c r="I1294" t="inlineStr">
        <is>
          <t>2.47%</t>
        </is>
      </c>
      <c r="J1294" t="inlineStr">
        <is>
          <t>2388461.50</t>
        </is>
      </c>
      <c r="K1294" t="inlineStr">
        <is>
          <t>95000</t>
        </is>
      </c>
      <c r="L1294" t="inlineStr">
        <is>
          <t>19.000000000000</t>
        </is>
      </c>
      <c r="M1294" t="inlineStr">
        <is>
          <t>Y</t>
        </is>
      </c>
    </row>
    <row r="1295">
      <c r="A1295" t="inlineStr">
        <is>
          <t>06/25/2026</t>
        </is>
      </c>
      <c r="B1295" t="inlineStr">
        <is>
          <t>HULL</t>
        </is>
      </c>
      <c r="C1295" s="1" t="inlineStr">
        <is>
          <t>FLNG</t>
        </is>
      </c>
      <c r="D1295" s="1" t="inlineStr">
        <is>
          <t>G35947202</t>
        </is>
      </c>
      <c r="E1295" t="inlineStr">
        <is>
          <t>FLEX LNG Ltd</t>
        </is>
      </c>
      <c r="F1295" t="inlineStr">
        <is>
          <t>1140.00000000</t>
        </is>
      </c>
      <c r="G1295" t="inlineStr">
        <is>
          <t>30.460000</t>
        </is>
      </c>
      <c r="H1295" t="inlineStr">
        <is>
          <t>34724.40</t>
        </is>
      </c>
      <c r="I1295" t="inlineStr">
        <is>
          <t>1.45%</t>
        </is>
      </c>
      <c r="J1295" t="inlineStr">
        <is>
          <t>2388461.50</t>
        </is>
      </c>
      <c r="K1295" t="inlineStr">
        <is>
          <t>95000</t>
        </is>
      </c>
      <c r="L1295" t="inlineStr">
        <is>
          <t>19.000000000000</t>
        </is>
      </c>
      <c r="M1295" t="inlineStr"/>
    </row>
    <row r="1296">
      <c r="A1296" t="inlineStr">
        <is>
          <t>06/25/2026</t>
        </is>
      </c>
      <c r="B1296" t="inlineStr">
        <is>
          <t>HULL</t>
        </is>
      </c>
      <c r="C1296" s="1" t="inlineStr">
        <is>
          <t>FRO</t>
        </is>
      </c>
      <c r="D1296" s="1" t="inlineStr">
        <is>
          <t>M46528101</t>
        </is>
      </c>
      <c r="E1296" t="inlineStr">
        <is>
          <t>Frontline PLC</t>
        </is>
      </c>
      <c r="F1296" t="inlineStr">
        <is>
          <t>1634.00000000</t>
        </is>
      </c>
      <c r="G1296" t="inlineStr">
        <is>
          <t>40.720000</t>
        </is>
      </c>
      <c r="H1296" t="inlineStr">
        <is>
          <t>66536.48</t>
        </is>
      </c>
      <c r="I1296" t="inlineStr">
        <is>
          <t>2.79%</t>
        </is>
      </c>
      <c r="J1296" t="inlineStr">
        <is>
          <t>2388461.50</t>
        </is>
      </c>
      <c r="K1296" t="inlineStr">
        <is>
          <t>95000</t>
        </is>
      </c>
      <c r="L1296" t="inlineStr">
        <is>
          <t>19.000000000000</t>
        </is>
      </c>
      <c r="M1296" t="inlineStr"/>
    </row>
    <row r="1297">
      <c r="A1297" t="inlineStr">
        <is>
          <t>06/25/2026</t>
        </is>
      </c>
      <c r="B1297" t="inlineStr">
        <is>
          <t>HULL</t>
        </is>
      </c>
      <c r="C1297" s="1" t="inlineStr">
        <is>
          <t>GASS</t>
        </is>
      </c>
      <c r="D1297" s="1" t="inlineStr">
        <is>
          <t>Y81669106</t>
        </is>
      </c>
      <c r="E1297" t="inlineStr">
        <is>
          <t>StealthGas Inc</t>
        </is>
      </c>
      <c r="F1297" t="inlineStr">
        <is>
          <t>2717.00000000</t>
        </is>
      </c>
      <c r="G1297" t="inlineStr">
        <is>
          <t>8.330000</t>
        </is>
      </c>
      <c r="H1297" t="inlineStr">
        <is>
          <t>22632.61</t>
        </is>
      </c>
      <c r="I1297" t="inlineStr">
        <is>
          <t>0.95%</t>
        </is>
      </c>
      <c r="J1297" t="inlineStr">
        <is>
          <t>2388461.50</t>
        </is>
      </c>
      <c r="K1297" t="inlineStr">
        <is>
          <t>95000</t>
        </is>
      </c>
      <c r="L1297" t="inlineStr">
        <is>
          <t>19.000000000000</t>
        </is>
      </c>
      <c r="M1297" t="inlineStr"/>
    </row>
    <row r="1298">
      <c r="A1298" t="inlineStr">
        <is>
          <t>06/25/2026</t>
        </is>
      </c>
      <c r="B1298" t="inlineStr">
        <is>
          <t>HULL</t>
        </is>
      </c>
      <c r="C1298" s="1" t="inlineStr">
        <is>
          <t>GLNG</t>
        </is>
      </c>
      <c r="D1298" s="1" t="inlineStr">
        <is>
          <t>G9456A100</t>
        </is>
      </c>
      <c r="E1298" t="inlineStr">
        <is>
          <t>Golar LNG Ltd</t>
        </is>
      </c>
      <c r="F1298" t="inlineStr">
        <is>
          <t>1121.00000000</t>
        </is>
      </c>
      <c r="G1298" t="inlineStr">
        <is>
          <t>49.830000</t>
        </is>
      </c>
      <c r="H1298" t="inlineStr">
        <is>
          <t>55859.43</t>
        </is>
      </c>
      <c r="I1298" t="inlineStr">
        <is>
          <t>2.34%</t>
        </is>
      </c>
      <c r="J1298" t="inlineStr">
        <is>
          <t>2388461.50</t>
        </is>
      </c>
      <c r="K1298" t="inlineStr">
        <is>
          <t>95000</t>
        </is>
      </c>
      <c r="L1298" t="inlineStr">
        <is>
          <t>19.000000000000</t>
        </is>
      </c>
      <c r="M1298" t="inlineStr"/>
    </row>
    <row r="1299">
      <c r="A1299" t="inlineStr">
        <is>
          <t>06/25/2026</t>
        </is>
      </c>
      <c r="B1299" t="inlineStr">
        <is>
          <t>HULL</t>
        </is>
      </c>
      <c r="C1299" s="1" t="inlineStr">
        <is>
          <t>GNK</t>
        </is>
      </c>
      <c r="D1299" s="1" t="inlineStr">
        <is>
          <t>Y2685T131</t>
        </is>
      </c>
      <c r="E1299" t="inlineStr">
        <is>
          <t>Genco Shipping &amp; Trading Ltd</t>
        </is>
      </c>
      <c r="F1299" t="inlineStr">
        <is>
          <t>1444.00000000</t>
        </is>
      </c>
      <c r="G1299" t="inlineStr">
        <is>
          <t>24.160000</t>
        </is>
      </c>
      <c r="H1299" t="inlineStr">
        <is>
          <t>34887.04</t>
        </is>
      </c>
      <c r="I1299" t="inlineStr">
        <is>
          <t>1.46%</t>
        </is>
      </c>
      <c r="J1299" t="inlineStr">
        <is>
          <t>2388461.50</t>
        </is>
      </c>
      <c r="K1299" t="inlineStr">
        <is>
          <t>95000</t>
        </is>
      </c>
      <c r="L1299" t="inlineStr">
        <is>
          <t>19.000000000000</t>
        </is>
      </c>
      <c r="M1299" t="inlineStr"/>
    </row>
    <row r="1300">
      <c r="A1300" t="inlineStr">
        <is>
          <t>06/25/2026</t>
        </is>
      </c>
      <c r="B1300" t="inlineStr">
        <is>
          <t>HULL</t>
        </is>
      </c>
      <c r="C1300" s="1" t="inlineStr">
        <is>
          <t>GSL</t>
        </is>
      </c>
      <c r="D1300" s="1" t="inlineStr">
        <is>
          <t>Y27183600</t>
        </is>
      </c>
      <c r="E1300" t="inlineStr">
        <is>
          <t>Global Ship Lease Inc</t>
        </is>
      </c>
      <c r="F1300" t="inlineStr">
        <is>
          <t>988.00000000</t>
        </is>
      </c>
      <c r="G1300" t="inlineStr">
        <is>
          <t>38.690000</t>
        </is>
      </c>
      <c r="H1300" t="inlineStr">
        <is>
          <t>38225.72</t>
        </is>
      </c>
      <c r="I1300" t="inlineStr">
        <is>
          <t>1.60%</t>
        </is>
      </c>
      <c r="J1300" t="inlineStr">
        <is>
          <t>2388461.50</t>
        </is>
      </c>
      <c r="K1300" t="inlineStr">
        <is>
          <t>95000</t>
        </is>
      </c>
      <c r="L1300" t="inlineStr">
        <is>
          <t>19.000000000000</t>
        </is>
      </c>
      <c r="M1300" t="inlineStr"/>
    </row>
    <row r="1301">
      <c r="A1301" t="inlineStr">
        <is>
          <t>06/25/2026</t>
        </is>
      </c>
      <c r="B1301" t="inlineStr">
        <is>
          <t>HULL</t>
        </is>
      </c>
      <c r="C1301" s="1" t="inlineStr">
        <is>
          <t>GXO</t>
        </is>
      </c>
      <c r="D1301" s="1" t="inlineStr">
        <is>
          <t>36262G101</t>
        </is>
      </c>
      <c r="E1301" t="inlineStr">
        <is>
          <t>GXO Logistics Inc</t>
        </is>
      </c>
      <c r="F1301" t="inlineStr">
        <is>
          <t>1083.00000000</t>
        </is>
      </c>
      <c r="G1301" t="inlineStr">
        <is>
          <t>49.980000</t>
        </is>
      </c>
      <c r="H1301" t="inlineStr">
        <is>
          <t>54128.34</t>
        </is>
      </c>
      <c r="I1301" t="inlineStr">
        <is>
          <t>2.27%</t>
        </is>
      </c>
      <c r="J1301" t="inlineStr">
        <is>
          <t>2388461.50</t>
        </is>
      </c>
      <c r="K1301" t="inlineStr">
        <is>
          <t>95000</t>
        </is>
      </c>
      <c r="L1301" t="inlineStr">
        <is>
          <t>19.000000000000</t>
        </is>
      </c>
      <c r="M1301" t="inlineStr"/>
    </row>
    <row r="1302">
      <c r="A1302" t="inlineStr">
        <is>
          <t>06/25/2026</t>
        </is>
      </c>
      <c r="B1302" t="inlineStr">
        <is>
          <t>HULL</t>
        </is>
      </c>
      <c r="C1302" s="1" t="inlineStr">
        <is>
          <t>HAFN</t>
        </is>
      </c>
      <c r="D1302" s="1" t="inlineStr">
        <is>
          <t>Y2990R101</t>
        </is>
      </c>
      <c r="E1302" t="inlineStr">
        <is>
          <t>Hafnia Ltd</t>
        </is>
      </c>
      <c r="F1302" t="inlineStr">
        <is>
          <t>5282.00000000</t>
        </is>
      </c>
      <c r="G1302" t="inlineStr">
        <is>
          <t>7.430000</t>
        </is>
      </c>
      <c r="H1302" t="inlineStr">
        <is>
          <t>39245.26</t>
        </is>
      </c>
      <c r="I1302" t="inlineStr">
        <is>
          <t>1.64%</t>
        </is>
      </c>
      <c r="J1302" t="inlineStr">
        <is>
          <t>2388461.50</t>
        </is>
      </c>
      <c r="K1302" t="inlineStr">
        <is>
          <t>95000</t>
        </is>
      </c>
      <c r="L1302" t="inlineStr">
        <is>
          <t>19.000000000000</t>
        </is>
      </c>
      <c r="M1302" t="inlineStr"/>
    </row>
    <row r="1303">
      <c r="A1303" t="inlineStr">
        <is>
          <t>06/25/2026</t>
        </is>
      </c>
      <c r="B1303" t="inlineStr">
        <is>
          <t>HULL</t>
        </is>
      </c>
      <c r="C1303" s="1" t="inlineStr">
        <is>
          <t>HSHP</t>
        </is>
      </c>
      <c r="D1303" s="1" t="inlineStr">
        <is>
          <t>G4660A103</t>
        </is>
      </c>
      <c r="E1303" t="inlineStr">
        <is>
          <t>Himalaya Shipping Ltd</t>
        </is>
      </c>
      <c r="F1303" t="inlineStr">
        <is>
          <t>2280.00000000</t>
        </is>
      </c>
      <c r="G1303" t="inlineStr">
        <is>
          <t>14.050000</t>
        </is>
      </c>
      <c r="H1303" t="inlineStr">
        <is>
          <t>32034.00</t>
        </is>
      </c>
      <c r="I1303" t="inlineStr">
        <is>
          <t>1.34%</t>
        </is>
      </c>
      <c r="J1303" t="inlineStr">
        <is>
          <t>2388461.50</t>
        </is>
      </c>
      <c r="K1303" t="inlineStr">
        <is>
          <t>95000</t>
        </is>
      </c>
      <c r="L1303" t="inlineStr">
        <is>
          <t>19.000000000000</t>
        </is>
      </c>
      <c r="M1303" t="inlineStr"/>
    </row>
    <row r="1304">
      <c r="A1304" t="inlineStr">
        <is>
          <t>06/25/2026</t>
        </is>
      </c>
      <c r="B1304" t="inlineStr">
        <is>
          <t>HULL</t>
        </is>
      </c>
      <c r="C1304" s="1" t="inlineStr">
        <is>
          <t>INSW</t>
        </is>
      </c>
      <c r="D1304" s="1" t="inlineStr">
        <is>
          <t>Y41053102</t>
        </is>
      </c>
      <c r="E1304" t="inlineStr">
        <is>
          <t>International Seaways Inc</t>
        </is>
      </c>
      <c r="F1304" t="inlineStr">
        <is>
          <t>665.00000000</t>
        </is>
      </c>
      <c r="G1304" t="inlineStr">
        <is>
          <t>87.720000</t>
        </is>
      </c>
      <c r="H1304" t="inlineStr">
        <is>
          <t>58333.80</t>
        </is>
      </c>
      <c r="I1304" t="inlineStr">
        <is>
          <t>2.44%</t>
        </is>
      </c>
      <c r="J1304" t="inlineStr">
        <is>
          <t>2388461.50</t>
        </is>
      </c>
      <c r="K1304" t="inlineStr">
        <is>
          <t>95000</t>
        </is>
      </c>
      <c r="L1304" t="inlineStr">
        <is>
          <t>19.000000000000</t>
        </is>
      </c>
      <c r="M1304" t="inlineStr"/>
    </row>
    <row r="1305">
      <c r="A1305" t="inlineStr">
        <is>
          <t>06/25/2026</t>
        </is>
      </c>
      <c r="B1305" t="inlineStr">
        <is>
          <t>HULL</t>
        </is>
      </c>
      <c r="C1305" s="1" t="inlineStr">
        <is>
          <t>JBHT</t>
        </is>
      </c>
      <c r="D1305" s="1" t="inlineStr">
        <is>
          <t>445658107</t>
        </is>
      </c>
      <c r="E1305" t="inlineStr">
        <is>
          <t>JB Hunt Transport Services Inc</t>
        </is>
      </c>
      <c r="F1305" t="inlineStr">
        <is>
          <t>323.00000000</t>
        </is>
      </c>
      <c r="G1305" t="inlineStr">
        <is>
          <t>269.060000</t>
        </is>
      </c>
      <c r="H1305" t="inlineStr">
        <is>
          <t>86906.38</t>
        </is>
      </c>
      <c r="I1305" t="inlineStr">
        <is>
          <t>3.64%</t>
        </is>
      </c>
      <c r="J1305" t="inlineStr">
        <is>
          <t>2388461.50</t>
        </is>
      </c>
      <c r="K1305" t="inlineStr">
        <is>
          <t>95000</t>
        </is>
      </c>
      <c r="L1305" t="inlineStr">
        <is>
          <t>19.000000000000</t>
        </is>
      </c>
      <c r="M1305" t="inlineStr"/>
    </row>
    <row r="1306">
      <c r="A1306" t="inlineStr">
        <is>
          <t>06/25/2026</t>
        </is>
      </c>
      <c r="B1306" t="inlineStr">
        <is>
          <t>HULL</t>
        </is>
      </c>
      <c r="C1306" s="1" t="inlineStr">
        <is>
          <t>KNOP</t>
        </is>
      </c>
      <c r="D1306" s="1" t="inlineStr">
        <is>
          <t>Y48125101</t>
        </is>
      </c>
      <c r="E1306" t="inlineStr">
        <is>
          <t>KNOT Offshore Partners LP</t>
        </is>
      </c>
      <c r="F1306" t="inlineStr">
        <is>
          <t>2451.00000000</t>
        </is>
      </c>
      <c r="G1306" t="inlineStr">
        <is>
          <t>10.170000</t>
        </is>
      </c>
      <c r="H1306" t="inlineStr">
        <is>
          <t>24926.67</t>
        </is>
      </c>
      <c r="I1306" t="inlineStr">
        <is>
          <t>1.04%</t>
        </is>
      </c>
      <c r="J1306" t="inlineStr">
        <is>
          <t>2388461.50</t>
        </is>
      </c>
      <c r="K1306" t="inlineStr">
        <is>
          <t>95000</t>
        </is>
      </c>
      <c r="L1306" t="inlineStr">
        <is>
          <t>19.000000000000</t>
        </is>
      </c>
      <c r="M1306" t="inlineStr"/>
    </row>
    <row r="1307">
      <c r="A1307" t="inlineStr">
        <is>
          <t>06/25/2026</t>
        </is>
      </c>
      <c r="B1307" t="inlineStr">
        <is>
          <t>HULL</t>
        </is>
      </c>
      <c r="C1307" s="1" t="inlineStr">
        <is>
          <t>LPG</t>
        </is>
      </c>
      <c r="D1307" s="1" t="inlineStr">
        <is>
          <t>Y2106R110</t>
        </is>
      </c>
      <c r="E1307" t="inlineStr">
        <is>
          <t>Dorian LPG Ltd</t>
        </is>
      </c>
      <c r="F1307" t="inlineStr">
        <is>
          <t>1045.00000000</t>
        </is>
      </c>
      <c r="G1307" t="inlineStr">
        <is>
          <t>39.920000</t>
        </is>
      </c>
      <c r="H1307" t="inlineStr">
        <is>
          <t>41716.40</t>
        </is>
      </c>
      <c r="I1307" t="inlineStr">
        <is>
          <t>1.75%</t>
        </is>
      </c>
      <c r="J1307" t="inlineStr">
        <is>
          <t>2388461.50</t>
        </is>
      </c>
      <c r="K1307" t="inlineStr">
        <is>
          <t>95000</t>
        </is>
      </c>
      <c r="L1307" t="inlineStr">
        <is>
          <t>19.000000000000</t>
        </is>
      </c>
      <c r="M1307" t="inlineStr"/>
    </row>
    <row r="1308">
      <c r="A1308" t="inlineStr">
        <is>
          <t>06/25/2026</t>
        </is>
      </c>
      <c r="B1308" t="inlineStr">
        <is>
          <t>HULL</t>
        </is>
      </c>
      <c r="C1308" s="1" t="inlineStr">
        <is>
          <t>MATX</t>
        </is>
      </c>
      <c r="D1308" s="1" t="inlineStr">
        <is>
          <t>57686G105</t>
        </is>
      </c>
      <c r="E1308" t="inlineStr">
        <is>
          <t>Matson Inc</t>
        </is>
      </c>
      <c r="F1308" t="inlineStr">
        <is>
          <t>342.00000000</t>
        </is>
      </c>
      <c r="G1308" t="inlineStr">
        <is>
          <t>195.590000</t>
        </is>
      </c>
      <c r="H1308" t="inlineStr">
        <is>
          <t>66891.78</t>
        </is>
      </c>
      <c r="I1308" t="inlineStr">
        <is>
          <t>2.80%</t>
        </is>
      </c>
      <c r="J1308" t="inlineStr">
        <is>
          <t>2388461.50</t>
        </is>
      </c>
      <c r="K1308" t="inlineStr">
        <is>
          <t>95000</t>
        </is>
      </c>
      <c r="L1308" t="inlineStr">
        <is>
          <t>19.000000000000</t>
        </is>
      </c>
      <c r="M1308" t="inlineStr"/>
    </row>
    <row r="1309">
      <c r="A1309" t="inlineStr">
        <is>
          <t>06/25/2026</t>
        </is>
      </c>
      <c r="B1309" t="inlineStr">
        <is>
          <t>HULL</t>
        </is>
      </c>
      <c r="C1309" s="1" t="inlineStr">
        <is>
          <t>NAT</t>
        </is>
      </c>
      <c r="D1309" s="1" t="inlineStr">
        <is>
          <t>G65773106</t>
        </is>
      </c>
      <c r="E1309" t="inlineStr">
        <is>
          <t>Nordic American Tankers Ltd</t>
        </is>
      </c>
      <c r="F1309" t="inlineStr">
        <is>
          <t>6840.00000000</t>
        </is>
      </c>
      <c r="G1309" t="inlineStr">
        <is>
          <t>6.470000</t>
        </is>
      </c>
      <c r="H1309" t="inlineStr">
        <is>
          <t>44254.80</t>
        </is>
      </c>
      <c r="I1309" t="inlineStr">
        <is>
          <t>1.85%</t>
        </is>
      </c>
      <c r="J1309" t="inlineStr">
        <is>
          <t>2388461.50</t>
        </is>
      </c>
      <c r="K1309" t="inlineStr">
        <is>
          <t>95000</t>
        </is>
      </c>
      <c r="L1309" t="inlineStr">
        <is>
          <t>19.000000000000</t>
        </is>
      </c>
      <c r="M1309" t="inlineStr"/>
    </row>
    <row r="1310">
      <c r="A1310" t="inlineStr">
        <is>
          <t>06/25/2026</t>
        </is>
      </c>
      <c r="B1310" t="inlineStr">
        <is>
          <t>HULL</t>
        </is>
      </c>
      <c r="C1310" s="1" t="inlineStr">
        <is>
          <t>NVGS</t>
        </is>
      </c>
      <c r="D1310" s="1" t="inlineStr">
        <is>
          <t>Y62132108</t>
        </is>
      </c>
      <c r="E1310" t="inlineStr">
        <is>
          <t>Navigator Holdings Ltd</t>
        </is>
      </c>
      <c r="F1310" t="inlineStr">
        <is>
          <t>1425.00000000</t>
        </is>
      </c>
      <c r="G1310" t="inlineStr">
        <is>
          <t>21.540000</t>
        </is>
      </c>
      <c r="H1310" t="inlineStr">
        <is>
          <t>30694.50</t>
        </is>
      </c>
      <c r="I1310" t="inlineStr">
        <is>
          <t>1.29%</t>
        </is>
      </c>
      <c r="J1310" t="inlineStr">
        <is>
          <t>2388461.50</t>
        </is>
      </c>
      <c r="K1310" t="inlineStr">
        <is>
          <t>95000</t>
        </is>
      </c>
      <c r="L1310" t="inlineStr">
        <is>
          <t>19.000000000000</t>
        </is>
      </c>
      <c r="M1310" t="inlineStr"/>
    </row>
    <row r="1311">
      <c r="A1311" t="inlineStr">
        <is>
          <t>06/25/2026</t>
        </is>
      </c>
      <c r="B1311" t="inlineStr">
        <is>
          <t>HULL</t>
        </is>
      </c>
      <c r="C1311" s="1" t="inlineStr">
        <is>
          <t>ODFL</t>
        </is>
      </c>
      <c r="D1311" s="1" t="inlineStr">
        <is>
          <t>679580100</t>
        </is>
      </c>
      <c r="E1311" t="inlineStr">
        <is>
          <t>Old Dominion Freight Line Inc</t>
        </is>
      </c>
      <c r="F1311" t="inlineStr">
        <is>
          <t>475.00000000</t>
        </is>
      </c>
      <c r="G1311" t="inlineStr">
        <is>
          <t>219.040000</t>
        </is>
      </c>
      <c r="H1311" t="inlineStr">
        <is>
          <t>104044.00</t>
        </is>
      </c>
      <c r="I1311" t="inlineStr">
        <is>
          <t>4.36%</t>
        </is>
      </c>
      <c r="J1311" t="inlineStr">
        <is>
          <t>2388461.50</t>
        </is>
      </c>
      <c r="K1311" t="inlineStr">
        <is>
          <t>95000</t>
        </is>
      </c>
      <c r="L1311" t="inlineStr">
        <is>
          <t>19.000000000000</t>
        </is>
      </c>
      <c r="M1311" t="inlineStr"/>
    </row>
    <row r="1312">
      <c r="A1312" t="inlineStr">
        <is>
          <t>06/25/2026</t>
        </is>
      </c>
      <c r="B1312" t="inlineStr">
        <is>
          <t>HULL</t>
        </is>
      </c>
      <c r="C1312" s="1" t="inlineStr">
        <is>
          <t>PANL</t>
        </is>
      </c>
      <c r="D1312" s="1" t="inlineStr">
        <is>
          <t>G6891L105</t>
        </is>
      </c>
      <c r="E1312" t="inlineStr">
        <is>
          <t>PANGAEA LOGISTICS SOLUTIONS LT</t>
        </is>
      </c>
      <c r="F1312" t="inlineStr">
        <is>
          <t>3154.00000000</t>
        </is>
      </c>
      <c r="G1312" t="inlineStr">
        <is>
          <t>7.270000</t>
        </is>
      </c>
      <c r="H1312" t="inlineStr">
        <is>
          <t>22929.58</t>
        </is>
      </c>
      <c r="I1312" t="inlineStr">
        <is>
          <t>0.96%</t>
        </is>
      </c>
      <c r="J1312" t="inlineStr">
        <is>
          <t>2388461.50</t>
        </is>
      </c>
      <c r="K1312" t="inlineStr">
        <is>
          <t>95000</t>
        </is>
      </c>
      <c r="L1312" t="inlineStr">
        <is>
          <t>19.000000000000</t>
        </is>
      </c>
      <c r="M1312" t="inlineStr"/>
    </row>
    <row r="1313">
      <c r="A1313" t="inlineStr">
        <is>
          <t>06/25/2026</t>
        </is>
      </c>
      <c r="B1313" t="inlineStr">
        <is>
          <t>HULL</t>
        </is>
      </c>
      <c r="C1313" s="1" t="inlineStr">
        <is>
          <t>SBLK</t>
        </is>
      </c>
      <c r="D1313" s="1" t="inlineStr">
        <is>
          <t>Y8162K204</t>
        </is>
      </c>
      <c r="E1313" t="inlineStr">
        <is>
          <t>Star Bulk Carriers Corp</t>
        </is>
      </c>
      <c r="F1313" t="inlineStr">
        <is>
          <t>1938.00000000</t>
        </is>
      </c>
      <c r="G1313" t="inlineStr">
        <is>
          <t>25.670000</t>
        </is>
      </c>
      <c r="H1313" t="inlineStr">
        <is>
          <t>49748.46</t>
        </is>
      </c>
      <c r="I1313" t="inlineStr">
        <is>
          <t>2.08%</t>
        </is>
      </c>
      <c r="J1313" t="inlineStr">
        <is>
          <t>2388461.50</t>
        </is>
      </c>
      <c r="K1313" t="inlineStr">
        <is>
          <t>95000</t>
        </is>
      </c>
      <c r="L1313" t="inlineStr">
        <is>
          <t>19.000000000000</t>
        </is>
      </c>
      <c r="M1313" t="inlineStr"/>
    </row>
    <row r="1314">
      <c r="A1314" t="inlineStr">
        <is>
          <t>06/25/2026</t>
        </is>
      </c>
      <c r="B1314" t="inlineStr">
        <is>
          <t>HULL</t>
        </is>
      </c>
      <c r="C1314" s="1" t="inlineStr">
        <is>
          <t>SFL</t>
        </is>
      </c>
      <c r="D1314" s="1" t="inlineStr">
        <is>
          <t>G7738W106</t>
        </is>
      </c>
      <c r="E1314" t="inlineStr">
        <is>
          <t>SFL Corp Ltd</t>
        </is>
      </c>
      <c r="F1314" t="inlineStr">
        <is>
          <t>3458.00000000</t>
        </is>
      </c>
      <c r="G1314" t="inlineStr">
        <is>
          <t>11.160000</t>
        </is>
      </c>
      <c r="H1314" t="inlineStr">
        <is>
          <t>38591.28</t>
        </is>
      </c>
      <c r="I1314" t="inlineStr">
        <is>
          <t>1.62%</t>
        </is>
      </c>
      <c r="J1314" t="inlineStr">
        <is>
          <t>2388461.50</t>
        </is>
      </c>
      <c r="K1314" t="inlineStr">
        <is>
          <t>95000</t>
        </is>
      </c>
      <c r="L1314" t="inlineStr">
        <is>
          <t>19.000000000000</t>
        </is>
      </c>
      <c r="M1314" t="inlineStr"/>
    </row>
    <row r="1315">
      <c r="A1315" t="inlineStr">
        <is>
          <t>06/25/2026</t>
        </is>
      </c>
      <c r="B1315" t="inlineStr">
        <is>
          <t>HULL</t>
        </is>
      </c>
      <c r="C1315" s="1" t="inlineStr">
        <is>
          <t>SHIP</t>
        </is>
      </c>
      <c r="D1315" s="1" t="inlineStr">
        <is>
          <t>Y73760400</t>
        </is>
      </c>
      <c r="E1315" t="inlineStr">
        <is>
          <t>Seanergy Maritime Holdings Corp</t>
        </is>
      </c>
      <c r="F1315" t="inlineStr">
        <is>
          <t>1558.00000000</t>
        </is>
      </c>
      <c r="G1315" t="inlineStr">
        <is>
          <t>14.680000</t>
        </is>
      </c>
      <c r="H1315" t="inlineStr">
        <is>
          <t>22871.44</t>
        </is>
      </c>
      <c r="I1315" t="inlineStr">
        <is>
          <t>0.96%</t>
        </is>
      </c>
      <c r="J1315" t="inlineStr">
        <is>
          <t>2388461.50</t>
        </is>
      </c>
      <c r="K1315" t="inlineStr">
        <is>
          <t>95000</t>
        </is>
      </c>
      <c r="L1315" t="inlineStr">
        <is>
          <t>19.000000000000</t>
        </is>
      </c>
      <c r="M1315" t="inlineStr"/>
    </row>
    <row r="1316">
      <c r="A1316" t="inlineStr">
        <is>
          <t>06/25/2026</t>
        </is>
      </c>
      <c r="B1316" t="inlineStr">
        <is>
          <t>HULL</t>
        </is>
      </c>
      <c r="C1316" s="1" t="inlineStr">
        <is>
          <t>STNG</t>
        </is>
      </c>
      <c r="D1316" s="1" t="inlineStr">
        <is>
          <t>Y7542C130</t>
        </is>
      </c>
      <c r="E1316" t="inlineStr">
        <is>
          <t>Scorpio Tankers Inc</t>
        </is>
      </c>
      <c r="F1316" t="inlineStr">
        <is>
          <t>646.00000000</t>
        </is>
      </c>
      <c r="G1316" t="inlineStr">
        <is>
          <t>78.390000</t>
        </is>
      </c>
      <c r="H1316" t="inlineStr">
        <is>
          <t>50639.94</t>
        </is>
      </c>
      <c r="I1316" t="inlineStr">
        <is>
          <t>2.12%</t>
        </is>
      </c>
      <c r="J1316" t="inlineStr">
        <is>
          <t>2388461.50</t>
        </is>
      </c>
      <c r="K1316" t="inlineStr">
        <is>
          <t>95000</t>
        </is>
      </c>
      <c r="L1316" t="inlineStr">
        <is>
          <t>19.000000000000</t>
        </is>
      </c>
      <c r="M1316" t="inlineStr"/>
    </row>
    <row r="1317">
      <c r="A1317" t="inlineStr">
        <is>
          <t>06/25/2026</t>
        </is>
      </c>
      <c r="B1317" t="inlineStr">
        <is>
          <t>HULL</t>
        </is>
      </c>
      <c r="C1317" s="1" t="inlineStr">
        <is>
          <t>TEN</t>
        </is>
      </c>
      <c r="D1317" s="1" t="inlineStr">
        <is>
          <t>G9108L173</t>
        </is>
      </c>
      <c r="E1317" t="inlineStr">
        <is>
          <t>Tsakos Energy Navigation Ltd</t>
        </is>
      </c>
      <c r="F1317" t="inlineStr">
        <is>
          <t>874.00000000</t>
        </is>
      </c>
      <c r="G1317" t="inlineStr">
        <is>
          <t>39.140000</t>
        </is>
      </c>
      <c r="H1317" t="inlineStr">
        <is>
          <t>34208.36</t>
        </is>
      </c>
      <c r="I1317" t="inlineStr">
        <is>
          <t>1.43%</t>
        </is>
      </c>
      <c r="J1317" t="inlineStr">
        <is>
          <t>2388461.50</t>
        </is>
      </c>
      <c r="K1317" t="inlineStr">
        <is>
          <t>95000</t>
        </is>
      </c>
      <c r="L1317" t="inlineStr">
        <is>
          <t>19.000000000000</t>
        </is>
      </c>
      <c r="M1317" t="inlineStr"/>
    </row>
    <row r="1318">
      <c r="A1318" t="inlineStr">
        <is>
          <t>06/25/2026</t>
        </is>
      </c>
      <c r="B1318" t="inlineStr">
        <is>
          <t>HULL</t>
        </is>
      </c>
      <c r="C1318" s="1" t="inlineStr">
        <is>
          <t>TNK</t>
        </is>
      </c>
      <c r="D1318" s="1" t="inlineStr">
        <is>
          <t>G8726X106</t>
        </is>
      </c>
      <c r="E1318" t="inlineStr">
        <is>
          <t>Teekay Tankers Ltd</t>
        </is>
      </c>
      <c r="F1318" t="inlineStr">
        <is>
          <t>570.00000000</t>
        </is>
      </c>
      <c r="G1318" t="inlineStr">
        <is>
          <t>76.340000</t>
        </is>
      </c>
      <c r="H1318" t="inlineStr">
        <is>
          <t>43513.80</t>
        </is>
      </c>
      <c r="I1318" t="inlineStr">
        <is>
          <t>1.82%</t>
        </is>
      </c>
      <c r="J1318" t="inlineStr">
        <is>
          <t>2388461.50</t>
        </is>
      </c>
      <c r="K1318" t="inlineStr">
        <is>
          <t>95000</t>
        </is>
      </c>
      <c r="L1318" t="inlineStr">
        <is>
          <t>19.000000000000</t>
        </is>
      </c>
      <c r="M1318" t="inlineStr"/>
    </row>
    <row r="1319">
      <c r="A1319" t="inlineStr">
        <is>
          <t>06/25/2026</t>
        </is>
      </c>
      <c r="B1319" t="inlineStr">
        <is>
          <t>HULL</t>
        </is>
      </c>
      <c r="C1319" s="1" t="inlineStr">
        <is>
          <t>TRMD</t>
        </is>
      </c>
      <c r="D1319" s="1" t="inlineStr">
        <is>
          <t>G89479102</t>
        </is>
      </c>
      <c r="E1319" t="inlineStr">
        <is>
          <t>TORM PLC</t>
        </is>
      </c>
      <c r="F1319" t="inlineStr">
        <is>
          <t>1368.00000000</t>
        </is>
      </c>
      <c r="G1319" t="inlineStr">
        <is>
          <t>28.700000</t>
        </is>
      </c>
      <c r="H1319" t="inlineStr">
        <is>
          <t>39261.60</t>
        </is>
      </c>
      <c r="I1319" t="inlineStr">
        <is>
          <t>1.64%</t>
        </is>
      </c>
      <c r="J1319" t="inlineStr">
        <is>
          <t>2388461.50</t>
        </is>
      </c>
      <c r="K1319" t="inlineStr">
        <is>
          <t>95000</t>
        </is>
      </c>
      <c r="L1319" t="inlineStr">
        <is>
          <t>19.000000000000</t>
        </is>
      </c>
      <c r="M1319" t="inlineStr"/>
    </row>
    <row r="1320">
      <c r="A1320" t="inlineStr">
        <is>
          <t>06/25/2026</t>
        </is>
      </c>
      <c r="B1320" t="inlineStr">
        <is>
          <t>HULL</t>
        </is>
      </c>
      <c r="C1320" s="1" t="inlineStr">
        <is>
          <t>UPS</t>
        </is>
      </c>
      <c r="D1320" s="1" t="inlineStr">
        <is>
          <t>911312106</t>
        </is>
      </c>
      <c r="E1320" t="inlineStr">
        <is>
          <t>United Parcel Service Inc</t>
        </is>
      </c>
      <c r="F1320" t="inlineStr">
        <is>
          <t>1102.00000000</t>
        </is>
      </c>
      <c r="G1320" t="inlineStr">
        <is>
          <t>106.140000</t>
        </is>
      </c>
      <c r="H1320" t="inlineStr">
        <is>
          <t>116966.28</t>
        </is>
      </c>
      <c r="I1320" t="inlineStr">
        <is>
          <t>4.90%</t>
        </is>
      </c>
      <c r="J1320" t="inlineStr">
        <is>
          <t>2388461.50</t>
        </is>
      </c>
      <c r="K1320" t="inlineStr">
        <is>
          <t>95000</t>
        </is>
      </c>
      <c r="L1320" t="inlineStr">
        <is>
          <t>19.000000000000</t>
        </is>
      </c>
      <c r="M1320" t="inlineStr"/>
    </row>
    <row r="1321">
      <c r="A1321" t="inlineStr">
        <is>
          <t>06/25/2026</t>
        </is>
      </c>
      <c r="B1321" t="inlineStr">
        <is>
          <t>HULL</t>
        </is>
      </c>
      <c r="C1321" s="1" t="inlineStr">
        <is>
          <t>XPO</t>
        </is>
      </c>
      <c r="D1321" s="1" t="inlineStr">
        <is>
          <t>983793100</t>
        </is>
      </c>
      <c r="E1321" t="inlineStr">
        <is>
          <t>XPO Inc</t>
        </is>
      </c>
      <c r="F1321" t="inlineStr">
        <is>
          <t>399.00000000</t>
        </is>
      </c>
      <c r="G1321" t="inlineStr">
        <is>
          <t>196.830000</t>
        </is>
      </c>
      <c r="H1321" t="inlineStr">
        <is>
          <t>78535.17</t>
        </is>
      </c>
      <c r="I1321" t="inlineStr">
        <is>
          <t>3.29%</t>
        </is>
      </c>
      <c r="J1321" t="inlineStr">
        <is>
          <t>2388461.50</t>
        </is>
      </c>
      <c r="K1321" t="inlineStr">
        <is>
          <t>95000</t>
        </is>
      </c>
      <c r="L1321" t="inlineStr">
        <is>
          <t>19.000000000000</t>
        </is>
      </c>
      <c r="M1321" t="inlineStr"/>
    </row>
    <row r="1322">
      <c r="A1322" t="inlineStr">
        <is>
          <t>06/25/2026</t>
        </is>
      </c>
      <c r="B1322" t="inlineStr">
        <is>
          <t>HULL</t>
        </is>
      </c>
      <c r="C1322" s="1" t="inlineStr">
        <is>
          <t>ZIM</t>
        </is>
      </c>
      <c r="D1322" s="1" t="inlineStr">
        <is>
          <t>M9T951109</t>
        </is>
      </c>
      <c r="E1322" t="inlineStr">
        <is>
          <t>ZIM Integrated Shipping Services Ltd</t>
        </is>
      </c>
      <c r="F1322" t="inlineStr">
        <is>
          <t>1957.00000000</t>
        </is>
      </c>
      <c r="G1322" t="inlineStr">
        <is>
          <t>25.580000</t>
        </is>
      </c>
      <c r="H1322" t="inlineStr">
        <is>
          <t>50060.06</t>
        </is>
      </c>
      <c r="I1322" t="inlineStr">
        <is>
          <t>2.10%</t>
        </is>
      </c>
      <c r="J1322" t="inlineStr">
        <is>
          <t>2388461.50</t>
        </is>
      </c>
      <c r="K1322" t="inlineStr">
        <is>
          <t>95000</t>
        </is>
      </c>
      <c r="L1322" t="inlineStr">
        <is>
          <t>19.000000000000</t>
        </is>
      </c>
      <c r="M1322" t="inlineStr"/>
    </row>
    <row r="1323">
      <c r="A1323" t="inlineStr">
        <is>
          <t>06/25/2026</t>
        </is>
      </c>
      <c r="B1323" t="inlineStr">
        <is>
          <t>HULL</t>
        </is>
      </c>
      <c r="C1323" s="1" t="inlineStr">
        <is>
          <t>Cash&amp;Other</t>
        </is>
      </c>
      <c r="D1323" s="1" t="inlineStr">
        <is>
          <t>Cash&amp;Other</t>
        </is>
      </c>
      <c r="E1323" t="inlineStr">
        <is>
          <t>Cash &amp; Other</t>
        </is>
      </c>
      <c r="F1323" t="inlineStr">
        <is>
          <t>-4298.26000000</t>
        </is>
      </c>
      <c r="G1323" t="inlineStr">
        <is>
          <t>1.000000</t>
        </is>
      </c>
      <c r="H1323" t="inlineStr">
        <is>
          <t>-4298.26</t>
        </is>
      </c>
      <c r="I1323" t="inlineStr">
        <is>
          <t>-0.18%</t>
        </is>
      </c>
      <c r="J1323" t="inlineStr">
        <is>
          <t>2388461.50</t>
        </is>
      </c>
      <c r="K1323" t="inlineStr">
        <is>
          <t>95000</t>
        </is>
      </c>
      <c r="L1323" t="inlineStr">
        <is>
          <t>19.000000000000</t>
        </is>
      </c>
      <c r="M1323" t="inlineStr">
        <is>
          <t>Y</t>
        </is>
      </c>
    </row>
    <row r="1324">
      <c r="A1324" t="inlineStr">
        <is>
          <t>06/25/2026</t>
        </is>
      </c>
      <c r="B1324" t="inlineStr">
        <is>
          <t>IDJN</t>
        </is>
      </c>
      <c r="C1324" s="1" t="inlineStr">
        <is>
          <t>2EFA  270528C00020890</t>
        </is>
      </c>
      <c r="D1324" s="1" t="inlineStr">
        <is>
          <t>2EFA  270528C00020890</t>
        </is>
      </c>
      <c r="E1324" t="inlineStr">
        <is>
          <t>EFA 05/28/2027 20.89 C</t>
        </is>
      </c>
      <c r="F1324" t="inlineStr">
        <is>
          <t>96.00000000</t>
        </is>
      </c>
      <c r="G1324" t="inlineStr">
        <is>
          <t>80.775181</t>
        </is>
      </c>
      <c r="H1324" t="inlineStr">
        <is>
          <t>775441.74</t>
        </is>
      </c>
      <c r="I1324" t="inlineStr">
        <is>
          <t>78.91%</t>
        </is>
      </c>
      <c r="J1324" t="inlineStr">
        <is>
          <t>982720.00</t>
        </is>
      </c>
      <c r="K1324" t="inlineStr">
        <is>
          <t>40000</t>
        </is>
      </c>
      <c r="L1324" t="inlineStr">
        <is>
          <t>8.000000000000</t>
        </is>
      </c>
      <c r="M1324" t="inlineStr"/>
    </row>
    <row r="1325">
      <c r="A1325" t="inlineStr">
        <is>
          <t>06/25/2026</t>
        </is>
      </c>
      <c r="B1325" t="inlineStr">
        <is>
          <t>IDJN</t>
        </is>
      </c>
      <c r="C1325" s="1" t="inlineStr">
        <is>
          <t>2EFA  270528C00120890</t>
        </is>
      </c>
      <c r="D1325" s="1" t="inlineStr">
        <is>
          <t>2EFA  270528C00120890</t>
        </is>
      </c>
      <c r="E1325" t="inlineStr">
        <is>
          <t>EFA 05/28/2027 120.89 C</t>
        </is>
      </c>
      <c r="F1325" t="inlineStr">
        <is>
          <t>-96.00000000</t>
        </is>
      </c>
      <c r="G1325" t="inlineStr">
        <is>
          <t>1.308886</t>
        </is>
      </c>
      <c r="H1325" t="inlineStr">
        <is>
          <t>-12565.31</t>
        </is>
      </c>
      <c r="I1325" t="inlineStr">
        <is>
          <t>-1.28%</t>
        </is>
      </c>
      <c r="J1325" t="inlineStr">
        <is>
          <t>982720.00</t>
        </is>
      </c>
      <c r="K1325" t="inlineStr">
        <is>
          <t>40000</t>
        </is>
      </c>
      <c r="L1325" t="inlineStr">
        <is>
          <t>8.000000000000</t>
        </is>
      </c>
      <c r="M1325" t="inlineStr"/>
    </row>
    <row r="1326">
      <c r="A1326" t="inlineStr">
        <is>
          <t>06/25/2026</t>
        </is>
      </c>
      <c r="B1326" t="inlineStr">
        <is>
          <t>IDJN</t>
        </is>
      </c>
      <c r="C1326" s="1" t="inlineStr">
        <is>
          <t>2EFA  270528P00088770</t>
        </is>
      </c>
      <c r="D1326" s="1" t="inlineStr">
        <is>
          <t>2EFA  270528P00088770</t>
        </is>
      </c>
      <c r="E1326" t="inlineStr">
        <is>
          <t>EFA 05/28/2027 88.77 P</t>
        </is>
      </c>
      <c r="F1326" t="inlineStr">
        <is>
          <t>-96.00000000</t>
        </is>
      </c>
      <c r="G1326" t="inlineStr">
        <is>
          <t>2.576169</t>
        </is>
      </c>
      <c r="H1326" t="inlineStr">
        <is>
          <t>-24731.22</t>
        </is>
      </c>
      <c r="I1326" t="inlineStr">
        <is>
          <t>-2.52%</t>
        </is>
      </c>
      <c r="J1326" t="inlineStr">
        <is>
          <t>982720.00</t>
        </is>
      </c>
      <c r="K1326" t="inlineStr">
        <is>
          <t>40000</t>
        </is>
      </c>
      <c r="L1326" t="inlineStr">
        <is>
          <t>8.000000000000</t>
        </is>
      </c>
      <c r="M1326" t="inlineStr"/>
    </row>
    <row r="1327">
      <c r="A1327" t="inlineStr">
        <is>
          <t>06/25/2026</t>
        </is>
      </c>
      <c r="B1327" t="inlineStr">
        <is>
          <t>IDJN</t>
        </is>
      </c>
      <c r="C1327" s="1" t="inlineStr">
        <is>
          <t>2EFA  270528P00104440</t>
        </is>
      </c>
      <c r="D1327" s="1" t="inlineStr">
        <is>
          <t>2EFA  270528P00104440</t>
        </is>
      </c>
      <c r="E1327" t="inlineStr">
        <is>
          <t>EFA 05/28/2027 104.44 P</t>
        </is>
      </c>
      <c r="F1327" t="inlineStr">
        <is>
          <t>96.00000000</t>
        </is>
      </c>
      <c r="G1327" t="inlineStr">
        <is>
          <t>6.790427</t>
        </is>
      </c>
      <c r="H1327" t="inlineStr">
        <is>
          <t>65188.10</t>
        </is>
      </c>
      <c r="I1327" t="inlineStr">
        <is>
          <t>6.63%</t>
        </is>
      </c>
      <c r="J1327" t="inlineStr">
        <is>
          <t>982720.00</t>
        </is>
      </c>
      <c r="K1327" t="inlineStr">
        <is>
          <t>40000</t>
        </is>
      </c>
      <c r="L1327" t="inlineStr">
        <is>
          <t>8.000000000000</t>
        </is>
      </c>
      <c r="M1327" t="inlineStr"/>
    </row>
    <row r="1328">
      <c r="A1328" t="inlineStr">
        <is>
          <t>06/25/2026</t>
        </is>
      </c>
      <c r="B1328" t="inlineStr">
        <is>
          <t>IDJN</t>
        </is>
      </c>
      <c r="C1328" s="1" t="inlineStr">
        <is>
          <t>912828ZS2</t>
        </is>
      </c>
      <c r="D1328" s="1" t="inlineStr">
        <is>
          <t>912828ZS2</t>
        </is>
      </c>
      <c r="E1328" t="inlineStr">
        <is>
          <t>United States Treasury Note/Bond 0.5% 05/31/2027</t>
        </is>
      </c>
      <c r="F1328" t="inlineStr">
        <is>
          <t>178000.00000000</t>
        </is>
      </c>
      <c r="G1328" t="inlineStr">
        <is>
          <t>96.755895</t>
        </is>
      </c>
      <c r="H1328" t="inlineStr">
        <is>
          <t>172225.49</t>
        </is>
      </c>
      <c r="I1328" t="inlineStr">
        <is>
          <t>17.53%</t>
        </is>
      </c>
      <c r="J1328" t="inlineStr">
        <is>
          <t>982720.00</t>
        </is>
      </c>
      <c r="K1328" t="inlineStr">
        <is>
          <t>40000</t>
        </is>
      </c>
      <c r="L1328" t="inlineStr">
        <is>
          <t>8.000000000000</t>
        </is>
      </c>
      <c r="M1328" t="inlineStr"/>
    </row>
    <row r="1329">
      <c r="A1329" t="inlineStr">
        <is>
          <t>06/25/2026</t>
        </is>
      </c>
      <c r="B1329" t="inlineStr">
        <is>
          <t>IDJN</t>
        </is>
      </c>
      <c r="C1329" s="1" t="inlineStr">
        <is>
          <t>FGXXX</t>
        </is>
      </c>
      <c r="D1329" s="1" t="inlineStr">
        <is>
          <t>31846V336</t>
        </is>
      </c>
      <c r="E1329" t="inlineStr">
        <is>
          <t>First American Government Obligations Fund 12/01/2031</t>
        </is>
      </c>
      <c r="F1329" t="inlineStr">
        <is>
          <t>7164.99000000</t>
        </is>
      </c>
      <c r="G1329" t="inlineStr">
        <is>
          <t>100.000000</t>
        </is>
      </c>
      <c r="H1329" t="inlineStr">
        <is>
          <t>7164.99</t>
        </is>
      </c>
      <c r="I1329" t="inlineStr">
        <is>
          <t>0.73%</t>
        </is>
      </c>
      <c r="J1329" t="inlineStr">
        <is>
          <t>982720.00</t>
        </is>
      </c>
      <c r="K1329" t="inlineStr">
        <is>
          <t>40000</t>
        </is>
      </c>
      <c r="L1329" t="inlineStr">
        <is>
          <t>8.000000000000</t>
        </is>
      </c>
      <c r="M1329" t="inlineStr">
        <is>
          <t>Y</t>
        </is>
      </c>
    </row>
    <row r="1330">
      <c r="A1330" t="inlineStr">
        <is>
          <t>06/25/2026</t>
        </is>
      </c>
      <c r="B1330" t="inlineStr">
        <is>
          <t>IDJN</t>
        </is>
      </c>
      <c r="C1330" s="1" t="inlineStr">
        <is>
          <t>Cash&amp;Other</t>
        </is>
      </c>
      <c r="D1330" s="1" t="inlineStr">
        <is>
          <t>Cash&amp;Other</t>
        </is>
      </c>
      <c r="E1330" t="inlineStr">
        <is>
          <t>Cash &amp; Other</t>
        </is>
      </c>
      <c r="F1330" t="inlineStr">
        <is>
          <t>-8.75000000</t>
        </is>
      </c>
      <c r="G1330" t="inlineStr">
        <is>
          <t>1.000000</t>
        </is>
      </c>
      <c r="H1330" t="inlineStr">
        <is>
          <t>-8.75</t>
        </is>
      </c>
      <c r="I1330" t="inlineStr">
        <is>
          <t>0.00%</t>
        </is>
      </c>
      <c r="J1330" t="inlineStr">
        <is>
          <t>982720.00</t>
        </is>
      </c>
      <c r="K1330" t="inlineStr">
        <is>
          <t>40000</t>
        </is>
      </c>
      <c r="L1330" t="inlineStr">
        <is>
          <t>8.000000000000</t>
        </is>
      </c>
      <c r="M1330" t="inlineStr">
        <is>
          <t>Y</t>
        </is>
      </c>
    </row>
    <row r="1331">
      <c r="A1331" t="inlineStr">
        <is>
          <t>06/25/2026</t>
        </is>
      </c>
      <c r="B1331" t="inlineStr">
        <is>
          <t>IDMY</t>
        </is>
      </c>
      <c r="C1331" s="1" t="inlineStr">
        <is>
          <t>2EFA  270430C00020410</t>
        </is>
      </c>
      <c r="D1331" s="1" t="inlineStr">
        <is>
          <t>2EFA  270430C00020410</t>
        </is>
      </c>
      <c r="E1331" t="inlineStr">
        <is>
          <t>EFA 04/30/2027 20.41 C</t>
        </is>
      </c>
      <c r="F1331" t="inlineStr">
        <is>
          <t>465.00000000</t>
        </is>
      </c>
      <c r="G1331" t="inlineStr">
        <is>
          <t>81.166298</t>
        </is>
      </c>
      <c r="H1331" t="inlineStr">
        <is>
          <t>3774232.86</t>
        </is>
      </c>
      <c r="I1331" t="inlineStr">
        <is>
          <t>79.68%</t>
        </is>
      </c>
      <c r="J1331" t="inlineStr">
        <is>
          <t>4736643.00</t>
        </is>
      </c>
      <c r="K1331" t="inlineStr">
        <is>
          <t>190000</t>
        </is>
      </c>
      <c r="L1331" t="inlineStr">
        <is>
          <t>38.000000000000</t>
        </is>
      </c>
      <c r="M1331" t="inlineStr"/>
    </row>
    <row r="1332">
      <c r="A1332" t="inlineStr">
        <is>
          <t>06/25/2026</t>
        </is>
      </c>
      <c r="B1332" t="inlineStr">
        <is>
          <t>IDMY</t>
        </is>
      </c>
      <c r="C1332" s="1" t="inlineStr">
        <is>
          <t>2EFA  270430C00118370</t>
        </is>
      </c>
      <c r="D1332" s="1" t="inlineStr">
        <is>
          <t>2EFA  270430C00118370</t>
        </is>
      </c>
      <c r="E1332" t="inlineStr">
        <is>
          <t>EFA 04/30/2027 118.37 C</t>
        </is>
      </c>
      <c r="F1332" t="inlineStr">
        <is>
          <t>-465.00000000</t>
        </is>
      </c>
      <c r="G1332" t="inlineStr">
        <is>
          <t>1.568512</t>
        </is>
      </c>
      <c r="H1332" t="inlineStr">
        <is>
          <t>-72935.81</t>
        </is>
      </c>
      <c r="I1332" t="inlineStr">
        <is>
          <t>-1.54%</t>
        </is>
      </c>
      <c r="J1332" t="inlineStr">
        <is>
          <t>4736643.00</t>
        </is>
      </c>
      <c r="K1332" t="inlineStr">
        <is>
          <t>190000</t>
        </is>
      </c>
      <c r="L1332" t="inlineStr">
        <is>
          <t>38.000000000000</t>
        </is>
      </c>
      <c r="M1332" t="inlineStr"/>
    </row>
    <row r="1333">
      <c r="A1333" t="inlineStr">
        <is>
          <t>06/25/2026</t>
        </is>
      </c>
      <c r="B1333" t="inlineStr">
        <is>
          <t>IDMY</t>
        </is>
      </c>
      <c r="C1333" s="1" t="inlineStr">
        <is>
          <t>2EFA  270430P00086730</t>
        </is>
      </c>
      <c r="D1333" s="1" t="inlineStr">
        <is>
          <t>2EFA  270430P00086730</t>
        </is>
      </c>
      <c r="E1333" t="inlineStr">
        <is>
          <t>EFA 04/30/2027 86.73 P</t>
        </is>
      </c>
      <c r="F1333" t="inlineStr">
        <is>
          <t>-465.00000000</t>
        </is>
      </c>
      <c r="G1333" t="inlineStr">
        <is>
          <t>2.109447</t>
        </is>
      </c>
      <c r="H1333" t="inlineStr">
        <is>
          <t>-98089.29</t>
        </is>
      </c>
      <c r="I1333" t="inlineStr">
        <is>
          <t>-2.07%</t>
        </is>
      </c>
      <c r="J1333" t="inlineStr">
        <is>
          <t>4736643.00</t>
        </is>
      </c>
      <c r="K1333" t="inlineStr">
        <is>
          <t>190000</t>
        </is>
      </c>
      <c r="L1333" t="inlineStr">
        <is>
          <t>38.000000000000</t>
        </is>
      </c>
      <c r="M1333" t="inlineStr"/>
    </row>
    <row r="1334">
      <c r="A1334" t="inlineStr">
        <is>
          <t>06/25/2026</t>
        </is>
      </c>
      <c r="B1334" t="inlineStr">
        <is>
          <t>IDMY</t>
        </is>
      </c>
      <c r="C1334" s="1" t="inlineStr">
        <is>
          <t>2EFA  270430P00102040</t>
        </is>
      </c>
      <c r="D1334" s="1" t="inlineStr">
        <is>
          <t>2EFA  270430P00102040</t>
        </is>
      </c>
      <c r="E1334" t="inlineStr">
        <is>
          <t>EFA 04/30/2027 102.04 P</t>
        </is>
      </c>
      <c r="F1334" t="inlineStr">
        <is>
          <t>465.00000000</t>
        </is>
      </c>
      <c r="G1334" t="inlineStr">
        <is>
          <t>5.682813</t>
        </is>
      </c>
      <c r="H1334" t="inlineStr">
        <is>
          <t>264250.80</t>
        </is>
      </c>
      <c r="I1334" t="inlineStr">
        <is>
          <t>5.58%</t>
        </is>
      </c>
      <c r="J1334" t="inlineStr">
        <is>
          <t>4736643.00</t>
        </is>
      </c>
      <c r="K1334" t="inlineStr">
        <is>
          <t>190000</t>
        </is>
      </c>
      <c r="L1334" t="inlineStr">
        <is>
          <t>38.000000000000</t>
        </is>
      </c>
      <c r="M1334" t="inlineStr"/>
    </row>
    <row r="1335">
      <c r="A1335" t="inlineStr">
        <is>
          <t>06/25/2026</t>
        </is>
      </c>
      <c r="B1335" t="inlineStr">
        <is>
          <t>IDMY</t>
        </is>
      </c>
      <c r="C1335" s="1" t="inlineStr">
        <is>
          <t>91282CMY4</t>
        </is>
      </c>
      <c r="D1335" s="1" t="inlineStr">
        <is>
          <t>91282CMY4</t>
        </is>
      </c>
      <c r="E1335" t="inlineStr">
        <is>
          <t>United States Treasury Note/Bond 3.75% 04/30/2027</t>
        </is>
      </c>
      <c r="F1335" t="inlineStr">
        <is>
          <t>735000.00000000</t>
        </is>
      </c>
      <c r="G1335" t="inlineStr">
        <is>
          <t>99.758247</t>
        </is>
      </c>
      <c r="H1335" t="inlineStr">
        <is>
          <t>733223.12</t>
        </is>
      </c>
      <c r="I1335" t="inlineStr">
        <is>
          <t>15.48%</t>
        </is>
      </c>
      <c r="J1335" t="inlineStr">
        <is>
          <t>4736643.00</t>
        </is>
      </c>
      <c r="K1335" t="inlineStr">
        <is>
          <t>190000</t>
        </is>
      </c>
      <c r="L1335" t="inlineStr">
        <is>
          <t>38.000000000000</t>
        </is>
      </c>
      <c r="M1335" t="inlineStr"/>
    </row>
    <row r="1336">
      <c r="A1336" t="inlineStr">
        <is>
          <t>06/25/2026</t>
        </is>
      </c>
      <c r="B1336" t="inlineStr">
        <is>
          <t>IDMY</t>
        </is>
      </c>
      <c r="C1336" s="1" t="inlineStr">
        <is>
          <t>FGXXX</t>
        </is>
      </c>
      <c r="D1336" s="1" t="inlineStr">
        <is>
          <t>31846V336</t>
        </is>
      </c>
      <c r="E1336" t="inlineStr">
        <is>
          <t>First American Government Obligations Fund 12/01/2031</t>
        </is>
      </c>
      <c r="F1336" t="inlineStr">
        <is>
          <t>131588.37000000</t>
        </is>
      </c>
      <c r="G1336" t="inlineStr">
        <is>
          <t>100.000000</t>
        </is>
      </c>
      <c r="H1336" t="inlineStr">
        <is>
          <t>131588.37</t>
        </is>
      </c>
      <c r="I1336" t="inlineStr">
        <is>
          <t>2.78%</t>
        </is>
      </c>
      <c r="J1336" t="inlineStr">
        <is>
          <t>4736643.00</t>
        </is>
      </c>
      <c r="K1336" t="inlineStr">
        <is>
          <t>190000</t>
        </is>
      </c>
      <c r="L1336" t="inlineStr">
        <is>
          <t>38.000000000000</t>
        </is>
      </c>
      <c r="M1336" t="inlineStr">
        <is>
          <t>Y</t>
        </is>
      </c>
    </row>
    <row r="1337">
      <c r="A1337" t="inlineStr">
        <is>
          <t>06/25/2026</t>
        </is>
      </c>
      <c r="B1337" t="inlineStr">
        <is>
          <t>IDMY</t>
        </is>
      </c>
      <c r="C1337" s="1" t="inlineStr">
        <is>
          <t>Cash&amp;Other</t>
        </is>
      </c>
      <c r="D1337" s="1" t="inlineStr">
        <is>
          <t>Cash&amp;Other</t>
        </is>
      </c>
      <c r="E1337" t="inlineStr">
        <is>
          <t>Cash &amp; Other</t>
        </is>
      </c>
      <c r="F1337" t="inlineStr">
        <is>
          <t>4421.90000000</t>
        </is>
      </c>
      <c r="G1337" t="inlineStr">
        <is>
          <t>1.000000</t>
        </is>
      </c>
      <c r="H1337" t="inlineStr">
        <is>
          <t>4421.90</t>
        </is>
      </c>
      <c r="I1337" t="inlineStr">
        <is>
          <t>0.09%</t>
        </is>
      </c>
      <c r="J1337" t="inlineStr">
        <is>
          <t>4736643.00</t>
        </is>
      </c>
      <c r="K1337" t="inlineStr">
        <is>
          <t>190000</t>
        </is>
      </c>
      <c r="L1337" t="inlineStr">
        <is>
          <t>38.000000000000</t>
        </is>
      </c>
      <c r="M1337" t="inlineStr">
        <is>
          <t>Y</t>
        </is>
      </c>
    </row>
    <row r="1338">
      <c r="A1338" t="inlineStr">
        <is>
          <t>06/25/2026</t>
        </is>
      </c>
      <c r="B1338" t="inlineStr">
        <is>
          <t>JOUL</t>
        </is>
      </c>
      <c r="C1338" s="1" t="inlineStr">
        <is>
          <t>ACA</t>
        </is>
      </c>
      <c r="D1338" s="1" t="inlineStr">
        <is>
          <t>039653100</t>
        </is>
      </c>
      <c r="E1338" t="inlineStr">
        <is>
          <t>Arcosa Inc</t>
        </is>
      </c>
      <c r="F1338" t="inlineStr">
        <is>
          <t>3780.00000000</t>
        </is>
      </c>
      <c r="G1338" t="inlineStr">
        <is>
          <t>144.340000</t>
        </is>
      </c>
      <c r="H1338" t="inlineStr">
        <is>
          <t>545605.20</t>
        </is>
      </c>
      <c r="I1338" t="inlineStr">
        <is>
          <t>4.64%</t>
        </is>
      </c>
      <c r="J1338" t="inlineStr">
        <is>
          <t>11758815.00</t>
        </is>
      </c>
      <c r="K1338" t="inlineStr">
        <is>
          <t>450000</t>
        </is>
      </c>
      <c r="L1338" t="inlineStr">
        <is>
          <t>90.000000000000</t>
        </is>
      </c>
      <c r="M1338" t="inlineStr"/>
    </row>
    <row r="1339">
      <c r="A1339" t="inlineStr">
        <is>
          <t>06/25/2026</t>
        </is>
      </c>
      <c r="B1339" t="inlineStr">
        <is>
          <t>JOUL</t>
        </is>
      </c>
      <c r="C1339" s="1" t="inlineStr">
        <is>
          <t>AEIS</t>
        </is>
      </c>
      <c r="D1339" s="1" t="inlineStr">
        <is>
          <t>007973100</t>
        </is>
      </c>
      <c r="E1339" t="inlineStr">
        <is>
          <t>Advanced Energy Industries Inc</t>
        </is>
      </c>
      <c r="F1339" t="inlineStr">
        <is>
          <t>1440.00000000</t>
        </is>
      </c>
      <c r="G1339" t="inlineStr">
        <is>
          <t>359.610000</t>
        </is>
      </c>
      <c r="H1339" t="inlineStr">
        <is>
          <t>517838.40</t>
        </is>
      </c>
      <c r="I1339" t="inlineStr">
        <is>
          <t>4.40%</t>
        </is>
      </c>
      <c r="J1339" t="inlineStr">
        <is>
          <t>11758815.00</t>
        </is>
      </c>
      <c r="K1339" t="inlineStr">
        <is>
          <t>450000</t>
        </is>
      </c>
      <c r="L1339" t="inlineStr">
        <is>
          <t>90.000000000000</t>
        </is>
      </c>
      <c r="M1339" t="inlineStr"/>
    </row>
    <row r="1340">
      <c r="A1340" t="inlineStr">
        <is>
          <t>06/25/2026</t>
        </is>
      </c>
      <c r="B1340" t="inlineStr">
        <is>
          <t>JOUL</t>
        </is>
      </c>
      <c r="C1340" s="1" t="inlineStr">
        <is>
          <t>AMSC</t>
        </is>
      </c>
      <c r="D1340" s="1" t="inlineStr">
        <is>
          <t>030111207</t>
        </is>
      </c>
      <c r="E1340" t="inlineStr">
        <is>
          <t>American Superconductor Corp</t>
        </is>
      </c>
      <c r="F1340" t="inlineStr">
        <is>
          <t>6390.00000000</t>
        </is>
      </c>
      <c r="G1340" t="inlineStr">
        <is>
          <t>40.850000</t>
        </is>
      </c>
      <c r="H1340" t="inlineStr">
        <is>
          <t>261031.50</t>
        </is>
      </c>
      <c r="I1340" t="inlineStr">
        <is>
          <t>2.22%</t>
        </is>
      </c>
      <c r="J1340" t="inlineStr">
        <is>
          <t>11758815.00</t>
        </is>
      </c>
      <c r="K1340" t="inlineStr">
        <is>
          <t>450000</t>
        </is>
      </c>
      <c r="L1340" t="inlineStr">
        <is>
          <t>90.000000000000</t>
        </is>
      </c>
      <c r="M1340" t="inlineStr"/>
    </row>
    <row r="1341">
      <c r="A1341" t="inlineStr">
        <is>
          <t>06/25/2026</t>
        </is>
      </c>
      <c r="B1341" t="inlineStr">
        <is>
          <t>JOUL</t>
        </is>
      </c>
      <c r="C1341" s="1" t="inlineStr">
        <is>
          <t>ATKR</t>
        </is>
      </c>
      <c r="D1341" s="1" t="inlineStr">
        <is>
          <t>047649108</t>
        </is>
      </c>
      <c r="E1341" t="inlineStr">
        <is>
          <t>Atkore Inc</t>
        </is>
      </c>
      <c r="F1341" t="inlineStr">
        <is>
          <t>4500.00000000</t>
        </is>
      </c>
      <c r="G1341" t="inlineStr">
        <is>
          <t>77.890000</t>
        </is>
      </c>
      <c r="H1341" t="inlineStr">
        <is>
          <t>350505.00</t>
        </is>
      </c>
      <c r="I1341" t="inlineStr">
        <is>
          <t>2.98%</t>
        </is>
      </c>
      <c r="J1341" t="inlineStr">
        <is>
          <t>11758815.00</t>
        </is>
      </c>
      <c r="K1341" t="inlineStr">
        <is>
          <t>450000</t>
        </is>
      </c>
      <c r="L1341" t="inlineStr">
        <is>
          <t>90.000000000000</t>
        </is>
      </c>
      <c r="M1341" t="inlineStr"/>
    </row>
    <row r="1342">
      <c r="A1342" t="inlineStr">
        <is>
          <t>06/25/2026</t>
        </is>
      </c>
      <c r="B1342" t="inlineStr">
        <is>
          <t>JOUL</t>
        </is>
      </c>
      <c r="C1342" s="1" t="inlineStr">
        <is>
          <t>DY</t>
        </is>
      </c>
      <c r="D1342" s="1" t="inlineStr">
        <is>
          <t>267475101</t>
        </is>
      </c>
      <c r="E1342" t="inlineStr">
        <is>
          <t>Dycom Industries Inc</t>
        </is>
      </c>
      <c r="F1342" t="inlineStr">
        <is>
          <t>1350.00000000</t>
        </is>
      </c>
      <c r="G1342" t="inlineStr">
        <is>
          <t>483.480000</t>
        </is>
      </c>
      <c r="H1342" t="inlineStr">
        <is>
          <t>652698.00</t>
        </is>
      </c>
      <c r="I1342" t="inlineStr">
        <is>
          <t>5.55%</t>
        </is>
      </c>
      <c r="J1342" t="inlineStr">
        <is>
          <t>11758815.00</t>
        </is>
      </c>
      <c r="K1342" t="inlineStr">
        <is>
          <t>450000</t>
        </is>
      </c>
      <c r="L1342" t="inlineStr">
        <is>
          <t>90.000000000000</t>
        </is>
      </c>
      <c r="M1342" t="inlineStr"/>
    </row>
    <row r="1343">
      <c r="A1343" t="inlineStr">
        <is>
          <t>06/25/2026</t>
        </is>
      </c>
      <c r="B1343" t="inlineStr">
        <is>
          <t>JOUL</t>
        </is>
      </c>
      <c r="C1343" s="1" t="inlineStr">
        <is>
          <t>ESE</t>
        </is>
      </c>
      <c r="D1343" s="1" t="inlineStr">
        <is>
          <t>296315104</t>
        </is>
      </c>
      <c r="E1343" t="inlineStr">
        <is>
          <t>ESCO Technologies Inc</t>
        </is>
      </c>
      <c r="F1343" t="inlineStr">
        <is>
          <t>1620.00000000</t>
        </is>
      </c>
      <c r="G1343" t="inlineStr">
        <is>
          <t>346.510000</t>
        </is>
      </c>
      <c r="H1343" t="inlineStr">
        <is>
          <t>561346.20</t>
        </is>
      </c>
      <c r="I1343" t="inlineStr">
        <is>
          <t>4.77%</t>
        </is>
      </c>
      <c r="J1343" t="inlineStr">
        <is>
          <t>11758815.00</t>
        </is>
      </c>
      <c r="K1343" t="inlineStr">
        <is>
          <t>450000</t>
        </is>
      </c>
      <c r="L1343" t="inlineStr">
        <is>
          <t>90.000000000000</t>
        </is>
      </c>
      <c r="M1343" t="inlineStr"/>
    </row>
    <row r="1344">
      <c r="A1344" t="inlineStr">
        <is>
          <t>06/25/2026</t>
        </is>
      </c>
      <c r="B1344" t="inlineStr">
        <is>
          <t>JOUL</t>
        </is>
      </c>
      <c r="C1344" s="1" t="inlineStr">
        <is>
          <t>ETN</t>
        </is>
      </c>
      <c r="D1344" s="1" t="inlineStr">
        <is>
          <t>G29183103</t>
        </is>
      </c>
      <c r="E1344" t="inlineStr">
        <is>
          <t>Eaton Corp PLC</t>
        </is>
      </c>
      <c r="F1344" t="inlineStr">
        <is>
          <t>3420.00000000</t>
        </is>
      </c>
      <c r="G1344" t="inlineStr">
        <is>
          <t>404.590000</t>
        </is>
      </c>
      <c r="H1344" t="inlineStr">
        <is>
          <t>1383697.80</t>
        </is>
      </c>
      <c r="I1344" t="inlineStr">
        <is>
          <t>11.77%</t>
        </is>
      </c>
      <c r="J1344" t="inlineStr">
        <is>
          <t>11758815.00</t>
        </is>
      </c>
      <c r="K1344" t="inlineStr">
        <is>
          <t>450000</t>
        </is>
      </c>
      <c r="L1344" t="inlineStr">
        <is>
          <t>90.000000000000</t>
        </is>
      </c>
      <c r="M1344" t="inlineStr"/>
    </row>
    <row r="1345">
      <c r="A1345" t="inlineStr">
        <is>
          <t>06/25/2026</t>
        </is>
      </c>
      <c r="B1345" t="inlineStr">
        <is>
          <t>JOUL</t>
        </is>
      </c>
      <c r="C1345" s="1" t="inlineStr">
        <is>
          <t>FGXXX</t>
        </is>
      </c>
      <c r="D1345" s="1" t="inlineStr">
        <is>
          <t>31846V336</t>
        </is>
      </c>
      <c r="E1345" t="inlineStr">
        <is>
          <t>First American Government Obligations Fund 12/01/2031</t>
        </is>
      </c>
      <c r="F1345" t="inlineStr">
        <is>
          <t>179838.73000000</t>
        </is>
      </c>
      <c r="G1345" t="inlineStr">
        <is>
          <t>100.000000</t>
        </is>
      </c>
      <c r="H1345" t="inlineStr">
        <is>
          <t>179838.73</t>
        </is>
      </c>
      <c r="I1345" t="inlineStr">
        <is>
          <t>1.53%</t>
        </is>
      </c>
      <c r="J1345" t="inlineStr">
        <is>
          <t>11758815.00</t>
        </is>
      </c>
      <c r="K1345" t="inlineStr">
        <is>
          <t>450000</t>
        </is>
      </c>
      <c r="L1345" t="inlineStr">
        <is>
          <t>90.000000000000</t>
        </is>
      </c>
      <c r="M1345" t="inlineStr">
        <is>
          <t>Y</t>
        </is>
      </c>
    </row>
    <row r="1346">
      <c r="A1346" t="inlineStr">
        <is>
          <t>06/25/2026</t>
        </is>
      </c>
      <c r="B1346" t="inlineStr">
        <is>
          <t>JOUL</t>
        </is>
      </c>
      <c r="C1346" s="1" t="inlineStr">
        <is>
          <t>FPS</t>
        </is>
      </c>
      <c r="D1346" s="1" t="inlineStr">
        <is>
          <t>34631F102</t>
        </is>
      </c>
      <c r="E1346" t="inlineStr">
        <is>
          <t>Forgent Power Solutions Inc</t>
        </is>
      </c>
      <c r="F1346" t="inlineStr">
        <is>
          <t>10800.00000000</t>
        </is>
      </c>
      <c r="G1346" t="inlineStr">
        <is>
          <t>60.120000</t>
        </is>
      </c>
      <c r="H1346" t="inlineStr">
        <is>
          <t>649296.00</t>
        </is>
      </c>
      <c r="I1346" t="inlineStr">
        <is>
          <t>5.52%</t>
        </is>
      </c>
      <c r="J1346" t="inlineStr">
        <is>
          <t>11758815.00</t>
        </is>
      </c>
      <c r="K1346" t="inlineStr">
        <is>
          <t>450000</t>
        </is>
      </c>
      <c r="L1346" t="inlineStr">
        <is>
          <t>90.000000000000</t>
        </is>
      </c>
      <c r="M1346" t="inlineStr"/>
    </row>
    <row r="1347">
      <c r="A1347" t="inlineStr">
        <is>
          <t>06/25/2026</t>
        </is>
      </c>
      <c r="B1347" t="inlineStr">
        <is>
          <t>JOUL</t>
        </is>
      </c>
      <c r="C1347" s="1" t="inlineStr">
        <is>
          <t>GEV</t>
        </is>
      </c>
      <c r="D1347" s="1" t="inlineStr">
        <is>
          <t>36828A101</t>
        </is>
      </c>
      <c r="E1347" t="inlineStr">
        <is>
          <t>GE Vernova Inc</t>
        </is>
      </c>
      <c r="F1347" t="inlineStr">
        <is>
          <t>1530.00000000</t>
        </is>
      </c>
      <c r="G1347" t="inlineStr">
        <is>
          <t>1057.650000</t>
        </is>
      </c>
      <c r="H1347" t="inlineStr">
        <is>
          <t>1618204.50</t>
        </is>
      </c>
      <c r="I1347" t="inlineStr">
        <is>
          <t>13.76%</t>
        </is>
      </c>
      <c r="J1347" t="inlineStr">
        <is>
          <t>11758815.00</t>
        </is>
      </c>
      <c r="K1347" t="inlineStr">
        <is>
          <t>450000</t>
        </is>
      </c>
      <c r="L1347" t="inlineStr">
        <is>
          <t>90.000000000000</t>
        </is>
      </c>
      <c r="M1347" t="inlineStr"/>
    </row>
    <row r="1348">
      <c r="A1348" t="inlineStr">
        <is>
          <t>06/25/2026</t>
        </is>
      </c>
      <c r="B1348" t="inlineStr">
        <is>
          <t>JOUL</t>
        </is>
      </c>
      <c r="C1348" s="1" t="inlineStr">
        <is>
          <t>HUBB</t>
        </is>
      </c>
      <c r="D1348" s="1" t="inlineStr">
        <is>
          <t>443510607</t>
        </is>
      </c>
      <c r="E1348" t="inlineStr">
        <is>
          <t>Hubbell Inc</t>
        </is>
      </c>
      <c r="F1348" t="inlineStr">
        <is>
          <t>990.00000000</t>
        </is>
      </c>
      <c r="G1348" t="inlineStr">
        <is>
          <t>518.180000</t>
        </is>
      </c>
      <c r="H1348" t="inlineStr">
        <is>
          <t>512998.20</t>
        </is>
      </c>
      <c r="I1348" t="inlineStr">
        <is>
          <t>4.36%</t>
        </is>
      </c>
      <c r="J1348" t="inlineStr">
        <is>
          <t>11758815.00</t>
        </is>
      </c>
      <c r="K1348" t="inlineStr">
        <is>
          <t>450000</t>
        </is>
      </c>
      <c r="L1348" t="inlineStr">
        <is>
          <t>90.000000000000</t>
        </is>
      </c>
      <c r="M1348" t="inlineStr"/>
    </row>
    <row r="1349">
      <c r="A1349" t="inlineStr">
        <is>
          <t>06/25/2026</t>
        </is>
      </c>
      <c r="B1349" t="inlineStr">
        <is>
          <t>JOUL</t>
        </is>
      </c>
      <c r="C1349" s="1" t="inlineStr">
        <is>
          <t>ITRI</t>
        </is>
      </c>
      <c r="D1349" s="1" t="inlineStr">
        <is>
          <t>465741106</t>
        </is>
      </c>
      <c r="E1349" t="inlineStr">
        <is>
          <t>Itron Inc</t>
        </is>
      </c>
      <c r="F1349" t="inlineStr">
        <is>
          <t>4770.00000000</t>
        </is>
      </c>
      <c r="G1349" t="inlineStr">
        <is>
          <t>81.610000</t>
        </is>
      </c>
      <c r="H1349" t="inlineStr">
        <is>
          <t>389279.70</t>
        </is>
      </c>
      <c r="I1349" t="inlineStr">
        <is>
          <t>3.31%</t>
        </is>
      </c>
      <c r="J1349" t="inlineStr">
        <is>
          <t>11758815.00</t>
        </is>
      </c>
      <c r="K1349" t="inlineStr">
        <is>
          <t>450000</t>
        </is>
      </c>
      <c r="L1349" t="inlineStr">
        <is>
          <t>90.000000000000</t>
        </is>
      </c>
      <c r="M1349" t="inlineStr"/>
    </row>
    <row r="1350">
      <c r="A1350" t="inlineStr">
        <is>
          <t>06/25/2026</t>
        </is>
      </c>
      <c r="B1350" t="inlineStr">
        <is>
          <t>JOUL</t>
        </is>
      </c>
      <c r="C1350" s="1" t="inlineStr">
        <is>
          <t>MTZ</t>
        </is>
      </c>
      <c r="D1350" s="1" t="inlineStr">
        <is>
          <t>576323109</t>
        </is>
      </c>
      <c r="E1350" t="inlineStr">
        <is>
          <t>MasTec Inc</t>
        </is>
      </c>
      <c r="F1350" t="inlineStr">
        <is>
          <t>1440.00000000</t>
        </is>
      </c>
      <c r="G1350" t="inlineStr">
        <is>
          <t>393.140000</t>
        </is>
      </c>
      <c r="H1350" t="inlineStr">
        <is>
          <t>566121.60</t>
        </is>
      </c>
      <c r="I1350" t="inlineStr">
        <is>
          <t>4.81%</t>
        </is>
      </c>
      <c r="J1350" t="inlineStr">
        <is>
          <t>11758815.00</t>
        </is>
      </c>
      <c r="K1350" t="inlineStr">
        <is>
          <t>450000</t>
        </is>
      </c>
      <c r="L1350" t="inlineStr">
        <is>
          <t>90.000000000000</t>
        </is>
      </c>
      <c r="M1350" t="inlineStr"/>
    </row>
    <row r="1351">
      <c r="A1351" t="inlineStr">
        <is>
          <t>06/25/2026</t>
        </is>
      </c>
      <c r="B1351" t="inlineStr">
        <is>
          <t>JOUL</t>
        </is>
      </c>
      <c r="C1351" s="1" t="inlineStr">
        <is>
          <t>MYRG</t>
        </is>
      </c>
      <c r="D1351" s="1" t="inlineStr">
        <is>
          <t>55405W104</t>
        </is>
      </c>
      <c r="E1351" t="inlineStr">
        <is>
          <t>MYR Group Inc</t>
        </is>
      </c>
      <c r="F1351" t="inlineStr">
        <is>
          <t>1260.00000000</t>
        </is>
      </c>
      <c r="G1351" t="inlineStr">
        <is>
          <t>470.080000</t>
        </is>
      </c>
      <c r="H1351" t="inlineStr">
        <is>
          <t>592300.80</t>
        </is>
      </c>
      <c r="I1351" t="inlineStr">
        <is>
          <t>5.04%</t>
        </is>
      </c>
      <c r="J1351" t="inlineStr">
        <is>
          <t>11758815.00</t>
        </is>
      </c>
      <c r="K1351" t="inlineStr">
        <is>
          <t>450000</t>
        </is>
      </c>
      <c r="L1351" t="inlineStr">
        <is>
          <t>90.000000000000</t>
        </is>
      </c>
      <c r="M1351" t="inlineStr"/>
    </row>
    <row r="1352">
      <c r="A1352" t="inlineStr">
        <is>
          <t>06/25/2026</t>
        </is>
      </c>
      <c r="B1352" t="inlineStr">
        <is>
          <t>JOUL</t>
        </is>
      </c>
      <c r="C1352" s="1" t="inlineStr">
        <is>
          <t>NVT</t>
        </is>
      </c>
      <c r="D1352" s="1" t="inlineStr">
        <is>
          <t>G6700G107</t>
        </is>
      </c>
      <c r="E1352" t="inlineStr">
        <is>
          <t>nVent Electric PLC</t>
        </is>
      </c>
      <c r="F1352" t="inlineStr">
        <is>
          <t>3870.00000000</t>
        </is>
      </c>
      <c r="G1352" t="inlineStr">
        <is>
          <t>167.550000</t>
        </is>
      </c>
      <c r="H1352" t="inlineStr">
        <is>
          <t>648418.50</t>
        </is>
      </c>
      <c r="I1352" t="inlineStr">
        <is>
          <t>5.51%</t>
        </is>
      </c>
      <c r="J1352" t="inlineStr">
        <is>
          <t>11758815.00</t>
        </is>
      </c>
      <c r="K1352" t="inlineStr">
        <is>
          <t>450000</t>
        </is>
      </c>
      <c r="L1352" t="inlineStr">
        <is>
          <t>90.000000000000</t>
        </is>
      </c>
      <c r="M1352" t="inlineStr"/>
    </row>
    <row r="1353">
      <c r="A1353" t="inlineStr">
        <is>
          <t>06/25/2026</t>
        </is>
      </c>
      <c r="B1353" t="inlineStr">
        <is>
          <t>JOUL</t>
        </is>
      </c>
      <c r="C1353" s="1" t="inlineStr">
        <is>
          <t>PLPC</t>
        </is>
      </c>
      <c r="D1353" s="1" t="inlineStr">
        <is>
          <t>740444104</t>
        </is>
      </c>
      <c r="E1353" t="inlineStr">
        <is>
          <t>Preformed Line Products Co</t>
        </is>
      </c>
      <c r="F1353" t="inlineStr">
        <is>
          <t>720.00000000</t>
        </is>
      </c>
      <c r="G1353" t="inlineStr">
        <is>
          <t>384.310000</t>
        </is>
      </c>
      <c r="H1353" t="inlineStr">
        <is>
          <t>276703.20</t>
        </is>
      </c>
      <c r="I1353" t="inlineStr">
        <is>
          <t>2.35%</t>
        </is>
      </c>
      <c r="J1353" t="inlineStr">
        <is>
          <t>11758815.00</t>
        </is>
      </c>
      <c r="K1353" t="inlineStr">
        <is>
          <t>450000</t>
        </is>
      </c>
      <c r="L1353" t="inlineStr">
        <is>
          <t>90.000000000000</t>
        </is>
      </c>
      <c r="M1353" t="inlineStr"/>
    </row>
    <row r="1354">
      <c r="A1354" t="inlineStr">
        <is>
          <t>06/25/2026</t>
        </is>
      </c>
      <c r="B1354" t="inlineStr">
        <is>
          <t>JOUL</t>
        </is>
      </c>
      <c r="C1354" s="1" t="inlineStr">
        <is>
          <t>POWL</t>
        </is>
      </c>
      <c r="D1354" s="1" t="inlineStr">
        <is>
          <t>739128106</t>
        </is>
      </c>
      <c r="E1354" t="inlineStr">
        <is>
          <t>Powell Industries Inc</t>
        </is>
      </c>
      <c r="F1354" t="inlineStr">
        <is>
          <t>1800.00000000</t>
        </is>
      </c>
      <c r="G1354" t="inlineStr">
        <is>
          <t>294.490000</t>
        </is>
      </c>
      <c r="H1354" t="inlineStr">
        <is>
          <t>530082.00</t>
        </is>
      </c>
      <c r="I1354" t="inlineStr">
        <is>
          <t>4.51%</t>
        </is>
      </c>
      <c r="J1354" t="inlineStr">
        <is>
          <t>11758815.00</t>
        </is>
      </c>
      <c r="K1354" t="inlineStr">
        <is>
          <t>450000</t>
        </is>
      </c>
      <c r="L1354" t="inlineStr">
        <is>
          <t>90.000000000000</t>
        </is>
      </c>
      <c r="M1354" t="inlineStr"/>
    </row>
    <row r="1355">
      <c r="A1355" t="inlineStr">
        <is>
          <t>06/25/2026</t>
        </is>
      </c>
      <c r="B1355" t="inlineStr">
        <is>
          <t>JOUL</t>
        </is>
      </c>
      <c r="C1355" s="1" t="inlineStr">
        <is>
          <t>PRIM</t>
        </is>
      </c>
      <c r="D1355" s="1" t="inlineStr">
        <is>
          <t>74164F103</t>
        </is>
      </c>
      <c r="E1355" t="inlineStr">
        <is>
          <t>Primoris Services Corp</t>
        </is>
      </c>
      <c r="F1355" t="inlineStr">
        <is>
          <t>3060.00000000</t>
        </is>
      </c>
      <c r="G1355" t="inlineStr">
        <is>
          <t>92.690000</t>
        </is>
      </c>
      <c r="H1355" t="inlineStr">
        <is>
          <t>283631.40</t>
        </is>
      </c>
      <c r="I1355" t="inlineStr">
        <is>
          <t>2.41%</t>
        </is>
      </c>
      <c r="J1355" t="inlineStr">
        <is>
          <t>11758815.00</t>
        </is>
      </c>
      <c r="K1355" t="inlineStr">
        <is>
          <t>450000</t>
        </is>
      </c>
      <c r="L1355" t="inlineStr">
        <is>
          <t>90.000000000000</t>
        </is>
      </c>
      <c r="M1355" t="inlineStr"/>
    </row>
    <row r="1356">
      <c r="A1356" t="inlineStr">
        <is>
          <t>06/25/2026</t>
        </is>
      </c>
      <c r="B1356" t="inlineStr">
        <is>
          <t>JOUL</t>
        </is>
      </c>
      <c r="C1356" s="1" t="inlineStr">
        <is>
          <t>PWR</t>
        </is>
      </c>
      <c r="D1356" s="1" t="inlineStr">
        <is>
          <t>74762E102</t>
        </is>
      </c>
      <c r="E1356" t="inlineStr">
        <is>
          <t>Quanta Services Inc</t>
        </is>
      </c>
      <c r="F1356" t="inlineStr">
        <is>
          <t>900.00000000</t>
        </is>
      </c>
      <c r="G1356" t="inlineStr">
        <is>
          <t>701.880000</t>
        </is>
      </c>
      <c r="H1356" t="inlineStr">
        <is>
          <t>631692.00</t>
        </is>
      </c>
      <c r="I1356" t="inlineStr">
        <is>
          <t>5.37%</t>
        </is>
      </c>
      <c r="J1356" t="inlineStr">
        <is>
          <t>11758815.00</t>
        </is>
      </c>
      <c r="K1356" t="inlineStr">
        <is>
          <t>450000</t>
        </is>
      </c>
      <c r="L1356" t="inlineStr">
        <is>
          <t>90.000000000000</t>
        </is>
      </c>
      <c r="M1356" t="inlineStr"/>
    </row>
    <row r="1357">
      <c r="A1357" t="inlineStr">
        <is>
          <t>06/25/2026</t>
        </is>
      </c>
      <c r="B1357" t="inlineStr">
        <is>
          <t>JOUL</t>
        </is>
      </c>
      <c r="C1357" s="1" t="inlineStr">
        <is>
          <t>VMI</t>
        </is>
      </c>
      <c r="D1357" s="1" t="inlineStr">
        <is>
          <t>920253101</t>
        </is>
      </c>
      <c r="E1357" t="inlineStr">
        <is>
          <t>Valmont Industries Inc</t>
        </is>
      </c>
      <c r="F1357" t="inlineStr">
        <is>
          <t>1080.00000000</t>
        </is>
      </c>
      <c r="G1357" t="inlineStr">
        <is>
          <t>563.410000</t>
        </is>
      </c>
      <c r="H1357" t="inlineStr">
        <is>
          <t>608482.80</t>
        </is>
      </c>
      <c r="I1357" t="inlineStr">
        <is>
          <t>5.17%</t>
        </is>
      </c>
      <c r="J1357" t="inlineStr">
        <is>
          <t>11758815.00</t>
        </is>
      </c>
      <c r="K1357" t="inlineStr">
        <is>
          <t>450000</t>
        </is>
      </c>
      <c r="L1357" t="inlineStr">
        <is>
          <t>90.000000000000</t>
        </is>
      </c>
      <c r="M1357" t="inlineStr"/>
    </row>
    <row r="1358">
      <c r="A1358" t="inlineStr">
        <is>
          <t>06/25/2026</t>
        </is>
      </c>
      <c r="B1358" t="inlineStr">
        <is>
          <t>JOUL</t>
        </is>
      </c>
      <c r="C1358" s="1" t="inlineStr">
        <is>
          <t>Cash&amp;Other</t>
        </is>
      </c>
      <c r="D1358" s="1" t="inlineStr">
        <is>
          <t>Cash&amp;Other</t>
        </is>
      </c>
      <c r="E1358" t="inlineStr">
        <is>
          <t>Cash &amp; Other</t>
        </is>
      </c>
      <c r="F1358" t="inlineStr">
        <is>
          <t>-1051.52000000</t>
        </is>
      </c>
      <c r="G1358" t="inlineStr">
        <is>
          <t>1.000000</t>
        </is>
      </c>
      <c r="H1358" t="inlineStr">
        <is>
          <t>-1051.52</t>
        </is>
      </c>
      <c r="I1358" t="inlineStr">
        <is>
          <t>-0.01%</t>
        </is>
      </c>
      <c r="J1358" t="inlineStr">
        <is>
          <t>11758815.00</t>
        </is>
      </c>
      <c r="K1358" t="inlineStr">
        <is>
          <t>450000</t>
        </is>
      </c>
      <c r="L1358" t="inlineStr">
        <is>
          <t>90.000000000000</t>
        </is>
      </c>
      <c r="M1358" t="inlineStr">
        <is>
          <t>Y</t>
        </is>
      </c>
    </row>
    <row r="1359">
      <c r="A1359" t="inlineStr">
        <is>
          <t>06/25/2026</t>
        </is>
      </c>
      <c r="B1359" t="inlineStr">
        <is>
          <t>JUNC</t>
        </is>
      </c>
      <c r="C1359" s="1" t="inlineStr">
        <is>
          <t>2SPY  270528C00151710</t>
        </is>
      </c>
      <c r="D1359" s="1" t="inlineStr">
        <is>
          <t>2SPY  270528C00151710</t>
        </is>
      </c>
      <c r="E1359" t="inlineStr">
        <is>
          <t>SPY 05/28/2027 151.71 C</t>
        </is>
      </c>
      <c r="F1359" t="inlineStr">
        <is>
          <t>16.00000000</t>
        </is>
      </c>
      <c r="G1359" t="inlineStr">
        <is>
          <t>587.712214</t>
        </is>
      </c>
      <c r="H1359" t="inlineStr">
        <is>
          <t>940339.54</t>
        </is>
      </c>
      <c r="I1359" t="inlineStr">
        <is>
          <t>76.34%</t>
        </is>
      </c>
      <c r="J1359" t="inlineStr">
        <is>
          <t>1231800.00</t>
        </is>
      </c>
      <c r="K1359" t="inlineStr">
        <is>
          <t>50000</t>
        </is>
      </c>
      <c r="L1359" t="inlineStr">
        <is>
          <t>10.000000000000</t>
        </is>
      </c>
      <c r="M1359" t="inlineStr"/>
    </row>
    <row r="1360">
      <c r="A1360" t="inlineStr">
        <is>
          <t>06/25/2026</t>
        </is>
      </c>
      <c r="B1360" t="inlineStr">
        <is>
          <t>JUNC</t>
        </is>
      </c>
      <c r="C1360" s="1" t="inlineStr">
        <is>
          <t>2SPY  270528C00896220</t>
        </is>
      </c>
      <c r="D1360" s="1" t="inlineStr">
        <is>
          <t>2SPY  270528C00896220</t>
        </is>
      </c>
      <c r="E1360" t="inlineStr">
        <is>
          <t>SPY 05/28/2027 896.22 C</t>
        </is>
      </c>
      <c r="F1360" t="inlineStr">
        <is>
          <t>-16.00000000</t>
        </is>
      </c>
      <c r="G1360" t="inlineStr">
        <is>
          <t>5.522271</t>
        </is>
      </c>
      <c r="H1360" t="inlineStr">
        <is>
          <t>-8835.63</t>
        </is>
      </c>
      <c r="I1360" t="inlineStr">
        <is>
          <t>-0.72%</t>
        </is>
      </c>
      <c r="J1360" t="inlineStr">
        <is>
          <t>1231800.00</t>
        </is>
      </c>
      <c r="K1360" t="inlineStr">
        <is>
          <t>50000</t>
        </is>
      </c>
      <c r="L1360" t="inlineStr">
        <is>
          <t>10.000000000000</t>
        </is>
      </c>
      <c r="M1360" t="inlineStr"/>
    </row>
    <row r="1361">
      <c r="A1361" t="inlineStr">
        <is>
          <t>06/25/2026</t>
        </is>
      </c>
      <c r="B1361" t="inlineStr">
        <is>
          <t>JUNC</t>
        </is>
      </c>
      <c r="C1361" s="1" t="inlineStr">
        <is>
          <t>2SPY  270528P00682690</t>
        </is>
      </c>
      <c r="D1361" s="1" t="inlineStr">
        <is>
          <t>2SPY  270528P00682690</t>
        </is>
      </c>
      <c r="E1361" t="inlineStr">
        <is>
          <t>SPY 05/28/2027 682.69 P</t>
        </is>
      </c>
      <c r="F1361" t="inlineStr">
        <is>
          <t>-16.00000000</t>
        </is>
      </c>
      <c r="G1361" t="inlineStr">
        <is>
          <t>26.783959</t>
        </is>
      </c>
      <c r="H1361" t="inlineStr">
        <is>
          <t>-42854.33</t>
        </is>
      </c>
      <c r="I1361" t="inlineStr">
        <is>
          <t>-3.48%</t>
        </is>
      </c>
      <c r="J1361" t="inlineStr">
        <is>
          <t>1231800.00</t>
        </is>
      </c>
      <c r="K1361" t="inlineStr">
        <is>
          <t>50000</t>
        </is>
      </c>
      <c r="L1361" t="inlineStr">
        <is>
          <t>10.000000000000</t>
        </is>
      </c>
      <c r="M1361" t="inlineStr"/>
    </row>
    <row r="1362">
      <c r="A1362" t="inlineStr">
        <is>
          <t>06/25/2026</t>
        </is>
      </c>
      <c r="B1362" t="inlineStr">
        <is>
          <t>JUNC</t>
        </is>
      </c>
      <c r="C1362" s="1" t="inlineStr">
        <is>
          <t>2SPY  270528P00758540</t>
        </is>
      </c>
      <c r="D1362" s="1" t="inlineStr">
        <is>
          <t>2SPY  270528P00758540</t>
        </is>
      </c>
      <c r="E1362" t="inlineStr">
        <is>
          <t>SPY 05/28/2027 758.54 P</t>
        </is>
      </c>
      <c r="F1362" t="inlineStr">
        <is>
          <t>16.00000000</t>
        </is>
      </c>
      <c r="G1362" t="inlineStr">
        <is>
          <t>47.816167</t>
        </is>
      </c>
      <c r="H1362" t="inlineStr">
        <is>
          <t>76505.87</t>
        </is>
      </c>
      <c r="I1362" t="inlineStr">
        <is>
          <t>6.21%</t>
        </is>
      </c>
      <c r="J1362" t="inlineStr">
        <is>
          <t>1231800.00</t>
        </is>
      </c>
      <c r="K1362" t="inlineStr">
        <is>
          <t>50000</t>
        </is>
      </c>
      <c r="L1362" t="inlineStr">
        <is>
          <t>10.000000000000</t>
        </is>
      </c>
      <c r="M1362" t="inlineStr"/>
    </row>
    <row r="1363">
      <c r="A1363" t="inlineStr">
        <is>
          <t>06/25/2026</t>
        </is>
      </c>
      <c r="B1363" t="inlineStr">
        <is>
          <t>JUNC</t>
        </is>
      </c>
      <c r="C1363" s="1" t="inlineStr">
        <is>
          <t>912828ZS2</t>
        </is>
      </c>
      <c r="D1363" s="1" t="inlineStr">
        <is>
          <t>912828ZS2</t>
        </is>
      </c>
      <c r="E1363" t="inlineStr">
        <is>
          <t>United States Treasury Note/Bond 0.5% 05/31/2027</t>
        </is>
      </c>
      <c r="F1363" t="inlineStr">
        <is>
          <t>230000.00000000</t>
        </is>
      </c>
      <c r="G1363" t="inlineStr">
        <is>
          <t>96.755895</t>
        </is>
      </c>
      <c r="H1363" t="inlineStr">
        <is>
          <t>222538.56</t>
        </is>
      </c>
      <c r="I1363" t="inlineStr">
        <is>
          <t>18.07%</t>
        </is>
      </c>
      <c r="J1363" t="inlineStr">
        <is>
          <t>1231800.00</t>
        </is>
      </c>
      <c r="K1363" t="inlineStr">
        <is>
          <t>50000</t>
        </is>
      </c>
      <c r="L1363" t="inlineStr">
        <is>
          <t>10.000000000000</t>
        </is>
      </c>
      <c r="M1363" t="inlineStr"/>
    </row>
    <row r="1364">
      <c r="A1364" t="inlineStr">
        <is>
          <t>06/25/2026</t>
        </is>
      </c>
      <c r="B1364" t="inlineStr">
        <is>
          <t>JUNC</t>
        </is>
      </c>
      <c r="C1364" s="1" t="inlineStr">
        <is>
          <t>FGXXX</t>
        </is>
      </c>
      <c r="D1364" s="1" t="inlineStr">
        <is>
          <t>31846V336</t>
        </is>
      </c>
      <c r="E1364" t="inlineStr">
        <is>
          <t>First American Government Obligations Fund 12/01/2031</t>
        </is>
      </c>
      <c r="F1364" t="inlineStr">
        <is>
          <t>44024.29000000</t>
        </is>
      </c>
      <c r="G1364" t="inlineStr">
        <is>
          <t>100.000000</t>
        </is>
      </c>
      <c r="H1364" t="inlineStr">
        <is>
          <t>44024.29</t>
        </is>
      </c>
      <c r="I1364" t="inlineStr">
        <is>
          <t>3.57%</t>
        </is>
      </c>
      <c r="J1364" t="inlineStr">
        <is>
          <t>1231800.00</t>
        </is>
      </c>
      <c r="K1364" t="inlineStr">
        <is>
          <t>50000</t>
        </is>
      </c>
      <c r="L1364" t="inlineStr">
        <is>
          <t>10.000000000000</t>
        </is>
      </c>
      <c r="M1364" t="inlineStr">
        <is>
          <t>Y</t>
        </is>
      </c>
    </row>
    <row r="1365">
      <c r="A1365" t="inlineStr">
        <is>
          <t>06/25/2026</t>
        </is>
      </c>
      <c r="B1365" t="inlineStr">
        <is>
          <t>JUNC</t>
        </is>
      </c>
      <c r="C1365" s="1" t="inlineStr">
        <is>
          <t>Cash&amp;Other</t>
        </is>
      </c>
      <c r="D1365" s="1" t="inlineStr">
        <is>
          <t>Cash&amp;Other</t>
        </is>
      </c>
      <c r="E1365" t="inlineStr">
        <is>
          <t>Cash &amp; Other</t>
        </is>
      </c>
      <c r="F1365" t="inlineStr">
        <is>
          <t>79.03000000</t>
        </is>
      </c>
      <c r="G1365" t="inlineStr">
        <is>
          <t>1.000000</t>
        </is>
      </c>
      <c r="H1365" t="inlineStr">
        <is>
          <t>79.03</t>
        </is>
      </c>
      <c r="I1365" t="inlineStr">
        <is>
          <t>0.01%</t>
        </is>
      </c>
      <c r="J1365" t="inlineStr">
        <is>
          <t>1231800.00</t>
        </is>
      </c>
      <c r="K1365" t="inlineStr">
        <is>
          <t>50000</t>
        </is>
      </c>
      <c r="L1365" t="inlineStr">
        <is>
          <t>10.000000000000</t>
        </is>
      </c>
      <c r="M1365" t="inlineStr">
        <is>
          <t>Y</t>
        </is>
      </c>
    </row>
    <row r="1366">
      <c r="A1366" t="inlineStr">
        <is>
          <t>06/25/2026</t>
        </is>
      </c>
      <c r="B1366" t="inlineStr">
        <is>
          <t>KEYX</t>
        </is>
      </c>
      <c r="C1366" s="1" t="inlineStr">
        <is>
          <t>49338L103-TRS-12/01/27-L-CANT</t>
        </is>
      </c>
      <c r="D1366" s="1" t="inlineStr">
        <is>
          <t>49338L103-TRS-12/01/27-L-CANT</t>
        </is>
      </c>
      <c r="E1366" t="inlineStr">
        <is>
          <t>KEYSIGHT TECHNOLOGIES, INC.-SWAP-CANT-L</t>
        </is>
      </c>
      <c r="F1366" t="inlineStr">
        <is>
          <t>1411.00000000</t>
        </is>
      </c>
      <c r="G1366" t="inlineStr">
        <is>
          <t>351.300000</t>
        </is>
      </c>
      <c r="H1366" t="inlineStr">
        <is>
          <t>495684.30</t>
        </is>
      </c>
      <c r="I1366" t="inlineStr">
        <is>
          <t>199.66%</t>
        </is>
      </c>
      <c r="J1366" t="inlineStr">
        <is>
          <t>248269.00</t>
        </is>
      </c>
      <c r="K1366" t="inlineStr">
        <is>
          <t>10000</t>
        </is>
      </c>
      <c r="L1366" t="inlineStr">
        <is>
          <t>2.000000000000</t>
        </is>
      </c>
      <c r="M1366" t="inlineStr"/>
    </row>
    <row r="1367">
      <c r="A1367" t="inlineStr">
        <is>
          <t>06/25/2026</t>
        </is>
      </c>
      <c r="B1367" t="inlineStr">
        <is>
          <t>KEYX</t>
        </is>
      </c>
      <c r="C1367" s="1" t="inlineStr">
        <is>
          <t>FGXXX</t>
        </is>
      </c>
      <c r="D1367" s="1" t="inlineStr">
        <is>
          <t>31846V336</t>
        </is>
      </c>
      <c r="E1367" t="inlineStr">
        <is>
          <t>First American Government Obligations Fund 12/01/2031</t>
        </is>
      </c>
      <c r="F1367" t="inlineStr">
        <is>
          <t>26280.00000000</t>
        </is>
      </c>
      <c r="G1367" t="inlineStr">
        <is>
          <t>100.000000</t>
        </is>
      </c>
      <c r="H1367" t="inlineStr">
        <is>
          <t>26280.00</t>
        </is>
      </c>
      <c r="I1367" t="inlineStr">
        <is>
          <t>10.59%</t>
        </is>
      </c>
      <c r="J1367" t="inlineStr">
        <is>
          <t>248269.00</t>
        </is>
      </c>
      <c r="K1367" t="inlineStr">
        <is>
          <t>10000</t>
        </is>
      </c>
      <c r="L1367" t="inlineStr">
        <is>
          <t>2.000000000000</t>
        </is>
      </c>
      <c r="M1367" t="inlineStr">
        <is>
          <t>Y</t>
        </is>
      </c>
    </row>
    <row r="1368">
      <c r="A1368" t="inlineStr">
        <is>
          <t>06/25/2026</t>
        </is>
      </c>
      <c r="B1368" t="inlineStr">
        <is>
          <t>KEYX</t>
        </is>
      </c>
      <c r="C1368" s="1" t="inlineStr">
        <is>
          <t>Cash&amp;Other</t>
        </is>
      </c>
      <c r="D1368" s="1" t="inlineStr">
        <is>
          <t>Cash&amp;Other</t>
        </is>
      </c>
      <c r="E1368" t="inlineStr">
        <is>
          <t>Cash &amp; Other</t>
        </is>
      </c>
      <c r="F1368" t="inlineStr">
        <is>
          <t>-273781.94000000</t>
        </is>
      </c>
      <c r="G1368" t="inlineStr">
        <is>
          <t>1.000000</t>
        </is>
      </c>
      <c r="H1368" t="inlineStr">
        <is>
          <t>-273781.94</t>
        </is>
      </c>
      <c r="I1368" t="inlineStr">
        <is>
          <t>-110.28%</t>
        </is>
      </c>
      <c r="J1368" t="inlineStr">
        <is>
          <t>248269.00</t>
        </is>
      </c>
      <c r="K1368" t="inlineStr">
        <is>
          <t>10000</t>
        </is>
      </c>
      <c r="L1368" t="inlineStr">
        <is>
          <t>2.000000000000</t>
        </is>
      </c>
      <c r="M1368" t="inlineStr">
        <is>
          <t>Y</t>
        </is>
      </c>
    </row>
    <row r="1369">
      <c r="A1369" t="inlineStr">
        <is>
          <t>06/25/2026</t>
        </is>
      </c>
      <c r="B1369" t="inlineStr">
        <is>
          <t>KRWX</t>
        </is>
      </c>
      <c r="C1369" s="1" t="inlineStr">
        <is>
          <t>464286772-TRS-07/07/27-L-CLST</t>
        </is>
      </c>
      <c r="D1369" s="1" t="inlineStr">
        <is>
          <t>464286772-TRS-07/07/27-L-CLST</t>
        </is>
      </c>
      <c r="E1369" t="inlineStr">
        <is>
          <t>ISHARES MSCI SOUTH KOREA ETF-SWAP-CLST-L</t>
        </is>
      </c>
      <c r="F1369" t="inlineStr">
        <is>
          <t>13080.00000000</t>
        </is>
      </c>
      <c r="G1369" t="inlineStr">
        <is>
          <t>197.260000</t>
        </is>
      </c>
      <c r="H1369" t="inlineStr">
        <is>
          <t>2580160.80</t>
        </is>
      </c>
      <c r="I1369" t="inlineStr">
        <is>
          <t>188.13%</t>
        </is>
      </c>
      <c r="J1369" t="inlineStr">
        <is>
          <t>1371475.00</t>
        </is>
      </c>
      <c r="K1369" t="inlineStr">
        <is>
          <t>70000</t>
        </is>
      </c>
      <c r="L1369" t="inlineStr">
        <is>
          <t>14.000000000000</t>
        </is>
      </c>
      <c r="M1369" t="inlineStr"/>
    </row>
    <row r="1370">
      <c r="A1370" t="inlineStr">
        <is>
          <t>06/25/2026</t>
        </is>
      </c>
      <c r="B1370" t="inlineStr">
        <is>
          <t>KRWX</t>
        </is>
      </c>
      <c r="C1370" s="1" t="inlineStr">
        <is>
          <t>464286772-TRS-12/01/27-L-CANT</t>
        </is>
      </c>
      <c r="D1370" s="1" t="inlineStr">
        <is>
          <t>464286772-TRS-12/01/27-L-CANT</t>
        </is>
      </c>
      <c r="E1370" t="inlineStr">
        <is>
          <t>ISHARES MSCI SOUTH KOREA ETF-SWAP-CANT-L</t>
        </is>
      </c>
      <c r="F1370" t="inlineStr">
        <is>
          <t>792.00000000</t>
        </is>
      </c>
      <c r="G1370" t="inlineStr">
        <is>
          <t>197.260000</t>
        </is>
      </c>
      <c r="H1370" t="inlineStr">
        <is>
          <t>156229.92</t>
        </is>
      </c>
      <c r="I1370" t="inlineStr">
        <is>
          <t>11.39%</t>
        </is>
      </c>
      <c r="J1370" t="inlineStr">
        <is>
          <t>1371475.00</t>
        </is>
      </c>
      <c r="K1370" t="inlineStr">
        <is>
          <t>70000</t>
        </is>
      </c>
      <c r="L1370" t="inlineStr">
        <is>
          <t>14.000000000000</t>
        </is>
      </c>
      <c r="M1370" t="inlineStr"/>
    </row>
    <row r="1371">
      <c r="A1371" t="inlineStr">
        <is>
          <t>06/25/2026</t>
        </is>
      </c>
      <c r="B1371" t="inlineStr">
        <is>
          <t>KRWX</t>
        </is>
      </c>
      <c r="C1371" s="1" t="inlineStr">
        <is>
          <t>FGXXX</t>
        </is>
      </c>
      <c r="D1371" s="1" t="inlineStr">
        <is>
          <t>31846V336</t>
        </is>
      </c>
      <c r="E1371" t="inlineStr">
        <is>
          <t>First American Government Obligations Fund 12/01/2031</t>
        </is>
      </c>
      <c r="F1371" t="inlineStr">
        <is>
          <t>109938.91000000</t>
        </is>
      </c>
      <c r="G1371" t="inlineStr">
        <is>
          <t>100.000000</t>
        </is>
      </c>
      <c r="H1371" t="inlineStr">
        <is>
          <t>109938.91</t>
        </is>
      </c>
      <c r="I1371" t="inlineStr">
        <is>
          <t>8.02%</t>
        </is>
      </c>
      <c r="J1371" t="inlineStr">
        <is>
          <t>1371475.00</t>
        </is>
      </c>
      <c r="K1371" t="inlineStr">
        <is>
          <t>70000</t>
        </is>
      </c>
      <c r="L1371" t="inlineStr">
        <is>
          <t>14.000000000000</t>
        </is>
      </c>
      <c r="M1371" t="inlineStr">
        <is>
          <t>Y</t>
        </is>
      </c>
    </row>
    <row r="1372">
      <c r="A1372" t="inlineStr">
        <is>
          <t>06/25/2026</t>
        </is>
      </c>
      <c r="B1372" t="inlineStr">
        <is>
          <t>KRWX</t>
        </is>
      </c>
      <c r="C1372" s="1" t="inlineStr">
        <is>
          <t>Cash&amp;Other</t>
        </is>
      </c>
      <c r="D1372" s="1" t="inlineStr">
        <is>
          <t>Cash&amp;Other</t>
        </is>
      </c>
      <c r="E1372" t="inlineStr">
        <is>
          <t>Cash &amp; Other</t>
        </is>
      </c>
      <c r="F1372" t="inlineStr">
        <is>
          <t>-1473998.03000000</t>
        </is>
      </c>
      <c r="G1372" t="inlineStr">
        <is>
          <t>1.000000</t>
        </is>
      </c>
      <c r="H1372" t="inlineStr">
        <is>
          <t>-1473998.03</t>
        </is>
      </c>
      <c r="I1372" t="inlineStr">
        <is>
          <t>-107.48%</t>
        </is>
      </c>
      <c r="J1372" t="inlineStr">
        <is>
          <t>1371475.00</t>
        </is>
      </c>
      <c r="K1372" t="inlineStr">
        <is>
          <t>70000</t>
        </is>
      </c>
      <c r="L1372" t="inlineStr">
        <is>
          <t>14.000000000000</t>
        </is>
      </c>
      <c r="M1372" t="inlineStr">
        <is>
          <t>Y</t>
        </is>
      </c>
    </row>
    <row r="1373">
      <c r="A1373" t="inlineStr">
        <is>
          <t>06/25/2026</t>
        </is>
      </c>
      <c r="B1373" t="inlineStr">
        <is>
          <t>KYC</t>
        </is>
      </c>
      <c r="C1373" s="1" t="inlineStr">
        <is>
          <t>AFRM</t>
        </is>
      </c>
      <c r="D1373" s="1" t="inlineStr">
        <is>
          <t>00827B106</t>
        </is>
      </c>
      <c r="E1373" t="inlineStr">
        <is>
          <t>Affirm Holdings Inc</t>
        </is>
      </c>
      <c r="F1373" t="inlineStr">
        <is>
          <t>432.00000000</t>
        </is>
      </c>
      <c r="G1373" t="inlineStr">
        <is>
          <t>77.660000</t>
        </is>
      </c>
      <c r="H1373" t="inlineStr">
        <is>
          <t>33549.12</t>
        </is>
      </c>
      <c r="I1373" t="inlineStr">
        <is>
          <t>2.38%</t>
        </is>
      </c>
      <c r="J1373" t="inlineStr">
        <is>
          <t>1412034.00</t>
        </is>
      </c>
      <c r="K1373" t="inlineStr">
        <is>
          <t>60000</t>
        </is>
      </c>
      <c r="L1373" t="inlineStr">
        <is>
          <t>12.000000000000</t>
        </is>
      </c>
      <c r="M1373" t="inlineStr"/>
    </row>
    <row r="1374">
      <c r="A1374" t="inlineStr">
        <is>
          <t>06/25/2026</t>
        </is>
      </c>
      <c r="B1374" t="inlineStr">
        <is>
          <t>KYC</t>
        </is>
      </c>
      <c r="C1374" s="1" t="inlineStr">
        <is>
          <t>ALLY</t>
        </is>
      </c>
      <c r="D1374" s="1" t="inlineStr">
        <is>
          <t>02005N100</t>
        </is>
      </c>
      <c r="E1374" t="inlineStr">
        <is>
          <t>Ally Financial Inc</t>
        </is>
      </c>
      <c r="F1374" t="inlineStr">
        <is>
          <t>588.00000000</t>
        </is>
      </c>
      <c r="G1374" t="inlineStr">
        <is>
          <t>45.560000</t>
        </is>
      </c>
      <c r="H1374" t="inlineStr">
        <is>
          <t>26789.28</t>
        </is>
      </c>
      <c r="I1374" t="inlineStr">
        <is>
          <t>1.90%</t>
        </is>
      </c>
      <c r="J1374" t="inlineStr">
        <is>
          <t>1412034.00</t>
        </is>
      </c>
      <c r="K1374" t="inlineStr">
        <is>
          <t>60000</t>
        </is>
      </c>
      <c r="L1374" t="inlineStr">
        <is>
          <t>12.000000000000</t>
        </is>
      </c>
      <c r="M1374" t="inlineStr"/>
    </row>
    <row r="1375">
      <c r="A1375" t="inlineStr">
        <is>
          <t>06/25/2026</t>
        </is>
      </c>
      <c r="B1375" t="inlineStr">
        <is>
          <t>KYC</t>
        </is>
      </c>
      <c r="C1375" s="1" t="inlineStr">
        <is>
          <t>BILL</t>
        </is>
      </c>
      <c r="D1375" s="1" t="inlineStr">
        <is>
          <t>090043100</t>
        </is>
      </c>
      <c r="E1375" t="inlineStr">
        <is>
          <t>BILL Holdings Inc</t>
        </is>
      </c>
      <c r="F1375" t="inlineStr">
        <is>
          <t>432.00000000</t>
        </is>
      </c>
      <c r="G1375" t="inlineStr">
        <is>
          <t>33.460000</t>
        </is>
      </c>
      <c r="H1375" t="inlineStr">
        <is>
          <t>14454.72</t>
        </is>
      </c>
      <c r="I1375" t="inlineStr">
        <is>
          <t>1.02%</t>
        </is>
      </c>
      <c r="J1375" t="inlineStr">
        <is>
          <t>1412034.00</t>
        </is>
      </c>
      <c r="K1375" t="inlineStr">
        <is>
          <t>60000</t>
        </is>
      </c>
      <c r="L1375" t="inlineStr">
        <is>
          <t>12.000000000000</t>
        </is>
      </c>
      <c r="M1375" t="inlineStr"/>
    </row>
    <row r="1376">
      <c r="A1376" t="inlineStr">
        <is>
          <t>06/25/2026</t>
        </is>
      </c>
      <c r="B1376" t="inlineStr">
        <is>
          <t>KYC</t>
        </is>
      </c>
      <c r="C1376" s="1" t="inlineStr">
        <is>
          <t>BR</t>
        </is>
      </c>
      <c r="D1376" s="1" t="inlineStr">
        <is>
          <t>11133T103</t>
        </is>
      </c>
      <c r="E1376" t="inlineStr">
        <is>
          <t>Broadridge Financial Solutions Inc</t>
        </is>
      </c>
      <c r="F1376" t="inlineStr">
        <is>
          <t>216.00000000</t>
        </is>
      </c>
      <c r="G1376" t="inlineStr">
        <is>
          <t>140.100000</t>
        </is>
      </c>
      <c r="H1376" t="inlineStr">
        <is>
          <t>30261.60</t>
        </is>
      </c>
      <c r="I1376" t="inlineStr">
        <is>
          <t>2.14%</t>
        </is>
      </c>
      <c r="J1376" t="inlineStr">
        <is>
          <t>1412034.00</t>
        </is>
      </c>
      <c r="K1376" t="inlineStr">
        <is>
          <t>60000</t>
        </is>
      </c>
      <c r="L1376" t="inlineStr">
        <is>
          <t>12.000000000000</t>
        </is>
      </c>
      <c r="M1376" t="inlineStr"/>
    </row>
    <row r="1377">
      <c r="A1377" t="inlineStr">
        <is>
          <t>06/25/2026</t>
        </is>
      </c>
      <c r="B1377" t="inlineStr">
        <is>
          <t>KYC</t>
        </is>
      </c>
      <c r="C1377" s="1" t="inlineStr">
        <is>
          <t>CHYM</t>
        </is>
      </c>
      <c r="D1377" s="1" t="inlineStr">
        <is>
          <t>16935C109</t>
        </is>
      </c>
      <c r="E1377" t="inlineStr">
        <is>
          <t>Chime Financial Inc</t>
        </is>
      </c>
      <c r="F1377" t="inlineStr">
        <is>
          <t>852.00000000</t>
        </is>
      </c>
      <c r="G1377" t="inlineStr">
        <is>
          <t>17.380000</t>
        </is>
      </c>
      <c r="H1377" t="inlineStr">
        <is>
          <t>14807.76</t>
        </is>
      </c>
      <c r="I1377" t="inlineStr">
        <is>
          <t>1.05%</t>
        </is>
      </c>
      <c r="J1377" t="inlineStr">
        <is>
          <t>1412034.00</t>
        </is>
      </c>
      <c r="K1377" t="inlineStr">
        <is>
          <t>60000</t>
        </is>
      </c>
      <c r="L1377" t="inlineStr">
        <is>
          <t>12.000000000000</t>
        </is>
      </c>
      <c r="M1377" t="inlineStr"/>
    </row>
    <row r="1378">
      <c r="A1378" t="inlineStr">
        <is>
          <t>06/25/2026</t>
        </is>
      </c>
      <c r="B1378" t="inlineStr">
        <is>
          <t>KYC</t>
        </is>
      </c>
      <c r="C1378" s="1" t="inlineStr">
        <is>
          <t>COIN</t>
        </is>
      </c>
      <c r="D1378" s="1" t="inlineStr">
        <is>
          <t>19260Q107</t>
        </is>
      </c>
      <c r="E1378" t="inlineStr">
        <is>
          <t>Coinbase Global Inc</t>
        </is>
      </c>
      <c r="F1378" t="inlineStr">
        <is>
          <t>216.00000000</t>
        </is>
      </c>
      <c r="G1378" t="inlineStr">
        <is>
          <t>150.110000</t>
        </is>
      </c>
      <c r="H1378" t="inlineStr">
        <is>
          <t>32423.76</t>
        </is>
      </c>
      <c r="I1378" t="inlineStr">
        <is>
          <t>2.30%</t>
        </is>
      </c>
      <c r="J1378" t="inlineStr">
        <is>
          <t>1412034.00</t>
        </is>
      </c>
      <c r="K1378" t="inlineStr">
        <is>
          <t>60000</t>
        </is>
      </c>
      <c r="L1378" t="inlineStr">
        <is>
          <t>12.000000000000</t>
        </is>
      </c>
      <c r="M1378" t="inlineStr"/>
    </row>
    <row r="1379">
      <c r="A1379" t="inlineStr">
        <is>
          <t>06/25/2026</t>
        </is>
      </c>
      <c r="B1379" t="inlineStr">
        <is>
          <t>KYC</t>
        </is>
      </c>
      <c r="C1379" s="1" t="inlineStr">
        <is>
          <t>CPAY</t>
        </is>
      </c>
      <c r="D1379" s="1" t="inlineStr">
        <is>
          <t>219948106</t>
        </is>
      </c>
      <c r="E1379" t="inlineStr">
        <is>
          <t>Corpay Inc</t>
        </is>
      </c>
      <c r="F1379" t="inlineStr">
        <is>
          <t>108.00000000</t>
        </is>
      </c>
      <c r="G1379" t="inlineStr">
        <is>
          <t>344.260000</t>
        </is>
      </c>
      <c r="H1379" t="inlineStr">
        <is>
          <t>37180.08</t>
        </is>
      </c>
      <c r="I1379" t="inlineStr">
        <is>
          <t>2.63%</t>
        </is>
      </c>
      <c r="J1379" t="inlineStr">
        <is>
          <t>1412034.00</t>
        </is>
      </c>
      <c r="K1379" t="inlineStr">
        <is>
          <t>60000</t>
        </is>
      </c>
      <c r="L1379" t="inlineStr">
        <is>
          <t>12.000000000000</t>
        </is>
      </c>
      <c r="M1379" t="inlineStr"/>
    </row>
    <row r="1380">
      <c r="A1380" t="inlineStr">
        <is>
          <t>06/25/2026</t>
        </is>
      </c>
      <c r="B1380" t="inlineStr">
        <is>
          <t>KYC</t>
        </is>
      </c>
      <c r="C1380" s="1" t="inlineStr">
        <is>
          <t>CRCL</t>
        </is>
      </c>
      <c r="D1380" s="1" t="inlineStr">
        <is>
          <t>172573107</t>
        </is>
      </c>
      <c r="E1380" t="inlineStr">
        <is>
          <t>Circle Internet Group Inc</t>
        </is>
      </c>
      <c r="F1380" t="inlineStr">
        <is>
          <t>336.00000000</t>
        </is>
      </c>
      <c r="G1380" t="inlineStr">
        <is>
          <t>70.980000</t>
        </is>
      </c>
      <c r="H1380" t="inlineStr">
        <is>
          <t>23849.28</t>
        </is>
      </c>
      <c r="I1380" t="inlineStr">
        <is>
          <t>1.69%</t>
        </is>
      </c>
      <c r="J1380" t="inlineStr">
        <is>
          <t>1412034.00</t>
        </is>
      </c>
      <c r="K1380" t="inlineStr">
        <is>
          <t>60000</t>
        </is>
      </c>
      <c r="L1380" t="inlineStr">
        <is>
          <t>12.000000000000</t>
        </is>
      </c>
      <c r="M1380" t="inlineStr"/>
    </row>
    <row r="1381">
      <c r="A1381" t="inlineStr">
        <is>
          <t>06/25/2026</t>
        </is>
      </c>
      <c r="B1381" t="inlineStr">
        <is>
          <t>KYC</t>
        </is>
      </c>
      <c r="C1381" s="1" t="inlineStr">
        <is>
          <t>DAVE</t>
        </is>
      </c>
      <c r="D1381" s="1" t="inlineStr">
        <is>
          <t>23834J201</t>
        </is>
      </c>
      <c r="E1381" t="inlineStr">
        <is>
          <t>Dave Inc</t>
        </is>
      </c>
      <c r="F1381" t="inlineStr">
        <is>
          <t>48.00000000</t>
        </is>
      </c>
      <c r="G1381" t="inlineStr">
        <is>
          <t>323.220000</t>
        </is>
      </c>
      <c r="H1381" t="inlineStr">
        <is>
          <t>15514.56</t>
        </is>
      </c>
      <c r="I1381" t="inlineStr">
        <is>
          <t>1.10%</t>
        </is>
      </c>
      <c r="J1381" t="inlineStr">
        <is>
          <t>1412034.00</t>
        </is>
      </c>
      <c r="K1381" t="inlineStr">
        <is>
          <t>60000</t>
        </is>
      </c>
      <c r="L1381" t="inlineStr">
        <is>
          <t>12.000000000000</t>
        </is>
      </c>
      <c r="M1381" t="inlineStr"/>
    </row>
    <row r="1382">
      <c r="A1382" t="inlineStr">
        <is>
          <t>06/25/2026</t>
        </is>
      </c>
      <c r="B1382" t="inlineStr">
        <is>
          <t>KYC</t>
        </is>
      </c>
      <c r="C1382" s="1" t="inlineStr">
        <is>
          <t>DLO</t>
        </is>
      </c>
      <c r="D1382" s="1" t="inlineStr">
        <is>
          <t>G29018101</t>
        </is>
      </c>
      <c r="E1382" t="inlineStr">
        <is>
          <t>Dlocal Ltd/Uruguay</t>
        </is>
      </c>
      <c r="F1382" t="inlineStr">
        <is>
          <t>768.00000000</t>
        </is>
      </c>
      <c r="G1382" t="inlineStr">
        <is>
          <t>12.280000</t>
        </is>
      </c>
      <c r="H1382" t="inlineStr">
        <is>
          <t>9431.04</t>
        </is>
      </c>
      <c r="I1382" t="inlineStr">
        <is>
          <t>0.67%</t>
        </is>
      </c>
      <c r="J1382" t="inlineStr">
        <is>
          <t>1412034.00</t>
        </is>
      </c>
      <c r="K1382" t="inlineStr">
        <is>
          <t>60000</t>
        </is>
      </c>
      <c r="L1382" t="inlineStr">
        <is>
          <t>12.000000000000</t>
        </is>
      </c>
      <c r="M1382" t="inlineStr"/>
    </row>
    <row r="1383">
      <c r="A1383" t="inlineStr">
        <is>
          <t>06/25/2026</t>
        </is>
      </c>
      <c r="B1383" t="inlineStr">
        <is>
          <t>KYC</t>
        </is>
      </c>
      <c r="C1383" s="1" t="inlineStr">
        <is>
          <t>EFX</t>
        </is>
      </c>
      <c r="D1383" s="1" t="inlineStr">
        <is>
          <t>294429105</t>
        </is>
      </c>
      <c r="E1383" t="inlineStr">
        <is>
          <t>Equifax Inc</t>
        </is>
      </c>
      <c r="F1383" t="inlineStr">
        <is>
          <t>204.00000000</t>
        </is>
      </c>
      <c r="G1383" t="inlineStr">
        <is>
          <t>157.610000</t>
        </is>
      </c>
      <c r="H1383" t="inlineStr">
        <is>
          <t>32152.44</t>
        </is>
      </c>
      <c r="I1383" t="inlineStr">
        <is>
          <t>2.28%</t>
        </is>
      </c>
      <c r="J1383" t="inlineStr">
        <is>
          <t>1412034.00</t>
        </is>
      </c>
      <c r="K1383" t="inlineStr">
        <is>
          <t>60000</t>
        </is>
      </c>
      <c r="L1383" t="inlineStr">
        <is>
          <t>12.000000000000</t>
        </is>
      </c>
      <c r="M1383" t="inlineStr"/>
    </row>
    <row r="1384">
      <c r="A1384" t="inlineStr">
        <is>
          <t>06/25/2026</t>
        </is>
      </c>
      <c r="B1384" t="inlineStr">
        <is>
          <t>KYC</t>
        </is>
      </c>
      <c r="C1384" s="1" t="inlineStr">
        <is>
          <t>ETOR</t>
        </is>
      </c>
      <c r="D1384" s="1" t="inlineStr">
        <is>
          <t>G32089107</t>
        </is>
      </c>
      <c r="E1384" t="inlineStr">
        <is>
          <t>Etoro Group Ltd</t>
        </is>
      </c>
      <c r="F1384" t="inlineStr">
        <is>
          <t>324.00000000</t>
        </is>
      </c>
      <c r="G1384" t="inlineStr">
        <is>
          <t>36.530000</t>
        </is>
      </c>
      <c r="H1384" t="inlineStr">
        <is>
          <t>11835.72</t>
        </is>
      </c>
      <c r="I1384" t="inlineStr">
        <is>
          <t>0.84%</t>
        </is>
      </c>
      <c r="J1384" t="inlineStr">
        <is>
          <t>1412034.00</t>
        </is>
      </c>
      <c r="K1384" t="inlineStr">
        <is>
          <t>60000</t>
        </is>
      </c>
      <c r="L1384" t="inlineStr">
        <is>
          <t>12.000000000000</t>
        </is>
      </c>
      <c r="M1384" t="inlineStr"/>
    </row>
    <row r="1385">
      <c r="A1385" t="inlineStr">
        <is>
          <t>06/25/2026</t>
        </is>
      </c>
      <c r="B1385" t="inlineStr">
        <is>
          <t>KYC</t>
        </is>
      </c>
      <c r="C1385" s="1" t="inlineStr">
        <is>
          <t>FGXXX</t>
        </is>
      </c>
      <c r="D1385" s="1" t="inlineStr">
        <is>
          <t>31846V336</t>
        </is>
      </c>
      <c r="E1385" t="inlineStr">
        <is>
          <t>First American Government Obligations Fund 12/01/2031</t>
        </is>
      </c>
      <c r="F1385" t="inlineStr">
        <is>
          <t>7884.83000000</t>
        </is>
      </c>
      <c r="G1385" t="inlineStr">
        <is>
          <t>100.000000</t>
        </is>
      </c>
      <c r="H1385" t="inlineStr">
        <is>
          <t>7884.83</t>
        </is>
      </c>
      <c r="I1385" t="inlineStr">
        <is>
          <t>0.56%</t>
        </is>
      </c>
      <c r="J1385" t="inlineStr">
        <is>
          <t>1412034.00</t>
        </is>
      </c>
      <c r="K1385" t="inlineStr">
        <is>
          <t>60000</t>
        </is>
      </c>
      <c r="L1385" t="inlineStr">
        <is>
          <t>12.000000000000</t>
        </is>
      </c>
      <c r="M1385" t="inlineStr">
        <is>
          <t>Y</t>
        </is>
      </c>
    </row>
    <row r="1386">
      <c r="A1386" t="inlineStr">
        <is>
          <t>06/25/2026</t>
        </is>
      </c>
      <c r="B1386" t="inlineStr">
        <is>
          <t>KYC</t>
        </is>
      </c>
      <c r="C1386" s="1" t="inlineStr">
        <is>
          <t>FICO</t>
        </is>
      </c>
      <c r="D1386" s="1" t="inlineStr">
        <is>
          <t>303250104</t>
        </is>
      </c>
      <c r="E1386" t="inlineStr">
        <is>
          <t>Fair Isaac Corp</t>
        </is>
      </c>
      <c r="F1386" t="inlineStr">
        <is>
          <t>36.00000000</t>
        </is>
      </c>
      <c r="G1386" t="inlineStr">
        <is>
          <t>1140.340000</t>
        </is>
      </c>
      <c r="H1386" t="inlineStr">
        <is>
          <t>41052.24</t>
        </is>
      </c>
      <c r="I1386" t="inlineStr">
        <is>
          <t>2.91%</t>
        </is>
      </c>
      <c r="J1386" t="inlineStr">
        <is>
          <t>1412034.00</t>
        </is>
      </c>
      <c r="K1386" t="inlineStr">
        <is>
          <t>60000</t>
        </is>
      </c>
      <c r="L1386" t="inlineStr">
        <is>
          <t>12.000000000000</t>
        </is>
      </c>
      <c r="M1386" t="inlineStr"/>
    </row>
    <row r="1387">
      <c r="A1387" t="inlineStr">
        <is>
          <t>06/25/2026</t>
        </is>
      </c>
      <c r="B1387" t="inlineStr">
        <is>
          <t>KYC</t>
        </is>
      </c>
      <c r="C1387" s="1" t="inlineStr">
        <is>
          <t>FIS</t>
        </is>
      </c>
      <c r="D1387" s="1" t="inlineStr">
        <is>
          <t>31620M106</t>
        </is>
      </c>
      <c r="E1387" t="inlineStr">
        <is>
          <t>Fidelity National Information Services Inc</t>
        </is>
      </c>
      <c r="F1387" t="inlineStr">
        <is>
          <t>792.00000000</t>
        </is>
      </c>
      <c r="G1387" t="inlineStr">
        <is>
          <t>38.660000</t>
        </is>
      </c>
      <c r="H1387" t="inlineStr">
        <is>
          <t>30618.72</t>
        </is>
      </c>
      <c r="I1387" t="inlineStr">
        <is>
          <t>2.17%</t>
        </is>
      </c>
      <c r="J1387" t="inlineStr">
        <is>
          <t>1412034.00</t>
        </is>
      </c>
      <c r="K1387" t="inlineStr">
        <is>
          <t>60000</t>
        </is>
      </c>
      <c r="L1387" t="inlineStr">
        <is>
          <t>12.000000000000</t>
        </is>
      </c>
      <c r="M1387" t="inlineStr"/>
    </row>
    <row r="1388">
      <c r="A1388" t="inlineStr">
        <is>
          <t>06/25/2026</t>
        </is>
      </c>
      <c r="B1388" t="inlineStr">
        <is>
          <t>KYC</t>
        </is>
      </c>
      <c r="C1388" s="1" t="inlineStr">
        <is>
          <t>FISV</t>
        </is>
      </c>
      <c r="D1388" s="1" t="inlineStr">
        <is>
          <t>337738108</t>
        </is>
      </c>
      <c r="E1388" t="inlineStr">
        <is>
          <t>Fiserv Inc</t>
        </is>
      </c>
      <c r="F1388" t="inlineStr">
        <is>
          <t>624.00000000</t>
        </is>
      </c>
      <c r="G1388" t="inlineStr">
        <is>
          <t>48.190000</t>
        </is>
      </c>
      <c r="H1388" t="inlineStr">
        <is>
          <t>30070.56</t>
        </is>
      </c>
      <c r="I1388" t="inlineStr">
        <is>
          <t>2.13%</t>
        </is>
      </c>
      <c r="J1388" t="inlineStr">
        <is>
          <t>1412034.00</t>
        </is>
      </c>
      <c r="K1388" t="inlineStr">
        <is>
          <t>60000</t>
        </is>
      </c>
      <c r="L1388" t="inlineStr">
        <is>
          <t>12.000000000000</t>
        </is>
      </c>
      <c r="M1388" t="inlineStr"/>
    </row>
    <row r="1389">
      <c r="A1389" t="inlineStr">
        <is>
          <t>06/25/2026</t>
        </is>
      </c>
      <c r="B1389" t="inlineStr">
        <is>
          <t>KYC</t>
        </is>
      </c>
      <c r="C1389" s="1" t="inlineStr">
        <is>
          <t>FLYW</t>
        </is>
      </c>
      <c r="D1389" s="1" t="inlineStr">
        <is>
          <t>302492103</t>
        </is>
      </c>
      <c r="E1389" t="inlineStr">
        <is>
          <t>Flywire Corp</t>
        </is>
      </c>
      <c r="F1389" t="inlineStr">
        <is>
          <t>792.00000000</t>
        </is>
      </c>
      <c r="G1389" t="inlineStr">
        <is>
          <t>16.540000</t>
        </is>
      </c>
      <c r="H1389" t="inlineStr">
        <is>
          <t>13099.68</t>
        </is>
      </c>
      <c r="I1389" t="inlineStr">
        <is>
          <t>0.93%</t>
        </is>
      </c>
      <c r="J1389" t="inlineStr">
        <is>
          <t>1412034.00</t>
        </is>
      </c>
      <c r="K1389" t="inlineStr">
        <is>
          <t>60000</t>
        </is>
      </c>
      <c r="L1389" t="inlineStr">
        <is>
          <t>12.000000000000</t>
        </is>
      </c>
      <c r="M1389" t="inlineStr"/>
    </row>
    <row r="1390">
      <c r="A1390" t="inlineStr">
        <is>
          <t>06/25/2026</t>
        </is>
      </c>
      <c r="B1390" t="inlineStr">
        <is>
          <t>KYC</t>
        </is>
      </c>
      <c r="C1390" s="1" t="inlineStr">
        <is>
          <t>FOUR</t>
        </is>
      </c>
      <c r="D1390" s="1" t="inlineStr">
        <is>
          <t>82452J109</t>
        </is>
      </c>
      <c r="E1390" t="inlineStr">
        <is>
          <t>Shift4 Payments Inc</t>
        </is>
      </c>
      <c r="F1390" t="inlineStr">
        <is>
          <t>312.00000000</t>
        </is>
      </c>
      <c r="G1390" t="inlineStr">
        <is>
          <t>44.220000</t>
        </is>
      </c>
      <c r="H1390" t="inlineStr">
        <is>
          <t>13796.64</t>
        </is>
      </c>
      <c r="I1390" t="inlineStr">
        <is>
          <t>0.98%</t>
        </is>
      </c>
      <c r="J1390" t="inlineStr">
        <is>
          <t>1412034.00</t>
        </is>
      </c>
      <c r="K1390" t="inlineStr">
        <is>
          <t>60000</t>
        </is>
      </c>
      <c r="L1390" t="inlineStr">
        <is>
          <t>12.000000000000</t>
        </is>
      </c>
      <c r="M1390" t="inlineStr"/>
    </row>
    <row r="1391">
      <c r="A1391" t="inlineStr">
        <is>
          <t>06/25/2026</t>
        </is>
      </c>
      <c r="B1391" t="inlineStr">
        <is>
          <t>KYC</t>
        </is>
      </c>
      <c r="C1391" s="1" t="inlineStr">
        <is>
          <t>GDOT</t>
        </is>
      </c>
      <c r="D1391" s="1" t="inlineStr">
        <is>
          <t>39304D102</t>
        </is>
      </c>
      <c r="E1391" t="inlineStr">
        <is>
          <t>Green Dot Corp</t>
        </is>
      </c>
      <c r="F1391" t="inlineStr">
        <is>
          <t>648.00000000</t>
        </is>
      </c>
      <c r="G1391" t="inlineStr">
        <is>
          <t>13.540000</t>
        </is>
      </c>
      <c r="H1391" t="inlineStr">
        <is>
          <t>8773.92</t>
        </is>
      </c>
      <c r="I1391" t="inlineStr">
        <is>
          <t>0.62%</t>
        </is>
      </c>
      <c r="J1391" t="inlineStr">
        <is>
          <t>1412034.00</t>
        </is>
      </c>
      <c r="K1391" t="inlineStr">
        <is>
          <t>60000</t>
        </is>
      </c>
      <c r="L1391" t="inlineStr">
        <is>
          <t>12.000000000000</t>
        </is>
      </c>
      <c r="M1391" t="inlineStr"/>
    </row>
    <row r="1392">
      <c r="A1392" t="inlineStr">
        <is>
          <t>06/25/2026</t>
        </is>
      </c>
      <c r="B1392" t="inlineStr">
        <is>
          <t>KYC</t>
        </is>
      </c>
      <c r="C1392" s="1" t="inlineStr">
        <is>
          <t>GLBE</t>
        </is>
      </c>
      <c r="D1392" s="1" t="inlineStr">
        <is>
          <t>M5216V106</t>
        </is>
      </c>
      <c r="E1392" t="inlineStr">
        <is>
          <t>Global-e Online Ltd</t>
        </is>
      </c>
      <c r="F1392" t="inlineStr">
        <is>
          <t>528.00000000</t>
        </is>
      </c>
      <c r="G1392" t="inlineStr">
        <is>
          <t>34.050000</t>
        </is>
      </c>
      <c r="H1392" t="inlineStr">
        <is>
          <t>17978.40</t>
        </is>
      </c>
      <c r="I1392" t="inlineStr">
        <is>
          <t>1.27%</t>
        </is>
      </c>
      <c r="J1392" t="inlineStr">
        <is>
          <t>1412034.00</t>
        </is>
      </c>
      <c r="K1392" t="inlineStr">
        <is>
          <t>60000</t>
        </is>
      </c>
      <c r="L1392" t="inlineStr">
        <is>
          <t>12.000000000000</t>
        </is>
      </c>
      <c r="M1392" t="inlineStr"/>
    </row>
    <row r="1393">
      <c r="A1393" t="inlineStr">
        <is>
          <t>06/25/2026</t>
        </is>
      </c>
      <c r="B1393" t="inlineStr">
        <is>
          <t>KYC</t>
        </is>
      </c>
      <c r="C1393" s="1" t="inlineStr">
        <is>
          <t>GPN</t>
        </is>
      </c>
      <c r="D1393" s="1" t="inlineStr">
        <is>
          <t>37940X102</t>
        </is>
      </c>
      <c r="E1393" t="inlineStr">
        <is>
          <t>Global Payments Inc</t>
        </is>
      </c>
      <c r="F1393" t="inlineStr">
        <is>
          <t>444.00000000</t>
        </is>
      </c>
      <c r="G1393" t="inlineStr">
        <is>
          <t>67.080000</t>
        </is>
      </c>
      <c r="H1393" t="inlineStr">
        <is>
          <t>29783.52</t>
        </is>
      </c>
      <c r="I1393" t="inlineStr">
        <is>
          <t>2.11%</t>
        </is>
      </c>
      <c r="J1393" t="inlineStr">
        <is>
          <t>1412034.00</t>
        </is>
      </c>
      <c r="K1393" t="inlineStr">
        <is>
          <t>60000</t>
        </is>
      </c>
      <c r="L1393" t="inlineStr">
        <is>
          <t>12.000000000000</t>
        </is>
      </c>
      <c r="M1393" t="inlineStr"/>
    </row>
    <row r="1394">
      <c r="A1394" t="inlineStr">
        <is>
          <t>06/25/2026</t>
        </is>
      </c>
      <c r="B1394" t="inlineStr">
        <is>
          <t>KYC</t>
        </is>
      </c>
      <c r="C1394" s="1" t="inlineStr">
        <is>
          <t>HOOD</t>
        </is>
      </c>
      <c r="D1394" s="1" t="inlineStr">
        <is>
          <t>770700102</t>
        </is>
      </c>
      <c r="E1394" t="inlineStr">
        <is>
          <t>Robinhood Markets Inc</t>
        </is>
      </c>
      <c r="F1394" t="inlineStr">
        <is>
          <t>600.00000000</t>
        </is>
      </c>
      <c r="G1394" t="inlineStr">
        <is>
          <t>97.190000</t>
        </is>
      </c>
      <c r="H1394" t="inlineStr">
        <is>
          <t>58314.00</t>
        </is>
      </c>
      <c r="I1394" t="inlineStr">
        <is>
          <t>4.13%</t>
        </is>
      </c>
      <c r="J1394" t="inlineStr">
        <is>
          <t>1412034.00</t>
        </is>
      </c>
      <c r="K1394" t="inlineStr">
        <is>
          <t>60000</t>
        </is>
      </c>
      <c r="L1394" t="inlineStr">
        <is>
          <t>12.000000000000</t>
        </is>
      </c>
      <c r="M1394" t="inlineStr"/>
    </row>
    <row r="1395">
      <c r="A1395" t="inlineStr">
        <is>
          <t>06/25/2026</t>
        </is>
      </c>
      <c r="B1395" t="inlineStr">
        <is>
          <t>KYC</t>
        </is>
      </c>
      <c r="C1395" s="1" t="inlineStr">
        <is>
          <t>INTR</t>
        </is>
      </c>
      <c r="D1395" s="1" t="inlineStr">
        <is>
          <t>G4R20B107</t>
        </is>
      </c>
      <c r="E1395" t="inlineStr">
        <is>
          <t>Inter &amp; Co Inc</t>
        </is>
      </c>
      <c r="F1395" t="inlineStr">
        <is>
          <t>1752.00000000</t>
        </is>
      </c>
      <c r="G1395" t="inlineStr">
        <is>
          <t>5.280000</t>
        </is>
      </c>
      <c r="H1395" t="inlineStr">
        <is>
          <t>9250.56</t>
        </is>
      </c>
      <c r="I1395" t="inlineStr">
        <is>
          <t>0.66%</t>
        </is>
      </c>
      <c r="J1395" t="inlineStr">
        <is>
          <t>1412034.00</t>
        </is>
      </c>
      <c r="K1395" t="inlineStr">
        <is>
          <t>60000</t>
        </is>
      </c>
      <c r="L1395" t="inlineStr">
        <is>
          <t>12.000000000000</t>
        </is>
      </c>
      <c r="M1395" t="inlineStr"/>
    </row>
    <row r="1396">
      <c r="A1396" t="inlineStr">
        <is>
          <t>06/25/2026</t>
        </is>
      </c>
      <c r="B1396" t="inlineStr">
        <is>
          <t>KYC</t>
        </is>
      </c>
      <c r="C1396" s="1" t="inlineStr">
        <is>
          <t>INTU</t>
        </is>
      </c>
      <c r="D1396" s="1" t="inlineStr">
        <is>
          <t>461202103</t>
        </is>
      </c>
      <c r="E1396" t="inlineStr">
        <is>
          <t>Intuit Inc</t>
        </is>
      </c>
      <c r="F1396" t="inlineStr">
        <is>
          <t>168.00000000</t>
        </is>
      </c>
      <c r="G1396" t="inlineStr">
        <is>
          <t>262.235000</t>
        </is>
      </c>
      <c r="H1396" t="inlineStr">
        <is>
          <t>44055.48</t>
        </is>
      </c>
      <c r="I1396" t="inlineStr">
        <is>
          <t>3.12%</t>
        </is>
      </c>
      <c r="J1396" t="inlineStr">
        <is>
          <t>1412034.00</t>
        </is>
      </c>
      <c r="K1396" t="inlineStr">
        <is>
          <t>60000</t>
        </is>
      </c>
      <c r="L1396" t="inlineStr">
        <is>
          <t>12.000000000000</t>
        </is>
      </c>
      <c r="M1396" t="inlineStr"/>
    </row>
    <row r="1397">
      <c r="A1397" t="inlineStr">
        <is>
          <t>06/25/2026</t>
        </is>
      </c>
      <c r="B1397" t="inlineStr">
        <is>
          <t>KYC</t>
        </is>
      </c>
      <c r="C1397" s="1" t="inlineStr">
        <is>
          <t>JKHY</t>
        </is>
      </c>
      <c r="D1397" s="1" t="inlineStr">
        <is>
          <t>426281101</t>
        </is>
      </c>
      <c r="E1397" t="inlineStr">
        <is>
          <t>Jack Henry &amp; Associates Inc</t>
        </is>
      </c>
      <c r="F1397" t="inlineStr">
        <is>
          <t>180.00000000</t>
        </is>
      </c>
      <c r="G1397" t="inlineStr">
        <is>
          <t>128.060000</t>
        </is>
      </c>
      <c r="H1397" t="inlineStr">
        <is>
          <t>23050.80</t>
        </is>
      </c>
      <c r="I1397" t="inlineStr">
        <is>
          <t>1.63%</t>
        </is>
      </c>
      <c r="J1397" t="inlineStr">
        <is>
          <t>1412034.00</t>
        </is>
      </c>
      <c r="K1397" t="inlineStr">
        <is>
          <t>60000</t>
        </is>
      </c>
      <c r="L1397" t="inlineStr">
        <is>
          <t>12.000000000000</t>
        </is>
      </c>
      <c r="M1397" t="inlineStr"/>
    </row>
    <row r="1398">
      <c r="A1398" t="inlineStr">
        <is>
          <t>06/25/2026</t>
        </is>
      </c>
      <c r="B1398" t="inlineStr">
        <is>
          <t>KYC</t>
        </is>
      </c>
      <c r="C1398" s="1" t="inlineStr">
        <is>
          <t>KSPI</t>
        </is>
      </c>
      <c r="D1398" s="1" t="inlineStr">
        <is>
          <t>48581R205</t>
        </is>
      </c>
      <c r="E1398" t="inlineStr">
        <is>
          <t>Kaspi.KZ JSC</t>
        </is>
      </c>
      <c r="F1398" t="inlineStr">
        <is>
          <t>336.00000000</t>
        </is>
      </c>
      <c r="G1398" t="inlineStr">
        <is>
          <t>85.800000</t>
        </is>
      </c>
      <c r="H1398" t="inlineStr">
        <is>
          <t>28828.80</t>
        </is>
      </c>
      <c r="I1398" t="inlineStr">
        <is>
          <t>2.04%</t>
        </is>
      </c>
      <c r="J1398" t="inlineStr">
        <is>
          <t>1412034.00</t>
        </is>
      </c>
      <c r="K1398" t="inlineStr">
        <is>
          <t>60000</t>
        </is>
      </c>
      <c r="L1398" t="inlineStr">
        <is>
          <t>12.000000000000</t>
        </is>
      </c>
      <c r="M1398" t="inlineStr"/>
    </row>
    <row r="1399">
      <c r="A1399" t="inlineStr">
        <is>
          <t>06/25/2026</t>
        </is>
      </c>
      <c r="B1399" t="inlineStr">
        <is>
          <t>KYC</t>
        </is>
      </c>
      <c r="C1399" s="1" t="inlineStr">
        <is>
          <t>LPRO</t>
        </is>
      </c>
      <c r="D1399" s="1" t="inlineStr">
        <is>
          <t>68373J104</t>
        </is>
      </c>
      <c r="E1399" t="inlineStr">
        <is>
          <t>Open Lending Corp</t>
        </is>
      </c>
      <c r="F1399" t="inlineStr">
        <is>
          <t>2328.00000000</t>
        </is>
      </c>
      <c r="G1399" t="inlineStr">
        <is>
          <t>3.130000</t>
        </is>
      </c>
      <c r="H1399" t="inlineStr">
        <is>
          <t>7286.64</t>
        </is>
      </c>
      <c r="I1399" t="inlineStr">
        <is>
          <t>0.52%</t>
        </is>
      </c>
      <c r="J1399" t="inlineStr">
        <is>
          <t>1412034.00</t>
        </is>
      </c>
      <c r="K1399" t="inlineStr">
        <is>
          <t>60000</t>
        </is>
      </c>
      <c r="L1399" t="inlineStr">
        <is>
          <t>12.000000000000</t>
        </is>
      </c>
      <c r="M1399" t="inlineStr"/>
    </row>
    <row r="1400">
      <c r="A1400" t="inlineStr">
        <is>
          <t>06/25/2026</t>
        </is>
      </c>
      <c r="B1400" t="inlineStr">
        <is>
          <t>KYC</t>
        </is>
      </c>
      <c r="C1400" s="1" t="inlineStr">
        <is>
          <t>MA</t>
        </is>
      </c>
      <c r="D1400" s="1" t="inlineStr">
        <is>
          <t>57636Q104</t>
        </is>
      </c>
      <c r="E1400" t="inlineStr">
        <is>
          <t>Mastercard Inc</t>
        </is>
      </c>
      <c r="F1400" t="inlineStr">
        <is>
          <t>228.00000000</t>
        </is>
      </c>
      <c r="G1400" t="inlineStr">
        <is>
          <t>494.410000</t>
        </is>
      </c>
      <c r="H1400" t="inlineStr">
        <is>
          <t>112725.48</t>
        </is>
      </c>
      <c r="I1400" t="inlineStr">
        <is>
          <t>7.98%</t>
        </is>
      </c>
      <c r="J1400" t="inlineStr">
        <is>
          <t>1412034.00</t>
        </is>
      </c>
      <c r="K1400" t="inlineStr">
        <is>
          <t>60000</t>
        </is>
      </c>
      <c r="L1400" t="inlineStr">
        <is>
          <t>12.000000000000</t>
        </is>
      </c>
      <c r="M1400" t="inlineStr"/>
    </row>
    <row r="1401">
      <c r="A1401" t="inlineStr">
        <is>
          <t>06/25/2026</t>
        </is>
      </c>
      <c r="B1401" t="inlineStr">
        <is>
          <t>KYC</t>
        </is>
      </c>
      <c r="C1401" s="1" t="inlineStr">
        <is>
          <t>MELI</t>
        </is>
      </c>
      <c r="D1401" s="1" t="inlineStr">
        <is>
          <t>58733R102</t>
        </is>
      </c>
      <c r="E1401" t="inlineStr">
        <is>
          <t>MercadoLibre Inc</t>
        </is>
      </c>
      <c r="F1401" t="inlineStr">
        <is>
          <t>36.00000000</t>
        </is>
      </c>
      <c r="G1401" t="inlineStr">
        <is>
          <t>1659.570000</t>
        </is>
      </c>
      <c r="H1401" t="inlineStr">
        <is>
          <t>59744.52</t>
        </is>
      </c>
      <c r="I1401" t="inlineStr">
        <is>
          <t>4.23%</t>
        </is>
      </c>
      <c r="J1401" t="inlineStr">
        <is>
          <t>1412034.00</t>
        </is>
      </c>
      <c r="K1401" t="inlineStr">
        <is>
          <t>60000</t>
        </is>
      </c>
      <c r="L1401" t="inlineStr">
        <is>
          <t>12.000000000000</t>
        </is>
      </c>
      <c r="M1401" t="inlineStr"/>
    </row>
    <row r="1402">
      <c r="A1402" t="inlineStr">
        <is>
          <t>06/25/2026</t>
        </is>
      </c>
      <c r="B1402" t="inlineStr">
        <is>
          <t>KYC</t>
        </is>
      </c>
      <c r="C1402" s="1" t="inlineStr">
        <is>
          <t>MIAX</t>
        </is>
      </c>
      <c r="D1402" s="1" t="inlineStr">
        <is>
          <t>59356Q108</t>
        </is>
      </c>
      <c r="E1402" t="inlineStr">
        <is>
          <t>Miami International Holdings Inc</t>
        </is>
      </c>
      <c r="F1402" t="inlineStr">
        <is>
          <t>336.00000000</t>
        </is>
      </c>
      <c r="G1402" t="inlineStr">
        <is>
          <t>36.490000</t>
        </is>
      </c>
      <c r="H1402" t="inlineStr">
        <is>
          <t>12260.64</t>
        </is>
      </c>
      <c r="I1402" t="inlineStr">
        <is>
          <t>0.87%</t>
        </is>
      </c>
      <c r="J1402" t="inlineStr">
        <is>
          <t>1412034.00</t>
        </is>
      </c>
      <c r="K1402" t="inlineStr">
        <is>
          <t>60000</t>
        </is>
      </c>
      <c r="L1402" t="inlineStr">
        <is>
          <t>12.000000000000</t>
        </is>
      </c>
      <c r="M1402" t="inlineStr"/>
    </row>
    <row r="1403">
      <c r="A1403" t="inlineStr">
        <is>
          <t>06/25/2026</t>
        </is>
      </c>
      <c r="B1403" t="inlineStr">
        <is>
          <t>KYC</t>
        </is>
      </c>
      <c r="C1403" s="1" t="inlineStr">
        <is>
          <t>MQ</t>
        </is>
      </c>
      <c r="D1403" s="1" t="inlineStr">
        <is>
          <t>57142B104</t>
        </is>
      </c>
      <c r="E1403" t="inlineStr">
        <is>
          <t>Marqeta Inc</t>
        </is>
      </c>
      <c r="F1403" t="inlineStr">
        <is>
          <t>2700.00000000</t>
        </is>
      </c>
      <c r="G1403" t="inlineStr">
        <is>
          <t>3.970000</t>
        </is>
      </c>
      <c r="H1403" t="inlineStr">
        <is>
          <t>10719.00</t>
        </is>
      </c>
      <c r="I1403" t="inlineStr">
        <is>
          <t>0.76%</t>
        </is>
      </c>
      <c r="J1403" t="inlineStr">
        <is>
          <t>1412034.00</t>
        </is>
      </c>
      <c r="K1403" t="inlineStr">
        <is>
          <t>60000</t>
        </is>
      </c>
      <c r="L1403" t="inlineStr">
        <is>
          <t>12.000000000000</t>
        </is>
      </c>
      <c r="M1403" t="inlineStr"/>
    </row>
    <row r="1404">
      <c r="A1404" t="inlineStr">
        <is>
          <t>06/25/2026</t>
        </is>
      </c>
      <c r="B1404" t="inlineStr">
        <is>
          <t>KYC</t>
        </is>
      </c>
      <c r="C1404" s="1" t="inlineStr">
        <is>
          <t>NCNO</t>
        </is>
      </c>
      <c r="D1404" s="1" t="inlineStr">
        <is>
          <t>63947X101</t>
        </is>
      </c>
      <c r="E1404" t="inlineStr">
        <is>
          <t>nCino Inc</t>
        </is>
      </c>
      <c r="F1404" t="inlineStr">
        <is>
          <t>660.00000000</t>
        </is>
      </c>
      <c r="G1404" t="inlineStr">
        <is>
          <t>14.700000</t>
        </is>
      </c>
      <c r="H1404" t="inlineStr">
        <is>
          <t>9702.00</t>
        </is>
      </c>
      <c r="I1404" t="inlineStr">
        <is>
          <t>0.69%</t>
        </is>
      </c>
      <c r="J1404" t="inlineStr">
        <is>
          <t>1412034.00</t>
        </is>
      </c>
      <c r="K1404" t="inlineStr">
        <is>
          <t>60000</t>
        </is>
      </c>
      <c r="L1404" t="inlineStr">
        <is>
          <t>12.000000000000</t>
        </is>
      </c>
      <c r="M1404" t="inlineStr"/>
    </row>
    <row r="1405">
      <c r="A1405" t="inlineStr">
        <is>
          <t>06/25/2026</t>
        </is>
      </c>
      <c r="B1405" t="inlineStr">
        <is>
          <t>KYC</t>
        </is>
      </c>
      <c r="C1405" s="1" t="inlineStr">
        <is>
          <t>NRDS</t>
        </is>
      </c>
      <c r="D1405" s="1" t="inlineStr">
        <is>
          <t>64082B102</t>
        </is>
      </c>
      <c r="E1405" t="inlineStr">
        <is>
          <t>NerdWallet Inc</t>
        </is>
      </c>
      <c r="F1405" t="inlineStr">
        <is>
          <t>564.00000000</t>
        </is>
      </c>
      <c r="G1405" t="inlineStr">
        <is>
          <t>8.620000</t>
        </is>
      </c>
      <c r="H1405" t="inlineStr">
        <is>
          <t>4861.68</t>
        </is>
      </c>
      <c r="I1405" t="inlineStr">
        <is>
          <t>0.34%</t>
        </is>
      </c>
      <c r="J1405" t="inlineStr">
        <is>
          <t>1412034.00</t>
        </is>
      </c>
      <c r="K1405" t="inlineStr">
        <is>
          <t>60000</t>
        </is>
      </c>
      <c r="L1405" t="inlineStr">
        <is>
          <t>12.000000000000</t>
        </is>
      </c>
      <c r="M1405" t="inlineStr"/>
    </row>
    <row r="1406">
      <c r="A1406" t="inlineStr">
        <is>
          <t>06/25/2026</t>
        </is>
      </c>
      <c r="B1406" t="inlineStr">
        <is>
          <t>KYC</t>
        </is>
      </c>
      <c r="C1406" s="1" t="inlineStr">
        <is>
          <t>NU</t>
        </is>
      </c>
      <c r="D1406" s="1" t="inlineStr">
        <is>
          <t>G6683N103</t>
        </is>
      </c>
      <c r="E1406" t="inlineStr">
        <is>
          <t>NU Holdings Ltd/Cayman Islands</t>
        </is>
      </c>
      <c r="F1406" t="inlineStr">
        <is>
          <t>3396.00000000</t>
        </is>
      </c>
      <c r="G1406" t="inlineStr">
        <is>
          <t>12.460000</t>
        </is>
      </c>
      <c r="H1406" t="inlineStr">
        <is>
          <t>42314.16</t>
        </is>
      </c>
      <c r="I1406" t="inlineStr">
        <is>
          <t>3.00%</t>
        </is>
      </c>
      <c r="J1406" t="inlineStr">
        <is>
          <t>1412034.00</t>
        </is>
      </c>
      <c r="K1406" t="inlineStr">
        <is>
          <t>60000</t>
        </is>
      </c>
      <c r="L1406" t="inlineStr">
        <is>
          <t>12.000000000000</t>
        </is>
      </c>
      <c r="M1406" t="inlineStr"/>
    </row>
    <row r="1407">
      <c r="A1407" t="inlineStr">
        <is>
          <t>06/25/2026</t>
        </is>
      </c>
      <c r="B1407" t="inlineStr">
        <is>
          <t>KYC</t>
        </is>
      </c>
      <c r="C1407" s="1" t="inlineStr">
        <is>
          <t>OPRT</t>
        </is>
      </c>
      <c r="D1407" s="1" t="inlineStr">
        <is>
          <t>68376D104</t>
        </is>
      </c>
      <c r="E1407" t="inlineStr">
        <is>
          <t>Oportun Financial Corp</t>
        </is>
      </c>
      <c r="F1407" t="inlineStr">
        <is>
          <t>816.00000000</t>
        </is>
      </c>
      <c r="G1407" t="inlineStr">
        <is>
          <t>5.660000</t>
        </is>
      </c>
      <c r="H1407" t="inlineStr">
        <is>
          <t>4618.56</t>
        </is>
      </c>
      <c r="I1407" t="inlineStr">
        <is>
          <t>0.33%</t>
        </is>
      </c>
      <c r="J1407" t="inlineStr">
        <is>
          <t>1412034.00</t>
        </is>
      </c>
      <c r="K1407" t="inlineStr">
        <is>
          <t>60000</t>
        </is>
      </c>
      <c r="L1407" t="inlineStr">
        <is>
          <t>12.000000000000</t>
        </is>
      </c>
      <c r="M1407" t="inlineStr"/>
    </row>
    <row r="1408">
      <c r="A1408" t="inlineStr">
        <is>
          <t>06/25/2026</t>
        </is>
      </c>
      <c r="B1408" t="inlineStr">
        <is>
          <t>KYC</t>
        </is>
      </c>
      <c r="C1408" s="1" t="inlineStr">
        <is>
          <t>OSPN</t>
        </is>
      </c>
      <c r="D1408" s="1" t="inlineStr">
        <is>
          <t>68287N100</t>
        </is>
      </c>
      <c r="E1408" t="inlineStr">
        <is>
          <t>OneSpan Inc</t>
        </is>
      </c>
      <c r="F1408" t="inlineStr">
        <is>
          <t>564.00000000</t>
        </is>
      </c>
      <c r="G1408" t="inlineStr">
        <is>
          <t>13.520000</t>
        </is>
      </c>
      <c r="H1408" t="inlineStr">
        <is>
          <t>7625.28</t>
        </is>
      </c>
      <c r="I1408" t="inlineStr">
        <is>
          <t>0.54%</t>
        </is>
      </c>
      <c r="J1408" t="inlineStr">
        <is>
          <t>1412034.00</t>
        </is>
      </c>
      <c r="K1408" t="inlineStr">
        <is>
          <t>60000</t>
        </is>
      </c>
      <c r="L1408" t="inlineStr">
        <is>
          <t>12.000000000000</t>
        </is>
      </c>
      <c r="M1408" t="inlineStr"/>
    </row>
    <row r="1409">
      <c r="A1409" t="inlineStr">
        <is>
          <t>06/25/2026</t>
        </is>
      </c>
      <c r="B1409" t="inlineStr">
        <is>
          <t>KYC</t>
        </is>
      </c>
      <c r="C1409" s="1" t="inlineStr">
        <is>
          <t>PAGS</t>
        </is>
      </c>
      <c r="D1409" s="1" t="inlineStr">
        <is>
          <t>G68707101</t>
        </is>
      </c>
      <c r="E1409" t="inlineStr">
        <is>
          <t>Pagseguro Digital Ltd</t>
        </is>
      </c>
      <c r="F1409" t="inlineStr">
        <is>
          <t>1224.00000000</t>
        </is>
      </c>
      <c r="G1409" t="inlineStr">
        <is>
          <t>8.770000</t>
        </is>
      </c>
      <c r="H1409" t="inlineStr">
        <is>
          <t>10734.48</t>
        </is>
      </c>
      <c r="I1409" t="inlineStr">
        <is>
          <t>0.76%</t>
        </is>
      </c>
      <c r="J1409" t="inlineStr">
        <is>
          <t>1412034.00</t>
        </is>
      </c>
      <c r="K1409" t="inlineStr">
        <is>
          <t>60000</t>
        </is>
      </c>
      <c r="L1409" t="inlineStr">
        <is>
          <t>12.000000000000</t>
        </is>
      </c>
      <c r="M1409" t="inlineStr"/>
    </row>
    <row r="1410">
      <c r="A1410" t="inlineStr">
        <is>
          <t>06/25/2026</t>
        </is>
      </c>
      <c r="B1410" t="inlineStr">
        <is>
          <t>KYC</t>
        </is>
      </c>
      <c r="C1410" s="1" t="inlineStr">
        <is>
          <t>PAYO</t>
        </is>
      </c>
      <c r="D1410" s="1" t="inlineStr">
        <is>
          <t>70451X104</t>
        </is>
      </c>
      <c r="E1410" t="inlineStr">
        <is>
          <t>Payoneer Global Inc</t>
        </is>
      </c>
      <c r="F1410" t="inlineStr">
        <is>
          <t>2148.00000000</t>
        </is>
      </c>
      <c r="G1410" t="inlineStr">
        <is>
          <t>7.090000</t>
        </is>
      </c>
      <c r="H1410" t="inlineStr">
        <is>
          <t>15229.32</t>
        </is>
      </c>
      <c r="I1410" t="inlineStr">
        <is>
          <t>1.08%</t>
        </is>
      </c>
      <c r="J1410" t="inlineStr">
        <is>
          <t>1412034.00</t>
        </is>
      </c>
      <c r="K1410" t="inlineStr">
        <is>
          <t>60000</t>
        </is>
      </c>
      <c r="L1410" t="inlineStr">
        <is>
          <t>12.000000000000</t>
        </is>
      </c>
      <c r="M1410" t="inlineStr"/>
    </row>
    <row r="1411">
      <c r="A1411" t="inlineStr">
        <is>
          <t>06/25/2026</t>
        </is>
      </c>
      <c r="B1411" t="inlineStr">
        <is>
          <t>KYC</t>
        </is>
      </c>
      <c r="C1411" s="1" t="inlineStr">
        <is>
          <t>PGY</t>
        </is>
      </c>
      <c r="D1411" s="1" t="inlineStr">
        <is>
          <t>M7S64L123</t>
        </is>
      </c>
      <c r="E1411" t="inlineStr">
        <is>
          <t>Pagaya Technologies Ltd</t>
        </is>
      </c>
      <c r="F1411" t="inlineStr">
        <is>
          <t>648.00000000</t>
        </is>
      </c>
      <c r="G1411" t="inlineStr">
        <is>
          <t>15.200000</t>
        </is>
      </c>
      <c r="H1411" t="inlineStr">
        <is>
          <t>9849.60</t>
        </is>
      </c>
      <c r="I1411" t="inlineStr">
        <is>
          <t>0.70%</t>
        </is>
      </c>
      <c r="J1411" t="inlineStr">
        <is>
          <t>1412034.00</t>
        </is>
      </c>
      <c r="K1411" t="inlineStr">
        <is>
          <t>60000</t>
        </is>
      </c>
      <c r="L1411" t="inlineStr">
        <is>
          <t>12.000000000000</t>
        </is>
      </c>
      <c r="M1411" t="inlineStr"/>
    </row>
    <row r="1412">
      <c r="A1412" t="inlineStr">
        <is>
          <t>06/25/2026</t>
        </is>
      </c>
      <c r="B1412" t="inlineStr">
        <is>
          <t>KYC</t>
        </is>
      </c>
      <c r="C1412" s="1" t="inlineStr">
        <is>
          <t>PSFE</t>
        </is>
      </c>
      <c r="D1412" s="1" t="inlineStr">
        <is>
          <t>G6964L206</t>
        </is>
      </c>
      <c r="E1412" t="inlineStr">
        <is>
          <t>Paysafe Ltd</t>
        </is>
      </c>
      <c r="F1412" t="inlineStr">
        <is>
          <t>552.00000000</t>
        </is>
      </c>
      <c r="G1412" t="inlineStr">
        <is>
          <t>6.750000</t>
        </is>
      </c>
      <c r="H1412" t="inlineStr">
        <is>
          <t>3726.00</t>
        </is>
      </c>
      <c r="I1412" t="inlineStr">
        <is>
          <t>0.26%</t>
        </is>
      </c>
      <c r="J1412" t="inlineStr">
        <is>
          <t>1412034.00</t>
        </is>
      </c>
      <c r="K1412" t="inlineStr">
        <is>
          <t>60000</t>
        </is>
      </c>
      <c r="L1412" t="inlineStr">
        <is>
          <t>12.000000000000</t>
        </is>
      </c>
      <c r="M1412" t="inlineStr"/>
    </row>
    <row r="1413">
      <c r="A1413" t="inlineStr">
        <is>
          <t>06/25/2026</t>
        </is>
      </c>
      <c r="B1413" t="inlineStr">
        <is>
          <t>KYC</t>
        </is>
      </c>
      <c r="C1413" s="1" t="inlineStr">
        <is>
          <t>PYPL</t>
        </is>
      </c>
      <c r="D1413" s="1" t="inlineStr">
        <is>
          <t>70450Y103</t>
        </is>
      </c>
      <c r="E1413" t="inlineStr">
        <is>
          <t>PayPal Holdings Inc</t>
        </is>
      </c>
      <c r="F1413" t="inlineStr">
        <is>
          <t>900.00000000</t>
        </is>
      </c>
      <c r="G1413" t="inlineStr">
        <is>
          <t>42.480000</t>
        </is>
      </c>
      <c r="H1413" t="inlineStr">
        <is>
          <t>38232.00</t>
        </is>
      </c>
      <c r="I1413" t="inlineStr">
        <is>
          <t>2.71%</t>
        </is>
      </c>
      <c r="J1413" t="inlineStr">
        <is>
          <t>1412034.00</t>
        </is>
      </c>
      <c r="K1413" t="inlineStr">
        <is>
          <t>60000</t>
        </is>
      </c>
      <c r="L1413" t="inlineStr">
        <is>
          <t>12.000000000000</t>
        </is>
      </c>
      <c r="M1413" t="inlineStr"/>
    </row>
    <row r="1414">
      <c r="A1414" t="inlineStr">
        <is>
          <t>06/25/2026</t>
        </is>
      </c>
      <c r="B1414" t="inlineStr">
        <is>
          <t>KYC</t>
        </is>
      </c>
      <c r="C1414" s="1" t="inlineStr">
        <is>
          <t>QTWO</t>
        </is>
      </c>
      <c r="D1414" s="1" t="inlineStr">
        <is>
          <t>74736L109</t>
        </is>
      </c>
      <c r="E1414" t="inlineStr">
        <is>
          <t>Q2 Holdings Inc</t>
        </is>
      </c>
      <c r="F1414" t="inlineStr">
        <is>
          <t>300.00000000</t>
        </is>
      </c>
      <c r="G1414" t="inlineStr">
        <is>
          <t>45.030000</t>
        </is>
      </c>
      <c r="H1414" t="inlineStr">
        <is>
          <t>13509.00</t>
        </is>
      </c>
      <c r="I1414" t="inlineStr">
        <is>
          <t>0.96%</t>
        </is>
      </c>
      <c r="J1414" t="inlineStr">
        <is>
          <t>1412034.00</t>
        </is>
      </c>
      <c r="K1414" t="inlineStr">
        <is>
          <t>60000</t>
        </is>
      </c>
      <c r="L1414" t="inlineStr">
        <is>
          <t>12.000000000000</t>
        </is>
      </c>
      <c r="M1414" t="inlineStr"/>
    </row>
    <row r="1415">
      <c r="A1415" t="inlineStr">
        <is>
          <t>06/25/2026</t>
        </is>
      </c>
      <c r="B1415" t="inlineStr">
        <is>
          <t>KYC</t>
        </is>
      </c>
      <c r="C1415" s="1" t="inlineStr">
        <is>
          <t>RELY</t>
        </is>
      </c>
      <c r="D1415" s="1" t="inlineStr">
        <is>
          <t>75960P104</t>
        </is>
      </c>
      <c r="E1415" t="inlineStr">
        <is>
          <t>Remitly Global Inc</t>
        </is>
      </c>
      <c r="F1415" t="inlineStr">
        <is>
          <t>708.00000000</t>
        </is>
      </c>
      <c r="G1415" t="inlineStr">
        <is>
          <t>21.450000</t>
        </is>
      </c>
      <c r="H1415" t="inlineStr">
        <is>
          <t>15186.60</t>
        </is>
      </c>
      <c r="I1415" t="inlineStr">
        <is>
          <t>1.08%</t>
        </is>
      </c>
      <c r="J1415" t="inlineStr">
        <is>
          <t>1412034.00</t>
        </is>
      </c>
      <c r="K1415" t="inlineStr">
        <is>
          <t>60000</t>
        </is>
      </c>
      <c r="L1415" t="inlineStr">
        <is>
          <t>12.000000000000</t>
        </is>
      </c>
      <c r="M1415" t="inlineStr"/>
    </row>
    <row r="1416">
      <c r="A1416" t="inlineStr">
        <is>
          <t>06/25/2026</t>
        </is>
      </c>
      <c r="B1416" t="inlineStr">
        <is>
          <t>KYC</t>
        </is>
      </c>
      <c r="C1416" s="1" t="inlineStr">
        <is>
          <t>RKT</t>
        </is>
      </c>
      <c r="D1416" s="1" t="inlineStr">
        <is>
          <t>77311W101</t>
        </is>
      </c>
      <c r="E1416" t="inlineStr">
        <is>
          <t>Rocket Cos Inc</t>
        </is>
      </c>
      <c r="F1416" t="inlineStr">
        <is>
          <t>1824.00000000</t>
        </is>
      </c>
      <c r="G1416" t="inlineStr">
        <is>
          <t>14.730000</t>
        </is>
      </c>
      <c r="H1416" t="inlineStr">
        <is>
          <t>26867.52</t>
        </is>
      </c>
      <c r="I1416" t="inlineStr">
        <is>
          <t>1.90%</t>
        </is>
      </c>
      <c r="J1416" t="inlineStr">
        <is>
          <t>1412034.00</t>
        </is>
      </c>
      <c r="K1416" t="inlineStr">
        <is>
          <t>60000</t>
        </is>
      </c>
      <c r="L1416" t="inlineStr">
        <is>
          <t>12.000000000000</t>
        </is>
      </c>
      <c r="M1416" t="inlineStr"/>
    </row>
    <row r="1417">
      <c r="A1417" t="inlineStr">
        <is>
          <t>06/25/2026</t>
        </is>
      </c>
      <c r="B1417" t="inlineStr">
        <is>
          <t>KYC</t>
        </is>
      </c>
      <c r="C1417" s="1" t="inlineStr">
        <is>
          <t>RPAY</t>
        </is>
      </c>
      <c r="D1417" s="1" t="inlineStr">
        <is>
          <t>76029L100</t>
        </is>
      </c>
      <c r="E1417" t="inlineStr">
        <is>
          <t>Repay Holdings Corp</t>
        </is>
      </c>
      <c r="F1417" t="inlineStr">
        <is>
          <t>1296.00000000</t>
        </is>
      </c>
      <c r="G1417" t="inlineStr">
        <is>
          <t>3.260000</t>
        </is>
      </c>
      <c r="H1417" t="inlineStr">
        <is>
          <t>4224.96</t>
        </is>
      </c>
      <c r="I1417" t="inlineStr">
        <is>
          <t>0.30%</t>
        </is>
      </c>
      <c r="J1417" t="inlineStr">
        <is>
          <t>1412034.00</t>
        </is>
      </c>
      <c r="K1417" t="inlineStr">
        <is>
          <t>60000</t>
        </is>
      </c>
      <c r="L1417" t="inlineStr">
        <is>
          <t>12.000000000000</t>
        </is>
      </c>
      <c r="M1417" t="inlineStr"/>
    </row>
    <row r="1418">
      <c r="A1418" t="inlineStr">
        <is>
          <t>06/25/2026</t>
        </is>
      </c>
      <c r="B1418" t="inlineStr">
        <is>
          <t>KYC</t>
        </is>
      </c>
      <c r="C1418" s="1" t="inlineStr">
        <is>
          <t>RSKD</t>
        </is>
      </c>
      <c r="D1418" s="1" t="inlineStr">
        <is>
          <t>M8216R109</t>
        </is>
      </c>
      <c r="E1418" t="inlineStr">
        <is>
          <t>Riskified Ltd</t>
        </is>
      </c>
      <c r="F1418" t="inlineStr">
        <is>
          <t>1224.00000000</t>
        </is>
      </c>
      <c r="G1418" t="inlineStr">
        <is>
          <t>4.880000</t>
        </is>
      </c>
      <c r="H1418" t="inlineStr">
        <is>
          <t>5973.12</t>
        </is>
      </c>
      <c r="I1418" t="inlineStr">
        <is>
          <t>0.42%</t>
        </is>
      </c>
      <c r="J1418" t="inlineStr">
        <is>
          <t>1412034.00</t>
        </is>
      </c>
      <c r="K1418" t="inlineStr">
        <is>
          <t>60000</t>
        </is>
      </c>
      <c r="L1418" t="inlineStr">
        <is>
          <t>12.000000000000</t>
        </is>
      </c>
      <c r="M1418" t="inlineStr"/>
    </row>
    <row r="1419">
      <c r="A1419" t="inlineStr">
        <is>
          <t>06/25/2026</t>
        </is>
      </c>
      <c r="B1419" t="inlineStr">
        <is>
          <t>KYC</t>
        </is>
      </c>
      <c r="C1419" s="1" t="inlineStr">
        <is>
          <t>SE</t>
        </is>
      </c>
      <c r="D1419" s="1" t="inlineStr">
        <is>
          <t>81141R100</t>
        </is>
      </c>
      <c r="E1419" t="inlineStr">
        <is>
          <t>Sea Ltd</t>
        </is>
      </c>
      <c r="F1419" t="inlineStr">
        <is>
          <t>564.00000000</t>
        </is>
      </c>
      <c r="G1419" t="inlineStr">
        <is>
          <t>92.750000</t>
        </is>
      </c>
      <c r="H1419" t="inlineStr">
        <is>
          <t>52311.00</t>
        </is>
      </c>
      <c r="I1419" t="inlineStr">
        <is>
          <t>3.70%</t>
        </is>
      </c>
      <c r="J1419" t="inlineStr">
        <is>
          <t>1412034.00</t>
        </is>
      </c>
      <c r="K1419" t="inlineStr">
        <is>
          <t>60000</t>
        </is>
      </c>
      <c r="L1419" t="inlineStr">
        <is>
          <t>12.000000000000</t>
        </is>
      </c>
      <c r="M1419" t="inlineStr"/>
    </row>
    <row r="1420">
      <c r="A1420" t="inlineStr">
        <is>
          <t>06/25/2026</t>
        </is>
      </c>
      <c r="B1420" t="inlineStr">
        <is>
          <t>KYC</t>
        </is>
      </c>
      <c r="C1420" s="1" t="inlineStr">
        <is>
          <t>SOFI</t>
        </is>
      </c>
      <c r="D1420" s="1" t="inlineStr">
        <is>
          <t>83406F102</t>
        </is>
      </c>
      <c r="E1420" t="inlineStr">
        <is>
          <t>SoFi Technologies Inc</t>
        </is>
      </c>
      <c r="F1420" t="inlineStr">
        <is>
          <t>1812.00000000</t>
        </is>
      </c>
      <c r="G1420" t="inlineStr">
        <is>
          <t>17.310000</t>
        </is>
      </c>
      <c r="H1420" t="inlineStr">
        <is>
          <t>31365.72</t>
        </is>
      </c>
      <c r="I1420" t="inlineStr">
        <is>
          <t>2.22%</t>
        </is>
      </c>
      <c r="J1420" t="inlineStr">
        <is>
          <t>1412034.00</t>
        </is>
      </c>
      <c r="K1420" t="inlineStr">
        <is>
          <t>60000</t>
        </is>
      </c>
      <c r="L1420" t="inlineStr">
        <is>
          <t>12.000000000000</t>
        </is>
      </c>
      <c r="M1420" t="inlineStr"/>
    </row>
    <row r="1421">
      <c r="A1421" t="inlineStr">
        <is>
          <t>06/25/2026</t>
        </is>
      </c>
      <c r="B1421" t="inlineStr">
        <is>
          <t>KYC</t>
        </is>
      </c>
      <c r="C1421" s="1" t="inlineStr">
        <is>
          <t>STNE</t>
        </is>
      </c>
      <c r="D1421" s="1" t="inlineStr">
        <is>
          <t>G85158106</t>
        </is>
      </c>
      <c r="E1421" t="inlineStr">
        <is>
          <t>StoneCo Ltd</t>
        </is>
      </c>
      <c r="F1421" t="inlineStr">
        <is>
          <t>1320.00000000</t>
        </is>
      </c>
      <c r="G1421" t="inlineStr">
        <is>
          <t>10.820000</t>
        </is>
      </c>
      <c r="H1421" t="inlineStr">
        <is>
          <t>14282.40</t>
        </is>
      </c>
      <c r="I1421" t="inlineStr">
        <is>
          <t>1.01%</t>
        </is>
      </c>
      <c r="J1421" t="inlineStr">
        <is>
          <t>1412034.00</t>
        </is>
      </c>
      <c r="K1421" t="inlineStr">
        <is>
          <t>60000</t>
        </is>
      </c>
      <c r="L1421" t="inlineStr">
        <is>
          <t>12.000000000000</t>
        </is>
      </c>
      <c r="M1421" t="inlineStr"/>
    </row>
    <row r="1422">
      <c r="A1422" t="inlineStr">
        <is>
          <t>06/25/2026</t>
        </is>
      </c>
      <c r="B1422" t="inlineStr">
        <is>
          <t>KYC</t>
        </is>
      </c>
      <c r="C1422" s="1" t="inlineStr">
        <is>
          <t>TOST</t>
        </is>
      </c>
      <c r="D1422" s="1" t="inlineStr">
        <is>
          <t>888787108</t>
        </is>
      </c>
      <c r="E1422" t="inlineStr">
        <is>
          <t>Toast Inc</t>
        </is>
      </c>
      <c r="F1422" t="inlineStr">
        <is>
          <t>972.00000000</t>
        </is>
      </c>
      <c r="G1422" t="inlineStr">
        <is>
          <t>26.020000</t>
        </is>
      </c>
      <c r="H1422" t="inlineStr">
        <is>
          <t>25291.44</t>
        </is>
      </c>
      <c r="I1422" t="inlineStr">
        <is>
          <t>1.79%</t>
        </is>
      </c>
      <c r="J1422" t="inlineStr">
        <is>
          <t>1412034.00</t>
        </is>
      </c>
      <c r="K1422" t="inlineStr">
        <is>
          <t>60000</t>
        </is>
      </c>
      <c r="L1422" t="inlineStr">
        <is>
          <t>12.000000000000</t>
        </is>
      </c>
      <c r="M1422" t="inlineStr"/>
    </row>
    <row r="1423">
      <c r="A1423" t="inlineStr">
        <is>
          <t>06/25/2026</t>
        </is>
      </c>
      <c r="B1423" t="inlineStr">
        <is>
          <t>KYC</t>
        </is>
      </c>
      <c r="C1423" s="1" t="inlineStr">
        <is>
          <t>TREE</t>
        </is>
      </c>
      <c r="D1423" s="1" t="inlineStr">
        <is>
          <t>52603B107</t>
        </is>
      </c>
      <c r="E1423" t="inlineStr">
        <is>
          <t>LendingTree Inc</t>
        </is>
      </c>
      <c r="F1423" t="inlineStr">
        <is>
          <t>132.00000000</t>
        </is>
      </c>
      <c r="G1423" t="inlineStr">
        <is>
          <t>38.210000</t>
        </is>
      </c>
      <c r="H1423" t="inlineStr">
        <is>
          <t>5043.72</t>
        </is>
      </c>
      <c r="I1423" t="inlineStr">
        <is>
          <t>0.36%</t>
        </is>
      </c>
      <c r="J1423" t="inlineStr">
        <is>
          <t>1412034.00</t>
        </is>
      </c>
      <c r="K1423" t="inlineStr">
        <is>
          <t>60000</t>
        </is>
      </c>
      <c r="L1423" t="inlineStr">
        <is>
          <t>12.000000000000</t>
        </is>
      </c>
      <c r="M1423" t="inlineStr"/>
    </row>
    <row r="1424">
      <c r="A1424" t="inlineStr">
        <is>
          <t>06/25/2026</t>
        </is>
      </c>
      <c r="B1424" t="inlineStr">
        <is>
          <t>KYC</t>
        </is>
      </c>
      <c r="C1424" s="1" t="inlineStr">
        <is>
          <t>UPST</t>
        </is>
      </c>
      <c r="D1424" s="1" t="inlineStr">
        <is>
          <t>91680M107</t>
        </is>
      </c>
      <c r="E1424" t="inlineStr">
        <is>
          <t>Upstart Holdings Inc</t>
        </is>
      </c>
      <c r="F1424" t="inlineStr">
        <is>
          <t>408.00000000</t>
        </is>
      </c>
      <c r="G1424" t="inlineStr">
        <is>
          <t>32.650000</t>
        </is>
      </c>
      <c r="H1424" t="inlineStr">
        <is>
          <t>13321.20</t>
        </is>
      </c>
      <c r="I1424" t="inlineStr">
        <is>
          <t>0.94%</t>
        </is>
      </c>
      <c r="J1424" t="inlineStr">
        <is>
          <t>1412034.00</t>
        </is>
      </c>
      <c r="K1424" t="inlineStr">
        <is>
          <t>60000</t>
        </is>
      </c>
      <c r="L1424" t="inlineStr">
        <is>
          <t>12.000000000000</t>
        </is>
      </c>
      <c r="M1424" t="inlineStr"/>
    </row>
    <row r="1425">
      <c r="A1425" t="inlineStr">
        <is>
          <t>06/25/2026</t>
        </is>
      </c>
      <c r="B1425" t="inlineStr">
        <is>
          <t>KYC</t>
        </is>
      </c>
      <c r="C1425" s="1" t="inlineStr">
        <is>
          <t>V</t>
        </is>
      </c>
      <c r="D1425" s="1" t="inlineStr">
        <is>
          <t>92826C839</t>
        </is>
      </c>
      <c r="E1425" t="inlineStr">
        <is>
          <t>Visa Inc</t>
        </is>
      </c>
      <c r="F1425" t="inlineStr">
        <is>
          <t>408.00000000</t>
        </is>
      </c>
      <c r="G1425" t="inlineStr">
        <is>
          <t>332.230000</t>
        </is>
      </c>
      <c r="H1425" t="inlineStr">
        <is>
          <t>135549.84</t>
        </is>
      </c>
      <c r="I1425" t="inlineStr">
        <is>
          <t>9.60%</t>
        </is>
      </c>
      <c r="J1425" t="inlineStr">
        <is>
          <t>1412034.00</t>
        </is>
      </c>
      <c r="K1425" t="inlineStr">
        <is>
          <t>60000</t>
        </is>
      </c>
      <c r="L1425" t="inlineStr">
        <is>
          <t>12.000000000000</t>
        </is>
      </c>
      <c r="M1425" t="inlineStr"/>
    </row>
    <row r="1426">
      <c r="A1426" t="inlineStr">
        <is>
          <t>06/25/2026</t>
        </is>
      </c>
      <c r="B1426" t="inlineStr">
        <is>
          <t>KYC</t>
        </is>
      </c>
      <c r="C1426" s="1" t="inlineStr">
        <is>
          <t>WEX</t>
        </is>
      </c>
      <c r="D1426" s="1" t="inlineStr">
        <is>
          <t>96208T104</t>
        </is>
      </c>
      <c r="E1426" t="inlineStr">
        <is>
          <t>WEX Inc</t>
        </is>
      </c>
      <c r="F1426" t="inlineStr">
        <is>
          <t>132.00000000</t>
        </is>
      </c>
      <c r="G1426" t="inlineStr">
        <is>
          <t>134.480000</t>
        </is>
      </c>
      <c r="H1426" t="inlineStr">
        <is>
          <t>17751.36</t>
        </is>
      </c>
      <c r="I1426" t="inlineStr">
        <is>
          <t>1.26%</t>
        </is>
      </c>
      <c r="J1426" t="inlineStr">
        <is>
          <t>1412034.00</t>
        </is>
      </c>
      <c r="K1426" t="inlineStr">
        <is>
          <t>60000</t>
        </is>
      </c>
      <c r="L1426" t="inlineStr">
        <is>
          <t>12.000000000000</t>
        </is>
      </c>
      <c r="M1426" t="inlineStr"/>
    </row>
    <row r="1427">
      <c r="A1427" t="inlineStr">
        <is>
          <t>06/25/2026</t>
        </is>
      </c>
      <c r="B1427" t="inlineStr">
        <is>
          <t>KYC</t>
        </is>
      </c>
      <c r="C1427" s="1" t="inlineStr">
        <is>
          <t>WLTH</t>
        </is>
      </c>
      <c r="D1427" s="1" t="inlineStr">
        <is>
          <t>947002101</t>
        </is>
      </c>
      <c r="E1427" t="inlineStr">
        <is>
          <t>Wealthfront Corp</t>
        </is>
      </c>
      <c r="F1427" t="inlineStr">
        <is>
          <t>924.00000000</t>
        </is>
      </c>
      <c r="G1427" t="inlineStr">
        <is>
          <t>8.070000</t>
        </is>
      </c>
      <c r="H1427" t="inlineStr">
        <is>
          <t>7456.68</t>
        </is>
      </c>
      <c r="I1427" t="inlineStr">
        <is>
          <t>0.53%</t>
        </is>
      </c>
      <c r="J1427" t="inlineStr">
        <is>
          <t>1412034.00</t>
        </is>
      </c>
      <c r="K1427" t="inlineStr">
        <is>
          <t>60000</t>
        </is>
      </c>
      <c r="L1427" t="inlineStr">
        <is>
          <t>12.000000000000</t>
        </is>
      </c>
      <c r="M1427" t="inlineStr"/>
    </row>
    <row r="1428">
      <c r="A1428" t="inlineStr">
        <is>
          <t>06/25/2026</t>
        </is>
      </c>
      <c r="B1428" t="inlineStr">
        <is>
          <t>KYC</t>
        </is>
      </c>
      <c r="C1428" s="1" t="inlineStr">
        <is>
          <t>WU</t>
        </is>
      </c>
      <c r="D1428" s="1" t="inlineStr">
        <is>
          <t>959802109</t>
        </is>
      </c>
      <c r="E1428" t="inlineStr">
        <is>
          <t>Western Union Co/The</t>
        </is>
      </c>
      <c r="F1428" t="inlineStr">
        <is>
          <t>1644.00000000</t>
        </is>
      </c>
      <c r="G1428" t="inlineStr">
        <is>
          <t>7.240000</t>
        </is>
      </c>
      <c r="H1428" t="inlineStr">
        <is>
          <t>11902.56</t>
        </is>
      </c>
      <c r="I1428" t="inlineStr">
        <is>
          <t>0.84%</t>
        </is>
      </c>
      <c r="J1428" t="inlineStr">
        <is>
          <t>1412034.00</t>
        </is>
      </c>
      <c r="K1428" t="inlineStr">
        <is>
          <t>60000</t>
        </is>
      </c>
      <c r="L1428" t="inlineStr">
        <is>
          <t>12.000000000000</t>
        </is>
      </c>
      <c r="M1428" t="inlineStr"/>
    </row>
    <row r="1429">
      <c r="A1429" t="inlineStr">
        <is>
          <t>06/25/2026</t>
        </is>
      </c>
      <c r="B1429" t="inlineStr">
        <is>
          <t>KYC</t>
        </is>
      </c>
      <c r="C1429" s="1" t="inlineStr">
        <is>
          <t>XYZ</t>
        </is>
      </c>
      <c r="D1429" s="1" t="inlineStr">
        <is>
          <t>852234103</t>
        </is>
      </c>
      <c r="E1429" t="inlineStr">
        <is>
          <t>Block Inc</t>
        </is>
      </c>
      <c r="F1429" t="inlineStr">
        <is>
          <t>564.00000000</t>
        </is>
      </c>
      <c r="G1429" t="inlineStr">
        <is>
          <t>75.680000</t>
        </is>
      </c>
      <c r="H1429" t="inlineStr">
        <is>
          <t>42683.52</t>
        </is>
      </c>
      <c r="I1429" t="inlineStr">
        <is>
          <t>3.02%</t>
        </is>
      </c>
      <c r="J1429" t="inlineStr">
        <is>
          <t>1412034.00</t>
        </is>
      </c>
      <c r="K1429" t="inlineStr">
        <is>
          <t>60000</t>
        </is>
      </c>
      <c r="L1429" t="inlineStr">
        <is>
          <t>12.000000000000</t>
        </is>
      </c>
      <c r="M1429" t="inlineStr"/>
    </row>
    <row r="1430">
      <c r="A1430" t="inlineStr">
        <is>
          <t>06/25/2026</t>
        </is>
      </c>
      <c r="B1430" t="inlineStr">
        <is>
          <t>KYC</t>
        </is>
      </c>
      <c r="C1430" s="1" t="inlineStr">
        <is>
          <t>Cash&amp;Other</t>
        </is>
      </c>
      <c r="D1430" s="1" t="inlineStr">
        <is>
          <t>Cash&amp;Other</t>
        </is>
      </c>
      <c r="E1430" t="inlineStr">
        <is>
          <t>Cash &amp; Other</t>
        </is>
      </c>
      <c r="F1430" t="inlineStr">
        <is>
          <t>863.70000000</t>
        </is>
      </c>
      <c r="G1430" t="inlineStr">
        <is>
          <t>1.000000</t>
        </is>
      </c>
      <c r="H1430" t="inlineStr">
        <is>
          <t>863.70</t>
        </is>
      </c>
      <c r="I1430" t="inlineStr">
        <is>
          <t>0.06%</t>
        </is>
      </c>
      <c r="J1430" t="inlineStr">
        <is>
          <t>1412034.00</t>
        </is>
      </c>
      <c r="K1430" t="inlineStr">
        <is>
          <t>60000</t>
        </is>
      </c>
      <c r="L1430" t="inlineStr">
        <is>
          <t>12.000000000000</t>
        </is>
      </c>
      <c r="M1430" t="inlineStr">
        <is>
          <t>Y</t>
        </is>
      </c>
    </row>
    <row r="1431">
      <c r="A1431" t="inlineStr">
        <is>
          <t>06/25/2026</t>
        </is>
      </c>
      <c r="B1431" t="inlineStr">
        <is>
          <t>LASC</t>
        </is>
      </c>
      <c r="C1431" s="1" t="inlineStr">
        <is>
          <t>65487K100-TRS-12/01/27-L-CANT</t>
        </is>
      </c>
      <c r="D1431" s="1" t="inlineStr">
        <is>
          <t>65487K100-TRS-12/01/27-L-CANT</t>
        </is>
      </c>
      <c r="E1431" t="inlineStr">
        <is>
          <t>NLIGHT, INC.-SWAP-CANT-L</t>
        </is>
      </c>
      <c r="F1431" t="inlineStr">
        <is>
          <t>7219.00000000</t>
        </is>
      </c>
      <c r="G1431" t="inlineStr">
        <is>
          <t>63.810000</t>
        </is>
      </c>
      <c r="H1431" t="inlineStr">
        <is>
          <t>460644.39</t>
        </is>
      </c>
      <c r="I1431" t="inlineStr">
        <is>
          <t>200.00%</t>
        </is>
      </c>
      <c r="J1431" t="inlineStr">
        <is>
          <t>230318.00</t>
        </is>
      </c>
      <c r="K1431" t="inlineStr">
        <is>
          <t>10000</t>
        </is>
      </c>
      <c r="L1431" t="inlineStr">
        <is>
          <t>2.000000000000</t>
        </is>
      </c>
      <c r="M1431" t="inlineStr"/>
    </row>
    <row r="1432">
      <c r="A1432" t="inlineStr">
        <is>
          <t>06/25/2026</t>
        </is>
      </c>
      <c r="B1432" t="inlineStr">
        <is>
          <t>LASC</t>
        </is>
      </c>
      <c r="C1432" s="1" t="inlineStr">
        <is>
          <t>FGXXX</t>
        </is>
      </c>
      <c r="D1432" s="1" t="inlineStr">
        <is>
          <t>31846V336</t>
        </is>
      </c>
      <c r="E1432" t="inlineStr">
        <is>
          <t>First American Government Obligations Fund 12/01/2031</t>
        </is>
      </c>
      <c r="F1432" t="inlineStr">
        <is>
          <t>25420.00000000</t>
        </is>
      </c>
      <c r="G1432" t="inlineStr">
        <is>
          <t>100.000000</t>
        </is>
      </c>
      <c r="H1432" t="inlineStr">
        <is>
          <t>25420.00</t>
        </is>
      </c>
      <c r="I1432" t="inlineStr">
        <is>
          <t>11.04%</t>
        </is>
      </c>
      <c r="J1432" t="inlineStr">
        <is>
          <t>230318.00</t>
        </is>
      </c>
      <c r="K1432" t="inlineStr">
        <is>
          <t>10000</t>
        </is>
      </c>
      <c r="L1432" t="inlineStr">
        <is>
          <t>2.000000000000</t>
        </is>
      </c>
      <c r="M1432" t="inlineStr">
        <is>
          <t>Y</t>
        </is>
      </c>
    </row>
    <row r="1433">
      <c r="A1433" t="inlineStr">
        <is>
          <t>06/25/2026</t>
        </is>
      </c>
      <c r="B1433" t="inlineStr">
        <is>
          <t>LASC</t>
        </is>
      </c>
      <c r="C1433" s="1" t="inlineStr">
        <is>
          <t>Cash&amp;Other</t>
        </is>
      </c>
      <c r="D1433" s="1" t="inlineStr">
        <is>
          <t>Cash&amp;Other</t>
        </is>
      </c>
      <c r="E1433" t="inlineStr">
        <is>
          <t>Cash &amp; Other</t>
        </is>
      </c>
      <c r="F1433" t="inlineStr">
        <is>
          <t>-255888.86000000</t>
        </is>
      </c>
      <c r="G1433" t="inlineStr">
        <is>
          <t>1.000000</t>
        </is>
      </c>
      <c r="H1433" t="inlineStr">
        <is>
          <t>-255888.86</t>
        </is>
      </c>
      <c r="I1433" t="inlineStr">
        <is>
          <t>-111.10%</t>
        </is>
      </c>
      <c r="J1433" t="inlineStr">
        <is>
          <t>230318.00</t>
        </is>
      </c>
      <c r="K1433" t="inlineStr">
        <is>
          <t>10000</t>
        </is>
      </c>
      <c r="L1433" t="inlineStr">
        <is>
          <t>2.000000000000</t>
        </is>
      </c>
      <c r="M1433" t="inlineStr">
        <is>
          <t>Y</t>
        </is>
      </c>
    </row>
    <row r="1434">
      <c r="A1434" t="inlineStr">
        <is>
          <t>06/25/2026</t>
        </is>
      </c>
      <c r="B1434" t="inlineStr">
        <is>
          <t>LATR</t>
        </is>
      </c>
      <c r="C1434" s="1" t="inlineStr">
        <is>
          <t>AFRM</t>
        </is>
      </c>
      <c r="D1434" s="1" t="inlineStr">
        <is>
          <t>00827B106</t>
        </is>
      </c>
      <c r="E1434" t="inlineStr">
        <is>
          <t>Affirm Holdings Inc</t>
        </is>
      </c>
      <c r="F1434" t="inlineStr">
        <is>
          <t>1152.00000000</t>
        </is>
      </c>
      <c r="G1434" t="inlineStr">
        <is>
          <t>77.660000</t>
        </is>
      </c>
      <c r="H1434" t="inlineStr">
        <is>
          <t>89464.32</t>
        </is>
      </c>
      <c r="I1434" t="inlineStr">
        <is>
          <t>5.70%</t>
        </is>
      </c>
      <c r="J1434" t="inlineStr">
        <is>
          <t>1568436.00</t>
        </is>
      </c>
      <c r="K1434" t="inlineStr">
        <is>
          <t>60000</t>
        </is>
      </c>
      <c r="L1434" t="inlineStr">
        <is>
          <t>12.000000000000</t>
        </is>
      </c>
      <c r="M1434" t="inlineStr"/>
    </row>
    <row r="1435">
      <c r="A1435" t="inlineStr">
        <is>
          <t>06/25/2026</t>
        </is>
      </c>
      <c r="B1435" t="inlineStr">
        <is>
          <t>LATR</t>
        </is>
      </c>
      <c r="C1435" s="1" t="inlineStr">
        <is>
          <t>BFH</t>
        </is>
      </c>
      <c r="D1435" s="1" t="inlineStr">
        <is>
          <t>018581108</t>
        </is>
      </c>
      <c r="E1435" t="inlineStr">
        <is>
          <t>Bread Financial Holdings Inc</t>
        </is>
      </c>
      <c r="F1435" t="inlineStr">
        <is>
          <t>708.00000000</t>
        </is>
      </c>
      <c r="G1435" t="inlineStr">
        <is>
          <t>104.910000</t>
        </is>
      </c>
      <c r="H1435" t="inlineStr">
        <is>
          <t>74276.28</t>
        </is>
      </c>
      <c r="I1435" t="inlineStr">
        <is>
          <t>4.74%</t>
        </is>
      </c>
      <c r="J1435" t="inlineStr">
        <is>
          <t>1568436.00</t>
        </is>
      </c>
      <c r="K1435" t="inlineStr">
        <is>
          <t>60000</t>
        </is>
      </c>
      <c r="L1435" t="inlineStr">
        <is>
          <t>12.000000000000</t>
        </is>
      </c>
      <c r="M1435" t="inlineStr"/>
    </row>
    <row r="1436">
      <c r="A1436" t="inlineStr">
        <is>
          <t>06/25/2026</t>
        </is>
      </c>
      <c r="B1436" t="inlineStr">
        <is>
          <t>LATR</t>
        </is>
      </c>
      <c r="C1436" s="1" t="inlineStr">
        <is>
          <t>FGXXX</t>
        </is>
      </c>
      <c r="D1436" s="1" t="inlineStr">
        <is>
          <t>31846V336</t>
        </is>
      </c>
      <c r="E1436" t="inlineStr">
        <is>
          <t>First American Government Obligations Fund 12/01/2031</t>
        </is>
      </c>
      <c r="F1436" t="inlineStr">
        <is>
          <t>12582.77000000</t>
        </is>
      </c>
      <c r="G1436" t="inlineStr">
        <is>
          <t>100.000000</t>
        </is>
      </c>
      <c r="H1436" t="inlineStr">
        <is>
          <t>12582.77</t>
        </is>
      </c>
      <c r="I1436" t="inlineStr">
        <is>
          <t>0.80%</t>
        </is>
      </c>
      <c r="J1436" t="inlineStr">
        <is>
          <t>1568436.00</t>
        </is>
      </c>
      <c r="K1436" t="inlineStr">
        <is>
          <t>60000</t>
        </is>
      </c>
      <c r="L1436" t="inlineStr">
        <is>
          <t>12.000000000000</t>
        </is>
      </c>
      <c r="M1436" t="inlineStr">
        <is>
          <t>Y</t>
        </is>
      </c>
    </row>
    <row r="1437">
      <c r="A1437" t="inlineStr">
        <is>
          <t>06/25/2026</t>
        </is>
      </c>
      <c r="B1437" t="inlineStr">
        <is>
          <t>LATR</t>
        </is>
      </c>
      <c r="C1437" s="1" t="inlineStr">
        <is>
          <t>FINV</t>
        </is>
      </c>
      <c r="D1437" s="1" t="inlineStr">
        <is>
          <t>31810T101</t>
        </is>
      </c>
      <c r="E1437" t="inlineStr">
        <is>
          <t>FinVolution Group</t>
        </is>
      </c>
      <c r="F1437" t="inlineStr">
        <is>
          <t>10164.00000000</t>
        </is>
      </c>
      <c r="G1437" t="inlineStr">
        <is>
          <t>4.850000</t>
        </is>
      </c>
      <c r="H1437" t="inlineStr">
        <is>
          <t>49295.40</t>
        </is>
      </c>
      <c r="I1437" t="inlineStr">
        <is>
          <t>3.14%</t>
        </is>
      </c>
      <c r="J1437" t="inlineStr">
        <is>
          <t>1568436.00</t>
        </is>
      </c>
      <c r="K1437" t="inlineStr">
        <is>
          <t>60000</t>
        </is>
      </c>
      <c r="L1437" t="inlineStr">
        <is>
          <t>12.000000000000</t>
        </is>
      </c>
      <c r="M1437" t="inlineStr"/>
    </row>
    <row r="1438">
      <c r="A1438" t="inlineStr">
        <is>
          <t>06/25/2026</t>
        </is>
      </c>
      <c r="B1438" t="inlineStr">
        <is>
          <t>LATR</t>
        </is>
      </c>
      <c r="C1438" s="1" t="inlineStr">
        <is>
          <t>KLAR</t>
        </is>
      </c>
      <c r="D1438" s="1" t="inlineStr">
        <is>
          <t>G5279N105</t>
        </is>
      </c>
      <c r="E1438" t="inlineStr">
        <is>
          <t>Klarna Group PLC</t>
        </is>
      </c>
      <c r="F1438" t="inlineStr">
        <is>
          <t>4656.00000000</t>
        </is>
      </c>
      <c r="G1438" t="inlineStr">
        <is>
          <t>18.390000</t>
        </is>
      </c>
      <c r="H1438" t="inlineStr">
        <is>
          <t>85623.84</t>
        </is>
      </c>
      <c r="I1438" t="inlineStr">
        <is>
          <t>5.46%</t>
        </is>
      </c>
      <c r="J1438" t="inlineStr">
        <is>
          <t>1568436.00</t>
        </is>
      </c>
      <c r="K1438" t="inlineStr">
        <is>
          <t>60000</t>
        </is>
      </c>
      <c r="L1438" t="inlineStr">
        <is>
          <t>12.000000000000</t>
        </is>
      </c>
      <c r="M1438" t="inlineStr"/>
    </row>
    <row r="1439">
      <c r="A1439" t="inlineStr">
        <is>
          <t>06/25/2026</t>
        </is>
      </c>
      <c r="B1439" t="inlineStr">
        <is>
          <t>LATR</t>
        </is>
      </c>
      <c r="C1439" s="1" t="inlineStr">
        <is>
          <t>KSPI</t>
        </is>
      </c>
      <c r="D1439" s="1" t="inlineStr">
        <is>
          <t>48581R205</t>
        </is>
      </c>
      <c r="E1439" t="inlineStr">
        <is>
          <t>Kaspi.KZ JSC</t>
        </is>
      </c>
      <c r="F1439" t="inlineStr">
        <is>
          <t>660.00000000</t>
        </is>
      </c>
      <c r="G1439" t="inlineStr">
        <is>
          <t>85.800000</t>
        </is>
      </c>
      <c r="H1439" t="inlineStr">
        <is>
          <t>56628.00</t>
        </is>
      </c>
      <c r="I1439" t="inlineStr">
        <is>
          <t>3.61%</t>
        </is>
      </c>
      <c r="J1439" t="inlineStr">
        <is>
          <t>1568436.00</t>
        </is>
      </c>
      <c r="K1439" t="inlineStr">
        <is>
          <t>60000</t>
        </is>
      </c>
      <c r="L1439" t="inlineStr">
        <is>
          <t>12.000000000000</t>
        </is>
      </c>
      <c r="M1439" t="inlineStr"/>
    </row>
    <row r="1440">
      <c r="A1440" t="inlineStr">
        <is>
          <t>06/25/2026</t>
        </is>
      </c>
      <c r="B1440" t="inlineStr">
        <is>
          <t>LATR</t>
        </is>
      </c>
      <c r="C1440" s="1" t="inlineStr">
        <is>
          <t>MA</t>
        </is>
      </c>
      <c r="D1440" s="1" t="inlineStr">
        <is>
          <t>57636Q104</t>
        </is>
      </c>
      <c r="E1440" t="inlineStr">
        <is>
          <t>Mastercard Inc</t>
        </is>
      </c>
      <c r="F1440" t="inlineStr">
        <is>
          <t>384.00000000</t>
        </is>
      </c>
      <c r="G1440" t="inlineStr">
        <is>
          <t>494.410000</t>
        </is>
      </c>
      <c r="H1440" t="inlineStr">
        <is>
          <t>189853.44</t>
        </is>
      </c>
      <c r="I1440" t="inlineStr">
        <is>
          <t>12.10%</t>
        </is>
      </c>
      <c r="J1440" t="inlineStr">
        <is>
          <t>1568436.00</t>
        </is>
      </c>
      <c r="K1440" t="inlineStr">
        <is>
          <t>60000</t>
        </is>
      </c>
      <c r="L1440" t="inlineStr">
        <is>
          <t>12.000000000000</t>
        </is>
      </c>
      <c r="M1440" t="inlineStr"/>
    </row>
    <row r="1441">
      <c r="A1441" t="inlineStr">
        <is>
          <t>06/25/2026</t>
        </is>
      </c>
      <c r="B1441" t="inlineStr">
        <is>
          <t>LATR</t>
        </is>
      </c>
      <c r="C1441" s="1" t="inlineStr">
        <is>
          <t>MELI</t>
        </is>
      </c>
      <c r="D1441" s="1" t="inlineStr">
        <is>
          <t>58733R102</t>
        </is>
      </c>
      <c r="E1441" t="inlineStr">
        <is>
          <t>MercadoLibre Inc</t>
        </is>
      </c>
      <c r="F1441" t="inlineStr">
        <is>
          <t>36.00000000</t>
        </is>
      </c>
      <c r="G1441" t="inlineStr">
        <is>
          <t>1659.570000</t>
        </is>
      </c>
      <c r="H1441" t="inlineStr">
        <is>
          <t>59744.52</t>
        </is>
      </c>
      <c r="I1441" t="inlineStr">
        <is>
          <t>3.81%</t>
        </is>
      </c>
      <c r="J1441" t="inlineStr">
        <is>
          <t>1568436.00</t>
        </is>
      </c>
      <c r="K1441" t="inlineStr">
        <is>
          <t>60000</t>
        </is>
      </c>
      <c r="L1441" t="inlineStr">
        <is>
          <t>12.000000000000</t>
        </is>
      </c>
      <c r="M1441" t="inlineStr"/>
    </row>
    <row r="1442">
      <c r="A1442" t="inlineStr">
        <is>
          <t>06/25/2026</t>
        </is>
      </c>
      <c r="B1442" t="inlineStr">
        <is>
          <t>LATR</t>
        </is>
      </c>
      <c r="C1442" s="1" t="inlineStr">
        <is>
          <t>MITK</t>
        </is>
      </c>
      <c r="D1442" s="1" t="inlineStr">
        <is>
          <t>606710200</t>
        </is>
      </c>
      <c r="E1442" t="inlineStr">
        <is>
          <t>Mitek Systems Inc</t>
        </is>
      </c>
      <c r="F1442" t="inlineStr">
        <is>
          <t>1224.00000000</t>
        </is>
      </c>
      <c r="G1442" t="inlineStr">
        <is>
          <t>17.380000</t>
        </is>
      </c>
      <c r="H1442" t="inlineStr">
        <is>
          <t>21273.12</t>
        </is>
      </c>
      <c r="I1442" t="inlineStr">
        <is>
          <t>1.36%</t>
        </is>
      </c>
      <c r="J1442" t="inlineStr">
        <is>
          <t>1568436.00</t>
        </is>
      </c>
      <c r="K1442" t="inlineStr">
        <is>
          <t>60000</t>
        </is>
      </c>
      <c r="L1442" t="inlineStr">
        <is>
          <t>12.000000000000</t>
        </is>
      </c>
      <c r="M1442" t="inlineStr"/>
    </row>
    <row r="1443">
      <c r="A1443" t="inlineStr">
        <is>
          <t>06/25/2026</t>
        </is>
      </c>
      <c r="B1443" t="inlineStr">
        <is>
          <t>LATR</t>
        </is>
      </c>
      <c r="C1443" s="1" t="inlineStr">
        <is>
          <t>MQ</t>
        </is>
      </c>
      <c r="D1443" s="1" t="inlineStr">
        <is>
          <t>57142B104</t>
        </is>
      </c>
      <c r="E1443" t="inlineStr">
        <is>
          <t>Marqeta Inc</t>
        </is>
      </c>
      <c r="F1443" t="inlineStr">
        <is>
          <t>12432.00000000</t>
        </is>
      </c>
      <c r="G1443" t="inlineStr">
        <is>
          <t>3.970000</t>
        </is>
      </c>
      <c r="H1443" t="inlineStr">
        <is>
          <t>49355.04</t>
        </is>
      </c>
      <c r="I1443" t="inlineStr">
        <is>
          <t>3.15%</t>
        </is>
      </c>
      <c r="J1443" t="inlineStr">
        <is>
          <t>1568436.00</t>
        </is>
      </c>
      <c r="K1443" t="inlineStr">
        <is>
          <t>60000</t>
        </is>
      </c>
      <c r="L1443" t="inlineStr">
        <is>
          <t>12.000000000000</t>
        </is>
      </c>
      <c r="M1443" t="inlineStr"/>
    </row>
    <row r="1444">
      <c r="A1444" t="inlineStr">
        <is>
          <t>06/25/2026</t>
        </is>
      </c>
      <c r="B1444" t="inlineStr">
        <is>
          <t>LATR</t>
        </is>
      </c>
      <c r="C1444" s="1" t="inlineStr">
        <is>
          <t>NU</t>
        </is>
      </c>
      <c r="D1444" s="1" t="inlineStr">
        <is>
          <t>G6683N103</t>
        </is>
      </c>
      <c r="E1444" t="inlineStr">
        <is>
          <t>NU Holdings Ltd/Cayman Islands</t>
        </is>
      </c>
      <c r="F1444" t="inlineStr">
        <is>
          <t>5088.00000000</t>
        </is>
      </c>
      <c r="G1444" t="inlineStr">
        <is>
          <t>12.460000</t>
        </is>
      </c>
      <c r="H1444" t="inlineStr">
        <is>
          <t>63396.48</t>
        </is>
      </c>
      <c r="I1444" t="inlineStr">
        <is>
          <t>4.04%</t>
        </is>
      </c>
      <c r="J1444" t="inlineStr">
        <is>
          <t>1568436.00</t>
        </is>
      </c>
      <c r="K1444" t="inlineStr">
        <is>
          <t>60000</t>
        </is>
      </c>
      <c r="L1444" t="inlineStr">
        <is>
          <t>12.000000000000</t>
        </is>
      </c>
      <c r="M1444" t="inlineStr"/>
    </row>
    <row r="1445">
      <c r="A1445" t="inlineStr">
        <is>
          <t>06/25/2026</t>
        </is>
      </c>
      <c r="B1445" t="inlineStr">
        <is>
          <t>LATR</t>
        </is>
      </c>
      <c r="C1445" s="1" t="inlineStr">
        <is>
          <t>OMF</t>
        </is>
      </c>
      <c r="D1445" s="1" t="inlineStr">
        <is>
          <t>68268W103</t>
        </is>
      </c>
      <c r="E1445" t="inlineStr">
        <is>
          <t>OneMain Holdings Inc</t>
        </is>
      </c>
      <c r="F1445" t="inlineStr">
        <is>
          <t>720.00000000</t>
        </is>
      </c>
      <c r="G1445" t="inlineStr">
        <is>
          <t>58.580000</t>
        </is>
      </c>
      <c r="H1445" t="inlineStr">
        <is>
          <t>42177.60</t>
        </is>
      </c>
      <c r="I1445" t="inlineStr">
        <is>
          <t>2.69%</t>
        </is>
      </c>
      <c r="J1445" t="inlineStr">
        <is>
          <t>1568436.00</t>
        </is>
      </c>
      <c r="K1445" t="inlineStr">
        <is>
          <t>60000</t>
        </is>
      </c>
      <c r="L1445" t="inlineStr">
        <is>
          <t>12.000000000000</t>
        </is>
      </c>
      <c r="M1445" t="inlineStr"/>
    </row>
    <row r="1446">
      <c r="A1446" t="inlineStr">
        <is>
          <t>06/25/2026</t>
        </is>
      </c>
      <c r="B1446" t="inlineStr">
        <is>
          <t>LATR</t>
        </is>
      </c>
      <c r="C1446" s="1" t="inlineStr">
        <is>
          <t>OPFI</t>
        </is>
      </c>
      <c r="D1446" s="1" t="inlineStr">
        <is>
          <t>68386H103</t>
        </is>
      </c>
      <c r="E1446" t="inlineStr">
        <is>
          <t>OppFi Inc</t>
        </is>
      </c>
      <c r="F1446" t="inlineStr">
        <is>
          <t>1236.00000000</t>
        </is>
      </c>
      <c r="G1446" t="inlineStr">
        <is>
          <t>8.800000</t>
        </is>
      </c>
      <c r="H1446" t="inlineStr">
        <is>
          <t>10876.80</t>
        </is>
      </c>
      <c r="I1446" t="inlineStr">
        <is>
          <t>0.69%</t>
        </is>
      </c>
      <c r="J1446" t="inlineStr">
        <is>
          <t>1568436.00</t>
        </is>
      </c>
      <c r="K1446" t="inlineStr">
        <is>
          <t>60000</t>
        </is>
      </c>
      <c r="L1446" t="inlineStr">
        <is>
          <t>12.000000000000</t>
        </is>
      </c>
      <c r="M1446" t="inlineStr"/>
    </row>
    <row r="1447">
      <c r="A1447" t="inlineStr">
        <is>
          <t>06/25/2026</t>
        </is>
      </c>
      <c r="B1447" t="inlineStr">
        <is>
          <t>LATR</t>
        </is>
      </c>
      <c r="C1447" s="1" t="inlineStr">
        <is>
          <t>PGY</t>
        </is>
      </c>
      <c r="D1447" s="1" t="inlineStr">
        <is>
          <t>M7S64L123</t>
        </is>
      </c>
      <c r="E1447" t="inlineStr">
        <is>
          <t>Pagaya Technologies Ltd</t>
        </is>
      </c>
      <c r="F1447" t="inlineStr">
        <is>
          <t>1452.00000000</t>
        </is>
      </c>
      <c r="G1447" t="inlineStr">
        <is>
          <t>15.200000</t>
        </is>
      </c>
      <c r="H1447" t="inlineStr">
        <is>
          <t>22070.40</t>
        </is>
      </c>
      <c r="I1447" t="inlineStr">
        <is>
          <t>1.41%</t>
        </is>
      </c>
      <c r="J1447" t="inlineStr">
        <is>
          <t>1568436.00</t>
        </is>
      </c>
      <c r="K1447" t="inlineStr">
        <is>
          <t>60000</t>
        </is>
      </c>
      <c r="L1447" t="inlineStr">
        <is>
          <t>12.000000000000</t>
        </is>
      </c>
      <c r="M1447" t="inlineStr"/>
    </row>
    <row r="1448">
      <c r="A1448" t="inlineStr">
        <is>
          <t>06/25/2026</t>
        </is>
      </c>
      <c r="B1448" t="inlineStr">
        <is>
          <t>LATR</t>
        </is>
      </c>
      <c r="C1448" s="1" t="inlineStr">
        <is>
          <t>PYPL</t>
        </is>
      </c>
      <c r="D1448" s="1" t="inlineStr">
        <is>
          <t>70450Y103</t>
        </is>
      </c>
      <c r="E1448" t="inlineStr">
        <is>
          <t>PayPal Holdings Inc</t>
        </is>
      </c>
      <c r="F1448" t="inlineStr">
        <is>
          <t>1464.00000000</t>
        </is>
      </c>
      <c r="G1448" t="inlineStr">
        <is>
          <t>42.480000</t>
        </is>
      </c>
      <c r="H1448" t="inlineStr">
        <is>
          <t>62190.72</t>
        </is>
      </c>
      <c r="I1448" t="inlineStr">
        <is>
          <t>3.97%</t>
        </is>
      </c>
      <c r="J1448" t="inlineStr">
        <is>
          <t>1568436.00</t>
        </is>
      </c>
      <c r="K1448" t="inlineStr">
        <is>
          <t>60000</t>
        </is>
      </c>
      <c r="L1448" t="inlineStr">
        <is>
          <t>12.000000000000</t>
        </is>
      </c>
      <c r="M1448" t="inlineStr"/>
    </row>
    <row r="1449">
      <c r="A1449" t="inlineStr">
        <is>
          <t>06/25/2026</t>
        </is>
      </c>
      <c r="B1449" t="inlineStr">
        <is>
          <t>LATR</t>
        </is>
      </c>
      <c r="C1449" s="1" t="inlineStr">
        <is>
          <t>SE</t>
        </is>
      </c>
      <c r="D1449" s="1" t="inlineStr">
        <is>
          <t>81141R100</t>
        </is>
      </c>
      <c r="E1449" t="inlineStr">
        <is>
          <t>Sea Ltd</t>
        </is>
      </c>
      <c r="F1449" t="inlineStr">
        <is>
          <t>864.00000000</t>
        </is>
      </c>
      <c r="G1449" t="inlineStr">
        <is>
          <t>92.750000</t>
        </is>
      </c>
      <c r="H1449" t="inlineStr">
        <is>
          <t>80136.00</t>
        </is>
      </c>
      <c r="I1449" t="inlineStr">
        <is>
          <t>5.11%</t>
        </is>
      </c>
      <c r="J1449" t="inlineStr">
        <is>
          <t>1568436.00</t>
        </is>
      </c>
      <c r="K1449" t="inlineStr">
        <is>
          <t>60000</t>
        </is>
      </c>
      <c r="L1449" t="inlineStr">
        <is>
          <t>12.000000000000</t>
        </is>
      </c>
      <c r="M1449" t="inlineStr"/>
    </row>
    <row r="1450">
      <c r="A1450" t="inlineStr">
        <is>
          <t>06/25/2026</t>
        </is>
      </c>
      <c r="B1450" t="inlineStr">
        <is>
          <t>LATR</t>
        </is>
      </c>
      <c r="C1450" s="1" t="inlineStr">
        <is>
          <t>SEZL</t>
        </is>
      </c>
      <c r="D1450" s="1" t="inlineStr">
        <is>
          <t>78435P105</t>
        </is>
      </c>
      <c r="E1450" t="inlineStr">
        <is>
          <t>Sezzle Inc</t>
        </is>
      </c>
      <c r="F1450" t="inlineStr">
        <is>
          <t>636.00000000</t>
        </is>
      </c>
      <c r="G1450" t="inlineStr">
        <is>
          <t>159.270000</t>
        </is>
      </c>
      <c r="H1450" t="inlineStr">
        <is>
          <t>101295.72</t>
        </is>
      </c>
      <c r="I1450" t="inlineStr">
        <is>
          <t>6.46%</t>
        </is>
      </c>
      <c r="J1450" t="inlineStr">
        <is>
          <t>1568436.00</t>
        </is>
      </c>
      <c r="K1450" t="inlineStr">
        <is>
          <t>60000</t>
        </is>
      </c>
      <c r="L1450" t="inlineStr">
        <is>
          <t>12.000000000000</t>
        </is>
      </c>
      <c r="M1450" t="inlineStr"/>
    </row>
    <row r="1451">
      <c r="A1451" t="inlineStr">
        <is>
          <t>06/25/2026</t>
        </is>
      </c>
      <c r="B1451" t="inlineStr">
        <is>
          <t>LATR</t>
        </is>
      </c>
      <c r="C1451" s="1" t="inlineStr">
        <is>
          <t>SHOP</t>
        </is>
      </c>
      <c r="D1451" s="1" t="inlineStr">
        <is>
          <t>82509L107</t>
        </is>
      </c>
      <c r="E1451" t="inlineStr">
        <is>
          <t>Shopify Inc</t>
        </is>
      </c>
      <c r="F1451" t="inlineStr">
        <is>
          <t>588.00000000</t>
        </is>
      </c>
      <c r="G1451" t="inlineStr">
        <is>
          <t>114.170000</t>
        </is>
      </c>
      <c r="H1451" t="inlineStr">
        <is>
          <t>67131.96</t>
        </is>
      </c>
      <c r="I1451" t="inlineStr">
        <is>
          <t>4.28%</t>
        </is>
      </c>
      <c r="J1451" t="inlineStr">
        <is>
          <t>1568436.00</t>
        </is>
      </c>
      <c r="K1451" t="inlineStr">
        <is>
          <t>60000</t>
        </is>
      </c>
      <c r="L1451" t="inlineStr">
        <is>
          <t>12.000000000000</t>
        </is>
      </c>
      <c r="M1451" t="inlineStr"/>
    </row>
    <row r="1452">
      <c r="A1452" t="inlineStr">
        <is>
          <t>06/25/2026</t>
        </is>
      </c>
      <c r="B1452" t="inlineStr">
        <is>
          <t>LATR</t>
        </is>
      </c>
      <c r="C1452" s="1" t="inlineStr">
        <is>
          <t>SYF</t>
        </is>
      </c>
      <c r="D1452" s="1" t="inlineStr">
        <is>
          <t>87165B103</t>
        </is>
      </c>
      <c r="E1452" t="inlineStr">
        <is>
          <t>Synchrony Financial</t>
        </is>
      </c>
      <c r="F1452" t="inlineStr">
        <is>
          <t>972.00000000</t>
        </is>
      </c>
      <c r="G1452" t="inlineStr">
        <is>
          <t>76.320000</t>
        </is>
      </c>
      <c r="H1452" t="inlineStr">
        <is>
          <t>74183.04</t>
        </is>
      </c>
      <c r="I1452" t="inlineStr">
        <is>
          <t>4.73%</t>
        </is>
      </c>
      <c r="J1452" t="inlineStr">
        <is>
          <t>1568436.00</t>
        </is>
      </c>
      <c r="K1452" t="inlineStr">
        <is>
          <t>60000</t>
        </is>
      </c>
      <c r="L1452" t="inlineStr">
        <is>
          <t>12.000000000000</t>
        </is>
      </c>
      <c r="M1452" t="inlineStr"/>
    </row>
    <row r="1453">
      <c r="A1453" t="inlineStr">
        <is>
          <t>06/25/2026</t>
        </is>
      </c>
      <c r="B1453" t="inlineStr">
        <is>
          <t>LATR</t>
        </is>
      </c>
      <c r="C1453" s="1" t="inlineStr">
        <is>
          <t>UPST</t>
        </is>
      </c>
      <c r="D1453" s="1" t="inlineStr">
        <is>
          <t>91680M107</t>
        </is>
      </c>
      <c r="E1453" t="inlineStr">
        <is>
          <t>Upstart Holdings Inc</t>
        </is>
      </c>
      <c r="F1453" t="inlineStr">
        <is>
          <t>1704.00000000</t>
        </is>
      </c>
      <c r="G1453" t="inlineStr">
        <is>
          <t>32.650000</t>
        </is>
      </c>
      <c r="H1453" t="inlineStr">
        <is>
          <t>55635.60</t>
        </is>
      </c>
      <c r="I1453" t="inlineStr">
        <is>
          <t>3.55%</t>
        </is>
      </c>
      <c r="J1453" t="inlineStr">
        <is>
          <t>1568436.00</t>
        </is>
      </c>
      <c r="K1453" t="inlineStr">
        <is>
          <t>60000</t>
        </is>
      </c>
      <c r="L1453" t="inlineStr">
        <is>
          <t>12.000000000000</t>
        </is>
      </c>
      <c r="M1453" t="inlineStr"/>
    </row>
    <row r="1454">
      <c r="A1454" t="inlineStr">
        <is>
          <t>06/25/2026</t>
        </is>
      </c>
      <c r="B1454" t="inlineStr">
        <is>
          <t>LATR</t>
        </is>
      </c>
      <c r="C1454" s="1" t="inlineStr">
        <is>
          <t>V</t>
        </is>
      </c>
      <c r="D1454" s="1" t="inlineStr">
        <is>
          <t>92826C839</t>
        </is>
      </c>
      <c r="E1454" t="inlineStr">
        <is>
          <t>Visa Inc</t>
        </is>
      </c>
      <c r="F1454" t="inlineStr">
        <is>
          <t>672.00000000</t>
        </is>
      </c>
      <c r="G1454" t="inlineStr">
        <is>
          <t>332.230000</t>
        </is>
      </c>
      <c r="H1454" t="inlineStr">
        <is>
          <t>223258.56</t>
        </is>
      </c>
      <c r="I1454" t="inlineStr">
        <is>
          <t>14.23%</t>
        </is>
      </c>
      <c r="J1454" t="inlineStr">
        <is>
          <t>1568436.00</t>
        </is>
      </c>
      <c r="K1454" t="inlineStr">
        <is>
          <t>60000</t>
        </is>
      </c>
      <c r="L1454" t="inlineStr">
        <is>
          <t>12.000000000000</t>
        </is>
      </c>
      <c r="M1454" t="inlineStr"/>
    </row>
    <row r="1455">
      <c r="A1455" t="inlineStr">
        <is>
          <t>06/25/2026</t>
        </is>
      </c>
      <c r="B1455" t="inlineStr">
        <is>
          <t>LATR</t>
        </is>
      </c>
      <c r="C1455" s="1" t="inlineStr">
        <is>
          <t>XYZ</t>
        </is>
      </c>
      <c r="D1455" s="1" t="inlineStr">
        <is>
          <t>852234103</t>
        </is>
      </c>
      <c r="E1455" t="inlineStr">
        <is>
          <t>Block Inc</t>
        </is>
      </c>
      <c r="F1455" t="inlineStr">
        <is>
          <t>1032.00000000</t>
        </is>
      </c>
      <c r="G1455" t="inlineStr">
        <is>
          <t>75.680000</t>
        </is>
      </c>
      <c r="H1455" t="inlineStr">
        <is>
          <t>78101.76</t>
        </is>
      </c>
      <c r="I1455" t="inlineStr">
        <is>
          <t>4.98%</t>
        </is>
      </c>
      <c r="J1455" t="inlineStr">
        <is>
          <t>1568436.00</t>
        </is>
      </c>
      <c r="K1455" t="inlineStr">
        <is>
          <t>60000</t>
        </is>
      </c>
      <c r="L1455" t="inlineStr">
        <is>
          <t>12.000000000000</t>
        </is>
      </c>
      <c r="M1455" t="inlineStr"/>
    </row>
    <row r="1456">
      <c r="A1456" t="inlineStr">
        <is>
          <t>06/25/2026</t>
        </is>
      </c>
      <c r="B1456" t="inlineStr">
        <is>
          <t>LATR</t>
        </is>
      </c>
      <c r="C1456" s="1" t="inlineStr">
        <is>
          <t>Cash&amp;Other</t>
        </is>
      </c>
      <c r="D1456" s="1" t="inlineStr">
        <is>
          <t>Cash&amp;Other</t>
        </is>
      </c>
      <c r="E1456" t="inlineStr">
        <is>
          <t>Cash &amp; Other</t>
        </is>
      </c>
      <c r="F1456" t="inlineStr">
        <is>
          <t>-129.15000000</t>
        </is>
      </c>
      <c r="G1456" t="inlineStr">
        <is>
          <t>1.000000</t>
        </is>
      </c>
      <c r="H1456" t="inlineStr">
        <is>
          <t>-129.15</t>
        </is>
      </c>
      <c r="I1456" t="inlineStr">
        <is>
          <t>-0.01%</t>
        </is>
      </c>
      <c r="J1456" t="inlineStr">
        <is>
          <t>1568436.00</t>
        </is>
      </c>
      <c r="K1456" t="inlineStr">
        <is>
          <t>60000</t>
        </is>
      </c>
      <c r="L1456" t="inlineStr">
        <is>
          <t>12.000000000000</t>
        </is>
      </c>
      <c r="M1456" t="inlineStr">
        <is>
          <t>Y</t>
        </is>
      </c>
    </row>
    <row r="1457">
      <c r="A1457" t="inlineStr">
        <is>
          <t>06/25/2026</t>
        </is>
      </c>
      <c r="B1457" t="inlineStr">
        <is>
          <t>LRNX</t>
        </is>
      </c>
      <c r="C1457" s="1" t="inlineStr">
        <is>
          <t>86333M108-TRS-12/01/27-L-CANT</t>
        </is>
      </c>
      <c r="D1457" s="1" t="inlineStr">
        <is>
          <t>86333M108-TRS-12/01/27-L-CANT</t>
        </is>
      </c>
      <c r="E1457" t="inlineStr">
        <is>
          <t>STRIDE, INC.-SWAP-CANT-L</t>
        </is>
      </c>
      <c r="F1457" t="inlineStr">
        <is>
          <t>6155.00000000</t>
        </is>
      </c>
      <c r="G1457" t="inlineStr">
        <is>
          <t>84.810000</t>
        </is>
      </c>
      <c r="H1457" t="inlineStr">
        <is>
          <t>522005.55</t>
        </is>
      </c>
      <c r="I1457" t="inlineStr">
        <is>
          <t>199.91%</t>
        </is>
      </c>
      <c r="J1457" t="inlineStr">
        <is>
          <t>261122.00</t>
        </is>
      </c>
      <c r="K1457" t="inlineStr">
        <is>
          <t>10000</t>
        </is>
      </c>
      <c r="L1457" t="inlineStr">
        <is>
          <t>2.000000000000</t>
        </is>
      </c>
      <c r="M1457" t="inlineStr"/>
    </row>
    <row r="1458">
      <c r="A1458" t="inlineStr">
        <is>
          <t>06/25/2026</t>
        </is>
      </c>
      <c r="B1458" t="inlineStr">
        <is>
          <t>LRNX</t>
        </is>
      </c>
      <c r="C1458" s="1" t="inlineStr">
        <is>
          <t>FGXXX</t>
        </is>
      </c>
      <c r="D1458" s="1" t="inlineStr">
        <is>
          <t>31846V336</t>
        </is>
      </c>
      <c r="E1458" t="inlineStr">
        <is>
          <t>First American Government Obligations Fund 12/01/2031</t>
        </is>
      </c>
      <c r="F1458" t="inlineStr">
        <is>
          <t>24722.00000000</t>
        </is>
      </c>
      <c r="G1458" t="inlineStr">
        <is>
          <t>100.000000</t>
        </is>
      </c>
      <c r="H1458" t="inlineStr">
        <is>
          <t>24722.00</t>
        </is>
      </c>
      <c r="I1458" t="inlineStr">
        <is>
          <t>9.47%</t>
        </is>
      </c>
      <c r="J1458" t="inlineStr">
        <is>
          <t>261122.00</t>
        </is>
      </c>
      <c r="K1458" t="inlineStr">
        <is>
          <t>10000</t>
        </is>
      </c>
      <c r="L1458" t="inlineStr">
        <is>
          <t>2.000000000000</t>
        </is>
      </c>
      <c r="M1458" t="inlineStr">
        <is>
          <t>Y</t>
        </is>
      </c>
    </row>
    <row r="1459">
      <c r="A1459" t="inlineStr">
        <is>
          <t>06/25/2026</t>
        </is>
      </c>
      <c r="B1459" t="inlineStr">
        <is>
          <t>LRNX</t>
        </is>
      </c>
      <c r="C1459" s="1" t="inlineStr">
        <is>
          <t>Cash&amp;Other</t>
        </is>
      </c>
      <c r="D1459" s="1" t="inlineStr">
        <is>
          <t>Cash&amp;Other</t>
        </is>
      </c>
      <c r="E1459" t="inlineStr">
        <is>
          <t>Cash &amp; Other</t>
        </is>
      </c>
      <c r="F1459" t="inlineStr">
        <is>
          <t>-285685.62000000</t>
        </is>
      </c>
      <c r="G1459" t="inlineStr">
        <is>
          <t>1.000000</t>
        </is>
      </c>
      <c r="H1459" t="inlineStr">
        <is>
          <t>-285685.62</t>
        </is>
      </c>
      <c r="I1459" t="inlineStr">
        <is>
          <t>-109.41%</t>
        </is>
      </c>
      <c r="J1459" t="inlineStr">
        <is>
          <t>261122.00</t>
        </is>
      </c>
      <c r="K1459" t="inlineStr">
        <is>
          <t>10000</t>
        </is>
      </c>
      <c r="L1459" t="inlineStr">
        <is>
          <t>2.000000000000</t>
        </is>
      </c>
      <c r="M1459" t="inlineStr">
        <is>
          <t>Y</t>
        </is>
      </c>
    </row>
    <row r="1460">
      <c r="A1460" t="inlineStr">
        <is>
          <t>06/25/2026</t>
        </is>
      </c>
      <c r="B1460" t="inlineStr">
        <is>
          <t>MAYC</t>
        </is>
      </c>
      <c r="C1460" s="1" t="inlineStr">
        <is>
          <t>2SPY  270430C00143730</t>
        </is>
      </c>
      <c r="D1460" s="1" t="inlineStr">
        <is>
          <t>2SPY  270430C00143730</t>
        </is>
      </c>
      <c r="E1460" t="inlineStr">
        <is>
          <t>SPY 04/30/2027 143.73 C</t>
        </is>
      </c>
      <c r="F1460" t="inlineStr">
        <is>
          <t>65.00000000</t>
        </is>
      </c>
      <c r="G1460" t="inlineStr">
        <is>
          <t>594.186220</t>
        </is>
      </c>
      <c r="H1460" t="inlineStr">
        <is>
          <t>3862210.43</t>
        </is>
      </c>
      <c r="I1460" t="inlineStr">
        <is>
          <t>81.66%</t>
        </is>
      </c>
      <c r="J1460" t="inlineStr">
        <is>
          <t>4729636.00</t>
        </is>
      </c>
      <c r="K1460" t="inlineStr">
        <is>
          <t>185000</t>
        </is>
      </c>
      <c r="L1460" t="inlineStr">
        <is>
          <t>37.000000000000</t>
        </is>
      </c>
      <c r="M1460" t="inlineStr"/>
    </row>
    <row r="1461">
      <c r="A1461" t="inlineStr">
        <is>
          <t>06/25/2026</t>
        </is>
      </c>
      <c r="B1461" t="inlineStr">
        <is>
          <t>MAYC</t>
        </is>
      </c>
      <c r="C1461" s="1" t="inlineStr">
        <is>
          <t>2SPY  270430C00815680</t>
        </is>
      </c>
      <c r="D1461" s="1" t="inlineStr">
        <is>
          <t>2SPY  270430C00815680</t>
        </is>
      </c>
      <c r="E1461" t="inlineStr">
        <is>
          <t>SPY 04/30/2027 815.68 C</t>
        </is>
      </c>
      <c r="F1461" t="inlineStr">
        <is>
          <t>-65.00000000</t>
        </is>
      </c>
      <c r="G1461" t="inlineStr">
        <is>
          <t>19.908009</t>
        </is>
      </c>
      <c r="H1461" t="inlineStr">
        <is>
          <t>-129402.06</t>
        </is>
      </c>
      <c r="I1461" t="inlineStr">
        <is>
          <t>-2.74%</t>
        </is>
      </c>
      <c r="J1461" t="inlineStr">
        <is>
          <t>4729636.00</t>
        </is>
      </c>
      <c r="K1461" t="inlineStr">
        <is>
          <t>185000</t>
        </is>
      </c>
      <c r="L1461" t="inlineStr">
        <is>
          <t>37.000000000000</t>
        </is>
      </c>
      <c r="M1461" t="inlineStr"/>
    </row>
    <row r="1462">
      <c r="A1462" t="inlineStr">
        <is>
          <t>06/25/2026</t>
        </is>
      </c>
      <c r="B1462" t="inlineStr">
        <is>
          <t>MAYC</t>
        </is>
      </c>
      <c r="C1462" s="1" t="inlineStr">
        <is>
          <t>2SPY  270430P00646790</t>
        </is>
      </c>
      <c r="D1462" s="1" t="inlineStr">
        <is>
          <t>2SPY  270430P00646790</t>
        </is>
      </c>
      <c r="E1462" t="inlineStr">
        <is>
          <t>SPY 04/30/2027 646.79 P</t>
        </is>
      </c>
      <c r="F1462" t="inlineStr">
        <is>
          <t>-65.00000000</t>
        </is>
      </c>
      <c r="G1462" t="inlineStr">
        <is>
          <t>19.113710</t>
        </is>
      </c>
      <c r="H1462" t="inlineStr">
        <is>
          <t>-124239.12</t>
        </is>
      </c>
      <c r="I1462" t="inlineStr">
        <is>
          <t>-2.63%</t>
        </is>
      </c>
      <c r="J1462" t="inlineStr">
        <is>
          <t>4729636.00</t>
        </is>
      </c>
      <c r="K1462" t="inlineStr">
        <is>
          <t>185000</t>
        </is>
      </c>
      <c r="L1462" t="inlineStr">
        <is>
          <t>37.000000000000</t>
        </is>
      </c>
      <c r="M1462" t="inlineStr"/>
    </row>
    <row r="1463">
      <c r="A1463" t="inlineStr">
        <is>
          <t>06/25/2026</t>
        </is>
      </c>
      <c r="B1463" t="inlineStr">
        <is>
          <t>MAYC</t>
        </is>
      </c>
      <c r="C1463" s="1" t="inlineStr">
        <is>
          <t>2SPY  270430P00718660</t>
        </is>
      </c>
      <c r="D1463" s="1" t="inlineStr">
        <is>
          <t>2SPY  270430P00718660</t>
        </is>
      </c>
      <c r="E1463" t="inlineStr">
        <is>
          <t>SPY 04/30/2027 718.66 P</t>
        </is>
      </c>
      <c r="F1463" t="inlineStr">
        <is>
          <t>65.00000000</t>
        </is>
      </c>
      <c r="G1463" t="inlineStr">
        <is>
          <t>33.776943</t>
        </is>
      </c>
      <c r="H1463" t="inlineStr">
        <is>
          <t>219550.13</t>
        </is>
      </c>
      <c r="I1463" t="inlineStr">
        <is>
          <t>4.64%</t>
        </is>
      </c>
      <c r="J1463" t="inlineStr">
        <is>
          <t>4729636.00</t>
        </is>
      </c>
      <c r="K1463" t="inlineStr">
        <is>
          <t>185000</t>
        </is>
      </c>
      <c r="L1463" t="inlineStr">
        <is>
          <t>37.000000000000</t>
        </is>
      </c>
      <c r="M1463" t="inlineStr"/>
    </row>
    <row r="1464">
      <c r="A1464" t="inlineStr">
        <is>
          <t>06/25/2026</t>
        </is>
      </c>
      <c r="B1464" t="inlineStr">
        <is>
          <t>MAYC</t>
        </is>
      </c>
      <c r="C1464" s="1" t="inlineStr">
        <is>
          <t>912828ZN3</t>
        </is>
      </c>
      <c r="D1464" s="1" t="inlineStr">
        <is>
          <t>912828ZN3</t>
        </is>
      </c>
      <c r="E1464" t="inlineStr">
        <is>
          <t>United States Treasury Note/Bond 0.5% 04/30/2027</t>
        </is>
      </c>
      <c r="F1464" t="inlineStr">
        <is>
          <t>888000.00000000</t>
        </is>
      </c>
      <c r="G1464" t="inlineStr">
        <is>
          <t>97.073002</t>
        </is>
      </c>
      <c r="H1464" t="inlineStr">
        <is>
          <t>862008.26</t>
        </is>
      </c>
      <c r="I1464" t="inlineStr">
        <is>
          <t>18.23%</t>
        </is>
      </c>
      <c r="J1464" t="inlineStr">
        <is>
          <t>4729636.00</t>
        </is>
      </c>
      <c r="K1464" t="inlineStr">
        <is>
          <t>185000</t>
        </is>
      </c>
      <c r="L1464" t="inlineStr">
        <is>
          <t>37.000000000000</t>
        </is>
      </c>
      <c r="M1464" t="inlineStr"/>
    </row>
    <row r="1465">
      <c r="A1465" t="inlineStr">
        <is>
          <t>06/25/2026</t>
        </is>
      </c>
      <c r="B1465" t="inlineStr">
        <is>
          <t>MAYC</t>
        </is>
      </c>
      <c r="C1465" s="1" t="inlineStr">
        <is>
          <t>FGXXX</t>
        </is>
      </c>
      <c r="D1465" s="1" t="inlineStr">
        <is>
          <t>31846V336</t>
        </is>
      </c>
      <c r="E1465" t="inlineStr">
        <is>
          <t>First American Government Obligations Fund 12/01/2031</t>
        </is>
      </c>
      <c r="F1465" t="inlineStr">
        <is>
          <t>39572.97000000</t>
        </is>
      </c>
      <c r="G1465" t="inlineStr">
        <is>
          <t>100.000000</t>
        </is>
      </c>
      <c r="H1465" t="inlineStr">
        <is>
          <t>39572.97</t>
        </is>
      </c>
      <c r="I1465" t="inlineStr">
        <is>
          <t>0.84%</t>
        </is>
      </c>
      <c r="J1465" t="inlineStr">
        <is>
          <t>4729636.00</t>
        </is>
      </c>
      <c r="K1465" t="inlineStr">
        <is>
          <t>185000</t>
        </is>
      </c>
      <c r="L1465" t="inlineStr">
        <is>
          <t>37.000000000000</t>
        </is>
      </c>
      <c r="M1465" t="inlineStr">
        <is>
          <t>Y</t>
        </is>
      </c>
    </row>
    <row r="1466">
      <c r="A1466" t="inlineStr">
        <is>
          <t>06/25/2026</t>
        </is>
      </c>
      <c r="B1466" t="inlineStr">
        <is>
          <t>MAYC</t>
        </is>
      </c>
      <c r="C1466" s="1" t="inlineStr">
        <is>
          <t>Cash&amp;Other</t>
        </is>
      </c>
      <c r="D1466" s="1" t="inlineStr">
        <is>
          <t>Cash&amp;Other</t>
        </is>
      </c>
      <c r="E1466" t="inlineStr">
        <is>
          <t>Cash &amp; Other</t>
        </is>
      </c>
      <c r="F1466" t="inlineStr">
        <is>
          <t>-87.53000000</t>
        </is>
      </c>
      <c r="G1466" t="inlineStr">
        <is>
          <t>1.000000</t>
        </is>
      </c>
      <c r="H1466" t="inlineStr">
        <is>
          <t>-87.53</t>
        </is>
      </c>
      <c r="I1466" t="inlineStr">
        <is>
          <t>0.00%</t>
        </is>
      </c>
      <c r="J1466" t="inlineStr">
        <is>
          <t>4729636.00</t>
        </is>
      </c>
      <c r="K1466" t="inlineStr">
        <is>
          <t>185000</t>
        </is>
      </c>
      <c r="L1466" t="inlineStr">
        <is>
          <t>37.000000000000</t>
        </is>
      </c>
      <c r="M1466" t="inlineStr">
        <is>
          <t>Y</t>
        </is>
      </c>
    </row>
    <row r="1467">
      <c r="A1467" t="inlineStr">
        <is>
          <t>06/25/2026</t>
        </is>
      </c>
      <c r="B1467" t="inlineStr">
        <is>
          <t>MGKX</t>
        </is>
      </c>
      <c r="C1467" s="1" t="inlineStr">
        <is>
          <t>921910816-TRS-07/05/27-L-MREX</t>
        </is>
      </c>
      <c r="D1467" s="1" t="inlineStr">
        <is>
          <t>921910816-TRS-07/05/27-L-MREX</t>
        </is>
      </c>
      <c r="E1467" t="inlineStr">
        <is>
          <t>VANGUARD MEGA CAP GROWTH INDEX FUND-SWAP-MREX-L</t>
        </is>
      </c>
      <c r="F1467" t="inlineStr">
        <is>
          <t>7488.00000000</t>
        </is>
      </c>
      <c r="G1467" t="inlineStr">
        <is>
          <t>85.180000</t>
        </is>
      </c>
      <c r="H1467" t="inlineStr">
        <is>
          <t>637827.84</t>
        </is>
      </c>
      <c r="I1467" t="inlineStr">
        <is>
          <t>199.75%</t>
        </is>
      </c>
      <c r="J1467" t="inlineStr">
        <is>
          <t>319318.50</t>
        </is>
      </c>
      <c r="K1467" t="inlineStr">
        <is>
          <t>15000</t>
        </is>
      </c>
      <c r="L1467" t="inlineStr">
        <is>
          <t>3.000000000000</t>
        </is>
      </c>
      <c r="M1467" t="inlineStr"/>
    </row>
    <row r="1468">
      <c r="A1468" t="inlineStr">
        <is>
          <t>06/25/2026</t>
        </is>
      </c>
      <c r="B1468" t="inlineStr">
        <is>
          <t>MGKX</t>
        </is>
      </c>
      <c r="C1468" s="1" t="inlineStr">
        <is>
          <t>FGXXX</t>
        </is>
      </c>
      <c r="D1468" s="1" t="inlineStr">
        <is>
          <t>31846V336</t>
        </is>
      </c>
      <c r="E1468" t="inlineStr">
        <is>
          <t>First American Government Obligations Fund 12/01/2031</t>
        </is>
      </c>
      <c r="F1468" t="inlineStr">
        <is>
          <t>226868.36000000</t>
        </is>
      </c>
      <c r="G1468" t="inlineStr">
        <is>
          <t>100.000000</t>
        </is>
      </c>
      <c r="H1468" t="inlineStr">
        <is>
          <t>226868.36</t>
        </is>
      </c>
      <c r="I1468" t="inlineStr">
        <is>
          <t>71.05%</t>
        </is>
      </c>
      <c r="J1468" t="inlineStr">
        <is>
          <t>319318.50</t>
        </is>
      </c>
      <c r="K1468" t="inlineStr">
        <is>
          <t>15000</t>
        </is>
      </c>
      <c r="L1468" t="inlineStr">
        <is>
          <t>3.000000000000</t>
        </is>
      </c>
      <c r="M1468" t="inlineStr">
        <is>
          <t>Y</t>
        </is>
      </c>
    </row>
    <row r="1469">
      <c r="A1469" t="inlineStr">
        <is>
          <t>06/25/2026</t>
        </is>
      </c>
      <c r="B1469" t="inlineStr">
        <is>
          <t>MGKX</t>
        </is>
      </c>
      <c r="C1469" s="1" t="inlineStr">
        <is>
          <t>Cash&amp;Other</t>
        </is>
      </c>
      <c r="D1469" s="1" t="inlineStr">
        <is>
          <t>Cash&amp;Other</t>
        </is>
      </c>
      <c r="E1469" t="inlineStr">
        <is>
          <t>Cash &amp; Other</t>
        </is>
      </c>
      <c r="F1469" t="inlineStr">
        <is>
          <t>-545345.14000000</t>
        </is>
      </c>
      <c r="G1469" t="inlineStr">
        <is>
          <t>1.000000</t>
        </is>
      </c>
      <c r="H1469" t="inlineStr">
        <is>
          <t>-545345.14</t>
        </is>
      </c>
      <c r="I1469" t="inlineStr">
        <is>
          <t>-170.78%</t>
        </is>
      </c>
      <c r="J1469" t="inlineStr">
        <is>
          <t>319318.50</t>
        </is>
      </c>
      <c r="K1469" t="inlineStr">
        <is>
          <t>15000</t>
        </is>
      </c>
      <c r="L1469" t="inlineStr">
        <is>
          <t>3.000000000000</t>
        </is>
      </c>
      <c r="M1469" t="inlineStr">
        <is>
          <t>Y</t>
        </is>
      </c>
    </row>
    <row r="1470">
      <c r="A1470" t="inlineStr">
        <is>
          <t>06/25/2026</t>
        </is>
      </c>
      <c r="B1470" t="inlineStr">
        <is>
          <t>MNSX</t>
        </is>
      </c>
      <c r="C1470" s="1" t="inlineStr">
        <is>
          <t>61174X109-TRS-12/01/27-L-CANT</t>
        </is>
      </c>
      <c r="D1470" s="1" t="inlineStr">
        <is>
          <t>61174X109-TRS-12/01/27-L-CANT</t>
        </is>
      </c>
      <c r="E1470" t="inlineStr">
        <is>
          <t>MONSTER BEVERAGE CORPORATION-SWAP-CANT-L</t>
        </is>
      </c>
      <c r="F1470" t="inlineStr">
        <is>
          <t>5390.00000000</t>
        </is>
      </c>
      <c r="G1470" t="inlineStr">
        <is>
          <t>94.700000</t>
        </is>
      </c>
      <c r="H1470" t="inlineStr">
        <is>
          <t>510433.00</t>
        </is>
      </c>
      <c r="I1470" t="inlineStr">
        <is>
          <t>199.81%</t>
        </is>
      </c>
      <c r="J1470" t="inlineStr">
        <is>
          <t>255465.00</t>
        </is>
      </c>
      <c r="K1470" t="inlineStr">
        <is>
          <t>10000</t>
        </is>
      </c>
      <c r="L1470" t="inlineStr">
        <is>
          <t>2.000000000000</t>
        </is>
      </c>
      <c r="M1470" t="inlineStr"/>
    </row>
    <row r="1471">
      <c r="A1471" t="inlineStr">
        <is>
          <t>06/25/2026</t>
        </is>
      </c>
      <c r="B1471" t="inlineStr">
        <is>
          <t>MNSX</t>
        </is>
      </c>
      <c r="C1471" s="1" t="inlineStr">
        <is>
          <t>FGXXX</t>
        </is>
      </c>
      <c r="D1471" s="1" t="inlineStr">
        <is>
          <t>31846V336</t>
        </is>
      </c>
      <c r="E1471" t="inlineStr">
        <is>
          <t>First American Government Obligations Fund 12/01/2031</t>
        </is>
      </c>
      <c r="F1471" t="inlineStr">
        <is>
          <t>25139.00000000</t>
        </is>
      </c>
      <c r="G1471" t="inlineStr">
        <is>
          <t>100.000000</t>
        </is>
      </c>
      <c r="H1471" t="inlineStr">
        <is>
          <t>25139.00</t>
        </is>
      </c>
      <c r="I1471" t="inlineStr">
        <is>
          <t>9.84%</t>
        </is>
      </c>
      <c r="J1471" t="inlineStr">
        <is>
          <t>255465.00</t>
        </is>
      </c>
      <c r="K1471" t="inlineStr">
        <is>
          <t>10000</t>
        </is>
      </c>
      <c r="L1471" t="inlineStr">
        <is>
          <t>2.000000000000</t>
        </is>
      </c>
      <c r="M1471" t="inlineStr">
        <is>
          <t>Y</t>
        </is>
      </c>
    </row>
    <row r="1472">
      <c r="A1472" t="inlineStr">
        <is>
          <t>06/25/2026</t>
        </is>
      </c>
      <c r="B1472" t="inlineStr">
        <is>
          <t>MNSX</t>
        </is>
      </c>
      <c r="C1472" s="1" t="inlineStr">
        <is>
          <t>Cash&amp;Other</t>
        </is>
      </c>
      <c r="D1472" s="1" t="inlineStr">
        <is>
          <t>Cash&amp;Other</t>
        </is>
      </c>
      <c r="E1472" t="inlineStr">
        <is>
          <t>Cash &amp; Other</t>
        </is>
      </c>
      <c r="F1472" t="inlineStr">
        <is>
          <t>-280186.20000000</t>
        </is>
      </c>
      <c r="G1472" t="inlineStr">
        <is>
          <t>1.000000</t>
        </is>
      </c>
      <c r="H1472" t="inlineStr">
        <is>
          <t>-280186.20</t>
        </is>
      </c>
      <c r="I1472" t="inlineStr">
        <is>
          <t>-109.68%</t>
        </is>
      </c>
      <c r="J1472" t="inlineStr">
        <is>
          <t>255465.00</t>
        </is>
      </c>
      <c r="K1472" t="inlineStr">
        <is>
          <t>10000</t>
        </is>
      </c>
      <c r="L1472" t="inlineStr">
        <is>
          <t>2.000000000000</t>
        </is>
      </c>
      <c r="M1472" t="inlineStr">
        <is>
          <t>Y</t>
        </is>
      </c>
    </row>
    <row r="1473">
      <c r="A1473" t="inlineStr">
        <is>
          <t>06/25/2026</t>
        </is>
      </c>
      <c r="B1473" t="inlineStr">
        <is>
          <t>MSIX</t>
        </is>
      </c>
      <c r="C1473" s="1" t="inlineStr">
        <is>
          <t>620076307-TRS-12/01/27-L-CANT</t>
        </is>
      </c>
      <c r="D1473" s="1" t="inlineStr">
        <is>
          <t>620076307-TRS-12/01/27-L-CANT</t>
        </is>
      </c>
      <c r="E1473" t="inlineStr">
        <is>
          <t>MOTOROLA SOLUTIONS, INC.-SWAP-CANT-L</t>
        </is>
      </c>
      <c r="F1473" t="inlineStr">
        <is>
          <t>1326.00000000</t>
        </is>
      </c>
      <c r="G1473" t="inlineStr">
        <is>
          <t>400.600000</t>
        </is>
      </c>
      <c r="H1473" t="inlineStr">
        <is>
          <t>531195.60</t>
        </is>
      </c>
      <c r="I1473" t="inlineStr">
        <is>
          <t>200.94%</t>
        </is>
      </c>
      <c r="J1473" t="inlineStr">
        <is>
          <t>264349.00</t>
        </is>
      </c>
      <c r="K1473" t="inlineStr">
        <is>
          <t>10000</t>
        </is>
      </c>
      <c r="L1473" t="inlineStr">
        <is>
          <t>2.000000000000</t>
        </is>
      </c>
      <c r="M1473" t="inlineStr"/>
    </row>
    <row r="1474">
      <c r="A1474" t="inlineStr">
        <is>
          <t>06/25/2026</t>
        </is>
      </c>
      <c r="B1474" t="inlineStr">
        <is>
          <t>MSIX</t>
        </is>
      </c>
      <c r="C1474" s="1" t="inlineStr">
        <is>
          <t>FGXXX</t>
        </is>
      </c>
      <c r="D1474" s="1" t="inlineStr">
        <is>
          <t>31846V336</t>
        </is>
      </c>
      <c r="E1474" t="inlineStr">
        <is>
          <t>First American Government Obligations Fund 12/01/2031</t>
        </is>
      </c>
      <c r="F1474" t="inlineStr">
        <is>
          <t>26008.00000000</t>
        </is>
      </c>
      <c r="G1474" t="inlineStr">
        <is>
          <t>100.000000</t>
        </is>
      </c>
      <c r="H1474" t="inlineStr">
        <is>
          <t>26008.00</t>
        </is>
      </c>
      <c r="I1474" t="inlineStr">
        <is>
          <t>9.84%</t>
        </is>
      </c>
      <c r="J1474" t="inlineStr">
        <is>
          <t>264349.00</t>
        </is>
      </c>
      <c r="K1474" t="inlineStr">
        <is>
          <t>10000</t>
        </is>
      </c>
      <c r="L1474" t="inlineStr">
        <is>
          <t>2.000000000000</t>
        </is>
      </c>
      <c r="M1474" t="inlineStr">
        <is>
          <t>Y</t>
        </is>
      </c>
    </row>
    <row r="1475">
      <c r="A1475" t="inlineStr">
        <is>
          <t>06/25/2026</t>
        </is>
      </c>
      <c r="B1475" t="inlineStr">
        <is>
          <t>MSIX</t>
        </is>
      </c>
      <c r="C1475" s="1" t="inlineStr">
        <is>
          <t>Cash&amp;Other</t>
        </is>
      </c>
      <c r="D1475" s="1" t="inlineStr">
        <is>
          <t>Cash&amp;Other</t>
        </is>
      </c>
      <c r="E1475" t="inlineStr">
        <is>
          <t>Cash &amp; Other</t>
        </is>
      </c>
      <c r="F1475" t="inlineStr">
        <is>
          <t>-292933.61000000</t>
        </is>
      </c>
      <c r="G1475" t="inlineStr">
        <is>
          <t>1.000000</t>
        </is>
      </c>
      <c r="H1475" t="inlineStr">
        <is>
          <t>-292933.61</t>
        </is>
      </c>
      <c r="I1475" t="inlineStr">
        <is>
          <t>-110.81%</t>
        </is>
      </c>
      <c r="J1475" t="inlineStr">
        <is>
          <t>264349.00</t>
        </is>
      </c>
      <c r="K1475" t="inlineStr">
        <is>
          <t>10000</t>
        </is>
      </c>
      <c r="L1475" t="inlineStr">
        <is>
          <t>2.000000000000</t>
        </is>
      </c>
      <c r="M1475" t="inlineStr">
        <is>
          <t>Y</t>
        </is>
      </c>
    </row>
    <row r="1476">
      <c r="A1476" t="inlineStr">
        <is>
          <t>06/25/2026</t>
        </is>
      </c>
      <c r="B1476" t="inlineStr">
        <is>
          <t>NYNY</t>
        </is>
      </c>
      <c r="C1476" s="1" t="inlineStr">
        <is>
          <t>AIG</t>
        </is>
      </c>
      <c r="D1476" s="1" t="inlineStr">
        <is>
          <t>026874784</t>
        </is>
      </c>
      <c r="E1476" t="inlineStr">
        <is>
          <t>American International Group Inc</t>
        </is>
      </c>
      <c r="F1476" t="inlineStr">
        <is>
          <t>243.00000000</t>
        </is>
      </c>
      <c r="G1476" t="inlineStr">
        <is>
          <t>76.140000</t>
        </is>
      </c>
      <c r="H1476" t="inlineStr">
        <is>
          <t>18502.02</t>
        </is>
      </c>
      <c r="I1476" t="inlineStr">
        <is>
          <t>1.58%</t>
        </is>
      </c>
      <c r="J1476" t="inlineStr">
        <is>
          <t>1173361.50</t>
        </is>
      </c>
      <c r="K1476" t="inlineStr">
        <is>
          <t>45000</t>
        </is>
      </c>
      <c r="L1476" t="inlineStr">
        <is>
          <t>9.000000000000</t>
        </is>
      </c>
      <c r="M1476" t="inlineStr"/>
    </row>
    <row r="1477">
      <c r="A1477" t="inlineStr">
        <is>
          <t>06/25/2026</t>
        </is>
      </c>
      <c r="B1477" t="inlineStr">
        <is>
          <t>NYNY</t>
        </is>
      </c>
      <c r="C1477" s="1" t="inlineStr">
        <is>
          <t>AIZ</t>
        </is>
      </c>
      <c r="D1477" s="1" t="inlineStr">
        <is>
          <t>04621X108</t>
        </is>
      </c>
      <c r="E1477" t="inlineStr">
        <is>
          <t>Assurant Inc</t>
        </is>
      </c>
      <c r="F1477" t="inlineStr">
        <is>
          <t>36.00000000</t>
        </is>
      </c>
      <c r="G1477" t="inlineStr">
        <is>
          <t>263.820000</t>
        </is>
      </c>
      <c r="H1477" t="inlineStr">
        <is>
          <t>9497.52</t>
        </is>
      </c>
      <c r="I1477" t="inlineStr">
        <is>
          <t>0.81%</t>
        </is>
      </c>
      <c r="J1477" t="inlineStr">
        <is>
          <t>1173361.50</t>
        </is>
      </c>
      <c r="K1477" t="inlineStr">
        <is>
          <t>45000</t>
        </is>
      </c>
      <c r="L1477" t="inlineStr">
        <is>
          <t>9.000000000000</t>
        </is>
      </c>
      <c r="M1477" t="inlineStr"/>
    </row>
    <row r="1478">
      <c r="A1478" t="inlineStr">
        <is>
          <t>06/25/2026</t>
        </is>
      </c>
      <c r="B1478" t="inlineStr">
        <is>
          <t>NYNY</t>
        </is>
      </c>
      <c r="C1478" s="1" t="inlineStr">
        <is>
          <t>APO</t>
        </is>
      </c>
      <c r="D1478" s="1" t="inlineStr">
        <is>
          <t>03769M106</t>
        </is>
      </c>
      <c r="E1478" t="inlineStr">
        <is>
          <t>Apollo Global Management Inc</t>
        </is>
      </c>
      <c r="F1478" t="inlineStr">
        <is>
          <t>162.00000000</t>
        </is>
      </c>
      <c r="G1478" t="inlineStr">
        <is>
          <t>122.600000</t>
        </is>
      </c>
      <c r="H1478" t="inlineStr">
        <is>
          <t>19861.20</t>
        </is>
      </c>
      <c r="I1478" t="inlineStr">
        <is>
          <t>1.69%</t>
        </is>
      </c>
      <c r="J1478" t="inlineStr">
        <is>
          <t>1173361.50</t>
        </is>
      </c>
      <c r="K1478" t="inlineStr">
        <is>
          <t>45000</t>
        </is>
      </c>
      <c r="L1478" t="inlineStr">
        <is>
          <t>9.000000000000</t>
        </is>
      </c>
      <c r="M1478" t="inlineStr"/>
    </row>
    <row r="1479">
      <c r="A1479" t="inlineStr">
        <is>
          <t>06/25/2026</t>
        </is>
      </c>
      <c r="B1479" t="inlineStr">
        <is>
          <t>NYNY</t>
        </is>
      </c>
      <c r="C1479" s="1" t="inlineStr">
        <is>
          <t>AXP</t>
        </is>
      </c>
      <c r="D1479" s="1" t="inlineStr">
        <is>
          <t>025816109</t>
        </is>
      </c>
      <c r="E1479" t="inlineStr">
        <is>
          <t>American Express Co</t>
        </is>
      </c>
      <c r="F1479" t="inlineStr">
        <is>
          <t>126.00000000</t>
        </is>
      </c>
      <c r="G1479" t="inlineStr">
        <is>
          <t>342.560000</t>
        </is>
      </c>
      <c r="H1479" t="inlineStr">
        <is>
          <t>43162.56</t>
        </is>
      </c>
      <c r="I1479" t="inlineStr">
        <is>
          <t>3.68%</t>
        </is>
      </c>
      <c r="J1479" t="inlineStr">
        <is>
          <t>1173361.50</t>
        </is>
      </c>
      <c r="K1479" t="inlineStr">
        <is>
          <t>45000</t>
        </is>
      </c>
      <c r="L1479" t="inlineStr">
        <is>
          <t>9.000000000000</t>
        </is>
      </c>
      <c r="M1479" t="inlineStr"/>
    </row>
    <row r="1480">
      <c r="A1480" t="inlineStr">
        <is>
          <t>06/25/2026</t>
        </is>
      </c>
      <c r="B1480" t="inlineStr">
        <is>
          <t>NYNY</t>
        </is>
      </c>
      <c r="C1480" s="1" t="inlineStr">
        <is>
          <t>AXSM</t>
        </is>
      </c>
      <c r="D1480" s="1" t="inlineStr">
        <is>
          <t>05464T104</t>
        </is>
      </c>
      <c r="E1480" t="inlineStr">
        <is>
          <t>Axsome Therapeutics Inc</t>
        </is>
      </c>
      <c r="F1480" t="inlineStr">
        <is>
          <t>36.00000000</t>
        </is>
      </c>
      <c r="G1480" t="inlineStr">
        <is>
          <t>237.920000</t>
        </is>
      </c>
      <c r="H1480" t="inlineStr">
        <is>
          <t>8565.12</t>
        </is>
      </c>
      <c r="I1480" t="inlineStr">
        <is>
          <t>0.73%</t>
        </is>
      </c>
      <c r="J1480" t="inlineStr">
        <is>
          <t>1173361.50</t>
        </is>
      </c>
      <c r="K1480" t="inlineStr">
        <is>
          <t>45000</t>
        </is>
      </c>
      <c r="L1480" t="inlineStr">
        <is>
          <t>9.000000000000</t>
        </is>
      </c>
      <c r="M1480" t="inlineStr"/>
    </row>
    <row r="1481">
      <c r="A1481" t="inlineStr">
        <is>
          <t>06/25/2026</t>
        </is>
      </c>
      <c r="B1481" t="inlineStr">
        <is>
          <t>NYNY</t>
        </is>
      </c>
      <c r="C1481" s="1" t="inlineStr">
        <is>
          <t>BGC</t>
        </is>
      </c>
      <c r="D1481" s="1" t="inlineStr">
        <is>
          <t>088929104</t>
        </is>
      </c>
      <c r="E1481" t="inlineStr">
        <is>
          <t>BGC Group Inc</t>
        </is>
      </c>
      <c r="F1481" t="inlineStr">
        <is>
          <t>405.00000000</t>
        </is>
      </c>
      <c r="G1481" t="inlineStr">
        <is>
          <t>12.650000</t>
        </is>
      </c>
      <c r="H1481" t="inlineStr">
        <is>
          <t>5123.25</t>
        </is>
      </c>
      <c r="I1481" t="inlineStr">
        <is>
          <t>0.44%</t>
        </is>
      </c>
      <c r="J1481" t="inlineStr">
        <is>
          <t>1173361.50</t>
        </is>
      </c>
      <c r="K1481" t="inlineStr">
        <is>
          <t>45000</t>
        </is>
      </c>
      <c r="L1481" t="inlineStr">
        <is>
          <t>9.000000000000</t>
        </is>
      </c>
      <c r="M1481" t="inlineStr"/>
    </row>
    <row r="1482">
      <c r="A1482" t="inlineStr">
        <is>
          <t>06/25/2026</t>
        </is>
      </c>
      <c r="B1482" t="inlineStr">
        <is>
          <t>NYNY</t>
        </is>
      </c>
      <c r="C1482" s="1" t="inlineStr">
        <is>
          <t>BLK</t>
        </is>
      </c>
      <c r="D1482" s="1" t="inlineStr">
        <is>
          <t>09290D101</t>
        </is>
      </c>
      <c r="E1482" t="inlineStr">
        <is>
          <t>Blackrock Inc</t>
        </is>
      </c>
      <c r="F1482" t="inlineStr">
        <is>
          <t>36.00000000</t>
        </is>
      </c>
      <c r="G1482" t="inlineStr">
        <is>
          <t>982.600000</t>
        </is>
      </c>
      <c r="H1482" t="inlineStr">
        <is>
          <t>35373.60</t>
        </is>
      </c>
      <c r="I1482" t="inlineStr">
        <is>
          <t>3.01%</t>
        </is>
      </c>
      <c r="J1482" t="inlineStr">
        <is>
          <t>1173361.50</t>
        </is>
      </c>
      <c r="K1482" t="inlineStr">
        <is>
          <t>45000</t>
        </is>
      </c>
      <c r="L1482" t="inlineStr">
        <is>
          <t>9.000000000000</t>
        </is>
      </c>
      <c r="M1482" t="inlineStr"/>
    </row>
    <row r="1483">
      <c r="A1483" t="inlineStr">
        <is>
          <t>06/25/2026</t>
        </is>
      </c>
      <c r="B1483" t="inlineStr">
        <is>
          <t>NYNY</t>
        </is>
      </c>
      <c r="C1483" s="1" t="inlineStr">
        <is>
          <t>BMY</t>
        </is>
      </c>
      <c r="D1483" s="1" t="inlineStr">
        <is>
          <t>110122108</t>
        </is>
      </c>
      <c r="E1483" t="inlineStr">
        <is>
          <t>Bristol-Myers Squibb Co</t>
        </is>
      </c>
      <c r="F1483" t="inlineStr">
        <is>
          <t>612.00000000</t>
        </is>
      </c>
      <c r="G1483" t="inlineStr">
        <is>
          <t>55.000000</t>
        </is>
      </c>
      <c r="H1483" t="inlineStr">
        <is>
          <t>33660.00</t>
        </is>
      </c>
      <c r="I1483" t="inlineStr">
        <is>
          <t>2.87%</t>
        </is>
      </c>
      <c r="J1483" t="inlineStr">
        <is>
          <t>1173361.50</t>
        </is>
      </c>
      <c r="K1483" t="inlineStr">
        <is>
          <t>45000</t>
        </is>
      </c>
      <c r="L1483" t="inlineStr">
        <is>
          <t>9.000000000000</t>
        </is>
      </c>
      <c r="M1483" t="inlineStr"/>
    </row>
    <row r="1484">
      <c r="A1484" t="inlineStr">
        <is>
          <t>06/25/2026</t>
        </is>
      </c>
      <c r="B1484" t="inlineStr">
        <is>
          <t>NYNY</t>
        </is>
      </c>
      <c r="C1484" s="1" t="inlineStr">
        <is>
          <t>BNY</t>
        </is>
      </c>
      <c r="D1484" s="1" t="inlineStr">
        <is>
          <t>064058100</t>
        </is>
      </c>
      <c r="E1484" t="inlineStr">
        <is>
          <t>Bank of New York Mellon Corp/The</t>
        </is>
      </c>
      <c r="F1484" t="inlineStr">
        <is>
          <t>207.00000000</t>
        </is>
      </c>
      <c r="G1484" t="inlineStr">
        <is>
          <t>143.560000</t>
        </is>
      </c>
      <c r="H1484" t="inlineStr">
        <is>
          <t>29716.92</t>
        </is>
      </c>
      <c r="I1484" t="inlineStr">
        <is>
          <t>2.53%</t>
        </is>
      </c>
      <c r="J1484" t="inlineStr">
        <is>
          <t>1173361.50</t>
        </is>
      </c>
      <c r="K1484" t="inlineStr">
        <is>
          <t>45000</t>
        </is>
      </c>
      <c r="L1484" t="inlineStr">
        <is>
          <t>9.000000000000</t>
        </is>
      </c>
      <c r="M1484" t="inlineStr"/>
    </row>
    <row r="1485">
      <c r="A1485" t="inlineStr">
        <is>
          <t>06/25/2026</t>
        </is>
      </c>
      <c r="B1485" t="inlineStr">
        <is>
          <t>NYNY</t>
        </is>
      </c>
      <c r="C1485" s="1" t="inlineStr">
        <is>
          <t>BRX</t>
        </is>
      </c>
      <c r="D1485" s="1" t="inlineStr">
        <is>
          <t>11120U105</t>
        </is>
      </c>
      <c r="E1485" t="inlineStr">
        <is>
          <t>Brixmor Property Group Inc</t>
        </is>
      </c>
      <c r="F1485" t="inlineStr">
        <is>
          <t>252.00000000</t>
        </is>
      </c>
      <c r="G1485" t="inlineStr">
        <is>
          <t>31.950000</t>
        </is>
      </c>
      <c r="H1485" t="inlineStr">
        <is>
          <t>8051.40</t>
        </is>
      </c>
      <c r="I1485" t="inlineStr">
        <is>
          <t>0.69%</t>
        </is>
      </c>
      <c r="J1485" t="inlineStr">
        <is>
          <t>1173361.50</t>
        </is>
      </c>
      <c r="K1485" t="inlineStr">
        <is>
          <t>45000</t>
        </is>
      </c>
      <c r="L1485" t="inlineStr">
        <is>
          <t>9.000000000000</t>
        </is>
      </c>
      <c r="M1485" t="inlineStr"/>
    </row>
    <row r="1486">
      <c r="A1486" t="inlineStr">
        <is>
          <t>06/25/2026</t>
        </is>
      </c>
      <c r="B1486" t="inlineStr">
        <is>
          <t>NYNY</t>
        </is>
      </c>
      <c r="C1486" s="1" t="inlineStr">
        <is>
          <t>BX</t>
        </is>
      </c>
      <c r="D1486" s="1" t="inlineStr">
        <is>
          <t>09260D107</t>
        </is>
      </c>
      <c r="E1486" t="inlineStr">
        <is>
          <t>Blackstone Inc</t>
        </is>
      </c>
      <c r="F1486" t="inlineStr">
        <is>
          <t>225.00000000</t>
        </is>
      </c>
      <c r="G1486" t="inlineStr">
        <is>
          <t>112.990000</t>
        </is>
      </c>
      <c r="H1486" t="inlineStr">
        <is>
          <t>25422.75</t>
        </is>
      </c>
      <c r="I1486" t="inlineStr">
        <is>
          <t>2.17%</t>
        </is>
      </c>
      <c r="J1486" t="inlineStr">
        <is>
          <t>1173361.50</t>
        </is>
      </c>
      <c r="K1486" t="inlineStr">
        <is>
          <t>45000</t>
        </is>
      </c>
      <c r="L1486" t="inlineStr">
        <is>
          <t>9.000000000000</t>
        </is>
      </c>
      <c r="M1486" t="inlineStr"/>
    </row>
    <row r="1487">
      <c r="A1487" t="inlineStr">
        <is>
          <t>06/25/2026</t>
        </is>
      </c>
      <c r="B1487" t="inlineStr">
        <is>
          <t>NYNY</t>
        </is>
      </c>
      <c r="C1487" s="1" t="inlineStr">
        <is>
          <t>C</t>
        </is>
      </c>
      <c r="D1487" s="1" t="inlineStr">
        <is>
          <t>172967424</t>
        </is>
      </c>
      <c r="E1487" t="inlineStr">
        <is>
          <t>Citigroup Inc</t>
        </is>
      </c>
      <c r="F1487" t="inlineStr">
        <is>
          <t>360.00000000</t>
        </is>
      </c>
      <c r="G1487" t="inlineStr">
        <is>
          <t>143.590000</t>
        </is>
      </c>
      <c r="H1487" t="inlineStr">
        <is>
          <t>51692.40</t>
        </is>
      </c>
      <c r="I1487" t="inlineStr">
        <is>
          <t>4.41%</t>
        </is>
      </c>
      <c r="J1487" t="inlineStr">
        <is>
          <t>1173361.50</t>
        </is>
      </c>
      <c r="K1487" t="inlineStr">
        <is>
          <t>45000</t>
        </is>
      </c>
      <c r="L1487" t="inlineStr">
        <is>
          <t>9.000000000000</t>
        </is>
      </c>
      <c r="M1487" t="inlineStr"/>
    </row>
    <row r="1488">
      <c r="A1488" t="inlineStr">
        <is>
          <t>06/25/2026</t>
        </is>
      </c>
      <c r="B1488" t="inlineStr">
        <is>
          <t>NYNY</t>
        </is>
      </c>
      <c r="C1488" s="1" t="inlineStr">
        <is>
          <t>CL</t>
        </is>
      </c>
      <c r="D1488" s="1" t="inlineStr">
        <is>
          <t>194162103</t>
        </is>
      </c>
      <c r="E1488" t="inlineStr">
        <is>
          <t>Colgate-Palmolive Co</t>
        </is>
      </c>
      <c r="F1488" t="inlineStr">
        <is>
          <t>306.00000000</t>
        </is>
      </c>
      <c r="G1488" t="inlineStr">
        <is>
          <t>91.880000</t>
        </is>
      </c>
      <c r="H1488" t="inlineStr">
        <is>
          <t>28115.28</t>
        </is>
      </c>
      <c r="I1488" t="inlineStr">
        <is>
          <t>2.40%</t>
        </is>
      </c>
      <c r="J1488" t="inlineStr">
        <is>
          <t>1173361.50</t>
        </is>
      </c>
      <c r="K1488" t="inlineStr">
        <is>
          <t>45000</t>
        </is>
      </c>
      <c r="L1488" t="inlineStr">
        <is>
          <t>9.000000000000</t>
        </is>
      </c>
      <c r="M1488" t="inlineStr"/>
    </row>
    <row r="1489">
      <c r="A1489" t="inlineStr">
        <is>
          <t>06/25/2026</t>
        </is>
      </c>
      <c r="B1489" t="inlineStr">
        <is>
          <t>NYNY</t>
        </is>
      </c>
      <c r="C1489" s="1" t="inlineStr">
        <is>
          <t>COMP</t>
        </is>
      </c>
      <c r="D1489" s="1" t="inlineStr">
        <is>
          <t>20464U100</t>
        </is>
      </c>
      <c r="E1489" t="inlineStr">
        <is>
          <t>Compass Inc</t>
        </is>
      </c>
      <c r="F1489" t="inlineStr">
        <is>
          <t>756.00000000</t>
        </is>
      </c>
      <c r="G1489" t="inlineStr">
        <is>
          <t>10.650000</t>
        </is>
      </c>
      <c r="H1489" t="inlineStr">
        <is>
          <t>8051.40</t>
        </is>
      </c>
      <c r="I1489" t="inlineStr">
        <is>
          <t>0.69%</t>
        </is>
      </c>
      <c r="J1489" t="inlineStr">
        <is>
          <t>1173361.50</t>
        </is>
      </c>
      <c r="K1489" t="inlineStr">
        <is>
          <t>45000</t>
        </is>
      </c>
      <c r="L1489" t="inlineStr">
        <is>
          <t>9.000000000000</t>
        </is>
      </c>
      <c r="M1489" t="inlineStr"/>
    </row>
    <row r="1490">
      <c r="A1490" t="inlineStr">
        <is>
          <t>06/25/2026</t>
        </is>
      </c>
      <c r="B1490" t="inlineStr">
        <is>
          <t>NYNY</t>
        </is>
      </c>
      <c r="C1490" s="1" t="inlineStr">
        <is>
          <t>DDOG</t>
        </is>
      </c>
      <c r="D1490" s="1" t="inlineStr">
        <is>
          <t>23804L103</t>
        </is>
      </c>
      <c r="E1490" t="inlineStr">
        <is>
          <t>Datadog Inc</t>
        </is>
      </c>
      <c r="F1490" t="inlineStr">
        <is>
          <t>144.00000000</t>
        </is>
      </c>
      <c r="G1490" t="inlineStr">
        <is>
          <t>222.650000</t>
        </is>
      </c>
      <c r="H1490" t="inlineStr">
        <is>
          <t>32061.60</t>
        </is>
      </c>
      <c r="I1490" t="inlineStr">
        <is>
          <t>2.73%</t>
        </is>
      </c>
      <c r="J1490" t="inlineStr">
        <is>
          <t>1173361.50</t>
        </is>
      </c>
      <c r="K1490" t="inlineStr">
        <is>
          <t>45000</t>
        </is>
      </c>
      <c r="L1490" t="inlineStr">
        <is>
          <t>9.000000000000</t>
        </is>
      </c>
      <c r="M1490" t="inlineStr"/>
    </row>
    <row r="1491">
      <c r="A1491" t="inlineStr">
        <is>
          <t>06/25/2026</t>
        </is>
      </c>
      <c r="B1491" t="inlineStr">
        <is>
          <t>NYNY</t>
        </is>
      </c>
      <c r="C1491" s="1" t="inlineStr">
        <is>
          <t>DOCN</t>
        </is>
      </c>
      <c r="D1491" s="1" t="inlineStr">
        <is>
          <t>25402D102</t>
        </is>
      </c>
      <c r="E1491" t="inlineStr">
        <is>
          <t>DigitalOcean Holdings Inc</t>
        </is>
      </c>
      <c r="F1491" t="inlineStr">
        <is>
          <t>72.00000000</t>
        </is>
      </c>
      <c r="G1491" t="inlineStr">
        <is>
          <t>148.590000</t>
        </is>
      </c>
      <c r="H1491" t="inlineStr">
        <is>
          <t>10698.48</t>
        </is>
      </c>
      <c r="I1491" t="inlineStr">
        <is>
          <t>0.91%</t>
        </is>
      </c>
      <c r="J1491" t="inlineStr">
        <is>
          <t>1173361.50</t>
        </is>
      </c>
      <c r="K1491" t="inlineStr">
        <is>
          <t>45000</t>
        </is>
      </c>
      <c r="L1491" t="inlineStr">
        <is>
          <t>9.000000000000</t>
        </is>
      </c>
      <c r="M1491" t="inlineStr"/>
    </row>
    <row r="1492">
      <c r="A1492" t="inlineStr">
        <is>
          <t>06/25/2026</t>
        </is>
      </c>
      <c r="B1492" t="inlineStr">
        <is>
          <t>NYNY</t>
        </is>
      </c>
      <c r="C1492" s="1" t="inlineStr">
        <is>
          <t>ED</t>
        </is>
      </c>
      <c r="D1492" s="1" t="inlineStr">
        <is>
          <t>209115104</t>
        </is>
      </c>
      <c r="E1492" t="inlineStr">
        <is>
          <t>Consolidated Edison Inc</t>
        </is>
      </c>
      <c r="F1492" t="inlineStr">
        <is>
          <t>180.00000000</t>
        </is>
      </c>
      <c r="G1492" t="inlineStr">
        <is>
          <t>110.720000</t>
        </is>
      </c>
      <c r="H1492" t="inlineStr">
        <is>
          <t>19929.60</t>
        </is>
      </c>
      <c r="I1492" t="inlineStr">
        <is>
          <t>1.70%</t>
        </is>
      </c>
      <c r="J1492" t="inlineStr">
        <is>
          <t>1173361.50</t>
        </is>
      </c>
      <c r="K1492" t="inlineStr">
        <is>
          <t>45000</t>
        </is>
      </c>
      <c r="L1492" t="inlineStr">
        <is>
          <t>9.000000000000</t>
        </is>
      </c>
      <c r="M1492" t="inlineStr"/>
    </row>
    <row r="1493">
      <c r="A1493" t="inlineStr">
        <is>
          <t>06/25/2026</t>
        </is>
      </c>
      <c r="B1493" t="inlineStr">
        <is>
          <t>NYNY</t>
        </is>
      </c>
      <c r="C1493" s="1" t="inlineStr">
        <is>
          <t>EL</t>
        </is>
      </c>
      <c r="D1493" s="1" t="inlineStr">
        <is>
          <t>518439104</t>
        </is>
      </c>
      <c r="E1493" t="inlineStr">
        <is>
          <t>Estee Lauder Cos Inc/The</t>
        </is>
      </c>
      <c r="F1493" t="inlineStr">
        <is>
          <t>153.00000000</t>
        </is>
      </c>
      <c r="G1493" t="inlineStr">
        <is>
          <t>83.270000</t>
        </is>
      </c>
      <c r="H1493" t="inlineStr">
        <is>
          <t>12740.31</t>
        </is>
      </c>
      <c r="I1493" t="inlineStr">
        <is>
          <t>1.09%</t>
        </is>
      </c>
      <c r="J1493" t="inlineStr">
        <is>
          <t>1173361.50</t>
        </is>
      </c>
      <c r="K1493" t="inlineStr">
        <is>
          <t>45000</t>
        </is>
      </c>
      <c r="L1493" t="inlineStr">
        <is>
          <t>9.000000000000</t>
        </is>
      </c>
      <c r="M1493" t="inlineStr"/>
    </row>
    <row r="1494">
      <c r="A1494" t="inlineStr">
        <is>
          <t>06/25/2026</t>
        </is>
      </c>
      <c r="B1494" t="inlineStr">
        <is>
          <t>NYNY</t>
        </is>
      </c>
      <c r="C1494" s="1" t="inlineStr">
        <is>
          <t>ETSY</t>
        </is>
      </c>
      <c r="D1494" s="1" t="inlineStr">
        <is>
          <t>29786A106</t>
        </is>
      </c>
      <c r="E1494" t="inlineStr">
        <is>
          <t>Etsy Inc</t>
        </is>
      </c>
      <c r="F1494" t="inlineStr">
        <is>
          <t>81.00000000</t>
        </is>
      </c>
      <c r="G1494" t="inlineStr">
        <is>
          <t>78.020000</t>
        </is>
      </c>
      <c r="H1494" t="inlineStr">
        <is>
          <t>6319.62</t>
        </is>
      </c>
      <c r="I1494" t="inlineStr">
        <is>
          <t>0.54%</t>
        </is>
      </c>
      <c r="J1494" t="inlineStr">
        <is>
          <t>1173361.50</t>
        </is>
      </c>
      <c r="K1494" t="inlineStr">
        <is>
          <t>45000</t>
        </is>
      </c>
      <c r="L1494" t="inlineStr">
        <is>
          <t>9.000000000000</t>
        </is>
      </c>
      <c r="M1494" t="inlineStr"/>
    </row>
    <row r="1495">
      <c r="A1495" t="inlineStr">
        <is>
          <t>06/25/2026</t>
        </is>
      </c>
      <c r="B1495" t="inlineStr">
        <is>
          <t>NYNY</t>
        </is>
      </c>
      <c r="C1495" s="1" t="inlineStr">
        <is>
          <t>EVR</t>
        </is>
      </c>
      <c r="D1495" s="1" t="inlineStr">
        <is>
          <t>29977A105</t>
        </is>
      </c>
      <c r="E1495" t="inlineStr">
        <is>
          <t>Evercore Inc</t>
        </is>
      </c>
      <c r="F1495" t="inlineStr">
        <is>
          <t>27.00000000</t>
        </is>
      </c>
      <c r="G1495" t="inlineStr">
        <is>
          <t>353.190000</t>
        </is>
      </c>
      <c r="H1495" t="inlineStr">
        <is>
          <t>9536.13</t>
        </is>
      </c>
      <c r="I1495" t="inlineStr">
        <is>
          <t>0.81%</t>
        </is>
      </c>
      <c r="J1495" t="inlineStr">
        <is>
          <t>1173361.50</t>
        </is>
      </c>
      <c r="K1495" t="inlineStr">
        <is>
          <t>45000</t>
        </is>
      </c>
      <c r="L1495" t="inlineStr">
        <is>
          <t>9.000000000000</t>
        </is>
      </c>
      <c r="M1495" t="inlineStr"/>
    </row>
    <row r="1496">
      <c r="A1496" t="inlineStr">
        <is>
          <t>06/25/2026</t>
        </is>
      </c>
      <c r="B1496" t="inlineStr">
        <is>
          <t>NYNY</t>
        </is>
      </c>
      <c r="C1496" s="1" t="inlineStr">
        <is>
          <t>FGXXX</t>
        </is>
      </c>
      <c r="D1496" s="1" t="inlineStr">
        <is>
          <t>31846V336</t>
        </is>
      </c>
      <c r="E1496" t="inlineStr">
        <is>
          <t>First American Government Obligations Fund 12/01/2031</t>
        </is>
      </c>
      <c r="F1496" t="inlineStr">
        <is>
          <t>42386.47000000</t>
        </is>
      </c>
      <c r="G1496" t="inlineStr">
        <is>
          <t>100.000000</t>
        </is>
      </c>
      <c r="H1496" t="inlineStr">
        <is>
          <t>42386.47</t>
        </is>
      </c>
      <c r="I1496" t="inlineStr">
        <is>
          <t>3.61%</t>
        </is>
      </c>
      <c r="J1496" t="inlineStr">
        <is>
          <t>1173361.50</t>
        </is>
      </c>
      <c r="K1496" t="inlineStr">
        <is>
          <t>45000</t>
        </is>
      </c>
      <c r="L1496" t="inlineStr">
        <is>
          <t>9.000000000000</t>
        </is>
      </c>
      <c r="M1496" t="inlineStr">
        <is>
          <t>Y</t>
        </is>
      </c>
    </row>
    <row r="1497">
      <c r="A1497" t="inlineStr">
        <is>
          <t>06/25/2026</t>
        </is>
      </c>
      <c r="B1497" t="inlineStr">
        <is>
          <t>NYNY</t>
        </is>
      </c>
      <c r="C1497" s="1" t="inlineStr">
        <is>
          <t>FOXA</t>
        </is>
      </c>
      <c r="D1497" s="1" t="inlineStr">
        <is>
          <t>35137L105</t>
        </is>
      </c>
      <c r="E1497" t="inlineStr">
        <is>
          <t>Fox Corp</t>
        </is>
      </c>
      <c r="F1497" t="inlineStr">
        <is>
          <t>135.00000000</t>
        </is>
      </c>
      <c r="G1497" t="inlineStr">
        <is>
          <t>49.800000</t>
        </is>
      </c>
      <c r="H1497" t="inlineStr">
        <is>
          <t>6723.00</t>
        </is>
      </c>
      <c r="I1497" t="inlineStr">
        <is>
          <t>0.57%</t>
        </is>
      </c>
      <c r="J1497" t="inlineStr">
        <is>
          <t>1173361.50</t>
        </is>
      </c>
      <c r="K1497" t="inlineStr">
        <is>
          <t>45000</t>
        </is>
      </c>
      <c r="L1497" t="inlineStr">
        <is>
          <t>9.000000000000</t>
        </is>
      </c>
      <c r="M1497" t="inlineStr"/>
    </row>
    <row r="1498">
      <c r="A1498" t="inlineStr">
        <is>
          <t>06/25/2026</t>
        </is>
      </c>
      <c r="B1498" t="inlineStr">
        <is>
          <t>NYNY</t>
        </is>
      </c>
      <c r="C1498" s="1" t="inlineStr">
        <is>
          <t>GS</t>
        </is>
      </c>
      <c r="D1498" s="1" t="inlineStr">
        <is>
          <t>38141G104</t>
        </is>
      </c>
      <c r="E1498" t="inlineStr">
        <is>
          <t>Goldman Sachs Group Inc/The</t>
        </is>
      </c>
      <c r="F1498" t="inlineStr">
        <is>
          <t>54.00000000</t>
        </is>
      </c>
      <c r="G1498" t="inlineStr">
        <is>
          <t>1076.910000</t>
        </is>
      </c>
      <c r="H1498" t="inlineStr">
        <is>
          <t>58153.14</t>
        </is>
      </c>
      <c r="I1498" t="inlineStr">
        <is>
          <t>4.96%</t>
        </is>
      </c>
      <c r="J1498" t="inlineStr">
        <is>
          <t>1173361.50</t>
        </is>
      </c>
      <c r="K1498" t="inlineStr">
        <is>
          <t>45000</t>
        </is>
      </c>
      <c r="L1498" t="inlineStr">
        <is>
          <t>9.000000000000</t>
        </is>
      </c>
      <c r="M1498" t="inlineStr"/>
    </row>
    <row r="1499">
      <c r="A1499" t="inlineStr">
        <is>
          <t>06/25/2026</t>
        </is>
      </c>
      <c r="B1499" t="inlineStr">
        <is>
          <t>NYNY</t>
        </is>
      </c>
      <c r="C1499" s="1" t="inlineStr">
        <is>
          <t>JEF</t>
        </is>
      </c>
      <c r="D1499" s="1" t="inlineStr">
        <is>
          <t>47233W109</t>
        </is>
      </c>
      <c r="E1499" t="inlineStr">
        <is>
          <t>Jefferies Financial Group Inc</t>
        </is>
      </c>
      <c r="F1499" t="inlineStr">
        <is>
          <t>135.00000000</t>
        </is>
      </c>
      <c r="G1499" t="inlineStr">
        <is>
          <t>57.940000</t>
        </is>
      </c>
      <c r="H1499" t="inlineStr">
        <is>
          <t>7821.90</t>
        </is>
      </c>
      <c r="I1499" t="inlineStr">
        <is>
          <t>0.67%</t>
        </is>
      </c>
      <c r="J1499" t="inlineStr">
        <is>
          <t>1173361.50</t>
        </is>
      </c>
      <c r="K1499" t="inlineStr">
        <is>
          <t>45000</t>
        </is>
      </c>
      <c r="L1499" t="inlineStr">
        <is>
          <t>9.000000000000</t>
        </is>
      </c>
      <c r="M1499" t="inlineStr"/>
    </row>
    <row r="1500">
      <c r="A1500" t="inlineStr">
        <is>
          <t>06/25/2026</t>
        </is>
      </c>
      <c r="B1500" t="inlineStr">
        <is>
          <t>NYNY</t>
        </is>
      </c>
      <c r="C1500" s="1" t="inlineStr">
        <is>
          <t>JPM</t>
        </is>
      </c>
      <c r="D1500" s="1" t="inlineStr">
        <is>
          <t>46625H100</t>
        </is>
      </c>
      <c r="E1500" t="inlineStr">
        <is>
          <t>JPMORGAN CHASE &amp; CO.</t>
        </is>
      </c>
      <c r="F1500" t="inlineStr">
        <is>
          <t>342.00000000</t>
        </is>
      </c>
      <c r="G1500" t="inlineStr">
        <is>
          <t>333.450000</t>
        </is>
      </c>
      <c r="H1500" t="inlineStr">
        <is>
          <t>114039.90</t>
        </is>
      </c>
      <c r="I1500" t="inlineStr">
        <is>
          <t>9.72%</t>
        </is>
      </c>
      <c r="J1500" t="inlineStr">
        <is>
          <t>1173361.50</t>
        </is>
      </c>
      <c r="K1500" t="inlineStr">
        <is>
          <t>45000</t>
        </is>
      </c>
      <c r="L1500" t="inlineStr">
        <is>
          <t>9.000000000000</t>
        </is>
      </c>
      <c r="M1500" t="inlineStr"/>
    </row>
    <row r="1501">
      <c r="A1501" t="inlineStr">
        <is>
          <t>06/25/2026</t>
        </is>
      </c>
      <c r="B1501" t="inlineStr">
        <is>
          <t>NYNY</t>
        </is>
      </c>
      <c r="C1501" s="1" t="inlineStr">
        <is>
          <t>KKR</t>
        </is>
      </c>
      <c r="D1501" s="1" t="inlineStr">
        <is>
          <t>48251W104</t>
        </is>
      </c>
      <c r="E1501" t="inlineStr">
        <is>
          <t>KKR &amp; Co Inc</t>
        </is>
      </c>
      <c r="F1501" t="inlineStr">
        <is>
          <t>234.00000000</t>
        </is>
      </c>
      <c r="G1501" t="inlineStr">
        <is>
          <t>91.510000</t>
        </is>
      </c>
      <c r="H1501" t="inlineStr">
        <is>
          <t>21413.34</t>
        </is>
      </c>
      <c r="I1501" t="inlineStr">
        <is>
          <t>1.82%</t>
        </is>
      </c>
      <c r="J1501" t="inlineStr">
        <is>
          <t>1173361.50</t>
        </is>
      </c>
      <c r="K1501" t="inlineStr">
        <is>
          <t>45000</t>
        </is>
      </c>
      <c r="L1501" t="inlineStr">
        <is>
          <t>9.000000000000</t>
        </is>
      </c>
      <c r="M1501" t="inlineStr"/>
    </row>
    <row r="1502">
      <c r="A1502" t="inlineStr">
        <is>
          <t>06/25/2026</t>
        </is>
      </c>
      <c r="B1502" t="inlineStr">
        <is>
          <t>NYNY</t>
        </is>
      </c>
      <c r="C1502" s="1" t="inlineStr">
        <is>
          <t>L</t>
        </is>
      </c>
      <c r="D1502" s="1" t="inlineStr">
        <is>
          <t>540424108</t>
        </is>
      </c>
      <c r="E1502" t="inlineStr">
        <is>
          <t>Loews Corp</t>
        </is>
      </c>
      <c r="F1502" t="inlineStr">
        <is>
          <t>108.00000000</t>
        </is>
      </c>
      <c r="G1502" t="inlineStr">
        <is>
          <t>111.920000</t>
        </is>
      </c>
      <c r="H1502" t="inlineStr">
        <is>
          <t>12087.36</t>
        </is>
      </c>
      <c r="I1502" t="inlineStr">
        <is>
          <t>1.03%</t>
        </is>
      </c>
      <c r="J1502" t="inlineStr">
        <is>
          <t>1173361.50</t>
        </is>
      </c>
      <c r="K1502" t="inlineStr">
        <is>
          <t>45000</t>
        </is>
      </c>
      <c r="L1502" t="inlineStr">
        <is>
          <t>9.000000000000</t>
        </is>
      </c>
      <c r="M1502" t="inlineStr"/>
    </row>
    <row r="1503">
      <c r="A1503" t="inlineStr">
        <is>
          <t>06/25/2026</t>
        </is>
      </c>
      <c r="B1503" t="inlineStr">
        <is>
          <t>NYNY</t>
        </is>
      </c>
      <c r="C1503" s="1" t="inlineStr">
        <is>
          <t>LAZ</t>
        </is>
      </c>
      <c r="D1503" s="1" t="inlineStr">
        <is>
          <t>52110M109</t>
        </is>
      </c>
      <c r="E1503" t="inlineStr">
        <is>
          <t>Lazard Inc</t>
        </is>
      </c>
      <c r="F1503" t="inlineStr">
        <is>
          <t>108.00000000</t>
        </is>
      </c>
      <c r="G1503" t="inlineStr">
        <is>
          <t>40.490000</t>
        </is>
      </c>
      <c r="H1503" t="inlineStr">
        <is>
          <t>4372.92</t>
        </is>
      </c>
      <c r="I1503" t="inlineStr">
        <is>
          <t>0.37%</t>
        </is>
      </c>
      <c r="J1503" t="inlineStr">
        <is>
          <t>1173361.50</t>
        </is>
      </c>
      <c r="K1503" t="inlineStr">
        <is>
          <t>45000</t>
        </is>
      </c>
      <c r="L1503" t="inlineStr">
        <is>
          <t>9.000000000000</t>
        </is>
      </c>
      <c r="M1503" t="inlineStr"/>
    </row>
    <row r="1504">
      <c r="A1504" t="inlineStr">
        <is>
          <t>06/25/2026</t>
        </is>
      </c>
      <c r="B1504" t="inlineStr">
        <is>
          <t>NYNY</t>
        </is>
      </c>
      <c r="C1504" s="1" t="inlineStr">
        <is>
          <t>MC</t>
        </is>
      </c>
      <c r="D1504" s="1" t="inlineStr">
        <is>
          <t>60786M105</t>
        </is>
      </c>
      <c r="E1504" t="inlineStr">
        <is>
          <t>Moelis &amp; Co</t>
        </is>
      </c>
      <c r="F1504" t="inlineStr">
        <is>
          <t>72.00000000</t>
        </is>
      </c>
      <c r="G1504" t="inlineStr">
        <is>
          <t>65.150000</t>
        </is>
      </c>
      <c r="H1504" t="inlineStr">
        <is>
          <t>4690.80</t>
        </is>
      </c>
      <c r="I1504" t="inlineStr">
        <is>
          <t>0.40%</t>
        </is>
      </c>
      <c r="J1504" t="inlineStr">
        <is>
          <t>1173361.50</t>
        </is>
      </c>
      <c r="K1504" t="inlineStr">
        <is>
          <t>45000</t>
        </is>
      </c>
      <c r="L1504" t="inlineStr">
        <is>
          <t>9.000000000000</t>
        </is>
      </c>
      <c r="M1504" t="inlineStr"/>
    </row>
    <row r="1505">
      <c r="A1505" t="inlineStr">
        <is>
          <t>06/25/2026</t>
        </is>
      </c>
      <c r="B1505" t="inlineStr">
        <is>
          <t>NYNY</t>
        </is>
      </c>
      <c r="C1505" s="1" t="inlineStr">
        <is>
          <t>MCO</t>
        </is>
      </c>
      <c r="D1505" s="1" t="inlineStr">
        <is>
          <t>615369105</t>
        </is>
      </c>
      <c r="E1505" t="inlineStr">
        <is>
          <t>Moody's Corp</t>
        </is>
      </c>
      <c r="F1505" t="inlineStr">
        <is>
          <t>54.00000000</t>
        </is>
      </c>
      <c r="G1505" t="inlineStr">
        <is>
          <t>449.790000</t>
        </is>
      </c>
      <c r="H1505" t="inlineStr">
        <is>
          <t>24288.66</t>
        </is>
      </c>
      <c r="I1505" t="inlineStr">
        <is>
          <t>2.07%</t>
        </is>
      </c>
      <c r="J1505" t="inlineStr">
        <is>
          <t>1173361.50</t>
        </is>
      </c>
      <c r="K1505" t="inlineStr">
        <is>
          <t>45000</t>
        </is>
      </c>
      <c r="L1505" t="inlineStr">
        <is>
          <t>9.000000000000</t>
        </is>
      </c>
      <c r="M1505" t="inlineStr"/>
    </row>
    <row r="1506">
      <c r="A1506" t="inlineStr">
        <is>
          <t>06/25/2026</t>
        </is>
      </c>
      <c r="B1506" t="inlineStr">
        <is>
          <t>NYNY</t>
        </is>
      </c>
      <c r="C1506" s="1" t="inlineStr">
        <is>
          <t>MDB</t>
        </is>
      </c>
      <c r="D1506" s="1" t="inlineStr">
        <is>
          <t>60937P106</t>
        </is>
      </c>
      <c r="E1506" t="inlineStr">
        <is>
          <t>MongoDB Inc</t>
        </is>
      </c>
      <c r="F1506" t="inlineStr">
        <is>
          <t>45.00000000</t>
        </is>
      </c>
      <c r="G1506" t="inlineStr">
        <is>
          <t>302.440000</t>
        </is>
      </c>
      <c r="H1506" t="inlineStr">
        <is>
          <t>13609.80</t>
        </is>
      </c>
      <c r="I1506" t="inlineStr">
        <is>
          <t>1.16%</t>
        </is>
      </c>
      <c r="J1506" t="inlineStr">
        <is>
          <t>1173361.50</t>
        </is>
      </c>
      <c r="K1506" t="inlineStr">
        <is>
          <t>45000</t>
        </is>
      </c>
      <c r="L1506" t="inlineStr">
        <is>
          <t>9.000000000000</t>
        </is>
      </c>
      <c r="M1506" t="inlineStr"/>
    </row>
    <row r="1507">
      <c r="A1507" t="inlineStr">
        <is>
          <t>06/25/2026</t>
        </is>
      </c>
      <c r="B1507" t="inlineStr">
        <is>
          <t>NYNY</t>
        </is>
      </c>
      <c r="C1507" s="1" t="inlineStr">
        <is>
          <t>MET</t>
        </is>
      </c>
      <c r="D1507" s="1" t="inlineStr">
        <is>
          <t>59156R108</t>
        </is>
      </c>
      <c r="E1507" t="inlineStr">
        <is>
          <t>MetLife Inc</t>
        </is>
      </c>
      <c r="F1507" t="inlineStr">
        <is>
          <t>234.00000000</t>
        </is>
      </c>
      <c r="G1507" t="inlineStr">
        <is>
          <t>84.600000</t>
        </is>
      </c>
      <c r="H1507" t="inlineStr">
        <is>
          <t>19796.40</t>
        </is>
      </c>
      <c r="I1507" t="inlineStr">
        <is>
          <t>1.69%</t>
        </is>
      </c>
      <c r="J1507" t="inlineStr">
        <is>
          <t>1173361.50</t>
        </is>
      </c>
      <c r="K1507" t="inlineStr">
        <is>
          <t>45000</t>
        </is>
      </c>
      <c r="L1507" t="inlineStr">
        <is>
          <t>9.000000000000</t>
        </is>
      </c>
      <c r="M1507" t="inlineStr"/>
    </row>
    <row r="1508">
      <c r="A1508" t="inlineStr">
        <is>
          <t>06/25/2026</t>
        </is>
      </c>
      <c r="B1508" t="inlineStr">
        <is>
          <t>NYNY</t>
        </is>
      </c>
      <c r="C1508" s="1" t="inlineStr">
        <is>
          <t>MKTX</t>
        </is>
      </c>
      <c r="D1508" s="1" t="inlineStr">
        <is>
          <t>57060D108</t>
        </is>
      </c>
      <c r="E1508" t="inlineStr">
        <is>
          <t>MarketAxess Holdings Inc</t>
        </is>
      </c>
      <c r="F1508" t="inlineStr">
        <is>
          <t>36.00000000</t>
        </is>
      </c>
      <c r="G1508" t="inlineStr">
        <is>
          <t>113.460000</t>
        </is>
      </c>
      <c r="H1508" t="inlineStr">
        <is>
          <t>4084.56</t>
        </is>
      </c>
      <c r="I1508" t="inlineStr">
        <is>
          <t>0.35%</t>
        </is>
      </c>
      <c r="J1508" t="inlineStr">
        <is>
          <t>1173361.50</t>
        </is>
      </c>
      <c r="K1508" t="inlineStr">
        <is>
          <t>45000</t>
        </is>
      </c>
      <c r="L1508" t="inlineStr">
        <is>
          <t>9.000000000000</t>
        </is>
      </c>
      <c r="M1508" t="inlineStr"/>
    </row>
    <row r="1509">
      <c r="A1509" t="inlineStr">
        <is>
          <t>06/25/2026</t>
        </is>
      </c>
      <c r="B1509" t="inlineStr">
        <is>
          <t>NYNY</t>
        </is>
      </c>
      <c r="C1509" s="1" t="inlineStr">
        <is>
          <t>MRSH</t>
        </is>
      </c>
      <c r="D1509" s="1" t="inlineStr">
        <is>
          <t>571748102</t>
        </is>
      </c>
      <c r="E1509" t="inlineStr">
        <is>
          <t>Marsh &amp; McLennan Cos Inc</t>
        </is>
      </c>
      <c r="F1509" t="inlineStr">
        <is>
          <t>162.00000000</t>
        </is>
      </c>
      <c r="G1509" t="inlineStr">
        <is>
          <t>165.960000</t>
        </is>
      </c>
      <c r="H1509" t="inlineStr">
        <is>
          <t>26885.52</t>
        </is>
      </c>
      <c r="I1509" t="inlineStr">
        <is>
          <t>2.29%</t>
        </is>
      </c>
      <c r="J1509" t="inlineStr">
        <is>
          <t>1173361.50</t>
        </is>
      </c>
      <c r="K1509" t="inlineStr">
        <is>
          <t>45000</t>
        </is>
      </c>
      <c r="L1509" t="inlineStr">
        <is>
          <t>9.000000000000</t>
        </is>
      </c>
      <c r="M1509" t="inlineStr"/>
    </row>
    <row r="1510">
      <c r="A1510" t="inlineStr">
        <is>
          <t>06/25/2026</t>
        </is>
      </c>
      <c r="B1510" t="inlineStr">
        <is>
          <t>NYNY</t>
        </is>
      </c>
      <c r="C1510" s="1" t="inlineStr">
        <is>
          <t>MS</t>
        </is>
      </c>
      <c r="D1510" s="1" t="inlineStr">
        <is>
          <t>617446448</t>
        </is>
      </c>
      <c r="E1510" t="inlineStr">
        <is>
          <t>Morgan Stanley</t>
        </is>
      </c>
      <c r="F1510" t="inlineStr">
        <is>
          <t>252.00000000</t>
        </is>
      </c>
      <c r="G1510" t="inlineStr">
        <is>
          <t>219.860000</t>
        </is>
      </c>
      <c r="H1510" t="inlineStr">
        <is>
          <t>55404.72</t>
        </is>
      </c>
      <c r="I1510" t="inlineStr">
        <is>
          <t>4.72%</t>
        </is>
      </c>
      <c r="J1510" t="inlineStr">
        <is>
          <t>1173361.50</t>
        </is>
      </c>
      <c r="K1510" t="inlineStr">
        <is>
          <t>45000</t>
        </is>
      </c>
      <c r="L1510" t="inlineStr">
        <is>
          <t>9.000000000000</t>
        </is>
      </c>
      <c r="M1510" t="inlineStr"/>
    </row>
    <row r="1511">
      <c r="A1511" t="inlineStr">
        <is>
          <t>06/25/2026</t>
        </is>
      </c>
      <c r="B1511" t="inlineStr">
        <is>
          <t>NYNY</t>
        </is>
      </c>
      <c r="C1511" s="1" t="inlineStr">
        <is>
          <t>MSCI</t>
        </is>
      </c>
      <c r="D1511" s="1" t="inlineStr">
        <is>
          <t>55354G100</t>
        </is>
      </c>
      <c r="E1511" t="inlineStr">
        <is>
          <t>MSCI Inc</t>
        </is>
      </c>
      <c r="F1511" t="inlineStr">
        <is>
          <t>36.00000000</t>
        </is>
      </c>
      <c r="G1511" t="inlineStr">
        <is>
          <t>577.290000</t>
        </is>
      </c>
      <c r="H1511" t="inlineStr">
        <is>
          <t>20782.44</t>
        </is>
      </c>
      <c r="I1511" t="inlineStr">
        <is>
          <t>1.77%</t>
        </is>
      </c>
      <c r="J1511" t="inlineStr">
        <is>
          <t>1173361.50</t>
        </is>
      </c>
      <c r="K1511" t="inlineStr">
        <is>
          <t>45000</t>
        </is>
      </c>
      <c r="L1511" t="inlineStr">
        <is>
          <t>9.000000000000</t>
        </is>
      </c>
      <c r="M1511" t="inlineStr"/>
    </row>
    <row r="1512">
      <c r="A1512" t="inlineStr">
        <is>
          <t>06/25/2026</t>
        </is>
      </c>
      <c r="B1512" t="inlineStr">
        <is>
          <t>NYNY</t>
        </is>
      </c>
      <c r="C1512" s="1" t="inlineStr">
        <is>
          <t>MSGS</t>
        </is>
      </c>
      <c r="D1512" s="1" t="inlineStr">
        <is>
          <t>55825T103</t>
        </is>
      </c>
      <c r="E1512" t="inlineStr">
        <is>
          <t>Madison Square Garden Sports Corp</t>
        </is>
      </c>
      <c r="F1512" t="inlineStr">
        <is>
          <t>18.00000000</t>
        </is>
      </c>
      <c r="G1512" t="inlineStr">
        <is>
          <t>366.050000</t>
        </is>
      </c>
      <c r="H1512" t="inlineStr">
        <is>
          <t>6588.90</t>
        </is>
      </c>
      <c r="I1512" t="inlineStr">
        <is>
          <t>0.56%</t>
        </is>
      </c>
      <c r="J1512" t="inlineStr">
        <is>
          <t>1173361.50</t>
        </is>
      </c>
      <c r="K1512" t="inlineStr">
        <is>
          <t>45000</t>
        </is>
      </c>
      <c r="L1512" t="inlineStr">
        <is>
          <t>9.000000000000</t>
        </is>
      </c>
      <c r="M1512" t="inlineStr"/>
    </row>
    <row r="1513">
      <c r="A1513" t="inlineStr">
        <is>
          <t>06/25/2026</t>
        </is>
      </c>
      <c r="B1513" t="inlineStr">
        <is>
          <t>NYNY</t>
        </is>
      </c>
      <c r="C1513" s="1" t="inlineStr">
        <is>
          <t>NDAQ</t>
        </is>
      </c>
      <c r="D1513" s="1" t="inlineStr">
        <is>
          <t>631103108</t>
        </is>
      </c>
      <c r="E1513" t="inlineStr">
        <is>
          <t>Nasdaq Inc</t>
        </is>
      </c>
      <c r="F1513" t="inlineStr">
        <is>
          <t>225.00000000</t>
        </is>
      </c>
      <c r="G1513" t="inlineStr">
        <is>
          <t>81.610000</t>
        </is>
      </c>
      <c r="H1513" t="inlineStr">
        <is>
          <t>18362.25</t>
        </is>
      </c>
      <c r="I1513" t="inlineStr">
        <is>
          <t>1.56%</t>
        </is>
      </c>
      <c r="J1513" t="inlineStr">
        <is>
          <t>1173361.50</t>
        </is>
      </c>
      <c r="K1513" t="inlineStr">
        <is>
          <t>45000</t>
        </is>
      </c>
      <c r="L1513" t="inlineStr">
        <is>
          <t>9.000000000000</t>
        </is>
      </c>
      <c r="M1513" t="inlineStr"/>
    </row>
    <row r="1514">
      <c r="A1514" t="inlineStr">
        <is>
          <t>06/25/2026</t>
        </is>
      </c>
      <c r="B1514" t="inlineStr">
        <is>
          <t>NYNY</t>
        </is>
      </c>
      <c r="C1514" s="1" t="inlineStr">
        <is>
          <t>NLY</t>
        </is>
      </c>
      <c r="D1514" s="1" t="inlineStr">
        <is>
          <t>035710839</t>
        </is>
      </c>
      <c r="E1514" t="inlineStr">
        <is>
          <t>Annaly Capital Management Inc</t>
        </is>
      </c>
      <c r="F1514" t="inlineStr">
        <is>
          <t>477.00000000</t>
        </is>
      </c>
      <c r="G1514" t="inlineStr">
        <is>
          <t>22.310000</t>
        </is>
      </c>
      <c r="H1514" t="inlineStr">
        <is>
          <t>10641.87</t>
        </is>
      </c>
      <c r="I1514" t="inlineStr">
        <is>
          <t>0.91%</t>
        </is>
      </c>
      <c r="J1514" t="inlineStr">
        <is>
          <t>1173361.50</t>
        </is>
      </c>
      <c r="K1514" t="inlineStr">
        <is>
          <t>45000</t>
        </is>
      </c>
      <c r="L1514" t="inlineStr">
        <is>
          <t>9.000000000000</t>
        </is>
      </c>
      <c r="M1514" t="inlineStr"/>
    </row>
    <row r="1515">
      <c r="A1515" t="inlineStr">
        <is>
          <t>06/25/2026</t>
        </is>
      </c>
      <c r="B1515" t="inlineStr">
        <is>
          <t>NYNY</t>
        </is>
      </c>
      <c r="C1515" s="1" t="inlineStr">
        <is>
          <t>NWSA</t>
        </is>
      </c>
      <c r="D1515" s="1" t="inlineStr">
        <is>
          <t>65249B109</t>
        </is>
      </c>
      <c r="E1515" t="inlineStr">
        <is>
          <t>News Corp</t>
        </is>
      </c>
      <c r="F1515" t="inlineStr">
        <is>
          <t>306.00000000</t>
        </is>
      </c>
      <c r="G1515" t="inlineStr">
        <is>
          <t>25.230000</t>
        </is>
      </c>
      <c r="H1515" t="inlineStr">
        <is>
          <t>7720.38</t>
        </is>
      </c>
      <c r="I1515" t="inlineStr">
        <is>
          <t>0.66%</t>
        </is>
      </c>
      <c r="J1515" t="inlineStr">
        <is>
          <t>1173361.50</t>
        </is>
      </c>
      <c r="K1515" t="inlineStr">
        <is>
          <t>45000</t>
        </is>
      </c>
      <c r="L1515" t="inlineStr">
        <is>
          <t>9.000000000000</t>
        </is>
      </c>
      <c r="M1515" t="inlineStr"/>
    </row>
    <row r="1516">
      <c r="A1516" t="inlineStr">
        <is>
          <t>06/25/2026</t>
        </is>
      </c>
      <c r="B1516" t="inlineStr">
        <is>
          <t>NYNY</t>
        </is>
      </c>
      <c r="C1516" s="1" t="inlineStr">
        <is>
          <t>NYT</t>
        </is>
      </c>
      <c r="D1516" s="1" t="inlineStr">
        <is>
          <t>650111107</t>
        </is>
      </c>
      <c r="E1516" t="inlineStr">
        <is>
          <t>New York Times Co/The</t>
        </is>
      </c>
      <c r="F1516" t="inlineStr">
        <is>
          <t>117.00000000</t>
        </is>
      </c>
      <c r="G1516" t="inlineStr">
        <is>
          <t>71.220000</t>
        </is>
      </c>
      <c r="H1516" t="inlineStr">
        <is>
          <t>8332.74</t>
        </is>
      </c>
      <c r="I1516" t="inlineStr">
        <is>
          <t>0.71%</t>
        </is>
      </c>
      <c r="J1516" t="inlineStr">
        <is>
          <t>1173361.50</t>
        </is>
      </c>
      <c r="K1516" t="inlineStr">
        <is>
          <t>45000</t>
        </is>
      </c>
      <c r="L1516" t="inlineStr">
        <is>
          <t>9.000000000000</t>
        </is>
      </c>
      <c r="M1516" t="inlineStr"/>
    </row>
    <row r="1517">
      <c r="A1517" t="inlineStr">
        <is>
          <t>06/25/2026</t>
        </is>
      </c>
      <c r="B1517" t="inlineStr">
        <is>
          <t>NYNY</t>
        </is>
      </c>
      <c r="C1517" s="1" t="inlineStr">
        <is>
          <t>OMC</t>
        </is>
      </c>
      <c r="D1517" s="1" t="inlineStr">
        <is>
          <t>681919106</t>
        </is>
      </c>
      <c r="E1517" t="inlineStr">
        <is>
          <t>Omnicom Group Inc</t>
        </is>
      </c>
      <c r="F1517" t="inlineStr">
        <is>
          <t>171.00000000</t>
        </is>
      </c>
      <c r="G1517" t="inlineStr">
        <is>
          <t>73.660000</t>
        </is>
      </c>
      <c r="H1517" t="inlineStr">
        <is>
          <t>12595.86</t>
        </is>
      </c>
      <c r="I1517" t="inlineStr">
        <is>
          <t>1.07%</t>
        </is>
      </c>
      <c r="J1517" t="inlineStr">
        <is>
          <t>1173361.50</t>
        </is>
      </c>
      <c r="K1517" t="inlineStr">
        <is>
          <t>45000</t>
        </is>
      </c>
      <c r="L1517" t="inlineStr">
        <is>
          <t>9.000000000000</t>
        </is>
      </c>
      <c r="M1517" t="inlineStr"/>
    </row>
    <row r="1518">
      <c r="A1518" t="inlineStr">
        <is>
          <t>06/25/2026</t>
        </is>
      </c>
      <c r="B1518" t="inlineStr">
        <is>
          <t>NYNY</t>
        </is>
      </c>
      <c r="C1518" s="1" t="inlineStr">
        <is>
          <t>OWL</t>
        </is>
      </c>
      <c r="D1518" s="1" t="inlineStr">
        <is>
          <t>09581B103</t>
        </is>
      </c>
      <c r="E1518" t="inlineStr">
        <is>
          <t>Blue Owl Capital Inc</t>
        </is>
      </c>
      <c r="F1518" t="inlineStr">
        <is>
          <t>639.00000000</t>
        </is>
      </c>
      <c r="G1518" t="inlineStr">
        <is>
          <t>8.470000</t>
        </is>
      </c>
      <c r="H1518" t="inlineStr">
        <is>
          <t>5412.33</t>
        </is>
      </c>
      <c r="I1518" t="inlineStr">
        <is>
          <t>0.46%</t>
        </is>
      </c>
      <c r="J1518" t="inlineStr">
        <is>
          <t>1173361.50</t>
        </is>
      </c>
      <c r="K1518" t="inlineStr">
        <is>
          <t>45000</t>
        </is>
      </c>
      <c r="L1518" t="inlineStr">
        <is>
          <t>9.000000000000</t>
        </is>
      </c>
      <c r="M1518" t="inlineStr"/>
    </row>
    <row r="1519">
      <c r="A1519" t="inlineStr">
        <is>
          <t>06/25/2026</t>
        </is>
      </c>
      <c r="B1519" t="inlineStr">
        <is>
          <t>NYNY</t>
        </is>
      </c>
      <c r="C1519" s="1" t="inlineStr">
        <is>
          <t>PFE</t>
        </is>
      </c>
      <c r="D1519" s="1" t="inlineStr">
        <is>
          <t>717081103</t>
        </is>
      </c>
      <c r="E1519" t="inlineStr">
        <is>
          <t>Pfizer Inc</t>
        </is>
      </c>
      <c r="F1519" t="inlineStr">
        <is>
          <t>1548.00000000</t>
        </is>
      </c>
      <c r="G1519" t="inlineStr">
        <is>
          <t>24.040000</t>
        </is>
      </c>
      <c r="H1519" t="inlineStr">
        <is>
          <t>37213.92</t>
        </is>
      </c>
      <c r="I1519" t="inlineStr">
        <is>
          <t>3.17%</t>
        </is>
      </c>
      <c r="J1519" t="inlineStr">
        <is>
          <t>1173361.50</t>
        </is>
      </c>
      <c r="K1519" t="inlineStr">
        <is>
          <t>45000</t>
        </is>
      </c>
      <c r="L1519" t="inlineStr">
        <is>
          <t>9.000000000000</t>
        </is>
      </c>
      <c r="M1519" t="inlineStr"/>
    </row>
    <row r="1520">
      <c r="A1520" t="inlineStr">
        <is>
          <t>06/25/2026</t>
        </is>
      </c>
      <c r="B1520" t="inlineStr">
        <is>
          <t>NYNY</t>
        </is>
      </c>
      <c r="C1520" s="1" t="inlineStr">
        <is>
          <t>PJT</t>
        </is>
      </c>
      <c r="D1520" s="1" t="inlineStr">
        <is>
          <t>69343T107</t>
        </is>
      </c>
      <c r="E1520" t="inlineStr">
        <is>
          <t>PJT Partners Inc</t>
        </is>
      </c>
      <c r="F1520" t="inlineStr">
        <is>
          <t>27.00000000</t>
        </is>
      </c>
      <c r="G1520" t="inlineStr">
        <is>
          <t>153.170000</t>
        </is>
      </c>
      <c r="H1520" t="inlineStr">
        <is>
          <t>4135.59</t>
        </is>
      </c>
      <c r="I1520" t="inlineStr">
        <is>
          <t>0.35%</t>
        </is>
      </c>
      <c r="J1520" t="inlineStr">
        <is>
          <t>1173361.50</t>
        </is>
      </c>
      <c r="K1520" t="inlineStr">
        <is>
          <t>45000</t>
        </is>
      </c>
      <c r="L1520" t="inlineStr">
        <is>
          <t>9.000000000000</t>
        </is>
      </c>
      <c r="M1520" t="inlineStr"/>
    </row>
    <row r="1521">
      <c r="A1521" t="inlineStr">
        <is>
          <t>06/25/2026</t>
        </is>
      </c>
      <c r="B1521" t="inlineStr">
        <is>
          <t>NYNY</t>
        </is>
      </c>
      <c r="C1521" s="1" t="inlineStr">
        <is>
          <t>PSKY</t>
        </is>
      </c>
      <c r="D1521" s="1" t="inlineStr">
        <is>
          <t>69932A204</t>
        </is>
      </c>
      <c r="E1521" t="inlineStr">
        <is>
          <t>Paramount Skydance Corp</t>
        </is>
      </c>
      <c r="F1521" t="inlineStr">
        <is>
          <t>648.00000000</t>
        </is>
      </c>
      <c r="G1521" t="inlineStr">
        <is>
          <t>9.750000</t>
        </is>
      </c>
      <c r="H1521" t="inlineStr">
        <is>
          <t>6318.00</t>
        </is>
      </c>
      <c r="I1521" t="inlineStr">
        <is>
          <t>0.54%</t>
        </is>
      </c>
      <c r="J1521" t="inlineStr">
        <is>
          <t>1173361.50</t>
        </is>
      </c>
      <c r="K1521" t="inlineStr">
        <is>
          <t>45000</t>
        </is>
      </c>
      <c r="L1521" t="inlineStr">
        <is>
          <t>9.000000000000</t>
        </is>
      </c>
      <c r="M1521" t="inlineStr"/>
    </row>
    <row r="1522">
      <c r="A1522" t="inlineStr">
        <is>
          <t>06/25/2026</t>
        </is>
      </c>
      <c r="B1522" t="inlineStr">
        <is>
          <t>NYNY</t>
        </is>
      </c>
      <c r="C1522" s="1" t="inlineStr">
        <is>
          <t>RITM</t>
        </is>
      </c>
      <c r="D1522" s="1" t="inlineStr">
        <is>
          <t>64828T201</t>
        </is>
      </c>
      <c r="E1522" t="inlineStr">
        <is>
          <t>Rithm Capital Corp</t>
        </is>
      </c>
      <c r="F1522" t="inlineStr">
        <is>
          <t>576.00000000</t>
        </is>
      </c>
      <c r="G1522" t="inlineStr">
        <is>
          <t>9.240000</t>
        </is>
      </c>
      <c r="H1522" t="inlineStr">
        <is>
          <t>5322.24</t>
        </is>
      </c>
      <c r="I1522" t="inlineStr">
        <is>
          <t>0.45%</t>
        </is>
      </c>
      <c r="J1522" t="inlineStr">
        <is>
          <t>1173361.50</t>
        </is>
      </c>
      <c r="K1522" t="inlineStr">
        <is>
          <t>45000</t>
        </is>
      </c>
      <c r="L1522" t="inlineStr">
        <is>
          <t>9.000000000000</t>
        </is>
      </c>
      <c r="M1522" t="inlineStr"/>
    </row>
    <row r="1523">
      <c r="A1523" t="inlineStr">
        <is>
          <t>06/25/2026</t>
        </is>
      </c>
      <c r="B1523" t="inlineStr">
        <is>
          <t>NYNY</t>
        </is>
      </c>
      <c r="C1523" s="1" t="inlineStr">
        <is>
          <t>RL</t>
        </is>
      </c>
      <c r="D1523" s="1" t="inlineStr">
        <is>
          <t>751212101</t>
        </is>
      </c>
      <c r="E1523" t="inlineStr">
        <is>
          <t>Ralph Lauren Corp</t>
        </is>
      </c>
      <c r="F1523" t="inlineStr">
        <is>
          <t>27.00000000</t>
        </is>
      </c>
      <c r="G1523" t="inlineStr">
        <is>
          <t>414.250000</t>
        </is>
      </c>
      <c r="H1523" t="inlineStr">
        <is>
          <t>11184.75</t>
        </is>
      </c>
      <c r="I1523" t="inlineStr">
        <is>
          <t>0.95%</t>
        </is>
      </c>
      <c r="J1523" t="inlineStr">
        <is>
          <t>1173361.50</t>
        </is>
      </c>
      <c r="K1523" t="inlineStr">
        <is>
          <t>45000</t>
        </is>
      </c>
      <c r="L1523" t="inlineStr">
        <is>
          <t>9.000000000000</t>
        </is>
      </c>
      <c r="M1523" t="inlineStr"/>
    </row>
    <row r="1524">
      <c r="A1524" t="inlineStr">
        <is>
          <t>06/25/2026</t>
        </is>
      </c>
      <c r="B1524" t="inlineStr">
        <is>
          <t>NYNY</t>
        </is>
      </c>
      <c r="C1524" s="1" t="inlineStr">
        <is>
          <t>SNEX</t>
        </is>
      </c>
      <c r="D1524" s="1" t="inlineStr">
        <is>
          <t>861896108</t>
        </is>
      </c>
      <c r="E1524" t="inlineStr">
        <is>
          <t>StoneX Group Inc</t>
        </is>
      </c>
      <c r="F1524" t="inlineStr">
        <is>
          <t>54.00000000</t>
        </is>
      </c>
      <c r="G1524" t="inlineStr">
        <is>
          <t>136.130000</t>
        </is>
      </c>
      <c r="H1524" t="inlineStr">
        <is>
          <t>7351.02</t>
        </is>
      </c>
      <c r="I1524" t="inlineStr">
        <is>
          <t>0.63%</t>
        </is>
      </c>
      <c r="J1524" t="inlineStr">
        <is>
          <t>1173361.50</t>
        </is>
      </c>
      <c r="K1524" t="inlineStr">
        <is>
          <t>45000</t>
        </is>
      </c>
      <c r="L1524" t="inlineStr">
        <is>
          <t>9.000000000000</t>
        </is>
      </c>
      <c r="M1524" t="inlineStr"/>
    </row>
    <row r="1525">
      <c r="A1525" t="inlineStr">
        <is>
          <t>06/25/2026</t>
        </is>
      </c>
      <c r="B1525" t="inlineStr">
        <is>
          <t>NYNY</t>
        </is>
      </c>
      <c r="C1525" s="1" t="inlineStr">
        <is>
          <t>SPGI</t>
        </is>
      </c>
      <c r="D1525" s="1" t="inlineStr">
        <is>
          <t>78409V104</t>
        </is>
      </c>
      <c r="E1525" t="inlineStr">
        <is>
          <t>S&amp;P Global Inc</t>
        </is>
      </c>
      <c r="F1525" t="inlineStr">
        <is>
          <t>81.00000000</t>
        </is>
      </c>
      <c r="G1525" t="inlineStr">
        <is>
          <t>402.350000</t>
        </is>
      </c>
      <c r="H1525" t="inlineStr">
        <is>
          <t>32590.35</t>
        </is>
      </c>
      <c r="I1525" t="inlineStr">
        <is>
          <t>2.78%</t>
        </is>
      </c>
      <c r="J1525" t="inlineStr">
        <is>
          <t>1173361.50</t>
        </is>
      </c>
      <c r="K1525" t="inlineStr">
        <is>
          <t>45000</t>
        </is>
      </c>
      <c r="L1525" t="inlineStr">
        <is>
          <t>9.000000000000</t>
        </is>
      </c>
      <c r="M1525" t="inlineStr"/>
    </row>
    <row r="1526">
      <c r="A1526" t="inlineStr">
        <is>
          <t>06/25/2026</t>
        </is>
      </c>
      <c r="B1526" t="inlineStr">
        <is>
          <t>NYNY</t>
        </is>
      </c>
      <c r="C1526" s="1" t="inlineStr">
        <is>
          <t>TPR</t>
        </is>
      </c>
      <c r="D1526" s="1" t="inlineStr">
        <is>
          <t>876030107</t>
        </is>
      </c>
      <c r="E1526" t="inlineStr">
        <is>
          <t>Tapestry Inc</t>
        </is>
      </c>
      <c r="F1526" t="inlineStr">
        <is>
          <t>108.00000000</t>
        </is>
      </c>
      <c r="G1526" t="inlineStr">
        <is>
          <t>149.750000</t>
        </is>
      </c>
      <c r="H1526" t="inlineStr">
        <is>
          <t>16173.00</t>
        </is>
      </c>
      <c r="I1526" t="inlineStr">
        <is>
          <t>1.38%</t>
        </is>
      </c>
      <c r="J1526" t="inlineStr">
        <is>
          <t>1173361.50</t>
        </is>
      </c>
      <c r="K1526" t="inlineStr">
        <is>
          <t>45000</t>
        </is>
      </c>
      <c r="L1526" t="inlineStr">
        <is>
          <t>9.000000000000</t>
        </is>
      </c>
      <c r="M1526" t="inlineStr"/>
    </row>
    <row r="1527">
      <c r="A1527" t="inlineStr">
        <is>
          <t>06/25/2026</t>
        </is>
      </c>
      <c r="B1527" t="inlineStr">
        <is>
          <t>NYNY</t>
        </is>
      </c>
      <c r="C1527" s="1" t="inlineStr">
        <is>
          <t>TRV</t>
        </is>
      </c>
      <c r="D1527" s="1" t="inlineStr">
        <is>
          <t>89417E109</t>
        </is>
      </c>
      <c r="E1527" t="inlineStr">
        <is>
          <t>Travelers Cos Inc/The</t>
        </is>
      </c>
      <c r="F1527" t="inlineStr">
        <is>
          <t>81.00000000</t>
        </is>
      </c>
      <c r="G1527" t="inlineStr">
        <is>
          <t>320.740000</t>
        </is>
      </c>
      <c r="H1527" t="inlineStr">
        <is>
          <t>25979.94</t>
        </is>
      </c>
      <c r="I1527" t="inlineStr">
        <is>
          <t>2.21%</t>
        </is>
      </c>
      <c r="J1527" t="inlineStr">
        <is>
          <t>1173361.50</t>
        </is>
      </c>
      <c r="K1527" t="inlineStr">
        <is>
          <t>45000</t>
        </is>
      </c>
      <c r="L1527" t="inlineStr">
        <is>
          <t>9.000000000000</t>
        </is>
      </c>
      <c r="M1527" t="inlineStr"/>
    </row>
    <row r="1528">
      <c r="A1528" t="inlineStr">
        <is>
          <t>06/25/2026</t>
        </is>
      </c>
      <c r="B1528" t="inlineStr">
        <is>
          <t>NYNY</t>
        </is>
      </c>
      <c r="C1528" s="1" t="inlineStr">
        <is>
          <t>TW</t>
        </is>
      </c>
      <c r="D1528" s="1" t="inlineStr">
        <is>
          <t>892672106</t>
        </is>
      </c>
      <c r="E1528" t="inlineStr">
        <is>
          <t>Tradeweb Markets Inc</t>
        </is>
      </c>
      <c r="F1528" t="inlineStr">
        <is>
          <t>90.00000000</t>
        </is>
      </c>
      <c r="G1528" t="inlineStr">
        <is>
          <t>96.050000</t>
        </is>
      </c>
      <c r="H1528" t="inlineStr">
        <is>
          <t>8644.50</t>
        </is>
      </c>
      <c r="I1528" t="inlineStr">
        <is>
          <t>0.74%</t>
        </is>
      </c>
      <c r="J1528" t="inlineStr">
        <is>
          <t>1173361.50</t>
        </is>
      </c>
      <c r="K1528" t="inlineStr">
        <is>
          <t>45000</t>
        </is>
      </c>
      <c r="L1528" t="inlineStr">
        <is>
          <t>9.000000000000</t>
        </is>
      </c>
      <c r="M1528" t="inlineStr"/>
    </row>
    <row r="1529">
      <c r="A1529" t="inlineStr">
        <is>
          <t>06/25/2026</t>
        </is>
      </c>
      <c r="B1529" t="inlineStr">
        <is>
          <t>NYNY</t>
        </is>
      </c>
      <c r="C1529" s="1" t="inlineStr">
        <is>
          <t>VICI</t>
        </is>
      </c>
      <c r="D1529" s="1" t="inlineStr">
        <is>
          <t>925652109</t>
        </is>
      </c>
      <c r="E1529" t="inlineStr">
        <is>
          <t>VICI Properties Inc</t>
        </is>
      </c>
      <c r="F1529" t="inlineStr">
        <is>
          <t>558.00000000</t>
        </is>
      </c>
      <c r="G1529" t="inlineStr">
        <is>
          <t>26.720000</t>
        </is>
      </c>
      <c r="H1529" t="inlineStr">
        <is>
          <t>14909.76</t>
        </is>
      </c>
      <c r="I1529" t="inlineStr">
        <is>
          <t>1.27%</t>
        </is>
      </c>
      <c r="J1529" t="inlineStr">
        <is>
          <t>1173361.50</t>
        </is>
      </c>
      <c r="K1529" t="inlineStr">
        <is>
          <t>45000</t>
        </is>
      </c>
      <c r="L1529" t="inlineStr">
        <is>
          <t>9.000000000000</t>
        </is>
      </c>
      <c r="M1529" t="inlineStr"/>
    </row>
    <row r="1530">
      <c r="A1530" t="inlineStr">
        <is>
          <t>06/25/2026</t>
        </is>
      </c>
      <c r="B1530" t="inlineStr">
        <is>
          <t>NYNY</t>
        </is>
      </c>
      <c r="C1530" s="1" t="inlineStr">
        <is>
          <t>VIRT</t>
        </is>
      </c>
      <c r="D1530" s="1" t="inlineStr">
        <is>
          <t>928254101</t>
        </is>
      </c>
      <c r="E1530" t="inlineStr">
        <is>
          <t>Virtu Financial Inc</t>
        </is>
      </c>
      <c r="F1530" t="inlineStr">
        <is>
          <t>99.00000000</t>
        </is>
      </c>
      <c r="G1530" t="inlineStr">
        <is>
          <t>62.350000</t>
        </is>
      </c>
      <c r="H1530" t="inlineStr">
        <is>
          <t>6172.65</t>
        </is>
      </c>
      <c r="I1530" t="inlineStr">
        <is>
          <t>0.53%</t>
        </is>
      </c>
      <c r="J1530" t="inlineStr">
        <is>
          <t>1173361.50</t>
        </is>
      </c>
      <c r="K1530" t="inlineStr">
        <is>
          <t>45000</t>
        </is>
      </c>
      <c r="L1530" t="inlineStr">
        <is>
          <t>9.000000000000</t>
        </is>
      </c>
      <c r="M1530" t="inlineStr"/>
    </row>
    <row r="1531">
      <c r="A1531" t="inlineStr">
        <is>
          <t>06/25/2026</t>
        </is>
      </c>
      <c r="B1531" t="inlineStr">
        <is>
          <t>NYNY</t>
        </is>
      </c>
      <c r="C1531" s="1" t="inlineStr">
        <is>
          <t>VZ</t>
        </is>
      </c>
      <c r="D1531" s="1" t="inlineStr">
        <is>
          <t>92343V104</t>
        </is>
      </c>
      <c r="E1531" t="inlineStr">
        <is>
          <t>Verizon Communications Inc</t>
        </is>
      </c>
      <c r="F1531" t="inlineStr">
        <is>
          <t>1017.00000000</t>
        </is>
      </c>
      <c r="G1531" t="inlineStr">
        <is>
          <t>45.680000</t>
        </is>
      </c>
      <c r="H1531" t="inlineStr">
        <is>
          <t>46456.56</t>
        </is>
      </c>
      <c r="I1531" t="inlineStr">
        <is>
          <t>3.96%</t>
        </is>
      </c>
      <c r="J1531" t="inlineStr">
        <is>
          <t>1173361.50</t>
        </is>
      </c>
      <c r="K1531" t="inlineStr">
        <is>
          <t>45000</t>
        </is>
      </c>
      <c r="L1531" t="inlineStr">
        <is>
          <t>9.000000000000</t>
        </is>
      </c>
      <c r="M1531" t="inlineStr"/>
    </row>
    <row r="1532">
      <c r="A1532" t="inlineStr">
        <is>
          <t>06/25/2026</t>
        </is>
      </c>
      <c r="B1532" t="inlineStr">
        <is>
          <t>NYNY</t>
        </is>
      </c>
      <c r="C1532" s="1" t="inlineStr">
        <is>
          <t>WBD</t>
        </is>
      </c>
      <c r="D1532" s="1" t="inlineStr">
        <is>
          <t>934423104</t>
        </is>
      </c>
      <c r="E1532" t="inlineStr">
        <is>
          <t>Warner Bros Discovery Inc</t>
        </is>
      </c>
      <c r="F1532" t="inlineStr">
        <is>
          <t>918.00000000</t>
        </is>
      </c>
      <c r="G1532" t="inlineStr">
        <is>
          <t>27.200000</t>
        </is>
      </c>
      <c r="H1532" t="inlineStr">
        <is>
          <t>24969.60</t>
        </is>
      </c>
      <c r="I1532" t="inlineStr">
        <is>
          <t>2.13%</t>
        </is>
      </c>
      <c r="J1532" t="inlineStr">
        <is>
          <t>1173361.50</t>
        </is>
      </c>
      <c r="K1532" t="inlineStr">
        <is>
          <t>45000</t>
        </is>
      </c>
      <c r="L1532" t="inlineStr">
        <is>
          <t>9.000000000000</t>
        </is>
      </c>
      <c r="M1532" t="inlineStr"/>
    </row>
    <row r="1533">
      <c r="A1533" t="inlineStr">
        <is>
          <t>06/25/2026</t>
        </is>
      </c>
      <c r="B1533" t="inlineStr">
        <is>
          <t>NYNY</t>
        </is>
      </c>
      <c r="C1533" s="1" t="inlineStr">
        <is>
          <t>WPC</t>
        </is>
      </c>
      <c r="D1533" s="1" t="inlineStr">
        <is>
          <t>92936U109</t>
        </is>
      </c>
      <c r="E1533" t="inlineStr">
        <is>
          <t>WP Carey Inc</t>
        </is>
      </c>
      <c r="F1533" t="inlineStr">
        <is>
          <t>144.00000000</t>
        </is>
      </c>
      <c r="G1533" t="inlineStr">
        <is>
          <t>72.630000</t>
        </is>
      </c>
      <c r="H1533" t="inlineStr">
        <is>
          <t>10458.72</t>
        </is>
      </c>
      <c r="I1533" t="inlineStr">
        <is>
          <t>0.89%</t>
        </is>
      </c>
      <c r="J1533" t="inlineStr">
        <is>
          <t>1173361.50</t>
        </is>
      </c>
      <c r="K1533" t="inlineStr">
        <is>
          <t>45000</t>
        </is>
      </c>
      <c r="L1533" t="inlineStr">
        <is>
          <t>9.000000000000</t>
        </is>
      </c>
      <c r="M1533" t="inlineStr"/>
    </row>
    <row r="1534">
      <c r="A1534" t="inlineStr">
        <is>
          <t>06/25/2026</t>
        </is>
      </c>
      <c r="B1534" t="inlineStr">
        <is>
          <t>NYNY</t>
        </is>
      </c>
      <c r="C1534" s="1" t="inlineStr">
        <is>
          <t>Cash&amp;Other</t>
        </is>
      </c>
      <c r="D1534" s="1" t="inlineStr">
        <is>
          <t>Cash&amp;Other</t>
        </is>
      </c>
      <c r="E1534" t="inlineStr">
        <is>
          <t>Cash &amp; Other</t>
        </is>
      </c>
      <c r="F1534" t="inlineStr">
        <is>
          <t>-6799.23000000</t>
        </is>
      </c>
      <c r="G1534" t="inlineStr">
        <is>
          <t>1.000000</t>
        </is>
      </c>
      <c r="H1534" t="inlineStr">
        <is>
          <t>-6799.23</t>
        </is>
      </c>
      <c r="I1534" t="inlineStr">
        <is>
          <t>-0.58%</t>
        </is>
      </c>
      <c r="J1534" t="inlineStr">
        <is>
          <t>1173361.50</t>
        </is>
      </c>
      <c r="K1534" t="inlineStr">
        <is>
          <t>45000</t>
        </is>
      </c>
      <c r="L1534" t="inlineStr">
        <is>
          <t>9.000000000000</t>
        </is>
      </c>
      <c r="M1534" t="inlineStr">
        <is>
          <t>Y</t>
        </is>
      </c>
    </row>
    <row r="1535">
      <c r="A1535" t="inlineStr">
        <is>
          <t>06/25/2026</t>
        </is>
      </c>
      <c r="B1535" t="inlineStr">
        <is>
          <t>ODDZ</t>
        </is>
      </c>
      <c r="C1535" s="1" t="inlineStr">
        <is>
          <t>ACEL</t>
        </is>
      </c>
      <c r="D1535" s="1" t="inlineStr">
        <is>
          <t>00436Q106</t>
        </is>
      </c>
      <c r="E1535" t="inlineStr">
        <is>
          <t>Accel Entertainment Inc</t>
        </is>
      </c>
      <c r="F1535" t="inlineStr">
        <is>
          <t>2412.00000000</t>
        </is>
      </c>
      <c r="G1535" t="inlineStr">
        <is>
          <t>13.060000</t>
        </is>
      </c>
      <c r="H1535" t="inlineStr">
        <is>
          <t>31500.72</t>
        </is>
      </c>
      <c r="I1535" t="inlineStr">
        <is>
          <t>2.69%</t>
        </is>
      </c>
      <c r="J1535" t="inlineStr">
        <is>
          <t>1169469.00</t>
        </is>
      </c>
      <c r="K1535" t="inlineStr">
        <is>
          <t>45000</t>
        </is>
      </c>
      <c r="L1535" t="inlineStr">
        <is>
          <t>9.000000000000</t>
        </is>
      </c>
      <c r="M1535" t="inlineStr"/>
    </row>
    <row r="1536">
      <c r="A1536" t="inlineStr">
        <is>
          <t>06/25/2026</t>
        </is>
      </c>
      <c r="B1536" t="inlineStr">
        <is>
          <t>ODDZ</t>
        </is>
      </c>
      <c r="C1536" s="1" t="inlineStr">
        <is>
          <t>BALY</t>
        </is>
      </c>
      <c r="D1536" s="1" t="inlineStr">
        <is>
          <t>05875B304</t>
        </is>
      </c>
      <c r="E1536" t="inlineStr">
        <is>
          <t>Bally's Corp</t>
        </is>
      </c>
      <c r="F1536" t="inlineStr">
        <is>
          <t>1377.00000000</t>
        </is>
      </c>
      <c r="G1536" t="inlineStr">
        <is>
          <t>14.460000</t>
        </is>
      </c>
      <c r="H1536" t="inlineStr">
        <is>
          <t>19911.42</t>
        </is>
      </c>
      <c r="I1536" t="inlineStr">
        <is>
          <t>1.70%</t>
        </is>
      </c>
      <c r="J1536" t="inlineStr">
        <is>
          <t>1169469.00</t>
        </is>
      </c>
      <c r="K1536" t="inlineStr">
        <is>
          <t>45000</t>
        </is>
      </c>
      <c r="L1536" t="inlineStr">
        <is>
          <t>9.000000000000</t>
        </is>
      </c>
      <c r="M1536" t="inlineStr"/>
    </row>
    <row r="1537">
      <c r="A1537" t="inlineStr">
        <is>
          <t>06/25/2026</t>
        </is>
      </c>
      <c r="B1537" t="inlineStr">
        <is>
          <t>ODDZ</t>
        </is>
      </c>
      <c r="C1537" s="1" t="inlineStr">
        <is>
          <t>BRSL</t>
        </is>
      </c>
      <c r="D1537" s="1" t="inlineStr">
        <is>
          <t>G4863A108</t>
        </is>
      </c>
      <c r="E1537" t="inlineStr">
        <is>
          <t>Brightstar Lottery PLC</t>
        </is>
      </c>
      <c r="F1537" t="inlineStr">
        <is>
          <t>3006.00000000</t>
        </is>
      </c>
      <c r="G1537" t="inlineStr">
        <is>
          <t>10.820000</t>
        </is>
      </c>
      <c r="H1537" t="inlineStr">
        <is>
          <t>32524.92</t>
        </is>
      </c>
      <c r="I1537" t="inlineStr">
        <is>
          <t>2.78%</t>
        </is>
      </c>
      <c r="J1537" t="inlineStr">
        <is>
          <t>1169469.00</t>
        </is>
      </c>
      <c r="K1537" t="inlineStr">
        <is>
          <t>45000</t>
        </is>
      </c>
      <c r="L1537" t="inlineStr">
        <is>
          <t>9.000000000000</t>
        </is>
      </c>
      <c r="M1537" t="inlineStr"/>
    </row>
    <row r="1538">
      <c r="A1538" t="inlineStr">
        <is>
          <t>06/25/2026</t>
        </is>
      </c>
      <c r="B1538" t="inlineStr">
        <is>
          <t>ODDZ</t>
        </is>
      </c>
      <c r="C1538" s="1" t="inlineStr">
        <is>
          <t>BYD</t>
        </is>
      </c>
      <c r="D1538" s="1" t="inlineStr">
        <is>
          <t>103304101</t>
        </is>
      </c>
      <c r="E1538" t="inlineStr">
        <is>
          <t>Boyd Gaming Corp</t>
        </is>
      </c>
      <c r="F1538" t="inlineStr">
        <is>
          <t>675.00000000</t>
        </is>
      </c>
      <c r="G1538" t="inlineStr">
        <is>
          <t>86.900000</t>
        </is>
      </c>
      <c r="H1538" t="inlineStr">
        <is>
          <t>58657.50</t>
        </is>
      </c>
      <c r="I1538" t="inlineStr">
        <is>
          <t>5.02%</t>
        </is>
      </c>
      <c r="J1538" t="inlineStr">
        <is>
          <t>1169469.00</t>
        </is>
      </c>
      <c r="K1538" t="inlineStr">
        <is>
          <t>45000</t>
        </is>
      </c>
      <c r="L1538" t="inlineStr">
        <is>
          <t>9.000000000000</t>
        </is>
      </c>
      <c r="M1538" t="inlineStr"/>
    </row>
    <row r="1539">
      <c r="A1539" t="inlineStr">
        <is>
          <t>06/25/2026</t>
        </is>
      </c>
      <c r="B1539" t="inlineStr">
        <is>
          <t>ODDZ</t>
        </is>
      </c>
      <c r="C1539" s="1" t="inlineStr">
        <is>
          <t>CDRO</t>
        </is>
      </c>
      <c r="D1539" s="1" t="inlineStr">
        <is>
          <t>L18268109</t>
        </is>
      </c>
      <c r="E1539" t="inlineStr">
        <is>
          <t>Codere Online Luxembourg SA</t>
        </is>
      </c>
      <c r="F1539" t="inlineStr">
        <is>
          <t>1872.00000000</t>
        </is>
      </c>
      <c r="G1539" t="inlineStr">
        <is>
          <t>9.580000</t>
        </is>
      </c>
      <c r="H1539" t="inlineStr">
        <is>
          <t>17933.76</t>
        </is>
      </c>
      <c r="I1539" t="inlineStr">
        <is>
          <t>1.53%</t>
        </is>
      </c>
      <c r="J1539" t="inlineStr">
        <is>
          <t>1169469.00</t>
        </is>
      </c>
      <c r="K1539" t="inlineStr">
        <is>
          <t>45000</t>
        </is>
      </c>
      <c r="L1539" t="inlineStr">
        <is>
          <t>9.000000000000</t>
        </is>
      </c>
      <c r="M1539" t="inlineStr"/>
    </row>
    <row r="1540">
      <c r="A1540" t="inlineStr">
        <is>
          <t>06/25/2026</t>
        </is>
      </c>
      <c r="B1540" t="inlineStr">
        <is>
          <t>ODDZ</t>
        </is>
      </c>
      <c r="C1540" s="1" t="inlineStr">
        <is>
          <t>CHDN</t>
        </is>
      </c>
      <c r="D1540" s="1" t="inlineStr">
        <is>
          <t>171484108</t>
        </is>
      </c>
      <c r="E1540" t="inlineStr">
        <is>
          <t>Churchill Downs Inc</t>
        </is>
      </c>
      <c r="F1540" t="inlineStr">
        <is>
          <t>558.00000000</t>
        </is>
      </c>
      <c r="G1540" t="inlineStr">
        <is>
          <t>84.610000</t>
        </is>
      </c>
      <c r="H1540" t="inlineStr">
        <is>
          <t>47212.38</t>
        </is>
      </c>
      <c r="I1540" t="inlineStr">
        <is>
          <t>4.04%</t>
        </is>
      </c>
      <c r="J1540" t="inlineStr">
        <is>
          <t>1169469.00</t>
        </is>
      </c>
      <c r="K1540" t="inlineStr">
        <is>
          <t>45000</t>
        </is>
      </c>
      <c r="L1540" t="inlineStr">
        <is>
          <t>9.000000000000</t>
        </is>
      </c>
      <c r="M1540" t="inlineStr"/>
    </row>
    <row r="1541">
      <c r="A1541" t="inlineStr">
        <is>
          <t>06/25/2026</t>
        </is>
      </c>
      <c r="B1541" t="inlineStr">
        <is>
          <t>ODDZ</t>
        </is>
      </c>
      <c r="C1541" s="1" t="inlineStr">
        <is>
          <t>CZR</t>
        </is>
      </c>
      <c r="D1541" s="1" t="inlineStr">
        <is>
          <t>12769G100</t>
        </is>
      </c>
      <c r="E1541" t="inlineStr">
        <is>
          <t>Caesars Entertainment Inc</t>
        </is>
      </c>
      <c r="F1541" t="inlineStr">
        <is>
          <t>2016.00000000</t>
        </is>
      </c>
      <c r="G1541" t="inlineStr">
        <is>
          <t>29.600000</t>
        </is>
      </c>
      <c r="H1541" t="inlineStr">
        <is>
          <t>59673.60</t>
        </is>
      </c>
      <c r="I1541" t="inlineStr">
        <is>
          <t>5.10%</t>
        </is>
      </c>
      <c r="J1541" t="inlineStr">
        <is>
          <t>1169469.00</t>
        </is>
      </c>
      <c r="K1541" t="inlineStr">
        <is>
          <t>45000</t>
        </is>
      </c>
      <c r="L1541" t="inlineStr">
        <is>
          <t>9.000000000000</t>
        </is>
      </c>
      <c r="M1541" t="inlineStr"/>
    </row>
    <row r="1542">
      <c r="A1542" t="inlineStr">
        <is>
          <t>06/25/2026</t>
        </is>
      </c>
      <c r="B1542" t="inlineStr">
        <is>
          <t>ODDZ</t>
        </is>
      </c>
      <c r="C1542" s="1" t="inlineStr">
        <is>
          <t>DKNG</t>
        </is>
      </c>
      <c r="D1542" s="1" t="inlineStr">
        <is>
          <t>26142V105</t>
        </is>
      </c>
      <c r="E1542" t="inlineStr">
        <is>
          <t>DraftKings Inc</t>
        </is>
      </c>
      <c r="F1542" t="inlineStr">
        <is>
          <t>2448.00000000</t>
        </is>
      </c>
      <c r="G1542" t="inlineStr">
        <is>
          <t>24.530000</t>
        </is>
      </c>
      <c r="H1542" t="inlineStr">
        <is>
          <t>60049.44</t>
        </is>
      </c>
      <c r="I1542" t="inlineStr">
        <is>
          <t>5.13%</t>
        </is>
      </c>
      <c r="J1542" t="inlineStr">
        <is>
          <t>1169469.00</t>
        </is>
      </c>
      <c r="K1542" t="inlineStr">
        <is>
          <t>45000</t>
        </is>
      </c>
      <c r="L1542" t="inlineStr">
        <is>
          <t>9.000000000000</t>
        </is>
      </c>
      <c r="M1542" t="inlineStr"/>
    </row>
    <row r="1543">
      <c r="A1543" t="inlineStr">
        <is>
          <t>06/25/2026</t>
        </is>
      </c>
      <c r="B1543" t="inlineStr">
        <is>
          <t>ODDZ</t>
        </is>
      </c>
      <c r="C1543" s="1" t="inlineStr">
        <is>
          <t>FGXXX</t>
        </is>
      </c>
      <c r="D1543" s="1" t="inlineStr">
        <is>
          <t>31846V336</t>
        </is>
      </c>
      <c r="E1543" t="inlineStr">
        <is>
          <t>First American Government Obligations Fund 12/01/2031</t>
        </is>
      </c>
      <c r="F1543" t="inlineStr">
        <is>
          <t>32399.94000000</t>
        </is>
      </c>
      <c r="G1543" t="inlineStr">
        <is>
          <t>100.000000</t>
        </is>
      </c>
      <c r="H1543" t="inlineStr">
        <is>
          <t>32399.94</t>
        </is>
      </c>
      <c r="I1543" t="inlineStr">
        <is>
          <t>2.77%</t>
        </is>
      </c>
      <c r="J1543" t="inlineStr">
        <is>
          <t>1169469.00</t>
        </is>
      </c>
      <c r="K1543" t="inlineStr">
        <is>
          <t>45000</t>
        </is>
      </c>
      <c r="L1543" t="inlineStr">
        <is>
          <t>9.000000000000</t>
        </is>
      </c>
      <c r="M1543" t="inlineStr">
        <is>
          <t>Y</t>
        </is>
      </c>
    </row>
    <row r="1544">
      <c r="A1544" t="inlineStr">
        <is>
          <t>06/25/2026</t>
        </is>
      </c>
      <c r="B1544" t="inlineStr">
        <is>
          <t>ODDZ</t>
        </is>
      </c>
      <c r="C1544" s="1" t="inlineStr">
        <is>
          <t>FLL</t>
        </is>
      </c>
      <c r="D1544" s="1" t="inlineStr">
        <is>
          <t>359678109</t>
        </is>
      </c>
      <c r="E1544" t="inlineStr">
        <is>
          <t>Full House Resorts Inc</t>
        </is>
      </c>
      <c r="F1544" t="inlineStr">
        <is>
          <t>5742.00000000</t>
        </is>
      </c>
      <c r="G1544" t="inlineStr">
        <is>
          <t>2.720000</t>
        </is>
      </c>
      <c r="H1544" t="inlineStr">
        <is>
          <t>15618.24</t>
        </is>
      </c>
      <c r="I1544" t="inlineStr">
        <is>
          <t>1.34%</t>
        </is>
      </c>
      <c r="J1544" t="inlineStr">
        <is>
          <t>1169469.00</t>
        </is>
      </c>
      <c r="K1544" t="inlineStr">
        <is>
          <t>45000</t>
        </is>
      </c>
      <c r="L1544" t="inlineStr">
        <is>
          <t>9.000000000000</t>
        </is>
      </c>
      <c r="M1544" t="inlineStr"/>
    </row>
    <row r="1545">
      <c r="A1545" t="inlineStr">
        <is>
          <t>06/25/2026</t>
        </is>
      </c>
      <c r="B1545" t="inlineStr">
        <is>
          <t>ODDZ</t>
        </is>
      </c>
      <c r="C1545" s="1" t="inlineStr">
        <is>
          <t>FLUT</t>
        </is>
      </c>
      <c r="D1545" s="1" t="inlineStr">
        <is>
          <t>G3643J108</t>
        </is>
      </c>
      <c r="E1545" t="inlineStr">
        <is>
          <t>Flutter Entertainment PLC</t>
        </is>
      </c>
      <c r="F1545" t="inlineStr">
        <is>
          <t>1008.00000000</t>
        </is>
      </c>
      <c r="G1545" t="inlineStr">
        <is>
          <t>98.510000</t>
        </is>
      </c>
      <c r="H1545" t="inlineStr">
        <is>
          <t>99298.08</t>
        </is>
      </c>
      <c r="I1545" t="inlineStr">
        <is>
          <t>8.49%</t>
        </is>
      </c>
      <c r="J1545" t="inlineStr">
        <is>
          <t>1169469.00</t>
        </is>
      </c>
      <c r="K1545" t="inlineStr">
        <is>
          <t>45000</t>
        </is>
      </c>
      <c r="L1545" t="inlineStr">
        <is>
          <t>9.000000000000</t>
        </is>
      </c>
      <c r="M1545" t="inlineStr"/>
    </row>
    <row r="1546">
      <c r="A1546" t="inlineStr">
        <is>
          <t>06/25/2026</t>
        </is>
      </c>
      <c r="B1546" t="inlineStr">
        <is>
          <t>ODDZ</t>
        </is>
      </c>
      <c r="C1546" s="1" t="inlineStr">
        <is>
          <t>GAMB</t>
        </is>
      </c>
      <c r="D1546" s="1" t="inlineStr">
        <is>
          <t>G3R239101</t>
        </is>
      </c>
      <c r="E1546" t="inlineStr">
        <is>
          <t>Gambling.com Group Ltd</t>
        </is>
      </c>
      <c r="F1546" t="inlineStr">
        <is>
          <t>3807.00000000</t>
        </is>
      </c>
      <c r="G1546" t="inlineStr">
        <is>
          <t>2.190000</t>
        </is>
      </c>
      <c r="H1546" t="inlineStr">
        <is>
          <t>8337.33</t>
        </is>
      </c>
      <c r="I1546" t="inlineStr">
        <is>
          <t>0.71%</t>
        </is>
      </c>
      <c r="J1546" t="inlineStr">
        <is>
          <t>1169469.00</t>
        </is>
      </c>
      <c r="K1546" t="inlineStr">
        <is>
          <t>45000</t>
        </is>
      </c>
      <c r="L1546" t="inlineStr">
        <is>
          <t>9.000000000000</t>
        </is>
      </c>
      <c r="M1546" t="inlineStr"/>
    </row>
    <row r="1547">
      <c r="A1547" t="inlineStr">
        <is>
          <t>06/25/2026</t>
        </is>
      </c>
      <c r="B1547" t="inlineStr">
        <is>
          <t>ODDZ</t>
        </is>
      </c>
      <c r="C1547" s="1" t="inlineStr">
        <is>
          <t>GENI</t>
        </is>
      </c>
      <c r="D1547" s="1" t="inlineStr">
        <is>
          <t>G3934V109</t>
        </is>
      </c>
      <c r="E1547" t="inlineStr">
        <is>
          <t>Genius Sports Ltd</t>
        </is>
      </c>
      <c r="F1547" t="inlineStr">
        <is>
          <t>8010.00000000</t>
        </is>
      </c>
      <c r="G1547" t="inlineStr">
        <is>
          <t>5.660000</t>
        </is>
      </c>
      <c r="H1547" t="inlineStr">
        <is>
          <t>45336.60</t>
        </is>
      </c>
      <c r="I1547" t="inlineStr">
        <is>
          <t>3.88%</t>
        </is>
      </c>
      <c r="J1547" t="inlineStr">
        <is>
          <t>1169469.00</t>
        </is>
      </c>
      <c r="K1547" t="inlineStr">
        <is>
          <t>45000</t>
        </is>
      </c>
      <c r="L1547" t="inlineStr">
        <is>
          <t>9.000000000000</t>
        </is>
      </c>
      <c r="M1547" t="inlineStr"/>
    </row>
    <row r="1548">
      <c r="A1548" t="inlineStr">
        <is>
          <t>06/25/2026</t>
        </is>
      </c>
      <c r="B1548" t="inlineStr">
        <is>
          <t>ODDZ</t>
        </is>
      </c>
      <c r="C1548" s="1" t="inlineStr">
        <is>
          <t>INSE</t>
        </is>
      </c>
      <c r="D1548" s="1" t="inlineStr">
        <is>
          <t>45782N108</t>
        </is>
      </c>
      <c r="E1548" t="inlineStr">
        <is>
          <t>Inspired Entertainment Inc</t>
        </is>
      </c>
      <c r="F1548" t="inlineStr">
        <is>
          <t>2637.00000000</t>
        </is>
      </c>
      <c r="G1548" t="inlineStr">
        <is>
          <t>8.050000</t>
        </is>
      </c>
      <c r="H1548" t="inlineStr">
        <is>
          <t>21227.85</t>
        </is>
      </c>
      <c r="I1548" t="inlineStr">
        <is>
          <t>1.82%</t>
        </is>
      </c>
      <c r="J1548" t="inlineStr">
        <is>
          <t>1169469.00</t>
        </is>
      </c>
      <c r="K1548" t="inlineStr">
        <is>
          <t>45000</t>
        </is>
      </c>
      <c r="L1548" t="inlineStr">
        <is>
          <t>9.000000000000</t>
        </is>
      </c>
      <c r="M1548" t="inlineStr"/>
    </row>
    <row r="1549">
      <c r="A1549" t="inlineStr">
        <is>
          <t>06/25/2026</t>
        </is>
      </c>
      <c r="B1549" t="inlineStr">
        <is>
          <t>ODDZ</t>
        </is>
      </c>
      <c r="C1549" s="1" t="inlineStr">
        <is>
          <t>LVS</t>
        </is>
      </c>
      <c r="D1549" s="1" t="inlineStr">
        <is>
          <t>517834107</t>
        </is>
      </c>
      <c r="E1549" t="inlineStr">
        <is>
          <t>Las Vegas Sands Corp</t>
        </is>
      </c>
      <c r="F1549" t="inlineStr">
        <is>
          <t>2214.00000000</t>
        </is>
      </c>
      <c r="G1549" t="inlineStr">
        <is>
          <t>47.760000</t>
        </is>
      </c>
      <c r="H1549" t="inlineStr">
        <is>
          <t>105740.64</t>
        </is>
      </c>
      <c r="I1549" t="inlineStr">
        <is>
          <t>9.04%</t>
        </is>
      </c>
      <c r="J1549" t="inlineStr">
        <is>
          <t>1169469.00</t>
        </is>
      </c>
      <c r="K1549" t="inlineStr">
        <is>
          <t>45000</t>
        </is>
      </c>
      <c r="L1549" t="inlineStr">
        <is>
          <t>9.000000000000</t>
        </is>
      </c>
      <c r="M1549" t="inlineStr"/>
    </row>
    <row r="1550">
      <c r="A1550" t="inlineStr">
        <is>
          <t>06/25/2026</t>
        </is>
      </c>
      <c r="B1550" t="inlineStr">
        <is>
          <t>ODDZ</t>
        </is>
      </c>
      <c r="C1550" s="1" t="inlineStr">
        <is>
          <t>MCRI</t>
        </is>
      </c>
      <c r="D1550" s="1" t="inlineStr">
        <is>
          <t>609027107</t>
        </is>
      </c>
      <c r="E1550" t="inlineStr">
        <is>
          <t>Monarch Casino &amp; Resort Inc</t>
        </is>
      </c>
      <c r="F1550" t="inlineStr">
        <is>
          <t>333.00000000</t>
        </is>
      </c>
      <c r="G1550" t="inlineStr">
        <is>
          <t>130.110000</t>
        </is>
      </c>
      <c r="H1550" t="inlineStr">
        <is>
          <t>43326.63</t>
        </is>
      </c>
      <c r="I1550" t="inlineStr">
        <is>
          <t>3.70%</t>
        </is>
      </c>
      <c r="J1550" t="inlineStr">
        <is>
          <t>1169469.00</t>
        </is>
      </c>
      <c r="K1550" t="inlineStr">
        <is>
          <t>45000</t>
        </is>
      </c>
      <c r="L1550" t="inlineStr">
        <is>
          <t>9.000000000000</t>
        </is>
      </c>
      <c r="M1550" t="inlineStr"/>
    </row>
    <row r="1551">
      <c r="A1551" t="inlineStr">
        <is>
          <t>06/25/2026</t>
        </is>
      </c>
      <c r="B1551" t="inlineStr">
        <is>
          <t>ODDZ</t>
        </is>
      </c>
      <c r="C1551" s="1" t="inlineStr">
        <is>
          <t>MGM</t>
        </is>
      </c>
      <c r="D1551" s="1" t="inlineStr">
        <is>
          <t>552953101</t>
        </is>
      </c>
      <c r="E1551" t="inlineStr">
        <is>
          <t>MGM Resorts International</t>
        </is>
      </c>
      <c r="F1551" t="inlineStr">
        <is>
          <t>1440.00000000</t>
        </is>
      </c>
      <c r="G1551" t="inlineStr">
        <is>
          <t>47.090000</t>
        </is>
      </c>
      <c r="H1551" t="inlineStr">
        <is>
          <t>67809.60</t>
        </is>
      </c>
      <c r="I1551" t="inlineStr">
        <is>
          <t>5.80%</t>
        </is>
      </c>
      <c r="J1551" t="inlineStr">
        <is>
          <t>1169469.00</t>
        </is>
      </c>
      <c r="K1551" t="inlineStr">
        <is>
          <t>45000</t>
        </is>
      </c>
      <c r="L1551" t="inlineStr">
        <is>
          <t>9.000000000000</t>
        </is>
      </c>
      <c r="M1551" t="inlineStr"/>
    </row>
    <row r="1552">
      <c r="A1552" t="inlineStr">
        <is>
          <t>06/25/2026</t>
        </is>
      </c>
      <c r="B1552" t="inlineStr">
        <is>
          <t>ODDZ</t>
        </is>
      </c>
      <c r="C1552" s="1" t="inlineStr">
        <is>
          <t>MLCO</t>
        </is>
      </c>
      <c r="D1552" s="1" t="inlineStr">
        <is>
          <t>585464100</t>
        </is>
      </c>
      <c r="E1552" t="inlineStr">
        <is>
          <t>Melco Resorts &amp; Entertainment Ltd</t>
        </is>
      </c>
      <c r="F1552" t="inlineStr">
        <is>
          <t>8982.00000000</t>
        </is>
      </c>
      <c r="G1552" t="inlineStr">
        <is>
          <t>5.470000</t>
        </is>
      </c>
      <c r="H1552" t="inlineStr">
        <is>
          <t>49131.54</t>
        </is>
      </c>
      <c r="I1552" t="inlineStr">
        <is>
          <t>4.20%</t>
        </is>
      </c>
      <c r="J1552" t="inlineStr">
        <is>
          <t>1169469.00</t>
        </is>
      </c>
      <c r="K1552" t="inlineStr">
        <is>
          <t>45000</t>
        </is>
      </c>
      <c r="L1552" t="inlineStr">
        <is>
          <t>9.000000000000</t>
        </is>
      </c>
      <c r="M1552" t="inlineStr"/>
    </row>
    <row r="1553">
      <c r="A1553" t="inlineStr">
        <is>
          <t>06/25/2026</t>
        </is>
      </c>
      <c r="B1553" t="inlineStr">
        <is>
          <t>ODDZ</t>
        </is>
      </c>
      <c r="C1553" s="1" t="inlineStr">
        <is>
          <t>PENN</t>
        </is>
      </c>
      <c r="D1553" s="1" t="inlineStr">
        <is>
          <t>707569109</t>
        </is>
      </c>
      <c r="E1553" t="inlineStr">
        <is>
          <t>Penn Entertainment Inc</t>
        </is>
      </c>
      <c r="F1553" t="inlineStr">
        <is>
          <t>2745.00000000</t>
        </is>
      </c>
      <c r="G1553" t="inlineStr">
        <is>
          <t>20.380000</t>
        </is>
      </c>
      <c r="H1553" t="inlineStr">
        <is>
          <t>55943.10</t>
        </is>
      </c>
      <c r="I1553" t="inlineStr">
        <is>
          <t>4.78%</t>
        </is>
      </c>
      <c r="J1553" t="inlineStr">
        <is>
          <t>1169469.00</t>
        </is>
      </c>
      <c r="K1553" t="inlineStr">
        <is>
          <t>45000</t>
        </is>
      </c>
      <c r="L1553" t="inlineStr">
        <is>
          <t>9.000000000000</t>
        </is>
      </c>
      <c r="M1553" t="inlineStr"/>
    </row>
    <row r="1554">
      <c r="A1554" t="inlineStr">
        <is>
          <t>06/25/2026</t>
        </is>
      </c>
      <c r="B1554" t="inlineStr">
        <is>
          <t>ODDZ</t>
        </is>
      </c>
      <c r="C1554" s="1" t="inlineStr">
        <is>
          <t>PSFE</t>
        </is>
      </c>
      <c r="D1554" s="1" t="inlineStr">
        <is>
          <t>G6964L206</t>
        </is>
      </c>
      <c r="E1554" t="inlineStr">
        <is>
          <t>Paysafe Ltd</t>
        </is>
      </c>
      <c r="F1554" t="inlineStr">
        <is>
          <t>2160.00000000</t>
        </is>
      </c>
      <c r="G1554" t="inlineStr">
        <is>
          <t>6.750000</t>
        </is>
      </c>
      <c r="H1554" t="inlineStr">
        <is>
          <t>14580.00</t>
        </is>
      </c>
      <c r="I1554" t="inlineStr">
        <is>
          <t>1.25%</t>
        </is>
      </c>
      <c r="J1554" t="inlineStr">
        <is>
          <t>1169469.00</t>
        </is>
      </c>
      <c r="K1554" t="inlineStr">
        <is>
          <t>45000</t>
        </is>
      </c>
      <c r="L1554" t="inlineStr">
        <is>
          <t>9.000000000000</t>
        </is>
      </c>
      <c r="M1554" t="inlineStr"/>
    </row>
    <row r="1555">
      <c r="A1555" t="inlineStr">
        <is>
          <t>06/25/2026</t>
        </is>
      </c>
      <c r="B1555" t="inlineStr">
        <is>
          <t>ODDZ</t>
        </is>
      </c>
      <c r="C1555" s="1" t="inlineStr">
        <is>
          <t>RRR</t>
        </is>
      </c>
      <c r="D1555" s="1" t="inlineStr">
        <is>
          <t>75700L108</t>
        </is>
      </c>
      <c r="E1555" t="inlineStr">
        <is>
          <t>Red Rock Resorts Inc</t>
        </is>
      </c>
      <c r="F1555" t="inlineStr">
        <is>
          <t>1008.00000000</t>
        </is>
      </c>
      <c r="G1555" t="inlineStr">
        <is>
          <t>62.500000</t>
        </is>
      </c>
      <c r="H1555" t="inlineStr">
        <is>
          <t>63000.00</t>
        </is>
      </c>
      <c r="I1555" t="inlineStr">
        <is>
          <t>5.39%</t>
        </is>
      </c>
      <c r="J1555" t="inlineStr">
        <is>
          <t>1169469.00</t>
        </is>
      </c>
      <c r="K1555" t="inlineStr">
        <is>
          <t>45000</t>
        </is>
      </c>
      <c r="L1555" t="inlineStr">
        <is>
          <t>9.000000000000</t>
        </is>
      </c>
      <c r="M1555" t="inlineStr"/>
    </row>
    <row r="1556">
      <c r="A1556" t="inlineStr">
        <is>
          <t>06/25/2026</t>
        </is>
      </c>
      <c r="B1556" t="inlineStr">
        <is>
          <t>ODDZ</t>
        </is>
      </c>
      <c r="C1556" s="1" t="inlineStr">
        <is>
          <t>RSI</t>
        </is>
      </c>
      <c r="D1556" s="1" t="inlineStr">
        <is>
          <t>782011100</t>
        </is>
      </c>
      <c r="E1556" t="inlineStr">
        <is>
          <t>Rush Street Interactive Inc</t>
        </is>
      </c>
      <c r="F1556" t="inlineStr">
        <is>
          <t>2052.00000000</t>
        </is>
      </c>
      <c r="G1556" t="inlineStr">
        <is>
          <t>29.830000</t>
        </is>
      </c>
      <c r="H1556" t="inlineStr">
        <is>
          <t>61211.16</t>
        </is>
      </c>
      <c r="I1556" t="inlineStr">
        <is>
          <t>5.23%</t>
        </is>
      </c>
      <c r="J1556" t="inlineStr">
        <is>
          <t>1169469.00</t>
        </is>
      </c>
      <c r="K1556" t="inlineStr">
        <is>
          <t>45000</t>
        </is>
      </c>
      <c r="L1556" t="inlineStr">
        <is>
          <t>9.000000000000</t>
        </is>
      </c>
      <c r="M1556" t="inlineStr"/>
    </row>
    <row r="1557">
      <c r="A1557" t="inlineStr">
        <is>
          <t>06/25/2026</t>
        </is>
      </c>
      <c r="B1557" t="inlineStr">
        <is>
          <t>ODDZ</t>
        </is>
      </c>
      <c r="C1557" s="1" t="inlineStr">
        <is>
          <t>SGHC</t>
        </is>
      </c>
      <c r="D1557" s="1" t="inlineStr">
        <is>
          <t>G8588X103</t>
        </is>
      </c>
      <c r="E1557" t="inlineStr">
        <is>
          <t>Super Group SGHC Ltd</t>
        </is>
      </c>
      <c r="F1557" t="inlineStr">
        <is>
          <t>3717.00000000</t>
        </is>
      </c>
      <c r="G1557" t="inlineStr">
        <is>
          <t>13.320000</t>
        </is>
      </c>
      <c r="H1557" t="inlineStr">
        <is>
          <t>49510.44</t>
        </is>
      </c>
      <c r="I1557" t="inlineStr">
        <is>
          <t>4.23%</t>
        </is>
      </c>
      <c r="J1557" t="inlineStr">
        <is>
          <t>1169469.00</t>
        </is>
      </c>
      <c r="K1557" t="inlineStr">
        <is>
          <t>45000</t>
        </is>
      </c>
      <c r="L1557" t="inlineStr">
        <is>
          <t>9.000000000000</t>
        </is>
      </c>
      <c r="M1557" t="inlineStr"/>
    </row>
    <row r="1558">
      <c r="A1558" t="inlineStr">
        <is>
          <t>06/25/2026</t>
        </is>
      </c>
      <c r="B1558" t="inlineStr">
        <is>
          <t>ODDZ</t>
        </is>
      </c>
      <c r="C1558" s="1" t="inlineStr">
        <is>
          <t>SRAD</t>
        </is>
      </c>
      <c r="D1558" s="1" t="inlineStr">
        <is>
          <t>H8088L103</t>
        </is>
      </c>
      <c r="E1558" t="inlineStr">
        <is>
          <t>Sportradar Group AG</t>
        </is>
      </c>
      <c r="F1558" t="inlineStr">
        <is>
          <t>3600.00000000</t>
        </is>
      </c>
      <c r="G1558" t="inlineStr">
        <is>
          <t>14.780000</t>
        </is>
      </c>
      <c r="H1558" t="inlineStr">
        <is>
          <t>53208.00</t>
        </is>
      </c>
      <c r="I1558" t="inlineStr">
        <is>
          <t>4.55%</t>
        </is>
      </c>
      <c r="J1558" t="inlineStr">
        <is>
          <t>1169469.00</t>
        </is>
      </c>
      <c r="K1558" t="inlineStr">
        <is>
          <t>45000</t>
        </is>
      </c>
      <c r="L1558" t="inlineStr">
        <is>
          <t>9.000000000000</t>
        </is>
      </c>
      <c r="M1558" t="inlineStr"/>
    </row>
    <row r="1559">
      <c r="A1559" t="inlineStr">
        <is>
          <t>06/25/2026</t>
        </is>
      </c>
      <c r="B1559" t="inlineStr">
        <is>
          <t>ODDZ</t>
        </is>
      </c>
      <c r="C1559" s="1" t="inlineStr">
        <is>
          <t>WYNN</t>
        </is>
      </c>
      <c r="D1559" s="1" t="inlineStr">
        <is>
          <t>983134107</t>
        </is>
      </c>
      <c r="E1559" t="inlineStr">
        <is>
          <t>Wynn Resorts Ltd</t>
        </is>
      </c>
      <c r="F1559" t="inlineStr">
        <is>
          <t>540.00000000</t>
        </is>
      </c>
      <c r="G1559" t="inlineStr">
        <is>
          <t>103.750000</t>
        </is>
      </c>
      <c r="H1559" t="inlineStr">
        <is>
          <t>56025.00</t>
        </is>
      </c>
      <c r="I1559" t="inlineStr">
        <is>
          <t>4.79%</t>
        </is>
      </c>
      <c r="J1559" t="inlineStr">
        <is>
          <t>1169469.00</t>
        </is>
      </c>
      <c r="K1559" t="inlineStr">
        <is>
          <t>45000</t>
        </is>
      </c>
      <c r="L1559" t="inlineStr">
        <is>
          <t>9.000000000000</t>
        </is>
      </c>
      <c r="M1559" t="inlineStr"/>
    </row>
    <row r="1560">
      <c r="A1560" t="inlineStr">
        <is>
          <t>06/25/2026</t>
        </is>
      </c>
      <c r="B1560" t="inlineStr">
        <is>
          <t>ODDZ</t>
        </is>
      </c>
      <c r="C1560" s="1" t="inlineStr">
        <is>
          <t>Cash&amp;Other</t>
        </is>
      </c>
      <c r="D1560" s="1" t="inlineStr">
        <is>
          <t>Cash&amp;Other</t>
        </is>
      </c>
      <c r="E1560" t="inlineStr">
        <is>
          <t>Cash &amp; Other</t>
        </is>
      </c>
      <c r="F1560" t="inlineStr">
        <is>
          <t>293.01000000</t>
        </is>
      </c>
      <c r="G1560" t="inlineStr">
        <is>
          <t>1.000000</t>
        </is>
      </c>
      <c r="H1560" t="inlineStr">
        <is>
          <t>293.01</t>
        </is>
      </c>
      <c r="I1560" t="inlineStr">
        <is>
          <t>0.03%</t>
        </is>
      </c>
      <c r="J1560" t="inlineStr">
        <is>
          <t>1169469.00</t>
        </is>
      </c>
      <c r="K1560" t="inlineStr">
        <is>
          <t>45000</t>
        </is>
      </c>
      <c r="L1560" t="inlineStr">
        <is>
          <t>9.000000000000</t>
        </is>
      </c>
      <c r="M1560" t="inlineStr">
        <is>
          <t>Y</t>
        </is>
      </c>
    </row>
    <row r="1561">
      <c r="A1561" t="inlineStr">
        <is>
          <t>06/25/2026</t>
        </is>
      </c>
      <c r="B1561" t="inlineStr">
        <is>
          <t>ONTX</t>
        </is>
      </c>
      <c r="C1561" s="1" t="inlineStr">
        <is>
          <t>683344105-TRS-12/01/27-L-CANT</t>
        </is>
      </c>
      <c r="D1561" s="1" t="inlineStr">
        <is>
          <t>683344105-TRS-12/01/27-L-CANT</t>
        </is>
      </c>
      <c r="E1561" t="inlineStr">
        <is>
          <t>ONTO INNOVATION INC.-SWAP-CANT-L</t>
        </is>
      </c>
      <c r="F1561" t="inlineStr">
        <is>
          <t>1579.00000000</t>
        </is>
      </c>
      <c r="G1561" t="inlineStr">
        <is>
          <t>322.240000</t>
        </is>
      </c>
      <c r="H1561" t="inlineStr">
        <is>
          <t>508816.96</t>
        </is>
      </c>
      <c r="I1561" t="inlineStr">
        <is>
          <t>195.60%</t>
        </is>
      </c>
      <c r="J1561" t="inlineStr">
        <is>
          <t>260136.00</t>
        </is>
      </c>
      <c r="K1561" t="inlineStr">
        <is>
          <t>10000</t>
        </is>
      </c>
      <c r="L1561" t="inlineStr">
        <is>
          <t>2.000000000000</t>
        </is>
      </c>
      <c r="M1561" t="inlineStr"/>
    </row>
    <row r="1562">
      <c r="A1562" t="inlineStr">
        <is>
          <t>06/25/2026</t>
        </is>
      </c>
      <c r="B1562" t="inlineStr">
        <is>
          <t>ONTX</t>
        </is>
      </c>
      <c r="C1562" s="1" t="inlineStr">
        <is>
          <t>FGXXX</t>
        </is>
      </c>
      <c r="D1562" s="1" t="inlineStr">
        <is>
          <t>31846V336</t>
        </is>
      </c>
      <c r="E1562" t="inlineStr">
        <is>
          <t>First American Government Obligations Fund 12/01/2031</t>
        </is>
      </c>
      <c r="F1562" t="inlineStr">
        <is>
          <t>25275.00000000</t>
        </is>
      </c>
      <c r="G1562" t="inlineStr">
        <is>
          <t>100.000000</t>
        </is>
      </c>
      <c r="H1562" t="inlineStr">
        <is>
          <t>25275.00</t>
        </is>
      </c>
      <c r="I1562" t="inlineStr">
        <is>
          <t>9.72%</t>
        </is>
      </c>
      <c r="J1562" t="inlineStr">
        <is>
          <t>260136.00</t>
        </is>
      </c>
      <c r="K1562" t="inlineStr">
        <is>
          <t>10000</t>
        </is>
      </c>
      <c r="L1562" t="inlineStr">
        <is>
          <t>2.000000000000</t>
        </is>
      </c>
      <c r="M1562" t="inlineStr">
        <is>
          <t>Y</t>
        </is>
      </c>
    </row>
    <row r="1563">
      <c r="A1563" t="inlineStr">
        <is>
          <t>06/25/2026</t>
        </is>
      </c>
      <c r="B1563" t="inlineStr">
        <is>
          <t>ONTX</t>
        </is>
      </c>
      <c r="C1563" s="1" t="inlineStr">
        <is>
          <t>Cash&amp;Other</t>
        </is>
      </c>
      <c r="D1563" s="1" t="inlineStr">
        <is>
          <t>Cash&amp;Other</t>
        </is>
      </c>
      <c r="E1563" t="inlineStr">
        <is>
          <t>Cash &amp; Other</t>
        </is>
      </c>
      <c r="F1563" t="inlineStr">
        <is>
          <t>-274038.44000000</t>
        </is>
      </c>
      <c r="G1563" t="inlineStr">
        <is>
          <t>1.000000</t>
        </is>
      </c>
      <c r="H1563" t="inlineStr">
        <is>
          <t>-274038.44</t>
        </is>
      </c>
      <c r="I1563" t="inlineStr">
        <is>
          <t>-105.34%</t>
        </is>
      </c>
      <c r="J1563" t="inlineStr">
        <is>
          <t>260136.00</t>
        </is>
      </c>
      <c r="K1563" t="inlineStr">
        <is>
          <t>10000</t>
        </is>
      </c>
      <c r="L1563" t="inlineStr">
        <is>
          <t>2.000000000000</t>
        </is>
      </c>
      <c r="M1563" t="inlineStr">
        <is>
          <t>Y</t>
        </is>
      </c>
    </row>
    <row r="1564">
      <c r="A1564" t="inlineStr">
        <is>
          <t>06/25/2026</t>
        </is>
      </c>
      <c r="B1564" t="inlineStr">
        <is>
          <t>OWN</t>
        </is>
      </c>
      <c r="C1564" s="1" t="inlineStr">
        <is>
          <t>AAPL</t>
        </is>
      </c>
      <c r="D1564" s="1" t="inlineStr">
        <is>
          <t>037833100</t>
        </is>
      </c>
      <c r="E1564" t="inlineStr">
        <is>
          <t>Apple Inc</t>
        </is>
      </c>
      <c r="F1564" t="inlineStr">
        <is>
          <t>43.00000000</t>
        </is>
      </c>
      <c r="G1564" t="inlineStr">
        <is>
          <t>293.080000</t>
        </is>
      </c>
      <c r="H1564" t="inlineStr">
        <is>
          <t>12602.44</t>
        </is>
      </c>
      <c r="I1564" t="inlineStr">
        <is>
          <t>0.53%</t>
        </is>
      </c>
      <c r="J1564" t="inlineStr">
        <is>
          <t>2364520.00</t>
        </is>
      </c>
      <c r="K1564" t="inlineStr">
        <is>
          <t>100000</t>
        </is>
      </c>
      <c r="L1564" t="inlineStr">
        <is>
          <t>10.000000000000</t>
        </is>
      </c>
      <c r="M1564" t="inlineStr"/>
    </row>
    <row r="1565">
      <c r="A1565" t="inlineStr">
        <is>
          <t>06/25/2026</t>
        </is>
      </c>
      <c r="B1565" t="inlineStr">
        <is>
          <t>OWN</t>
        </is>
      </c>
      <c r="C1565" s="1" t="inlineStr">
        <is>
          <t>ABNB</t>
        </is>
      </c>
      <c r="D1565" s="1" t="inlineStr">
        <is>
          <t>009066101</t>
        </is>
      </c>
      <c r="E1565" t="inlineStr">
        <is>
          <t>Airbnb Inc</t>
        </is>
      </c>
      <c r="F1565" t="inlineStr">
        <is>
          <t>118.00000000</t>
        </is>
      </c>
      <c r="G1565" t="inlineStr">
        <is>
          <t>144.400000</t>
        </is>
      </c>
      <c r="H1565" t="inlineStr">
        <is>
          <t>17039.20</t>
        </is>
      </c>
      <c r="I1565" t="inlineStr">
        <is>
          <t>0.72%</t>
        </is>
      </c>
      <c r="J1565" t="inlineStr">
        <is>
          <t>2364520.00</t>
        </is>
      </c>
      <c r="K1565" t="inlineStr">
        <is>
          <t>100000</t>
        </is>
      </c>
      <c r="L1565" t="inlineStr">
        <is>
          <t>10.000000000000</t>
        </is>
      </c>
      <c r="M1565" t="inlineStr"/>
    </row>
    <row r="1566">
      <c r="A1566" t="inlineStr">
        <is>
          <t>06/25/2026</t>
        </is>
      </c>
      <c r="B1566" t="inlineStr">
        <is>
          <t>OWN</t>
        </is>
      </c>
      <c r="C1566" s="1" t="inlineStr">
        <is>
          <t>ACGL</t>
        </is>
      </c>
      <c r="D1566" s="1" t="inlineStr">
        <is>
          <t>G0450A105</t>
        </is>
      </c>
      <c r="E1566" t="inlineStr">
        <is>
          <t>Arch Capital Group Ltd</t>
        </is>
      </c>
      <c r="F1566" t="inlineStr">
        <is>
          <t>71.00000000</t>
        </is>
      </c>
      <c r="G1566" t="inlineStr">
        <is>
          <t>94.920000</t>
        </is>
      </c>
      <c r="H1566" t="inlineStr">
        <is>
          <t>6739.32</t>
        </is>
      </c>
      <c r="I1566" t="inlineStr">
        <is>
          <t>0.29%</t>
        </is>
      </c>
      <c r="J1566" t="inlineStr">
        <is>
          <t>2364520.00</t>
        </is>
      </c>
      <c r="K1566" t="inlineStr">
        <is>
          <t>100000</t>
        </is>
      </c>
      <c r="L1566" t="inlineStr">
        <is>
          <t>10.000000000000</t>
        </is>
      </c>
      <c r="M1566" t="inlineStr"/>
    </row>
    <row r="1567">
      <c r="A1567" t="inlineStr">
        <is>
          <t>06/25/2026</t>
        </is>
      </c>
      <c r="B1567" t="inlineStr">
        <is>
          <t>OWN</t>
        </is>
      </c>
      <c r="C1567" s="1" t="inlineStr">
        <is>
          <t>AMAT</t>
        </is>
      </c>
      <c r="D1567" s="1" t="inlineStr">
        <is>
          <t>038222105</t>
        </is>
      </c>
      <c r="E1567" t="inlineStr">
        <is>
          <t>Applied Materials Inc</t>
        </is>
      </c>
      <c r="F1567" t="inlineStr">
        <is>
          <t>11.00000000</t>
        </is>
      </c>
      <c r="G1567" t="inlineStr">
        <is>
          <t>588.970000</t>
        </is>
      </c>
      <c r="H1567" t="inlineStr">
        <is>
          <t>6478.67</t>
        </is>
      </c>
      <c r="I1567" t="inlineStr">
        <is>
          <t>0.27%</t>
        </is>
      </c>
      <c r="J1567" t="inlineStr">
        <is>
          <t>2364520.00</t>
        </is>
      </c>
      <c r="K1567" t="inlineStr">
        <is>
          <t>100000</t>
        </is>
      </c>
      <c r="L1567" t="inlineStr">
        <is>
          <t>10.000000000000</t>
        </is>
      </c>
      <c r="M1567" t="inlineStr"/>
    </row>
    <row r="1568">
      <c r="A1568" t="inlineStr">
        <is>
          <t>06/25/2026</t>
        </is>
      </c>
      <c r="B1568" t="inlineStr">
        <is>
          <t>OWN</t>
        </is>
      </c>
      <c r="C1568" s="1" t="inlineStr">
        <is>
          <t>AMD</t>
        </is>
      </c>
      <c r="D1568" s="1" t="inlineStr">
        <is>
          <t>007903107</t>
        </is>
      </c>
      <c r="E1568" t="inlineStr">
        <is>
          <t>Advanced Micro Devices Inc</t>
        </is>
      </c>
      <c r="F1568" t="inlineStr">
        <is>
          <t>33.00000000</t>
        </is>
      </c>
      <c r="G1568" t="inlineStr">
        <is>
          <t>519.740000</t>
        </is>
      </c>
      <c r="H1568" t="inlineStr">
        <is>
          <t>17151.42</t>
        </is>
      </c>
      <c r="I1568" t="inlineStr">
        <is>
          <t>0.73%</t>
        </is>
      </c>
      <c r="J1568" t="inlineStr">
        <is>
          <t>2364520.00</t>
        </is>
      </c>
      <c r="K1568" t="inlineStr">
        <is>
          <t>100000</t>
        </is>
      </c>
      <c r="L1568" t="inlineStr">
        <is>
          <t>10.000000000000</t>
        </is>
      </c>
      <c r="M1568" t="inlineStr"/>
    </row>
    <row r="1569">
      <c r="A1569" t="inlineStr">
        <is>
          <t>06/25/2026</t>
        </is>
      </c>
      <c r="B1569" t="inlineStr">
        <is>
          <t>OWN</t>
        </is>
      </c>
      <c r="C1569" s="1" t="inlineStr">
        <is>
          <t>AMZN</t>
        </is>
      </c>
      <c r="D1569" s="1" t="inlineStr">
        <is>
          <t>023135106</t>
        </is>
      </c>
      <c r="E1569" t="inlineStr">
        <is>
          <t>Amazon.com Inc</t>
        </is>
      </c>
      <c r="F1569" t="inlineStr">
        <is>
          <t>823.00000000</t>
        </is>
      </c>
      <c r="G1569" t="inlineStr">
        <is>
          <t>234.270000</t>
        </is>
      </c>
      <c r="H1569" t="inlineStr">
        <is>
          <t>192804.21</t>
        </is>
      </c>
      <c r="I1569" t="inlineStr">
        <is>
          <t>8.15%</t>
        </is>
      </c>
      <c r="J1569" t="inlineStr">
        <is>
          <t>2364520.00</t>
        </is>
      </c>
      <c r="K1569" t="inlineStr">
        <is>
          <t>100000</t>
        </is>
      </c>
      <c r="L1569" t="inlineStr">
        <is>
          <t>10.000000000000</t>
        </is>
      </c>
      <c r="M1569" t="inlineStr"/>
    </row>
    <row r="1570">
      <c r="A1570" t="inlineStr">
        <is>
          <t>06/25/2026</t>
        </is>
      </c>
      <c r="B1570" t="inlineStr">
        <is>
          <t>OWN</t>
        </is>
      </c>
      <c r="C1570" s="1" t="inlineStr">
        <is>
          <t>ANET</t>
        </is>
      </c>
      <c r="D1570" s="1" t="inlineStr">
        <is>
          <t>040413205</t>
        </is>
      </c>
      <c r="E1570" t="inlineStr">
        <is>
          <t>Arista Networks Inc</t>
        </is>
      </c>
      <c r="F1570" t="inlineStr">
        <is>
          <t>118.00000000</t>
        </is>
      </c>
      <c r="G1570" t="inlineStr">
        <is>
          <t>161.740000</t>
        </is>
      </c>
      <c r="H1570" t="inlineStr">
        <is>
          <t>19085.32</t>
        </is>
      </c>
      <c r="I1570" t="inlineStr">
        <is>
          <t>0.81%</t>
        </is>
      </c>
      <c r="J1570" t="inlineStr">
        <is>
          <t>2364520.00</t>
        </is>
      </c>
      <c r="K1570" t="inlineStr">
        <is>
          <t>100000</t>
        </is>
      </c>
      <c r="L1570" t="inlineStr">
        <is>
          <t>10.000000000000</t>
        </is>
      </c>
      <c r="M1570" t="inlineStr"/>
    </row>
    <row r="1571">
      <c r="A1571" t="inlineStr">
        <is>
          <t>06/25/2026</t>
        </is>
      </c>
      <c r="B1571" t="inlineStr">
        <is>
          <t>OWN</t>
        </is>
      </c>
      <c r="C1571" s="1" t="inlineStr">
        <is>
          <t>APD</t>
        </is>
      </c>
      <c r="D1571" s="1" t="inlineStr">
        <is>
          <t>009158106</t>
        </is>
      </c>
      <c r="E1571" t="inlineStr">
        <is>
          <t>Air Products and Chemicals Inc</t>
        </is>
      </c>
      <c r="F1571" t="inlineStr">
        <is>
          <t>25.00000000</t>
        </is>
      </c>
      <c r="G1571" t="inlineStr">
        <is>
          <t>278.730000</t>
        </is>
      </c>
      <c r="H1571" t="inlineStr">
        <is>
          <t>6968.25</t>
        </is>
      </c>
      <c r="I1571" t="inlineStr">
        <is>
          <t>0.29%</t>
        </is>
      </c>
      <c r="J1571" t="inlineStr">
        <is>
          <t>2364520.00</t>
        </is>
      </c>
      <c r="K1571" t="inlineStr">
        <is>
          <t>100000</t>
        </is>
      </c>
      <c r="L1571" t="inlineStr">
        <is>
          <t>10.000000000000</t>
        </is>
      </c>
      <c r="M1571" t="inlineStr"/>
    </row>
    <row r="1572">
      <c r="A1572" t="inlineStr">
        <is>
          <t>06/25/2026</t>
        </is>
      </c>
      <c r="B1572" t="inlineStr">
        <is>
          <t>OWN</t>
        </is>
      </c>
      <c r="C1572" s="1" t="inlineStr">
        <is>
          <t>APH</t>
        </is>
      </c>
      <c r="D1572" s="1" t="inlineStr">
        <is>
          <t>032095101</t>
        </is>
      </c>
      <c r="E1572" t="inlineStr">
        <is>
          <t>Amphenol Corp</t>
        </is>
      </c>
      <c r="F1572" t="inlineStr">
        <is>
          <t>70.00000000</t>
        </is>
      </c>
      <c r="G1572" t="inlineStr">
        <is>
          <t>162.780000</t>
        </is>
      </c>
      <c r="H1572" t="inlineStr">
        <is>
          <t>11394.60</t>
        </is>
      </c>
      <c r="I1572" t="inlineStr">
        <is>
          <t>0.48%</t>
        </is>
      </c>
      <c r="J1572" t="inlineStr">
        <is>
          <t>2364520.00</t>
        </is>
      </c>
      <c r="K1572" t="inlineStr">
        <is>
          <t>100000</t>
        </is>
      </c>
      <c r="L1572" t="inlineStr">
        <is>
          <t>10.000000000000</t>
        </is>
      </c>
      <c r="M1572" t="inlineStr"/>
    </row>
    <row r="1573">
      <c r="A1573" t="inlineStr">
        <is>
          <t>06/25/2026</t>
        </is>
      </c>
      <c r="B1573" t="inlineStr">
        <is>
          <t>OWN</t>
        </is>
      </c>
      <c r="C1573" s="1" t="inlineStr">
        <is>
          <t>APO</t>
        </is>
      </c>
      <c r="D1573" s="1" t="inlineStr">
        <is>
          <t>03769M106</t>
        </is>
      </c>
      <c r="E1573" t="inlineStr">
        <is>
          <t>Apollo Global Management Inc</t>
        </is>
      </c>
      <c r="F1573" t="inlineStr">
        <is>
          <t>112.00000000</t>
        </is>
      </c>
      <c r="G1573" t="inlineStr">
        <is>
          <t>122.600000</t>
        </is>
      </c>
      <c r="H1573" t="inlineStr">
        <is>
          <t>13731.20</t>
        </is>
      </c>
      <c r="I1573" t="inlineStr">
        <is>
          <t>0.58%</t>
        </is>
      </c>
      <c r="J1573" t="inlineStr">
        <is>
          <t>2364520.00</t>
        </is>
      </c>
      <c r="K1573" t="inlineStr">
        <is>
          <t>100000</t>
        </is>
      </c>
      <c r="L1573" t="inlineStr">
        <is>
          <t>10.000000000000</t>
        </is>
      </c>
      <c r="M1573" t="inlineStr"/>
    </row>
    <row r="1574">
      <c r="A1574" t="inlineStr">
        <is>
          <t>06/25/2026</t>
        </is>
      </c>
      <c r="B1574" t="inlineStr">
        <is>
          <t>OWN</t>
        </is>
      </c>
      <c r="C1574" s="1" t="inlineStr">
        <is>
          <t>APP</t>
        </is>
      </c>
      <c r="D1574" s="1" t="inlineStr">
        <is>
          <t>03831W108</t>
        </is>
      </c>
      <c r="E1574" t="inlineStr">
        <is>
          <t>AppLovin Corp</t>
        </is>
      </c>
      <c r="F1574" t="inlineStr">
        <is>
          <t>66.00000000</t>
        </is>
      </c>
      <c r="G1574" t="inlineStr">
        <is>
          <t>464.960000</t>
        </is>
      </c>
      <c r="H1574" t="inlineStr">
        <is>
          <t>30687.36</t>
        </is>
      </c>
      <c r="I1574" t="inlineStr">
        <is>
          <t>1.30%</t>
        </is>
      </c>
      <c r="J1574" t="inlineStr">
        <is>
          <t>2364520.00</t>
        </is>
      </c>
      <c r="K1574" t="inlineStr">
        <is>
          <t>100000</t>
        </is>
      </c>
      <c r="L1574" t="inlineStr">
        <is>
          <t>10.000000000000</t>
        </is>
      </c>
      <c r="M1574" t="inlineStr"/>
    </row>
    <row r="1575">
      <c r="A1575" t="inlineStr">
        <is>
          <t>06/25/2026</t>
        </is>
      </c>
      <c r="B1575" t="inlineStr">
        <is>
          <t>OWN</t>
        </is>
      </c>
      <c r="C1575" s="1" t="inlineStr">
        <is>
          <t>ARES</t>
        </is>
      </c>
      <c r="D1575" s="1" t="inlineStr">
        <is>
          <t>03990B101</t>
        </is>
      </c>
      <c r="E1575" t="inlineStr">
        <is>
          <t>Ares Management Corp</t>
        </is>
      </c>
      <c r="F1575" t="inlineStr">
        <is>
          <t>83.00000000</t>
        </is>
      </c>
      <c r="G1575" t="inlineStr">
        <is>
          <t>113.870000</t>
        </is>
      </c>
      <c r="H1575" t="inlineStr">
        <is>
          <t>9451.21</t>
        </is>
      </c>
      <c r="I1575" t="inlineStr">
        <is>
          <t>0.40%</t>
        </is>
      </c>
      <c r="J1575" t="inlineStr">
        <is>
          <t>2364520.00</t>
        </is>
      </c>
      <c r="K1575" t="inlineStr">
        <is>
          <t>100000</t>
        </is>
      </c>
      <c r="L1575" t="inlineStr">
        <is>
          <t>10.000000000000</t>
        </is>
      </c>
      <c r="M1575" t="inlineStr"/>
    </row>
    <row r="1576">
      <c r="A1576" t="inlineStr">
        <is>
          <t>06/25/2026</t>
        </is>
      </c>
      <c r="B1576" t="inlineStr">
        <is>
          <t>OWN</t>
        </is>
      </c>
      <c r="C1576" s="1" t="inlineStr">
        <is>
          <t>AVGO</t>
        </is>
      </c>
      <c r="D1576" s="1" t="inlineStr">
        <is>
          <t>11135F101</t>
        </is>
      </c>
      <c r="E1576" t="inlineStr">
        <is>
          <t>Broadcom Inc</t>
        </is>
      </c>
      <c r="F1576" t="inlineStr">
        <is>
          <t>189.00000000</t>
        </is>
      </c>
      <c r="G1576" t="inlineStr">
        <is>
          <t>382.070000</t>
        </is>
      </c>
      <c r="H1576" t="inlineStr">
        <is>
          <t>72211.23</t>
        </is>
      </c>
      <c r="I1576" t="inlineStr">
        <is>
          <t>3.05%</t>
        </is>
      </c>
      <c r="J1576" t="inlineStr">
        <is>
          <t>2364520.00</t>
        </is>
      </c>
      <c r="K1576" t="inlineStr">
        <is>
          <t>100000</t>
        </is>
      </c>
      <c r="L1576" t="inlineStr">
        <is>
          <t>10.000000000000</t>
        </is>
      </c>
      <c r="M1576" t="inlineStr"/>
    </row>
    <row r="1577">
      <c r="A1577" t="inlineStr">
        <is>
          <t>06/25/2026</t>
        </is>
      </c>
      <c r="B1577" t="inlineStr">
        <is>
          <t>OWN</t>
        </is>
      </c>
      <c r="C1577" s="1" t="inlineStr">
        <is>
          <t>AXON</t>
        </is>
      </c>
      <c r="D1577" s="1" t="inlineStr">
        <is>
          <t>05464C101</t>
        </is>
      </c>
      <c r="E1577" t="inlineStr">
        <is>
          <t>Axon Enterprise Inc</t>
        </is>
      </c>
      <c r="F1577" t="inlineStr">
        <is>
          <t>20.00000000</t>
        </is>
      </c>
      <c r="G1577" t="inlineStr">
        <is>
          <t>456.730000</t>
        </is>
      </c>
      <c r="H1577" t="inlineStr">
        <is>
          <t>9134.60</t>
        </is>
      </c>
      <c r="I1577" t="inlineStr">
        <is>
          <t>0.39%</t>
        </is>
      </c>
      <c r="J1577" t="inlineStr">
        <is>
          <t>2364520.00</t>
        </is>
      </c>
      <c r="K1577" t="inlineStr">
        <is>
          <t>100000</t>
        </is>
      </c>
      <c r="L1577" t="inlineStr">
        <is>
          <t>10.000000000000</t>
        </is>
      </c>
      <c r="M1577" t="inlineStr"/>
    </row>
    <row r="1578">
      <c r="A1578" t="inlineStr">
        <is>
          <t>06/25/2026</t>
        </is>
      </c>
      <c r="B1578" t="inlineStr">
        <is>
          <t>OWN</t>
        </is>
      </c>
      <c r="C1578" s="1" t="inlineStr">
        <is>
          <t>AZO</t>
        </is>
      </c>
      <c r="D1578" s="1" t="inlineStr">
        <is>
          <t>053332102</t>
        </is>
      </c>
      <c r="E1578" t="inlineStr">
        <is>
          <t>AutoZone Inc</t>
        </is>
      </c>
      <c r="F1578" t="inlineStr">
        <is>
          <t>3.00000000</t>
        </is>
      </c>
      <c r="G1578" t="inlineStr">
        <is>
          <t>3087.770000</t>
        </is>
      </c>
      <c r="H1578" t="inlineStr">
        <is>
          <t>9263.31</t>
        </is>
      </c>
      <c r="I1578" t="inlineStr">
        <is>
          <t>0.39%</t>
        </is>
      </c>
      <c r="J1578" t="inlineStr">
        <is>
          <t>2364520.00</t>
        </is>
      </c>
      <c r="K1578" t="inlineStr">
        <is>
          <t>100000</t>
        </is>
      </c>
      <c r="L1578" t="inlineStr">
        <is>
          <t>10.000000000000</t>
        </is>
      </c>
      <c r="M1578" t="inlineStr"/>
    </row>
    <row r="1579">
      <c r="A1579" t="inlineStr">
        <is>
          <t>06/25/2026</t>
        </is>
      </c>
      <c r="B1579" t="inlineStr">
        <is>
          <t>OWN</t>
        </is>
      </c>
      <c r="C1579" s="1" t="inlineStr">
        <is>
          <t>BAC</t>
        </is>
      </c>
      <c r="D1579" s="1" t="inlineStr">
        <is>
          <t>060505104</t>
        </is>
      </c>
      <c r="E1579" t="inlineStr">
        <is>
          <t>Bank of America Corp</t>
        </is>
      </c>
      <c r="F1579" t="inlineStr">
        <is>
          <t>111.00000000</t>
        </is>
      </c>
      <c r="G1579" t="inlineStr">
        <is>
          <t>57.730000</t>
        </is>
      </c>
      <c r="H1579" t="inlineStr">
        <is>
          <t>6408.03</t>
        </is>
      </c>
      <c r="I1579" t="inlineStr">
        <is>
          <t>0.27%</t>
        </is>
      </c>
      <c r="J1579" t="inlineStr">
        <is>
          <t>2364520.00</t>
        </is>
      </c>
      <c r="K1579" t="inlineStr">
        <is>
          <t>100000</t>
        </is>
      </c>
      <c r="L1579" t="inlineStr">
        <is>
          <t>10.000000000000</t>
        </is>
      </c>
      <c r="M1579" t="inlineStr"/>
    </row>
    <row r="1580">
      <c r="A1580" t="inlineStr">
        <is>
          <t>06/25/2026</t>
        </is>
      </c>
      <c r="B1580" t="inlineStr">
        <is>
          <t>OWN</t>
        </is>
      </c>
      <c r="C1580" s="1" t="inlineStr">
        <is>
          <t>BLK</t>
        </is>
      </c>
      <c r="D1580" s="1" t="inlineStr">
        <is>
          <t>09290D101</t>
        </is>
      </c>
      <c r="E1580" t="inlineStr">
        <is>
          <t>Blackrock Inc</t>
        </is>
      </c>
      <c r="F1580" t="inlineStr">
        <is>
          <t>14.00000000</t>
        </is>
      </c>
      <c r="G1580" t="inlineStr">
        <is>
          <t>982.600000</t>
        </is>
      </c>
      <c r="H1580" t="inlineStr">
        <is>
          <t>13756.40</t>
        </is>
      </c>
      <c r="I1580" t="inlineStr">
        <is>
          <t>0.58%</t>
        </is>
      </c>
      <c r="J1580" t="inlineStr">
        <is>
          <t>2364520.00</t>
        </is>
      </c>
      <c r="K1580" t="inlineStr">
        <is>
          <t>100000</t>
        </is>
      </c>
      <c r="L1580" t="inlineStr">
        <is>
          <t>10.000000000000</t>
        </is>
      </c>
      <c r="M1580" t="inlineStr"/>
    </row>
    <row r="1581">
      <c r="A1581" t="inlineStr">
        <is>
          <t>06/25/2026</t>
        </is>
      </c>
      <c r="B1581" t="inlineStr">
        <is>
          <t>OWN</t>
        </is>
      </c>
      <c r="C1581" s="1" t="inlineStr">
        <is>
          <t>BRK/B</t>
        </is>
      </c>
      <c r="D1581" s="1" t="inlineStr">
        <is>
          <t>084670702</t>
        </is>
      </c>
      <c r="E1581" t="inlineStr">
        <is>
          <t>Berkshire Hathaway Inc</t>
        </is>
      </c>
      <c r="F1581" t="inlineStr">
        <is>
          <t>213.00000000</t>
        </is>
      </c>
      <c r="G1581" t="inlineStr">
        <is>
          <t>494.810000</t>
        </is>
      </c>
      <c r="H1581" t="inlineStr">
        <is>
          <t>105394.53</t>
        </is>
      </c>
      <c r="I1581" t="inlineStr">
        <is>
          <t>4.46%</t>
        </is>
      </c>
      <c r="J1581" t="inlineStr">
        <is>
          <t>2364520.00</t>
        </is>
      </c>
      <c r="K1581" t="inlineStr">
        <is>
          <t>100000</t>
        </is>
      </c>
      <c r="L1581" t="inlineStr">
        <is>
          <t>10.000000000000</t>
        </is>
      </c>
      <c r="M1581" t="inlineStr"/>
    </row>
    <row r="1582">
      <c r="A1582" t="inlineStr">
        <is>
          <t>06/25/2026</t>
        </is>
      </c>
      <c r="B1582" t="inlineStr">
        <is>
          <t>OWN</t>
        </is>
      </c>
      <c r="C1582" s="1" t="inlineStr">
        <is>
          <t>BX</t>
        </is>
      </c>
      <c r="D1582" s="1" t="inlineStr">
        <is>
          <t>09260D107</t>
        </is>
      </c>
      <c r="E1582" t="inlineStr">
        <is>
          <t>Blackstone Inc</t>
        </is>
      </c>
      <c r="F1582" t="inlineStr">
        <is>
          <t>202.00000000</t>
        </is>
      </c>
      <c r="G1582" t="inlineStr">
        <is>
          <t>112.990000</t>
        </is>
      </c>
      <c r="H1582" t="inlineStr">
        <is>
          <t>22823.98</t>
        </is>
      </c>
      <c r="I1582" t="inlineStr">
        <is>
          <t>0.97%</t>
        </is>
      </c>
      <c r="J1582" t="inlineStr">
        <is>
          <t>2364520.00</t>
        </is>
      </c>
      <c r="K1582" t="inlineStr">
        <is>
          <t>100000</t>
        </is>
      </c>
      <c r="L1582" t="inlineStr">
        <is>
          <t>10.000000000000</t>
        </is>
      </c>
      <c r="M1582" t="inlineStr"/>
    </row>
    <row r="1583">
      <c r="A1583" t="inlineStr">
        <is>
          <t>06/25/2026</t>
        </is>
      </c>
      <c r="B1583" t="inlineStr">
        <is>
          <t>OWN</t>
        </is>
      </c>
      <c r="C1583" s="1" t="inlineStr">
        <is>
          <t>CARR</t>
        </is>
      </c>
      <c r="D1583" s="1" t="inlineStr">
        <is>
          <t>14448C104</t>
        </is>
      </c>
      <c r="E1583" t="inlineStr">
        <is>
          <t>Carrier Global Corp</t>
        </is>
      </c>
      <c r="F1583" t="inlineStr">
        <is>
          <t>179.00000000</t>
        </is>
      </c>
      <c r="G1583" t="inlineStr">
        <is>
          <t>74.060000</t>
        </is>
      </c>
      <c r="H1583" t="inlineStr">
        <is>
          <t>13256.74</t>
        </is>
      </c>
      <c r="I1583" t="inlineStr">
        <is>
          <t>0.56%</t>
        </is>
      </c>
      <c r="J1583" t="inlineStr">
        <is>
          <t>2364520.00</t>
        </is>
      </c>
      <c r="K1583" t="inlineStr">
        <is>
          <t>100000</t>
        </is>
      </c>
      <c r="L1583" t="inlineStr">
        <is>
          <t>10.000000000000</t>
        </is>
      </c>
      <c r="M1583" t="inlineStr"/>
    </row>
    <row r="1584">
      <c r="A1584" t="inlineStr">
        <is>
          <t>06/25/2026</t>
        </is>
      </c>
      <c r="B1584" t="inlineStr">
        <is>
          <t>OWN</t>
        </is>
      </c>
      <c r="C1584" s="1" t="inlineStr">
        <is>
          <t>CAT</t>
        </is>
      </c>
      <c r="D1584" s="1" t="inlineStr">
        <is>
          <t>149123101</t>
        </is>
      </c>
      <c r="E1584" t="inlineStr">
        <is>
          <t>Caterpillar Inc</t>
        </is>
      </c>
      <c r="F1584" t="inlineStr">
        <is>
          <t>11.00000000</t>
        </is>
      </c>
      <c r="G1584" t="inlineStr">
        <is>
          <t>994.450000</t>
        </is>
      </c>
      <c r="H1584" t="inlineStr">
        <is>
          <t>10938.95</t>
        </is>
      </c>
      <c r="I1584" t="inlineStr">
        <is>
          <t>0.46%</t>
        </is>
      </c>
      <c r="J1584" t="inlineStr">
        <is>
          <t>2364520.00</t>
        </is>
      </c>
      <c r="K1584" t="inlineStr">
        <is>
          <t>100000</t>
        </is>
      </c>
      <c r="L1584" t="inlineStr">
        <is>
          <t>10.000000000000</t>
        </is>
      </c>
      <c r="M1584" t="inlineStr"/>
    </row>
    <row r="1585">
      <c r="A1585" t="inlineStr">
        <is>
          <t>06/25/2026</t>
        </is>
      </c>
      <c r="B1585" t="inlineStr">
        <is>
          <t>OWN</t>
        </is>
      </c>
      <c r="C1585" s="1" t="inlineStr">
        <is>
          <t>CCL</t>
        </is>
      </c>
      <c r="D1585" s="1" t="inlineStr">
        <is>
          <t>G2004J103</t>
        </is>
      </c>
      <c r="E1585" t="inlineStr">
        <is>
          <t>Carnival Corp Ltd</t>
        </is>
      </c>
      <c r="F1585" t="inlineStr">
        <is>
          <t>313.00000000</t>
        </is>
      </c>
      <c r="G1585" t="inlineStr">
        <is>
          <t>28.910000</t>
        </is>
      </c>
      <c r="H1585" t="inlineStr">
        <is>
          <t>9048.83</t>
        </is>
      </c>
      <c r="I1585" t="inlineStr">
        <is>
          <t>0.38%</t>
        </is>
      </c>
      <c r="J1585" t="inlineStr">
        <is>
          <t>2364520.00</t>
        </is>
      </c>
      <c r="K1585" t="inlineStr">
        <is>
          <t>100000</t>
        </is>
      </c>
      <c r="L1585" t="inlineStr">
        <is>
          <t>10.000000000000</t>
        </is>
      </c>
      <c r="M1585" t="inlineStr"/>
    </row>
    <row r="1586">
      <c r="A1586" t="inlineStr">
        <is>
          <t>06/25/2026</t>
        </is>
      </c>
      <c r="B1586" t="inlineStr">
        <is>
          <t>OWN</t>
        </is>
      </c>
      <c r="C1586" s="1" t="inlineStr">
        <is>
          <t>CMCSA</t>
        </is>
      </c>
      <c r="D1586" s="1" t="inlineStr">
        <is>
          <t>20030N101</t>
        </is>
      </c>
      <c r="E1586" t="inlineStr">
        <is>
          <t>Comcast Corp</t>
        </is>
      </c>
      <c r="F1586" t="inlineStr">
        <is>
          <t>313.00000000</t>
        </is>
      </c>
      <c r="G1586" t="inlineStr">
        <is>
          <t>22.640000</t>
        </is>
      </c>
      <c r="H1586" t="inlineStr">
        <is>
          <t>7086.32</t>
        </is>
      </c>
      <c r="I1586" t="inlineStr">
        <is>
          <t>0.30%</t>
        </is>
      </c>
      <c r="J1586" t="inlineStr">
        <is>
          <t>2364520.00</t>
        </is>
      </c>
      <c r="K1586" t="inlineStr">
        <is>
          <t>100000</t>
        </is>
      </c>
      <c r="L1586" t="inlineStr">
        <is>
          <t>10.000000000000</t>
        </is>
      </c>
      <c r="M1586" t="inlineStr"/>
    </row>
    <row r="1587">
      <c r="A1587" t="inlineStr">
        <is>
          <t>06/25/2026</t>
        </is>
      </c>
      <c r="B1587" t="inlineStr">
        <is>
          <t>OWN</t>
        </is>
      </c>
      <c r="C1587" s="1" t="inlineStr">
        <is>
          <t>COIN</t>
        </is>
      </c>
      <c r="D1587" s="1" t="inlineStr">
        <is>
          <t>19260Q107</t>
        </is>
      </c>
      <c r="E1587" t="inlineStr">
        <is>
          <t>Coinbase Global Inc</t>
        </is>
      </c>
      <c r="F1587" t="inlineStr">
        <is>
          <t>62.00000000</t>
        </is>
      </c>
      <c r="G1587" t="inlineStr">
        <is>
          <t>150.110000</t>
        </is>
      </c>
      <c r="H1587" t="inlineStr">
        <is>
          <t>9306.82</t>
        </is>
      </c>
      <c r="I1587" t="inlineStr">
        <is>
          <t>0.39%</t>
        </is>
      </c>
      <c r="J1587" t="inlineStr">
        <is>
          <t>2364520.00</t>
        </is>
      </c>
      <c r="K1587" t="inlineStr">
        <is>
          <t>100000</t>
        </is>
      </c>
      <c r="L1587" t="inlineStr">
        <is>
          <t>10.000000000000</t>
        </is>
      </c>
      <c r="M1587" t="inlineStr"/>
    </row>
    <row r="1588">
      <c r="A1588" t="inlineStr">
        <is>
          <t>06/25/2026</t>
        </is>
      </c>
      <c r="B1588" t="inlineStr">
        <is>
          <t>OWN</t>
        </is>
      </c>
      <c r="C1588" s="1" t="inlineStr">
        <is>
          <t>CPAY</t>
        </is>
      </c>
      <c r="D1588" s="1" t="inlineStr">
        <is>
          <t>219948106</t>
        </is>
      </c>
      <c r="E1588" t="inlineStr">
        <is>
          <t>Corpay Inc</t>
        </is>
      </c>
      <c r="F1588" t="inlineStr">
        <is>
          <t>23.00000000</t>
        </is>
      </c>
      <c r="G1588" t="inlineStr">
        <is>
          <t>344.260000</t>
        </is>
      </c>
      <c r="H1588" t="inlineStr">
        <is>
          <t>7917.98</t>
        </is>
      </c>
      <c r="I1588" t="inlineStr">
        <is>
          <t>0.33%</t>
        </is>
      </c>
      <c r="J1588" t="inlineStr">
        <is>
          <t>2364520.00</t>
        </is>
      </c>
      <c r="K1588" t="inlineStr">
        <is>
          <t>100000</t>
        </is>
      </c>
      <c r="L1588" t="inlineStr">
        <is>
          <t>10.000000000000</t>
        </is>
      </c>
      <c r="M1588" t="inlineStr"/>
    </row>
    <row r="1589">
      <c r="A1589" t="inlineStr">
        <is>
          <t>06/25/2026</t>
        </is>
      </c>
      <c r="B1589" t="inlineStr">
        <is>
          <t>OWN</t>
        </is>
      </c>
      <c r="C1589" s="1" t="inlineStr">
        <is>
          <t>CPRT</t>
        </is>
      </c>
      <c r="D1589" s="1" t="inlineStr">
        <is>
          <t>217204106</t>
        </is>
      </c>
      <c r="E1589" t="inlineStr">
        <is>
          <t>Copart Inc</t>
        </is>
      </c>
      <c r="F1589" t="inlineStr">
        <is>
          <t>261.00000000</t>
        </is>
      </c>
      <c r="G1589" t="inlineStr">
        <is>
          <t>30.400000</t>
        </is>
      </c>
      <c r="H1589" t="inlineStr">
        <is>
          <t>7934.40</t>
        </is>
      </c>
      <c r="I1589" t="inlineStr">
        <is>
          <t>0.34%</t>
        </is>
      </c>
      <c r="J1589" t="inlineStr">
        <is>
          <t>2364520.00</t>
        </is>
      </c>
      <c r="K1589" t="inlineStr">
        <is>
          <t>100000</t>
        </is>
      </c>
      <c r="L1589" t="inlineStr">
        <is>
          <t>10.000000000000</t>
        </is>
      </c>
      <c r="M1589" t="inlineStr"/>
    </row>
    <row r="1590">
      <c r="A1590" t="inlineStr">
        <is>
          <t>06/25/2026</t>
        </is>
      </c>
      <c r="B1590" t="inlineStr">
        <is>
          <t>OWN</t>
        </is>
      </c>
      <c r="C1590" s="1" t="inlineStr">
        <is>
          <t>CRM</t>
        </is>
      </c>
      <c r="D1590" s="1" t="inlineStr">
        <is>
          <t>79466L302</t>
        </is>
      </c>
      <c r="E1590" t="inlineStr">
        <is>
          <t>Salesforce Inc</t>
        </is>
      </c>
      <c r="F1590" t="inlineStr">
        <is>
          <t>131.00000000</t>
        </is>
      </c>
      <c r="G1590" t="inlineStr">
        <is>
          <t>152.760000</t>
        </is>
      </c>
      <c r="H1590" t="inlineStr">
        <is>
          <t>20011.56</t>
        </is>
      </c>
      <c r="I1590" t="inlineStr">
        <is>
          <t>0.85%</t>
        </is>
      </c>
      <c r="J1590" t="inlineStr">
        <is>
          <t>2364520.00</t>
        </is>
      </c>
      <c r="K1590" t="inlineStr">
        <is>
          <t>100000</t>
        </is>
      </c>
      <c r="L1590" t="inlineStr">
        <is>
          <t>10.000000000000</t>
        </is>
      </c>
      <c r="M1590" t="inlineStr"/>
    </row>
    <row r="1591">
      <c r="A1591" t="inlineStr">
        <is>
          <t>06/25/2026</t>
        </is>
      </c>
      <c r="B1591" t="inlineStr">
        <is>
          <t>OWN</t>
        </is>
      </c>
      <c r="C1591" s="1" t="inlineStr">
        <is>
          <t>CRWD</t>
        </is>
      </c>
      <c r="D1591" s="1" t="inlineStr">
        <is>
          <t>22788C105</t>
        </is>
      </c>
      <c r="E1591" t="inlineStr">
        <is>
          <t>Crowdstrike Holdings Inc</t>
        </is>
      </c>
      <c r="F1591" t="inlineStr">
        <is>
          <t>22.00000000</t>
        </is>
      </c>
      <c r="G1591" t="inlineStr">
        <is>
          <t>673.020000</t>
        </is>
      </c>
      <c r="H1591" t="inlineStr">
        <is>
          <t>14806.44</t>
        </is>
      </c>
      <c r="I1591" t="inlineStr">
        <is>
          <t>0.63%</t>
        </is>
      </c>
      <c r="J1591" t="inlineStr">
        <is>
          <t>2364520.00</t>
        </is>
      </c>
      <c r="K1591" t="inlineStr">
        <is>
          <t>100000</t>
        </is>
      </c>
      <c r="L1591" t="inlineStr">
        <is>
          <t>10.000000000000</t>
        </is>
      </c>
      <c r="M1591" t="inlineStr"/>
    </row>
    <row r="1592">
      <c r="A1592" t="inlineStr">
        <is>
          <t>06/25/2026</t>
        </is>
      </c>
      <c r="B1592" t="inlineStr">
        <is>
          <t>OWN</t>
        </is>
      </c>
      <c r="C1592" s="1" t="inlineStr">
        <is>
          <t>CTAS</t>
        </is>
      </c>
      <c r="D1592" s="1" t="inlineStr">
        <is>
          <t>172908105</t>
        </is>
      </c>
      <c r="E1592" t="inlineStr">
        <is>
          <t>Cintas Corp</t>
        </is>
      </c>
      <c r="F1592" t="inlineStr">
        <is>
          <t>91.00000000</t>
        </is>
      </c>
      <c r="G1592" t="inlineStr">
        <is>
          <t>170.930000</t>
        </is>
      </c>
      <c r="H1592" t="inlineStr">
        <is>
          <t>15554.63</t>
        </is>
      </c>
      <c r="I1592" t="inlineStr">
        <is>
          <t>0.66%</t>
        </is>
      </c>
      <c r="J1592" t="inlineStr">
        <is>
          <t>2364520.00</t>
        </is>
      </c>
      <c r="K1592" t="inlineStr">
        <is>
          <t>100000</t>
        </is>
      </c>
      <c r="L1592" t="inlineStr">
        <is>
          <t>10.000000000000</t>
        </is>
      </c>
      <c r="M1592" t="inlineStr"/>
    </row>
    <row r="1593">
      <c r="A1593" t="inlineStr">
        <is>
          <t>06/25/2026</t>
        </is>
      </c>
      <c r="B1593" t="inlineStr">
        <is>
          <t>OWN</t>
        </is>
      </c>
      <c r="C1593" s="1" t="inlineStr">
        <is>
          <t>CVNA</t>
        </is>
      </c>
      <c r="D1593" s="1" t="inlineStr">
        <is>
          <t>146869102</t>
        </is>
      </c>
      <c r="E1593" t="inlineStr">
        <is>
          <t>Carvana Co</t>
        </is>
      </c>
      <c r="F1593" t="inlineStr">
        <is>
          <t>162.00000000</t>
        </is>
      </c>
      <c r="G1593" t="inlineStr">
        <is>
          <t>67.910000</t>
        </is>
      </c>
      <c r="H1593" t="inlineStr">
        <is>
          <t>11001.42</t>
        </is>
      </c>
      <c r="I1593" t="inlineStr">
        <is>
          <t>0.47%</t>
        </is>
      </c>
      <c r="J1593" t="inlineStr">
        <is>
          <t>2364520.00</t>
        </is>
      </c>
      <c r="K1593" t="inlineStr">
        <is>
          <t>100000</t>
        </is>
      </c>
      <c r="L1593" t="inlineStr">
        <is>
          <t>10.000000000000</t>
        </is>
      </c>
      <c r="M1593" t="inlineStr"/>
    </row>
    <row r="1594">
      <c r="A1594" t="inlineStr">
        <is>
          <t>06/25/2026</t>
        </is>
      </c>
      <c r="B1594" t="inlineStr">
        <is>
          <t>OWN</t>
        </is>
      </c>
      <c r="C1594" s="1" t="inlineStr">
        <is>
          <t>CVS</t>
        </is>
      </c>
      <c r="D1594" s="1" t="inlineStr">
        <is>
          <t>126650100</t>
        </is>
      </c>
      <c r="E1594" t="inlineStr">
        <is>
          <t>CVS Health Corp</t>
        </is>
      </c>
      <c r="F1594" t="inlineStr">
        <is>
          <t>64.00000000</t>
        </is>
      </c>
      <c r="G1594" t="inlineStr">
        <is>
          <t>101.870000</t>
        </is>
      </c>
      <c r="H1594" t="inlineStr">
        <is>
          <t>6519.68</t>
        </is>
      </c>
      <c r="I1594" t="inlineStr">
        <is>
          <t>0.28%</t>
        </is>
      </c>
      <c r="J1594" t="inlineStr">
        <is>
          <t>2364520.00</t>
        </is>
      </c>
      <c r="K1594" t="inlineStr">
        <is>
          <t>100000</t>
        </is>
      </c>
      <c r="L1594" t="inlineStr">
        <is>
          <t>10.000000000000</t>
        </is>
      </c>
      <c r="M1594" t="inlineStr"/>
    </row>
    <row r="1595">
      <c r="A1595" t="inlineStr">
        <is>
          <t>06/25/2026</t>
        </is>
      </c>
      <c r="B1595" t="inlineStr">
        <is>
          <t>OWN</t>
        </is>
      </c>
      <c r="C1595" s="1" t="inlineStr">
        <is>
          <t>CVX</t>
        </is>
      </c>
      <c r="D1595" s="1" t="inlineStr">
        <is>
          <t>166764100</t>
        </is>
      </c>
      <c r="E1595" t="inlineStr">
        <is>
          <t>Chevron Corp</t>
        </is>
      </c>
      <c r="F1595" t="inlineStr">
        <is>
          <t>63.00000000</t>
        </is>
      </c>
      <c r="G1595" t="inlineStr">
        <is>
          <t>171.450000</t>
        </is>
      </c>
      <c r="H1595" t="inlineStr">
        <is>
          <t>10801.35</t>
        </is>
      </c>
      <c r="I1595" t="inlineStr">
        <is>
          <t>0.46%</t>
        </is>
      </c>
      <c r="J1595" t="inlineStr">
        <is>
          <t>2364520.00</t>
        </is>
      </c>
      <c r="K1595" t="inlineStr">
        <is>
          <t>100000</t>
        </is>
      </c>
      <c r="L1595" t="inlineStr">
        <is>
          <t>10.000000000000</t>
        </is>
      </c>
      <c r="M1595" t="inlineStr"/>
    </row>
    <row r="1596">
      <c r="A1596" t="inlineStr">
        <is>
          <t>06/25/2026</t>
        </is>
      </c>
      <c r="B1596" t="inlineStr">
        <is>
          <t>OWN</t>
        </is>
      </c>
      <c r="C1596" s="1" t="inlineStr">
        <is>
          <t>DASH</t>
        </is>
      </c>
      <c r="D1596" s="1" t="inlineStr">
        <is>
          <t>25809K105</t>
        </is>
      </c>
      <c r="E1596" t="inlineStr">
        <is>
          <t>DoorDash Inc</t>
        </is>
      </c>
      <c r="F1596" t="inlineStr">
        <is>
          <t>86.00000000</t>
        </is>
      </c>
      <c r="G1596" t="inlineStr">
        <is>
          <t>177.930000</t>
        </is>
      </c>
      <c r="H1596" t="inlineStr">
        <is>
          <t>15301.98</t>
        </is>
      </c>
      <c r="I1596" t="inlineStr">
        <is>
          <t>0.65%</t>
        </is>
      </c>
      <c r="J1596" t="inlineStr">
        <is>
          <t>2364520.00</t>
        </is>
      </c>
      <c r="K1596" t="inlineStr">
        <is>
          <t>100000</t>
        </is>
      </c>
      <c r="L1596" t="inlineStr">
        <is>
          <t>10.000000000000</t>
        </is>
      </c>
      <c r="M1596" t="inlineStr"/>
    </row>
    <row r="1597">
      <c r="A1597" t="inlineStr">
        <is>
          <t>06/25/2026</t>
        </is>
      </c>
      <c r="B1597" t="inlineStr">
        <is>
          <t>OWN</t>
        </is>
      </c>
      <c r="C1597" s="1" t="inlineStr">
        <is>
          <t>DDOG</t>
        </is>
      </c>
      <c r="D1597" s="1" t="inlineStr">
        <is>
          <t>23804L103</t>
        </is>
      </c>
      <c r="E1597" t="inlineStr">
        <is>
          <t>Datadog Inc</t>
        </is>
      </c>
      <c r="F1597" t="inlineStr">
        <is>
          <t>77.00000000</t>
        </is>
      </c>
      <c r="G1597" t="inlineStr">
        <is>
          <t>222.650000</t>
        </is>
      </c>
      <c r="H1597" t="inlineStr">
        <is>
          <t>17144.05</t>
        </is>
      </c>
      <c r="I1597" t="inlineStr">
        <is>
          <t>0.73%</t>
        </is>
      </c>
      <c r="J1597" t="inlineStr">
        <is>
          <t>2364520.00</t>
        </is>
      </c>
      <c r="K1597" t="inlineStr">
        <is>
          <t>100000</t>
        </is>
      </c>
      <c r="L1597" t="inlineStr">
        <is>
          <t>10.000000000000</t>
        </is>
      </c>
      <c r="M1597" t="inlineStr"/>
    </row>
    <row r="1598">
      <c r="A1598" t="inlineStr">
        <is>
          <t>06/25/2026</t>
        </is>
      </c>
      <c r="B1598" t="inlineStr">
        <is>
          <t>OWN</t>
        </is>
      </c>
      <c r="C1598" s="1" t="inlineStr">
        <is>
          <t>DELL</t>
        </is>
      </c>
      <c r="D1598" s="1" t="inlineStr">
        <is>
          <t>24703L202</t>
        </is>
      </c>
      <c r="E1598" t="inlineStr">
        <is>
          <t>Dell Technologies Inc</t>
        </is>
      </c>
      <c r="F1598" t="inlineStr">
        <is>
          <t>93.00000000</t>
        </is>
      </c>
      <c r="G1598" t="inlineStr">
        <is>
          <t>434.060000</t>
        </is>
      </c>
      <c r="H1598" t="inlineStr">
        <is>
          <t>40367.58</t>
        </is>
      </c>
      <c r="I1598" t="inlineStr">
        <is>
          <t>1.71%</t>
        </is>
      </c>
      <c r="J1598" t="inlineStr">
        <is>
          <t>2364520.00</t>
        </is>
      </c>
      <c r="K1598" t="inlineStr">
        <is>
          <t>100000</t>
        </is>
      </c>
      <c r="L1598" t="inlineStr">
        <is>
          <t>10.000000000000</t>
        </is>
      </c>
      <c r="M1598" t="inlineStr"/>
    </row>
    <row r="1599">
      <c r="A1599" t="inlineStr">
        <is>
          <t>06/25/2026</t>
        </is>
      </c>
      <c r="B1599" t="inlineStr">
        <is>
          <t>OWN</t>
        </is>
      </c>
      <c r="C1599" s="1" t="inlineStr">
        <is>
          <t>DHR</t>
        </is>
      </c>
      <c r="D1599" s="1" t="inlineStr">
        <is>
          <t>235851102</t>
        </is>
      </c>
      <c r="E1599" t="inlineStr">
        <is>
          <t>Danaher Corp</t>
        </is>
      </c>
      <c r="F1599" t="inlineStr">
        <is>
          <t>131.00000000</t>
        </is>
      </c>
      <c r="G1599" t="inlineStr">
        <is>
          <t>188.870000</t>
        </is>
      </c>
      <c r="H1599" t="inlineStr">
        <is>
          <t>24741.97</t>
        </is>
      </c>
      <c r="I1599" t="inlineStr">
        <is>
          <t>1.05%</t>
        </is>
      </c>
      <c r="J1599" t="inlineStr">
        <is>
          <t>2364520.00</t>
        </is>
      </c>
      <c r="K1599" t="inlineStr">
        <is>
          <t>100000</t>
        </is>
      </c>
      <c r="L1599" t="inlineStr">
        <is>
          <t>10.000000000000</t>
        </is>
      </c>
      <c r="M1599" t="inlineStr"/>
    </row>
    <row r="1600">
      <c r="A1600" t="inlineStr">
        <is>
          <t>06/25/2026</t>
        </is>
      </c>
      <c r="B1600" t="inlineStr">
        <is>
          <t>OWN</t>
        </is>
      </c>
      <c r="C1600" s="1" t="inlineStr">
        <is>
          <t>DLTR</t>
        </is>
      </c>
      <c r="D1600" s="1" t="inlineStr">
        <is>
          <t>256746108</t>
        </is>
      </c>
      <c r="E1600" t="inlineStr">
        <is>
          <t>Dollar Tree Inc</t>
        </is>
      </c>
      <c r="F1600" t="inlineStr">
        <is>
          <t>58.00000000</t>
        </is>
      </c>
      <c r="G1600" t="inlineStr">
        <is>
          <t>119.350000</t>
        </is>
      </c>
      <c r="H1600" t="inlineStr">
        <is>
          <t>6922.30</t>
        </is>
      </c>
      <c r="I1600" t="inlineStr">
        <is>
          <t>0.29%</t>
        </is>
      </c>
      <c r="J1600" t="inlineStr">
        <is>
          <t>2364520.00</t>
        </is>
      </c>
      <c r="K1600" t="inlineStr">
        <is>
          <t>100000</t>
        </is>
      </c>
      <c r="L1600" t="inlineStr">
        <is>
          <t>10.000000000000</t>
        </is>
      </c>
      <c r="M1600" t="inlineStr"/>
    </row>
    <row r="1601">
      <c r="A1601" t="inlineStr">
        <is>
          <t>06/25/2026</t>
        </is>
      </c>
      <c r="B1601" t="inlineStr">
        <is>
          <t>OWN</t>
        </is>
      </c>
      <c r="C1601" s="1" t="inlineStr">
        <is>
          <t>ECHO</t>
        </is>
      </c>
      <c r="D1601" s="1" t="inlineStr">
        <is>
          <t>278768106</t>
        </is>
      </c>
      <c r="E1601" t="inlineStr">
        <is>
          <t>EchoStar Corp</t>
        </is>
      </c>
      <c r="F1601" t="inlineStr">
        <is>
          <t>81.00000000</t>
        </is>
      </c>
      <c r="G1601" t="inlineStr">
        <is>
          <t>99.860000</t>
        </is>
      </c>
      <c r="H1601" t="inlineStr">
        <is>
          <t>8088.66</t>
        </is>
      </c>
      <c r="I1601" t="inlineStr">
        <is>
          <t>0.34%</t>
        </is>
      </c>
      <c r="J1601" t="inlineStr">
        <is>
          <t>2364520.00</t>
        </is>
      </c>
      <c r="K1601" t="inlineStr">
        <is>
          <t>100000</t>
        </is>
      </c>
      <c r="L1601" t="inlineStr">
        <is>
          <t>10.000000000000</t>
        </is>
      </c>
      <c r="M1601" t="inlineStr"/>
    </row>
    <row r="1602">
      <c r="A1602" t="inlineStr">
        <is>
          <t>06/25/2026</t>
        </is>
      </c>
      <c r="B1602" t="inlineStr">
        <is>
          <t>OWN</t>
        </is>
      </c>
      <c r="C1602" s="1" t="inlineStr">
        <is>
          <t>EL</t>
        </is>
      </c>
      <c r="D1602" s="1" t="inlineStr">
        <is>
          <t>518439104</t>
        </is>
      </c>
      <c r="E1602" t="inlineStr">
        <is>
          <t>Estee Lauder Cos Inc/The</t>
        </is>
      </c>
      <c r="F1602" t="inlineStr">
        <is>
          <t>98.00000000</t>
        </is>
      </c>
      <c r="G1602" t="inlineStr">
        <is>
          <t>83.270000</t>
        </is>
      </c>
      <c r="H1602" t="inlineStr">
        <is>
          <t>8160.46</t>
        </is>
      </c>
      <c r="I1602" t="inlineStr">
        <is>
          <t>0.35%</t>
        </is>
      </c>
      <c r="J1602" t="inlineStr">
        <is>
          <t>2364520.00</t>
        </is>
      </c>
      <c r="K1602" t="inlineStr">
        <is>
          <t>100000</t>
        </is>
      </c>
      <c r="L1602" t="inlineStr">
        <is>
          <t>10.000000000000</t>
        </is>
      </c>
      <c r="M1602" t="inlineStr"/>
    </row>
    <row r="1603">
      <c r="A1603" t="inlineStr">
        <is>
          <t>06/25/2026</t>
        </is>
      </c>
      <c r="B1603" t="inlineStr">
        <is>
          <t>OWN</t>
        </is>
      </c>
      <c r="C1603" s="1" t="inlineStr">
        <is>
          <t>EXPE</t>
        </is>
      </c>
      <c r="D1603" s="1" t="inlineStr">
        <is>
          <t>30212P303</t>
        </is>
      </c>
      <c r="E1603" t="inlineStr">
        <is>
          <t>Expedia Group Inc</t>
        </is>
      </c>
      <c r="F1603" t="inlineStr">
        <is>
          <t>32.00000000</t>
        </is>
      </c>
      <c r="G1603" t="inlineStr">
        <is>
          <t>262.150000</t>
        </is>
      </c>
      <c r="H1603" t="inlineStr">
        <is>
          <t>8388.80</t>
        </is>
      </c>
      <c r="I1603" t="inlineStr">
        <is>
          <t>0.35%</t>
        </is>
      </c>
      <c r="J1603" t="inlineStr">
        <is>
          <t>2364520.00</t>
        </is>
      </c>
      <c r="K1603" t="inlineStr">
        <is>
          <t>100000</t>
        </is>
      </c>
      <c r="L1603" t="inlineStr">
        <is>
          <t>10.000000000000</t>
        </is>
      </c>
      <c r="M1603" t="inlineStr"/>
    </row>
    <row r="1604">
      <c r="A1604" t="inlineStr">
        <is>
          <t>06/25/2026</t>
        </is>
      </c>
      <c r="B1604" t="inlineStr">
        <is>
          <t>OWN</t>
        </is>
      </c>
      <c r="C1604" s="1" t="inlineStr">
        <is>
          <t>FGXXX</t>
        </is>
      </c>
      <c r="D1604" s="1" t="inlineStr">
        <is>
          <t>31846V336</t>
        </is>
      </c>
      <c r="E1604" t="inlineStr">
        <is>
          <t>First American Government Obligations Fund 12/01/2031</t>
        </is>
      </c>
      <c r="F1604" t="inlineStr">
        <is>
          <t>72890.78000000</t>
        </is>
      </c>
      <c r="G1604" t="inlineStr">
        <is>
          <t>100.000000</t>
        </is>
      </c>
      <c r="H1604" t="inlineStr">
        <is>
          <t>72890.78</t>
        </is>
      </c>
      <c r="I1604" t="inlineStr">
        <is>
          <t>3.08%</t>
        </is>
      </c>
      <c r="J1604" t="inlineStr">
        <is>
          <t>2364520.00</t>
        </is>
      </c>
      <c r="K1604" t="inlineStr">
        <is>
          <t>100000</t>
        </is>
      </c>
      <c r="L1604" t="inlineStr">
        <is>
          <t>10.000000000000</t>
        </is>
      </c>
      <c r="M1604" t="inlineStr">
        <is>
          <t>Y</t>
        </is>
      </c>
    </row>
    <row r="1605">
      <c r="A1605" t="inlineStr">
        <is>
          <t>06/25/2026</t>
        </is>
      </c>
      <c r="B1605" t="inlineStr">
        <is>
          <t>OWN</t>
        </is>
      </c>
      <c r="C1605" s="1" t="inlineStr">
        <is>
          <t>FOXA</t>
        </is>
      </c>
      <c r="D1605" s="1" t="inlineStr">
        <is>
          <t>35137L105</t>
        </is>
      </c>
      <c r="E1605" t="inlineStr">
        <is>
          <t>Fox Corp</t>
        </is>
      </c>
      <c r="F1605" t="inlineStr">
        <is>
          <t>143.00000000</t>
        </is>
      </c>
      <c r="G1605" t="inlineStr">
        <is>
          <t>49.800000</t>
        </is>
      </c>
      <c r="H1605" t="inlineStr">
        <is>
          <t>7121.40</t>
        </is>
      </c>
      <c r="I1605" t="inlineStr">
        <is>
          <t>0.30%</t>
        </is>
      </c>
      <c r="J1605" t="inlineStr">
        <is>
          <t>2364520.00</t>
        </is>
      </c>
      <c r="K1605" t="inlineStr">
        <is>
          <t>100000</t>
        </is>
      </c>
      <c r="L1605" t="inlineStr">
        <is>
          <t>10.000000000000</t>
        </is>
      </c>
      <c r="M1605" t="inlineStr"/>
    </row>
    <row r="1606">
      <c r="A1606" t="inlineStr">
        <is>
          <t>06/25/2026</t>
        </is>
      </c>
      <c r="B1606" t="inlineStr">
        <is>
          <t>OWN</t>
        </is>
      </c>
      <c r="C1606" s="1" t="inlineStr">
        <is>
          <t>FTNT</t>
        </is>
      </c>
      <c r="D1606" s="1" t="inlineStr">
        <is>
          <t>34959E109</t>
        </is>
      </c>
      <c r="E1606" t="inlineStr">
        <is>
          <t>Fortinet Inc</t>
        </is>
      </c>
      <c r="F1606" t="inlineStr">
        <is>
          <t>142.00000000</t>
        </is>
      </c>
      <c r="G1606" t="inlineStr">
        <is>
          <t>145.280000</t>
        </is>
      </c>
      <c r="H1606" t="inlineStr">
        <is>
          <t>20629.76</t>
        </is>
      </c>
      <c r="I1606" t="inlineStr">
        <is>
          <t>0.87%</t>
        </is>
      </c>
      <c r="J1606" t="inlineStr">
        <is>
          <t>2364520.00</t>
        </is>
      </c>
      <c r="K1606" t="inlineStr">
        <is>
          <t>100000</t>
        </is>
      </c>
      <c r="L1606" t="inlineStr">
        <is>
          <t>10.000000000000</t>
        </is>
      </c>
      <c r="M1606" t="inlineStr"/>
    </row>
    <row r="1607">
      <c r="A1607" t="inlineStr">
        <is>
          <t>06/25/2026</t>
        </is>
      </c>
      <c r="B1607" t="inlineStr">
        <is>
          <t>OWN</t>
        </is>
      </c>
      <c r="C1607" s="1" t="inlineStr">
        <is>
          <t>GD</t>
        </is>
      </c>
      <c r="D1607" s="1" t="inlineStr">
        <is>
          <t>369550108</t>
        </is>
      </c>
      <c r="E1607" t="inlineStr">
        <is>
          <t>General Dynamics Corp</t>
        </is>
      </c>
      <c r="F1607" t="inlineStr">
        <is>
          <t>22.00000000</t>
        </is>
      </c>
      <c r="G1607" t="inlineStr">
        <is>
          <t>344.320000</t>
        </is>
      </c>
      <c r="H1607" t="inlineStr">
        <is>
          <t>7575.04</t>
        </is>
      </c>
      <c r="I1607" t="inlineStr">
        <is>
          <t>0.32%</t>
        </is>
      </c>
      <c r="J1607" t="inlineStr">
        <is>
          <t>2364520.00</t>
        </is>
      </c>
      <c r="K1607" t="inlineStr">
        <is>
          <t>100000</t>
        </is>
      </c>
      <c r="L1607" t="inlineStr">
        <is>
          <t>10.000000000000</t>
        </is>
      </c>
      <c r="M1607" t="inlineStr"/>
    </row>
    <row r="1608">
      <c r="A1608" t="inlineStr">
        <is>
          <t>06/25/2026</t>
        </is>
      </c>
      <c r="B1608" t="inlineStr">
        <is>
          <t>OWN</t>
        </is>
      </c>
      <c r="C1608" s="1" t="inlineStr">
        <is>
          <t>GOOGL</t>
        </is>
      </c>
      <c r="D1608" s="1" t="inlineStr">
        <is>
          <t>02079K305</t>
        </is>
      </c>
      <c r="E1608" t="inlineStr">
        <is>
          <t>Alphabet Inc</t>
        </is>
      </c>
      <c r="F1608" t="inlineStr">
        <is>
          <t>795.00000000</t>
        </is>
      </c>
      <c r="G1608" t="inlineStr">
        <is>
          <t>345.290000</t>
        </is>
      </c>
      <c r="H1608" t="inlineStr">
        <is>
          <t>274505.55</t>
        </is>
      </c>
      <c r="I1608" t="inlineStr">
        <is>
          <t>11.61%</t>
        </is>
      </c>
      <c r="J1608" t="inlineStr">
        <is>
          <t>2364520.00</t>
        </is>
      </c>
      <c r="K1608" t="inlineStr">
        <is>
          <t>100000</t>
        </is>
      </c>
      <c r="L1608" t="inlineStr">
        <is>
          <t>10.000000000000</t>
        </is>
      </c>
      <c r="M1608" t="inlineStr"/>
    </row>
    <row r="1609">
      <c r="A1609" t="inlineStr">
        <is>
          <t>06/25/2026</t>
        </is>
      </c>
      <c r="B1609" t="inlineStr">
        <is>
          <t>OWN</t>
        </is>
      </c>
      <c r="C1609" s="1" t="inlineStr">
        <is>
          <t>GRMN</t>
        </is>
      </c>
      <c r="D1609" s="1" t="inlineStr">
        <is>
          <t>H2906T109</t>
        </is>
      </c>
      <c r="E1609" t="inlineStr">
        <is>
          <t>Garmin Ltd</t>
        </is>
      </c>
      <c r="F1609" t="inlineStr">
        <is>
          <t>50.00000000</t>
        </is>
      </c>
      <c r="G1609" t="inlineStr">
        <is>
          <t>240.020000</t>
        </is>
      </c>
      <c r="H1609" t="inlineStr">
        <is>
          <t>12001.00</t>
        </is>
      </c>
      <c r="I1609" t="inlineStr">
        <is>
          <t>0.51%</t>
        </is>
      </c>
      <c r="J1609" t="inlineStr">
        <is>
          <t>2364520.00</t>
        </is>
      </c>
      <c r="K1609" t="inlineStr">
        <is>
          <t>100000</t>
        </is>
      </c>
      <c r="L1609" t="inlineStr">
        <is>
          <t>10.000000000000</t>
        </is>
      </c>
      <c r="M1609" t="inlineStr"/>
    </row>
    <row r="1610">
      <c r="A1610" t="inlineStr">
        <is>
          <t>06/25/2026</t>
        </is>
      </c>
      <c r="B1610" t="inlineStr">
        <is>
          <t>OWN</t>
        </is>
      </c>
      <c r="C1610" s="1" t="inlineStr">
        <is>
          <t>GS</t>
        </is>
      </c>
      <c r="D1610" s="1" t="inlineStr">
        <is>
          <t>38141G104</t>
        </is>
      </c>
      <c r="E1610" t="inlineStr">
        <is>
          <t>Goldman Sachs Group Inc/The</t>
        </is>
      </c>
      <c r="F1610" t="inlineStr">
        <is>
          <t>11.00000000</t>
        </is>
      </c>
      <c r="G1610" t="inlineStr">
        <is>
          <t>1076.910000</t>
        </is>
      </c>
      <c r="H1610" t="inlineStr">
        <is>
          <t>11846.01</t>
        </is>
      </c>
      <c r="I1610" t="inlineStr">
        <is>
          <t>0.50%</t>
        </is>
      </c>
      <c r="J1610" t="inlineStr">
        <is>
          <t>2364520.00</t>
        </is>
      </c>
      <c r="K1610" t="inlineStr">
        <is>
          <t>100000</t>
        </is>
      </c>
      <c r="L1610" t="inlineStr">
        <is>
          <t>10.000000000000</t>
        </is>
      </c>
      <c r="M1610" t="inlineStr"/>
    </row>
    <row r="1611">
      <c r="A1611" t="inlineStr">
        <is>
          <t>06/25/2026</t>
        </is>
      </c>
      <c r="B1611" t="inlineStr">
        <is>
          <t>OWN</t>
        </is>
      </c>
      <c r="C1611" s="1" t="inlineStr">
        <is>
          <t>GWW</t>
        </is>
      </c>
      <c r="D1611" s="1" t="inlineStr">
        <is>
          <t>384802104</t>
        </is>
      </c>
      <c r="E1611" t="inlineStr">
        <is>
          <t>WW Grainger Inc</t>
        </is>
      </c>
      <c r="F1611" t="inlineStr">
        <is>
          <t>10.00000000</t>
        </is>
      </c>
      <c r="G1611" t="inlineStr">
        <is>
          <t>1342.570000</t>
        </is>
      </c>
      <c r="H1611" t="inlineStr">
        <is>
          <t>13425.70</t>
        </is>
      </c>
      <c r="I1611" t="inlineStr">
        <is>
          <t>0.57%</t>
        </is>
      </c>
      <c r="J1611" t="inlineStr">
        <is>
          <t>2364520.00</t>
        </is>
      </c>
      <c r="K1611" t="inlineStr">
        <is>
          <t>100000</t>
        </is>
      </c>
      <c r="L1611" t="inlineStr">
        <is>
          <t>10.000000000000</t>
        </is>
      </c>
      <c r="M1611" t="inlineStr"/>
    </row>
    <row r="1612">
      <c r="A1612" t="inlineStr">
        <is>
          <t>06/25/2026</t>
        </is>
      </c>
      <c r="B1612" t="inlineStr">
        <is>
          <t>OWN</t>
        </is>
      </c>
      <c r="C1612" s="1" t="inlineStr">
        <is>
          <t>HCA</t>
        </is>
      </c>
      <c r="D1612" s="1" t="inlineStr">
        <is>
          <t>40412C101</t>
        </is>
      </c>
      <c r="E1612" t="inlineStr">
        <is>
          <t>HCA Healthcare Inc</t>
        </is>
      </c>
      <c r="F1612" t="inlineStr">
        <is>
          <t>23.00000000</t>
        </is>
      </c>
      <c r="G1612" t="inlineStr">
        <is>
          <t>387.760000</t>
        </is>
      </c>
      <c r="H1612" t="inlineStr">
        <is>
          <t>8918.48</t>
        </is>
      </c>
      <c r="I1612" t="inlineStr">
        <is>
          <t>0.38%</t>
        </is>
      </c>
      <c r="J1612" t="inlineStr">
        <is>
          <t>2364520.00</t>
        </is>
      </c>
      <c r="K1612" t="inlineStr">
        <is>
          <t>100000</t>
        </is>
      </c>
      <c r="L1612" t="inlineStr">
        <is>
          <t>10.000000000000</t>
        </is>
      </c>
      <c r="M1612" t="inlineStr"/>
    </row>
    <row r="1613">
      <c r="A1613" t="inlineStr">
        <is>
          <t>06/25/2026</t>
        </is>
      </c>
      <c r="B1613" t="inlineStr">
        <is>
          <t>OWN</t>
        </is>
      </c>
      <c r="C1613" s="1" t="inlineStr">
        <is>
          <t>HLT</t>
        </is>
      </c>
      <c r="D1613" s="1" t="inlineStr">
        <is>
          <t>43300A203</t>
        </is>
      </c>
      <c r="E1613" t="inlineStr">
        <is>
          <t>Hilton Worldwide Holdings Inc</t>
        </is>
      </c>
      <c r="F1613" t="inlineStr">
        <is>
          <t>30.00000000</t>
        </is>
      </c>
      <c r="G1613" t="inlineStr">
        <is>
          <t>343.420000</t>
        </is>
      </c>
      <c r="H1613" t="inlineStr">
        <is>
          <t>10302.60</t>
        </is>
      </c>
      <c r="I1613" t="inlineStr">
        <is>
          <t>0.44%</t>
        </is>
      </c>
      <c r="J1613" t="inlineStr">
        <is>
          <t>2364520.00</t>
        </is>
      </c>
      <c r="K1613" t="inlineStr">
        <is>
          <t>100000</t>
        </is>
      </c>
      <c r="L1613" t="inlineStr">
        <is>
          <t>10.000000000000</t>
        </is>
      </c>
      <c r="M1613" t="inlineStr"/>
    </row>
    <row r="1614">
      <c r="A1614" t="inlineStr">
        <is>
          <t>06/25/2026</t>
        </is>
      </c>
      <c r="B1614" t="inlineStr">
        <is>
          <t>OWN</t>
        </is>
      </c>
      <c r="C1614" s="1" t="inlineStr">
        <is>
          <t>HOOD</t>
        </is>
      </c>
      <c r="D1614" s="1" t="inlineStr">
        <is>
          <t>770700102</t>
        </is>
      </c>
      <c r="E1614" t="inlineStr">
        <is>
          <t>Robinhood Markets Inc</t>
        </is>
      </c>
      <c r="F1614" t="inlineStr">
        <is>
          <t>145.00000000</t>
        </is>
      </c>
      <c r="G1614" t="inlineStr">
        <is>
          <t>97.190000</t>
        </is>
      </c>
      <c r="H1614" t="inlineStr">
        <is>
          <t>14092.55</t>
        </is>
      </c>
      <c r="I1614" t="inlineStr">
        <is>
          <t>0.60%</t>
        </is>
      </c>
      <c r="J1614" t="inlineStr">
        <is>
          <t>2364520.00</t>
        </is>
      </c>
      <c r="K1614" t="inlineStr">
        <is>
          <t>100000</t>
        </is>
      </c>
      <c r="L1614" t="inlineStr">
        <is>
          <t>10.000000000000</t>
        </is>
      </c>
      <c r="M1614" t="inlineStr"/>
    </row>
    <row r="1615">
      <c r="A1615" t="inlineStr">
        <is>
          <t>06/25/2026</t>
        </is>
      </c>
      <c r="B1615" t="inlineStr">
        <is>
          <t>OWN</t>
        </is>
      </c>
      <c r="C1615" s="1" t="inlineStr">
        <is>
          <t>IBKR</t>
        </is>
      </c>
      <c r="D1615" s="1" t="inlineStr">
        <is>
          <t>45841N107</t>
        </is>
      </c>
      <c r="E1615" t="inlineStr">
        <is>
          <t>Interactive Brokers Group Inc</t>
        </is>
      </c>
      <c r="F1615" t="inlineStr">
        <is>
          <t>67.00000000</t>
        </is>
      </c>
      <c r="G1615" t="inlineStr">
        <is>
          <t>92.790000</t>
        </is>
      </c>
      <c r="H1615" t="inlineStr">
        <is>
          <t>6216.93</t>
        </is>
      </c>
      <c r="I1615" t="inlineStr">
        <is>
          <t>0.26%</t>
        </is>
      </c>
      <c r="J1615" t="inlineStr">
        <is>
          <t>2364520.00</t>
        </is>
      </c>
      <c r="K1615" t="inlineStr">
        <is>
          <t>100000</t>
        </is>
      </c>
      <c r="L1615" t="inlineStr">
        <is>
          <t>10.000000000000</t>
        </is>
      </c>
      <c r="M1615" t="inlineStr"/>
    </row>
    <row r="1616">
      <c r="A1616" t="inlineStr">
        <is>
          <t>06/25/2026</t>
        </is>
      </c>
      <c r="B1616" t="inlineStr">
        <is>
          <t>OWN</t>
        </is>
      </c>
      <c r="C1616" s="1" t="inlineStr">
        <is>
          <t>INCY</t>
        </is>
      </c>
      <c r="D1616" s="1" t="inlineStr">
        <is>
          <t>45337C102</t>
        </is>
      </c>
      <c r="E1616" t="inlineStr">
        <is>
          <t>Incyte Corp</t>
        </is>
      </c>
      <c r="F1616" t="inlineStr">
        <is>
          <t>65.00000000</t>
        </is>
      </c>
      <c r="G1616" t="inlineStr">
        <is>
          <t>108.460000</t>
        </is>
      </c>
      <c r="H1616" t="inlineStr">
        <is>
          <t>7049.90</t>
        </is>
      </c>
      <c r="I1616" t="inlineStr">
        <is>
          <t>0.30%</t>
        </is>
      </c>
      <c r="J1616" t="inlineStr">
        <is>
          <t>2364520.00</t>
        </is>
      </c>
      <c r="K1616" t="inlineStr">
        <is>
          <t>100000</t>
        </is>
      </c>
      <c r="L1616" t="inlineStr">
        <is>
          <t>10.000000000000</t>
        </is>
      </c>
      <c r="M1616" t="inlineStr"/>
    </row>
    <row r="1617">
      <c r="A1617" t="inlineStr">
        <is>
          <t>06/25/2026</t>
        </is>
      </c>
      <c r="B1617" t="inlineStr">
        <is>
          <t>OWN</t>
        </is>
      </c>
      <c r="C1617" s="1" t="inlineStr">
        <is>
          <t>INTU</t>
        </is>
      </c>
      <c r="D1617" s="1" t="inlineStr">
        <is>
          <t>461202103</t>
        </is>
      </c>
      <c r="E1617" t="inlineStr">
        <is>
          <t>Intuit Inc</t>
        </is>
      </c>
      <c r="F1617" t="inlineStr">
        <is>
          <t>41.00000000</t>
        </is>
      </c>
      <c r="G1617" t="inlineStr">
        <is>
          <t>262.235000</t>
        </is>
      </c>
      <c r="H1617" t="inlineStr">
        <is>
          <t>10751.64</t>
        </is>
      </c>
      <c r="I1617" t="inlineStr">
        <is>
          <t>0.45%</t>
        </is>
      </c>
      <c r="J1617" t="inlineStr">
        <is>
          <t>2364520.00</t>
        </is>
      </c>
      <c r="K1617" t="inlineStr">
        <is>
          <t>100000</t>
        </is>
      </c>
      <c r="L1617" t="inlineStr">
        <is>
          <t>10.000000000000</t>
        </is>
      </c>
      <c r="M1617" t="inlineStr"/>
    </row>
    <row r="1618">
      <c r="A1618" t="inlineStr">
        <is>
          <t>06/25/2026</t>
        </is>
      </c>
      <c r="B1618" t="inlineStr">
        <is>
          <t>OWN</t>
        </is>
      </c>
      <c r="C1618" s="1" t="inlineStr">
        <is>
          <t>JPM</t>
        </is>
      </c>
      <c r="D1618" s="1" t="inlineStr">
        <is>
          <t>46625H100</t>
        </is>
      </c>
      <c r="E1618" t="inlineStr">
        <is>
          <t>JPMORGAN CHASE &amp; CO.</t>
        </is>
      </c>
      <c r="F1618" t="inlineStr">
        <is>
          <t>48.00000000</t>
        </is>
      </c>
      <c r="G1618" t="inlineStr">
        <is>
          <t>333.450000</t>
        </is>
      </c>
      <c r="H1618" t="inlineStr">
        <is>
          <t>16005.60</t>
        </is>
      </c>
      <c r="I1618" t="inlineStr">
        <is>
          <t>0.68%</t>
        </is>
      </c>
      <c r="J1618" t="inlineStr">
        <is>
          <t>2364520.00</t>
        </is>
      </c>
      <c r="K1618" t="inlineStr">
        <is>
          <t>100000</t>
        </is>
      </c>
      <c r="L1618" t="inlineStr">
        <is>
          <t>10.000000000000</t>
        </is>
      </c>
      <c r="M1618" t="inlineStr"/>
    </row>
    <row r="1619">
      <c r="A1619" t="inlineStr">
        <is>
          <t>06/25/2026</t>
        </is>
      </c>
      <c r="B1619" t="inlineStr">
        <is>
          <t>OWN</t>
        </is>
      </c>
      <c r="C1619" s="1" t="inlineStr">
        <is>
          <t>KKR</t>
        </is>
      </c>
      <c r="D1619" s="1" t="inlineStr">
        <is>
          <t>48251W104</t>
        </is>
      </c>
      <c r="E1619" t="inlineStr">
        <is>
          <t>KKR &amp; Co Inc</t>
        </is>
      </c>
      <c r="F1619" t="inlineStr">
        <is>
          <t>177.00000000</t>
        </is>
      </c>
      <c r="G1619" t="inlineStr">
        <is>
          <t>91.510000</t>
        </is>
      </c>
      <c r="H1619" t="inlineStr">
        <is>
          <t>16197.27</t>
        </is>
      </c>
      <c r="I1619" t="inlineStr">
        <is>
          <t>0.69%</t>
        </is>
      </c>
      <c r="J1619" t="inlineStr">
        <is>
          <t>2364520.00</t>
        </is>
      </c>
      <c r="K1619" t="inlineStr">
        <is>
          <t>100000</t>
        </is>
      </c>
      <c r="L1619" t="inlineStr">
        <is>
          <t>10.000000000000</t>
        </is>
      </c>
      <c r="M1619" t="inlineStr"/>
    </row>
    <row r="1620">
      <c r="A1620" t="inlineStr">
        <is>
          <t>06/25/2026</t>
        </is>
      </c>
      <c r="B1620" t="inlineStr">
        <is>
          <t>OWN</t>
        </is>
      </c>
      <c r="C1620" s="1" t="inlineStr">
        <is>
          <t>KMI</t>
        </is>
      </c>
      <c r="D1620" s="1" t="inlineStr">
        <is>
          <t>49456B101</t>
        </is>
      </c>
      <c r="E1620" t="inlineStr">
        <is>
          <t>Kinder Morgan Inc</t>
        </is>
      </c>
      <c r="F1620" t="inlineStr">
        <is>
          <t>473.00000000</t>
        </is>
      </c>
      <c r="G1620" t="inlineStr">
        <is>
          <t>32.590000</t>
        </is>
      </c>
      <c r="H1620" t="inlineStr">
        <is>
          <t>15415.07</t>
        </is>
      </c>
      <c r="I1620" t="inlineStr">
        <is>
          <t>0.65%</t>
        </is>
      </c>
      <c r="J1620" t="inlineStr">
        <is>
          <t>2364520.00</t>
        </is>
      </c>
      <c r="K1620" t="inlineStr">
        <is>
          <t>100000</t>
        </is>
      </c>
      <c r="L1620" t="inlineStr">
        <is>
          <t>10.000000000000</t>
        </is>
      </c>
      <c r="M1620" t="inlineStr"/>
    </row>
    <row r="1621">
      <c r="A1621" t="inlineStr">
        <is>
          <t>06/25/2026</t>
        </is>
      </c>
      <c r="B1621" t="inlineStr">
        <is>
          <t>OWN</t>
        </is>
      </c>
      <c r="C1621" s="1" t="inlineStr">
        <is>
          <t>KO</t>
        </is>
      </c>
      <c r="D1621" s="1" t="inlineStr">
        <is>
          <t>191216100</t>
        </is>
      </c>
      <c r="E1621" t="inlineStr">
        <is>
          <t>Coca-Cola Co/The</t>
        </is>
      </c>
      <c r="F1621" t="inlineStr">
        <is>
          <t>172.00000000</t>
        </is>
      </c>
      <c r="G1621" t="inlineStr">
        <is>
          <t>80.600000</t>
        </is>
      </c>
      <c r="H1621" t="inlineStr">
        <is>
          <t>13863.20</t>
        </is>
      </c>
      <c r="I1621" t="inlineStr">
        <is>
          <t>0.59%</t>
        </is>
      </c>
      <c r="J1621" t="inlineStr">
        <is>
          <t>2364520.00</t>
        </is>
      </c>
      <c r="K1621" t="inlineStr">
        <is>
          <t>100000</t>
        </is>
      </c>
      <c r="L1621" t="inlineStr">
        <is>
          <t>10.000000000000</t>
        </is>
      </c>
      <c r="M1621" t="inlineStr"/>
    </row>
    <row r="1622">
      <c r="A1622" t="inlineStr">
        <is>
          <t>06/25/2026</t>
        </is>
      </c>
      <c r="B1622" t="inlineStr">
        <is>
          <t>OWN</t>
        </is>
      </c>
      <c r="C1622" s="1" t="inlineStr">
        <is>
          <t>L</t>
        </is>
      </c>
      <c r="D1622" s="1" t="inlineStr">
        <is>
          <t>540424108</t>
        </is>
      </c>
      <c r="E1622" t="inlineStr">
        <is>
          <t>Loews Corp</t>
        </is>
      </c>
      <c r="F1622" t="inlineStr">
        <is>
          <t>60.00000000</t>
        </is>
      </c>
      <c r="G1622" t="inlineStr">
        <is>
          <t>111.920000</t>
        </is>
      </c>
      <c r="H1622" t="inlineStr">
        <is>
          <t>6715.20</t>
        </is>
      </c>
      <c r="I1622" t="inlineStr">
        <is>
          <t>0.28%</t>
        </is>
      </c>
      <c r="J1622" t="inlineStr">
        <is>
          <t>2364520.00</t>
        </is>
      </c>
      <c r="K1622" t="inlineStr">
        <is>
          <t>100000</t>
        </is>
      </c>
      <c r="L1622" t="inlineStr">
        <is>
          <t>10.000000000000</t>
        </is>
      </c>
      <c r="M1622" t="inlineStr"/>
    </row>
    <row r="1623">
      <c r="A1623" t="inlineStr">
        <is>
          <t>06/25/2026</t>
        </is>
      </c>
      <c r="B1623" t="inlineStr">
        <is>
          <t>OWN</t>
        </is>
      </c>
      <c r="C1623" s="1" t="inlineStr">
        <is>
          <t>LEN</t>
        </is>
      </c>
      <c r="D1623" s="1" t="inlineStr">
        <is>
          <t>526057104</t>
        </is>
      </c>
      <c r="E1623" t="inlineStr">
        <is>
          <t>Lennar Corp</t>
        </is>
      </c>
      <c r="F1623" t="inlineStr">
        <is>
          <t>73.00000000</t>
        </is>
      </c>
      <c r="G1623" t="inlineStr">
        <is>
          <t>92.950000</t>
        </is>
      </c>
      <c r="H1623" t="inlineStr">
        <is>
          <t>6785.35</t>
        </is>
      </c>
      <c r="I1623" t="inlineStr">
        <is>
          <t>0.29%</t>
        </is>
      </c>
      <c r="J1623" t="inlineStr">
        <is>
          <t>2364520.00</t>
        </is>
      </c>
      <c r="K1623" t="inlineStr">
        <is>
          <t>100000</t>
        </is>
      </c>
      <c r="L1623" t="inlineStr">
        <is>
          <t>10.000000000000</t>
        </is>
      </c>
      <c r="M1623" t="inlineStr"/>
    </row>
    <row r="1624">
      <c r="A1624" t="inlineStr">
        <is>
          <t>06/25/2026</t>
        </is>
      </c>
      <c r="B1624" t="inlineStr">
        <is>
          <t>OWN</t>
        </is>
      </c>
      <c r="C1624" s="1" t="inlineStr">
        <is>
          <t>LLY</t>
        </is>
      </c>
      <c r="D1624" s="1" t="inlineStr">
        <is>
          <t>532457108</t>
        </is>
      </c>
      <c r="E1624" t="inlineStr">
        <is>
          <t>Eli Lilly &amp; Co</t>
        </is>
      </c>
      <c r="F1624" t="inlineStr">
        <is>
          <t>12.00000000</t>
        </is>
      </c>
      <c r="G1624" t="inlineStr">
        <is>
          <t>1117.260000</t>
        </is>
      </c>
      <c r="H1624" t="inlineStr">
        <is>
          <t>13407.12</t>
        </is>
      </c>
      <c r="I1624" t="inlineStr">
        <is>
          <t>0.57%</t>
        </is>
      </c>
      <c r="J1624" t="inlineStr">
        <is>
          <t>2364520.00</t>
        </is>
      </c>
      <c r="K1624" t="inlineStr">
        <is>
          <t>100000</t>
        </is>
      </c>
      <c r="L1624" t="inlineStr">
        <is>
          <t>10.000000000000</t>
        </is>
      </c>
      <c r="M1624" t="inlineStr"/>
    </row>
    <row r="1625">
      <c r="A1625" t="inlineStr">
        <is>
          <t>06/25/2026</t>
        </is>
      </c>
      <c r="B1625" t="inlineStr">
        <is>
          <t>OWN</t>
        </is>
      </c>
      <c r="C1625" s="1" t="inlineStr">
        <is>
          <t>LRCX</t>
        </is>
      </c>
      <c r="D1625" s="1" t="inlineStr">
        <is>
          <t>512807306</t>
        </is>
      </c>
      <c r="E1625" t="inlineStr">
        <is>
          <t>Lam Research Corp</t>
        </is>
      </c>
      <c r="F1625" t="inlineStr">
        <is>
          <t>21.00000000</t>
        </is>
      </c>
      <c r="G1625" t="inlineStr">
        <is>
          <t>374.800000</t>
        </is>
      </c>
      <c r="H1625" t="inlineStr">
        <is>
          <t>7870.80</t>
        </is>
      </c>
      <c r="I1625" t="inlineStr">
        <is>
          <t>0.33%</t>
        </is>
      </c>
      <c r="J1625" t="inlineStr">
        <is>
          <t>2364520.00</t>
        </is>
      </c>
      <c r="K1625" t="inlineStr">
        <is>
          <t>100000</t>
        </is>
      </c>
      <c r="L1625" t="inlineStr">
        <is>
          <t>10.000000000000</t>
        </is>
      </c>
      <c r="M1625" t="inlineStr"/>
    </row>
    <row r="1626">
      <c r="A1626" t="inlineStr">
        <is>
          <t>06/25/2026</t>
        </is>
      </c>
      <c r="B1626" t="inlineStr">
        <is>
          <t>OWN</t>
        </is>
      </c>
      <c r="C1626" s="1" t="inlineStr">
        <is>
          <t>LYV</t>
        </is>
      </c>
      <c r="D1626" s="1" t="inlineStr">
        <is>
          <t>538034109</t>
        </is>
      </c>
      <c r="E1626" t="inlineStr">
        <is>
          <t>Live Nation Entertainment Inc</t>
        </is>
      </c>
      <c r="F1626" t="inlineStr">
        <is>
          <t>41.00000000</t>
        </is>
      </c>
      <c r="G1626" t="inlineStr">
        <is>
          <t>171.470000</t>
        </is>
      </c>
      <c r="H1626" t="inlineStr">
        <is>
          <t>7030.27</t>
        </is>
      </c>
      <c r="I1626" t="inlineStr">
        <is>
          <t>0.30%</t>
        </is>
      </c>
      <c r="J1626" t="inlineStr">
        <is>
          <t>2364520.00</t>
        </is>
      </c>
      <c r="K1626" t="inlineStr">
        <is>
          <t>100000</t>
        </is>
      </c>
      <c r="L1626" t="inlineStr">
        <is>
          <t>10.000000000000</t>
        </is>
      </c>
      <c r="M1626" t="inlineStr"/>
    </row>
    <row r="1627">
      <c r="A1627" t="inlineStr">
        <is>
          <t>06/25/2026</t>
        </is>
      </c>
      <c r="B1627" t="inlineStr">
        <is>
          <t>OWN</t>
        </is>
      </c>
      <c r="C1627" s="1" t="inlineStr">
        <is>
          <t>MAR</t>
        </is>
      </c>
      <c r="D1627" s="1" t="inlineStr">
        <is>
          <t>571903202</t>
        </is>
      </c>
      <c r="E1627" t="inlineStr">
        <is>
          <t>Marriott International Inc/MD</t>
        </is>
      </c>
      <c r="F1627" t="inlineStr">
        <is>
          <t>53.00000000</t>
        </is>
      </c>
      <c r="G1627" t="inlineStr">
        <is>
          <t>383.560000</t>
        </is>
      </c>
      <c r="H1627" t="inlineStr">
        <is>
          <t>20328.68</t>
        </is>
      </c>
      <c r="I1627" t="inlineStr">
        <is>
          <t>0.86%</t>
        </is>
      </c>
      <c r="J1627" t="inlineStr">
        <is>
          <t>2364520.00</t>
        </is>
      </c>
      <c r="K1627" t="inlineStr">
        <is>
          <t>100000</t>
        </is>
      </c>
      <c r="L1627" t="inlineStr">
        <is>
          <t>10.000000000000</t>
        </is>
      </c>
      <c r="M1627" t="inlineStr"/>
    </row>
    <row r="1628">
      <c r="A1628" t="inlineStr">
        <is>
          <t>06/25/2026</t>
        </is>
      </c>
      <c r="B1628" t="inlineStr">
        <is>
          <t>OWN</t>
        </is>
      </c>
      <c r="C1628" s="1" t="inlineStr">
        <is>
          <t>META</t>
        </is>
      </c>
      <c r="D1628" s="1" t="inlineStr">
        <is>
          <t>30303M102</t>
        </is>
      </c>
      <c r="E1628" t="inlineStr">
        <is>
          <t>Meta Platforms Inc</t>
        </is>
      </c>
      <c r="F1628" t="inlineStr">
        <is>
          <t>233.00000000</t>
        </is>
      </c>
      <c r="G1628" t="inlineStr">
        <is>
          <t>557.670000</t>
        </is>
      </c>
      <c r="H1628" t="inlineStr">
        <is>
          <t>129937.11</t>
        </is>
      </c>
      <c r="I1628" t="inlineStr">
        <is>
          <t>5.50%</t>
        </is>
      </c>
      <c r="J1628" t="inlineStr">
        <is>
          <t>2364520.00</t>
        </is>
      </c>
      <c r="K1628" t="inlineStr">
        <is>
          <t>100000</t>
        </is>
      </c>
      <c r="L1628" t="inlineStr">
        <is>
          <t>10.000000000000</t>
        </is>
      </c>
      <c r="M1628" t="inlineStr"/>
    </row>
    <row r="1629">
      <c r="A1629" t="inlineStr">
        <is>
          <t>06/25/2026</t>
        </is>
      </c>
      <c r="B1629" t="inlineStr">
        <is>
          <t>OWN</t>
        </is>
      </c>
      <c r="C1629" s="1" t="inlineStr">
        <is>
          <t>MNST</t>
        </is>
      </c>
      <c r="D1629" s="1" t="inlineStr">
        <is>
          <t>61174X109</t>
        </is>
      </c>
      <c r="E1629" t="inlineStr">
        <is>
          <t>Monster Beverage Corp</t>
        </is>
      </c>
      <c r="F1629" t="inlineStr">
        <is>
          <t>191.00000000</t>
        </is>
      </c>
      <c r="G1629" t="inlineStr">
        <is>
          <t>94.700000</t>
        </is>
      </c>
      <c r="H1629" t="inlineStr">
        <is>
          <t>18087.70</t>
        </is>
      </c>
      <c r="I1629" t="inlineStr">
        <is>
          <t>0.76%</t>
        </is>
      </c>
      <c r="J1629" t="inlineStr">
        <is>
          <t>2364520.00</t>
        </is>
      </c>
      <c r="K1629" t="inlineStr">
        <is>
          <t>100000</t>
        </is>
      </c>
      <c r="L1629" t="inlineStr">
        <is>
          <t>10.000000000000</t>
        </is>
      </c>
      <c r="M1629" t="inlineStr"/>
    </row>
    <row r="1630">
      <c r="A1630" t="inlineStr">
        <is>
          <t>06/25/2026</t>
        </is>
      </c>
      <c r="B1630" t="inlineStr">
        <is>
          <t>OWN</t>
        </is>
      </c>
      <c r="C1630" s="1" t="inlineStr">
        <is>
          <t>MPWR</t>
        </is>
      </c>
      <c r="D1630" s="1" t="inlineStr">
        <is>
          <t>609839105</t>
        </is>
      </c>
      <c r="E1630" t="inlineStr">
        <is>
          <t>Monolithic Power Systems Inc</t>
        </is>
      </c>
      <c r="F1630" t="inlineStr">
        <is>
          <t>11.00000000</t>
        </is>
      </c>
      <c r="G1630" t="inlineStr">
        <is>
          <t>1434.950000</t>
        </is>
      </c>
      <c r="H1630" t="inlineStr">
        <is>
          <t>15784.45</t>
        </is>
      </c>
      <c r="I1630" t="inlineStr">
        <is>
          <t>0.67%</t>
        </is>
      </c>
      <c r="J1630" t="inlineStr">
        <is>
          <t>2364520.00</t>
        </is>
      </c>
      <c r="K1630" t="inlineStr">
        <is>
          <t>100000</t>
        </is>
      </c>
      <c r="L1630" t="inlineStr">
        <is>
          <t>10.000000000000</t>
        </is>
      </c>
      <c r="M1630" t="inlineStr"/>
    </row>
    <row r="1631">
      <c r="A1631" t="inlineStr">
        <is>
          <t>06/25/2026</t>
        </is>
      </c>
      <c r="B1631" t="inlineStr">
        <is>
          <t>OWN</t>
        </is>
      </c>
      <c r="C1631" s="1" t="inlineStr">
        <is>
          <t>MSCI</t>
        </is>
      </c>
      <c r="D1631" s="1" t="inlineStr">
        <is>
          <t>55354G100</t>
        </is>
      </c>
      <c r="E1631" t="inlineStr">
        <is>
          <t>MSCI Inc</t>
        </is>
      </c>
      <c r="F1631" t="inlineStr">
        <is>
          <t>17.00000000</t>
        </is>
      </c>
      <c r="G1631" t="inlineStr">
        <is>
          <t>577.290000</t>
        </is>
      </c>
      <c r="H1631" t="inlineStr">
        <is>
          <t>9813.93</t>
        </is>
      </c>
      <c r="I1631" t="inlineStr">
        <is>
          <t>0.42%</t>
        </is>
      </c>
      <c r="J1631" t="inlineStr">
        <is>
          <t>2364520.00</t>
        </is>
      </c>
      <c r="K1631" t="inlineStr">
        <is>
          <t>100000</t>
        </is>
      </c>
      <c r="L1631" t="inlineStr">
        <is>
          <t>10.000000000000</t>
        </is>
      </c>
      <c r="M1631" t="inlineStr"/>
    </row>
    <row r="1632">
      <c r="A1632" t="inlineStr">
        <is>
          <t>06/25/2026</t>
        </is>
      </c>
      <c r="B1632" t="inlineStr">
        <is>
          <t>OWN</t>
        </is>
      </c>
      <c r="C1632" s="1" t="inlineStr">
        <is>
          <t>MU</t>
        </is>
      </c>
      <c r="D1632" s="1" t="inlineStr">
        <is>
          <t>595112103</t>
        </is>
      </c>
      <c r="E1632" t="inlineStr">
        <is>
          <t>Micron Technology Inc</t>
        </is>
      </c>
      <c r="F1632" t="inlineStr">
        <is>
          <t>10.00000000</t>
        </is>
      </c>
      <c r="G1632" t="inlineStr">
        <is>
          <t>1048.510000</t>
        </is>
      </c>
      <c r="H1632" t="inlineStr">
        <is>
          <t>10485.10</t>
        </is>
      </c>
      <c r="I1632" t="inlineStr">
        <is>
          <t>0.44%</t>
        </is>
      </c>
      <c r="J1632" t="inlineStr">
        <is>
          <t>2364520.00</t>
        </is>
      </c>
      <c r="K1632" t="inlineStr">
        <is>
          <t>100000</t>
        </is>
      </c>
      <c r="L1632" t="inlineStr">
        <is>
          <t>10.000000000000</t>
        </is>
      </c>
      <c r="M1632" t="inlineStr"/>
    </row>
    <row r="1633">
      <c r="A1633" t="inlineStr">
        <is>
          <t>06/25/2026</t>
        </is>
      </c>
      <c r="B1633" t="inlineStr">
        <is>
          <t>OWN</t>
        </is>
      </c>
      <c r="C1633" s="1" t="inlineStr">
        <is>
          <t>NFLX</t>
        </is>
      </c>
      <c r="D1633" s="1" t="inlineStr">
        <is>
          <t>64110L106</t>
        </is>
      </c>
      <c r="E1633" t="inlineStr">
        <is>
          <t>Netflix Inc</t>
        </is>
      </c>
      <c r="F1633" t="inlineStr">
        <is>
          <t>223.00000000</t>
        </is>
      </c>
      <c r="G1633" t="inlineStr">
        <is>
          <t>71.840000</t>
        </is>
      </c>
      <c r="H1633" t="inlineStr">
        <is>
          <t>16020.32</t>
        </is>
      </c>
      <c r="I1633" t="inlineStr">
        <is>
          <t>0.68%</t>
        </is>
      </c>
      <c r="J1633" t="inlineStr">
        <is>
          <t>2364520.00</t>
        </is>
      </c>
      <c r="K1633" t="inlineStr">
        <is>
          <t>100000</t>
        </is>
      </c>
      <c r="L1633" t="inlineStr">
        <is>
          <t>10.000000000000</t>
        </is>
      </c>
      <c r="M1633" t="inlineStr"/>
    </row>
    <row r="1634">
      <c r="A1634" t="inlineStr">
        <is>
          <t>06/25/2026</t>
        </is>
      </c>
      <c r="B1634" t="inlineStr">
        <is>
          <t>OWN</t>
        </is>
      </c>
      <c r="C1634" s="1" t="inlineStr">
        <is>
          <t>NVDA</t>
        </is>
      </c>
      <c r="D1634" s="1" t="inlineStr">
        <is>
          <t>67066G104</t>
        </is>
      </c>
      <c r="E1634" t="inlineStr">
        <is>
          <t>NVIDIA Corp</t>
        </is>
      </c>
      <c r="F1634" t="inlineStr">
        <is>
          <t>1270.00000000</t>
        </is>
      </c>
      <c r="G1634" t="inlineStr">
        <is>
          <t>199.000000</t>
        </is>
      </c>
      <c r="H1634" t="inlineStr">
        <is>
          <t>252730.00</t>
        </is>
      </c>
      <c r="I1634" t="inlineStr">
        <is>
          <t>10.69%</t>
        </is>
      </c>
      <c r="J1634" t="inlineStr">
        <is>
          <t>2364520.00</t>
        </is>
      </c>
      <c r="K1634" t="inlineStr">
        <is>
          <t>100000</t>
        </is>
      </c>
      <c r="L1634" t="inlineStr">
        <is>
          <t>10.000000000000</t>
        </is>
      </c>
      <c r="M1634" t="inlineStr"/>
    </row>
    <row r="1635">
      <c r="A1635" t="inlineStr">
        <is>
          <t>06/25/2026</t>
        </is>
      </c>
      <c r="B1635" t="inlineStr">
        <is>
          <t>OWN</t>
        </is>
      </c>
      <c r="C1635" s="1" t="inlineStr">
        <is>
          <t>ODFL</t>
        </is>
      </c>
      <c r="D1635" s="1" t="inlineStr">
        <is>
          <t>679580100</t>
        </is>
      </c>
      <c r="E1635" t="inlineStr">
        <is>
          <t>Old Dominion Freight Line Inc</t>
        </is>
      </c>
      <c r="F1635" t="inlineStr">
        <is>
          <t>54.00000000</t>
        </is>
      </c>
      <c r="G1635" t="inlineStr">
        <is>
          <t>219.040000</t>
        </is>
      </c>
      <c r="H1635" t="inlineStr">
        <is>
          <t>11828.16</t>
        </is>
      </c>
      <c r="I1635" t="inlineStr">
        <is>
          <t>0.50%</t>
        </is>
      </c>
      <c r="J1635" t="inlineStr">
        <is>
          <t>2364520.00</t>
        </is>
      </c>
      <c r="K1635" t="inlineStr">
        <is>
          <t>100000</t>
        </is>
      </c>
      <c r="L1635" t="inlineStr">
        <is>
          <t>10.000000000000</t>
        </is>
      </c>
      <c r="M1635" t="inlineStr"/>
    </row>
    <row r="1636">
      <c r="A1636" t="inlineStr">
        <is>
          <t>06/25/2026</t>
        </is>
      </c>
      <c r="B1636" t="inlineStr">
        <is>
          <t>OWN</t>
        </is>
      </c>
      <c r="C1636" s="1" t="inlineStr">
        <is>
          <t>ORCL</t>
        </is>
      </c>
      <c r="D1636" s="1" t="inlineStr">
        <is>
          <t>68389X105</t>
        </is>
      </c>
      <c r="E1636" t="inlineStr">
        <is>
          <t>Oracle Corp</t>
        </is>
      </c>
      <c r="F1636" t="inlineStr">
        <is>
          <t>384.00000000</t>
        </is>
      </c>
      <c r="G1636" t="inlineStr">
        <is>
          <t>157.530000</t>
        </is>
      </c>
      <c r="H1636" t="inlineStr">
        <is>
          <t>60491.52</t>
        </is>
      </c>
      <c r="I1636" t="inlineStr">
        <is>
          <t>2.56%</t>
        </is>
      </c>
      <c r="J1636" t="inlineStr">
        <is>
          <t>2364520.00</t>
        </is>
      </c>
      <c r="K1636" t="inlineStr">
        <is>
          <t>100000</t>
        </is>
      </c>
      <c r="L1636" t="inlineStr">
        <is>
          <t>10.000000000000</t>
        </is>
      </c>
      <c r="M1636" t="inlineStr"/>
    </row>
    <row r="1637">
      <c r="A1637" t="inlineStr">
        <is>
          <t>06/25/2026</t>
        </is>
      </c>
      <c r="B1637" t="inlineStr">
        <is>
          <t>OWN</t>
        </is>
      </c>
      <c r="C1637" s="1" t="inlineStr">
        <is>
          <t>PANW</t>
        </is>
      </c>
      <c r="D1637" s="1" t="inlineStr">
        <is>
          <t>697435105</t>
        </is>
      </c>
      <c r="E1637" t="inlineStr">
        <is>
          <t>Palo Alto Networks Inc</t>
        </is>
      </c>
      <c r="F1637" t="inlineStr">
        <is>
          <t>42.00000000</t>
        </is>
      </c>
      <c r="G1637" t="inlineStr">
        <is>
          <t>285.260000</t>
        </is>
      </c>
      <c r="H1637" t="inlineStr">
        <is>
          <t>11980.92</t>
        </is>
      </c>
      <c r="I1637" t="inlineStr">
        <is>
          <t>0.51%</t>
        </is>
      </c>
      <c r="J1637" t="inlineStr">
        <is>
          <t>2364520.00</t>
        </is>
      </c>
      <c r="K1637" t="inlineStr">
        <is>
          <t>100000</t>
        </is>
      </c>
      <c r="L1637" t="inlineStr">
        <is>
          <t>10.000000000000</t>
        </is>
      </c>
      <c r="M1637" t="inlineStr"/>
    </row>
    <row r="1638">
      <c r="A1638" t="inlineStr">
        <is>
          <t>06/25/2026</t>
        </is>
      </c>
      <c r="B1638" t="inlineStr">
        <is>
          <t>OWN</t>
        </is>
      </c>
      <c r="C1638" s="1" t="inlineStr">
        <is>
          <t>PCAR</t>
        </is>
      </c>
      <c r="D1638" s="1" t="inlineStr">
        <is>
          <t>693718108</t>
        </is>
      </c>
      <c r="E1638" t="inlineStr">
        <is>
          <t>PACCAR Inc</t>
        </is>
      </c>
      <c r="F1638" t="inlineStr">
        <is>
          <t>62.00000000</t>
        </is>
      </c>
      <c r="G1638" t="inlineStr">
        <is>
          <t>117.030000</t>
        </is>
      </c>
      <c r="H1638" t="inlineStr">
        <is>
          <t>7255.86</t>
        </is>
      </c>
      <c r="I1638" t="inlineStr">
        <is>
          <t>0.31%</t>
        </is>
      </c>
      <c r="J1638" t="inlineStr">
        <is>
          <t>2364520.00</t>
        </is>
      </c>
      <c r="K1638" t="inlineStr">
        <is>
          <t>100000</t>
        </is>
      </c>
      <c r="L1638" t="inlineStr">
        <is>
          <t>10.000000000000</t>
        </is>
      </c>
      <c r="M1638" t="inlineStr"/>
    </row>
    <row r="1639">
      <c r="A1639" t="inlineStr">
        <is>
          <t>06/25/2026</t>
        </is>
      </c>
      <c r="B1639" t="inlineStr">
        <is>
          <t>OWN</t>
        </is>
      </c>
      <c r="C1639" s="1" t="inlineStr">
        <is>
          <t>PLTR</t>
        </is>
      </c>
      <c r="D1639" s="1" t="inlineStr">
        <is>
          <t>69608A108</t>
        </is>
      </c>
      <c r="E1639" t="inlineStr">
        <is>
          <t>Palantir Technologies Inc</t>
        </is>
      </c>
      <c r="F1639" t="inlineStr">
        <is>
          <t>351.00000000</t>
        </is>
      </c>
      <c r="G1639" t="inlineStr">
        <is>
          <t>113.500000</t>
        </is>
      </c>
      <c r="H1639" t="inlineStr">
        <is>
          <t>39838.50</t>
        </is>
      </c>
      <c r="I1639" t="inlineStr">
        <is>
          <t>1.68%</t>
        </is>
      </c>
      <c r="J1639" t="inlineStr">
        <is>
          <t>2364520.00</t>
        </is>
      </c>
      <c r="K1639" t="inlineStr">
        <is>
          <t>100000</t>
        </is>
      </c>
      <c r="L1639" t="inlineStr">
        <is>
          <t>10.000000000000</t>
        </is>
      </c>
      <c r="M1639" t="inlineStr"/>
    </row>
    <row r="1640">
      <c r="A1640" t="inlineStr">
        <is>
          <t>06/25/2026</t>
        </is>
      </c>
      <c r="B1640" t="inlineStr">
        <is>
          <t>OWN</t>
        </is>
      </c>
      <c r="C1640" s="1" t="inlineStr">
        <is>
          <t>PSA</t>
        </is>
      </c>
      <c r="D1640" s="1" t="inlineStr">
        <is>
          <t>74460D109</t>
        </is>
      </c>
      <c r="E1640" t="inlineStr">
        <is>
          <t>Public Storage</t>
        </is>
      </c>
      <c r="F1640" t="inlineStr">
        <is>
          <t>43.00000000</t>
        </is>
      </c>
      <c r="G1640" t="inlineStr">
        <is>
          <t>317.920000</t>
        </is>
      </c>
      <c r="H1640" t="inlineStr">
        <is>
          <t>13670.56</t>
        </is>
      </c>
      <c r="I1640" t="inlineStr">
        <is>
          <t>0.58%</t>
        </is>
      </c>
      <c r="J1640" t="inlineStr">
        <is>
          <t>2364520.00</t>
        </is>
      </c>
      <c r="K1640" t="inlineStr">
        <is>
          <t>100000</t>
        </is>
      </c>
      <c r="L1640" t="inlineStr">
        <is>
          <t>10.000000000000</t>
        </is>
      </c>
      <c r="M1640" t="inlineStr"/>
    </row>
    <row r="1641">
      <c r="A1641" t="inlineStr">
        <is>
          <t>06/25/2026</t>
        </is>
      </c>
      <c r="B1641" t="inlineStr">
        <is>
          <t>OWN</t>
        </is>
      </c>
      <c r="C1641" s="1" t="inlineStr">
        <is>
          <t>Q</t>
        </is>
      </c>
      <c r="D1641" s="1" t="inlineStr">
        <is>
          <t>74743L100</t>
        </is>
      </c>
      <c r="E1641" t="inlineStr">
        <is>
          <t>Qnity Electronics Inc</t>
        </is>
      </c>
      <c r="F1641" t="inlineStr">
        <is>
          <t>51.00000000</t>
        </is>
      </c>
      <c r="G1641" t="inlineStr">
        <is>
          <t>158.730000</t>
        </is>
      </c>
      <c r="H1641" t="inlineStr">
        <is>
          <t>8095.23</t>
        </is>
      </c>
      <c r="I1641" t="inlineStr">
        <is>
          <t>0.34%</t>
        </is>
      </c>
      <c r="J1641" t="inlineStr">
        <is>
          <t>2364520.00</t>
        </is>
      </c>
      <c r="K1641" t="inlineStr">
        <is>
          <t>100000</t>
        </is>
      </c>
      <c r="L1641" t="inlineStr">
        <is>
          <t>10.000000000000</t>
        </is>
      </c>
      <c r="M1641" t="inlineStr"/>
    </row>
    <row r="1642">
      <c r="A1642" t="inlineStr">
        <is>
          <t>06/25/2026</t>
        </is>
      </c>
      <c r="B1642" t="inlineStr">
        <is>
          <t>OWN</t>
        </is>
      </c>
      <c r="C1642" s="1" t="inlineStr">
        <is>
          <t>RCL</t>
        </is>
      </c>
      <c r="D1642" s="1" t="inlineStr">
        <is>
          <t>V7780T103</t>
        </is>
      </c>
      <c r="E1642" t="inlineStr">
        <is>
          <t>Royal Caribbean Cruises Ltd</t>
        </is>
      </c>
      <c r="F1642" t="inlineStr">
        <is>
          <t>50.00000000</t>
        </is>
      </c>
      <c r="G1642" t="inlineStr">
        <is>
          <t>320.950000</t>
        </is>
      </c>
      <c r="H1642" t="inlineStr">
        <is>
          <t>16047.50</t>
        </is>
      </c>
      <c r="I1642" t="inlineStr">
        <is>
          <t>0.68%</t>
        </is>
      </c>
      <c r="J1642" t="inlineStr">
        <is>
          <t>2364520.00</t>
        </is>
      </c>
      <c r="K1642" t="inlineStr">
        <is>
          <t>100000</t>
        </is>
      </c>
      <c r="L1642" t="inlineStr">
        <is>
          <t>10.000000000000</t>
        </is>
      </c>
      <c r="M1642" t="inlineStr"/>
    </row>
    <row r="1643">
      <c r="A1643" t="inlineStr">
        <is>
          <t>06/25/2026</t>
        </is>
      </c>
      <c r="B1643" t="inlineStr">
        <is>
          <t>OWN</t>
        </is>
      </c>
      <c r="C1643" s="1" t="inlineStr">
        <is>
          <t>REGN</t>
        </is>
      </c>
      <c r="D1643" s="1" t="inlineStr">
        <is>
          <t>75886F107</t>
        </is>
      </c>
      <c r="E1643" t="inlineStr">
        <is>
          <t>Regeneron Pharmaceuticals Inc</t>
        </is>
      </c>
      <c r="F1643" t="inlineStr">
        <is>
          <t>25.00000000</t>
        </is>
      </c>
      <c r="G1643" t="inlineStr">
        <is>
          <t>623.430000</t>
        </is>
      </c>
      <c r="H1643" t="inlineStr">
        <is>
          <t>15585.75</t>
        </is>
      </c>
      <c r="I1643" t="inlineStr">
        <is>
          <t>0.66%</t>
        </is>
      </c>
      <c r="J1643" t="inlineStr">
        <is>
          <t>2364520.00</t>
        </is>
      </c>
      <c r="K1643" t="inlineStr">
        <is>
          <t>100000</t>
        </is>
      </c>
      <c r="L1643" t="inlineStr">
        <is>
          <t>10.000000000000</t>
        </is>
      </c>
      <c r="M1643" t="inlineStr"/>
    </row>
    <row r="1644">
      <c r="A1644" t="inlineStr">
        <is>
          <t>06/25/2026</t>
        </is>
      </c>
      <c r="B1644" t="inlineStr">
        <is>
          <t>OWN</t>
        </is>
      </c>
      <c r="C1644" s="1" t="inlineStr">
        <is>
          <t>RL</t>
        </is>
      </c>
      <c r="D1644" s="1" t="inlineStr">
        <is>
          <t>751212101</t>
        </is>
      </c>
      <c r="E1644" t="inlineStr">
        <is>
          <t>Ralph Lauren Corp</t>
        </is>
      </c>
      <c r="F1644" t="inlineStr">
        <is>
          <t>18.00000000</t>
        </is>
      </c>
      <c r="G1644" t="inlineStr">
        <is>
          <t>414.250000</t>
        </is>
      </c>
      <c r="H1644" t="inlineStr">
        <is>
          <t>7456.50</t>
        </is>
      </c>
      <c r="I1644" t="inlineStr">
        <is>
          <t>0.32%</t>
        </is>
      </c>
      <c r="J1644" t="inlineStr">
        <is>
          <t>2364520.00</t>
        </is>
      </c>
      <c r="K1644" t="inlineStr">
        <is>
          <t>100000</t>
        </is>
      </c>
      <c r="L1644" t="inlineStr">
        <is>
          <t>10.000000000000</t>
        </is>
      </c>
      <c r="M1644" t="inlineStr"/>
    </row>
    <row r="1645">
      <c r="A1645" t="inlineStr">
        <is>
          <t>06/25/2026</t>
        </is>
      </c>
      <c r="B1645" t="inlineStr">
        <is>
          <t>OWN</t>
        </is>
      </c>
      <c r="C1645" s="1" t="inlineStr">
        <is>
          <t>ROL</t>
        </is>
      </c>
      <c r="D1645" s="1" t="inlineStr">
        <is>
          <t>775711104</t>
        </is>
      </c>
      <c r="E1645" t="inlineStr">
        <is>
          <t>Rollins Inc</t>
        </is>
      </c>
      <c r="F1645" t="inlineStr">
        <is>
          <t>152.00000000</t>
        </is>
      </c>
      <c r="G1645" t="inlineStr">
        <is>
          <t>44.540000</t>
        </is>
      </c>
      <c r="H1645" t="inlineStr">
        <is>
          <t>6770.08</t>
        </is>
      </c>
      <c r="I1645" t="inlineStr">
        <is>
          <t>0.29%</t>
        </is>
      </c>
      <c r="J1645" t="inlineStr">
        <is>
          <t>2364520.00</t>
        </is>
      </c>
      <c r="K1645" t="inlineStr">
        <is>
          <t>100000</t>
        </is>
      </c>
      <c r="L1645" t="inlineStr">
        <is>
          <t>10.000000000000</t>
        </is>
      </c>
      <c r="M1645" t="inlineStr"/>
    </row>
    <row r="1646">
      <c r="A1646" t="inlineStr">
        <is>
          <t>06/25/2026</t>
        </is>
      </c>
      <c r="B1646" t="inlineStr">
        <is>
          <t>OWN</t>
        </is>
      </c>
      <c r="C1646" s="1" t="inlineStr">
        <is>
          <t>ROST</t>
        </is>
      </c>
      <c r="D1646" s="1" t="inlineStr">
        <is>
          <t>778296103</t>
        </is>
      </c>
      <c r="E1646" t="inlineStr">
        <is>
          <t>Ross Stores Inc</t>
        </is>
      </c>
      <c r="F1646" t="inlineStr">
        <is>
          <t>37.00000000</t>
        </is>
      </c>
      <c r="G1646" t="inlineStr">
        <is>
          <t>228.590000</t>
        </is>
      </c>
      <c r="H1646" t="inlineStr">
        <is>
          <t>8457.83</t>
        </is>
      </c>
      <c r="I1646" t="inlineStr">
        <is>
          <t>0.36%</t>
        </is>
      </c>
      <c r="J1646" t="inlineStr">
        <is>
          <t>2364520.00</t>
        </is>
      </c>
      <c r="K1646" t="inlineStr">
        <is>
          <t>100000</t>
        </is>
      </c>
      <c r="L1646" t="inlineStr">
        <is>
          <t>10.000000000000</t>
        </is>
      </c>
      <c r="M1646" t="inlineStr"/>
    </row>
    <row r="1647">
      <c r="A1647" t="inlineStr">
        <is>
          <t>06/25/2026</t>
        </is>
      </c>
      <c r="B1647" t="inlineStr">
        <is>
          <t>OWN</t>
        </is>
      </c>
      <c r="C1647" s="1" t="inlineStr">
        <is>
          <t>SCHW</t>
        </is>
      </c>
      <c r="D1647" s="1" t="inlineStr">
        <is>
          <t>808513105</t>
        </is>
      </c>
      <c r="E1647" t="inlineStr">
        <is>
          <t>Charles Schwab Corp/The</t>
        </is>
      </c>
      <c r="F1647" t="inlineStr">
        <is>
          <t>289.00000000</t>
        </is>
      </c>
      <c r="G1647" t="inlineStr">
        <is>
          <t>91.390000</t>
        </is>
      </c>
      <c r="H1647" t="inlineStr">
        <is>
          <t>26411.71</t>
        </is>
      </c>
      <c r="I1647" t="inlineStr">
        <is>
          <t>1.12%</t>
        </is>
      </c>
      <c r="J1647" t="inlineStr">
        <is>
          <t>2364520.00</t>
        </is>
      </c>
      <c r="K1647" t="inlineStr">
        <is>
          <t>100000</t>
        </is>
      </c>
      <c r="L1647" t="inlineStr">
        <is>
          <t>10.000000000000</t>
        </is>
      </c>
      <c r="M1647" t="inlineStr"/>
    </row>
    <row r="1648">
      <c r="A1648" t="inlineStr">
        <is>
          <t>06/25/2026</t>
        </is>
      </c>
      <c r="B1648" t="inlineStr">
        <is>
          <t>OWN</t>
        </is>
      </c>
      <c r="C1648" s="1" t="inlineStr">
        <is>
          <t>SMCI</t>
        </is>
      </c>
      <c r="D1648" s="1" t="inlineStr">
        <is>
          <t>86800U302</t>
        </is>
      </c>
      <c r="E1648" t="inlineStr">
        <is>
          <t>Super Micro Computer Inc</t>
        </is>
      </c>
      <c r="F1648" t="inlineStr">
        <is>
          <t>235.00000000</t>
        </is>
      </c>
      <c r="G1648" t="inlineStr">
        <is>
          <t>32.450000</t>
        </is>
      </c>
      <c r="H1648" t="inlineStr">
        <is>
          <t>7625.75</t>
        </is>
      </c>
      <c r="I1648" t="inlineStr">
        <is>
          <t>0.32%</t>
        </is>
      </c>
      <c r="J1648" t="inlineStr">
        <is>
          <t>2364520.00</t>
        </is>
      </c>
      <c r="K1648" t="inlineStr">
        <is>
          <t>100000</t>
        </is>
      </c>
      <c r="L1648" t="inlineStr">
        <is>
          <t>10.000000000000</t>
        </is>
      </c>
      <c r="M1648" t="inlineStr"/>
    </row>
    <row r="1649">
      <c r="A1649" t="inlineStr">
        <is>
          <t>06/25/2026</t>
        </is>
      </c>
      <c r="B1649" t="inlineStr">
        <is>
          <t>OWN</t>
        </is>
      </c>
      <c r="C1649" s="1" t="inlineStr">
        <is>
          <t>SPG</t>
        </is>
      </c>
      <c r="D1649" s="1" t="inlineStr">
        <is>
          <t>828806109</t>
        </is>
      </c>
      <c r="E1649" t="inlineStr">
        <is>
          <t>Simon Property Group Inc</t>
        </is>
      </c>
      <c r="F1649" t="inlineStr">
        <is>
          <t>73.00000000</t>
        </is>
      </c>
      <c r="G1649" t="inlineStr">
        <is>
          <t>222.150000</t>
        </is>
      </c>
      <c r="H1649" t="inlineStr">
        <is>
          <t>16216.95</t>
        </is>
      </c>
      <c r="I1649" t="inlineStr">
        <is>
          <t>0.69%</t>
        </is>
      </c>
      <c r="J1649" t="inlineStr">
        <is>
          <t>2364520.00</t>
        </is>
      </c>
      <c r="K1649" t="inlineStr">
        <is>
          <t>100000</t>
        </is>
      </c>
      <c r="L1649" t="inlineStr">
        <is>
          <t>10.000000000000</t>
        </is>
      </c>
      <c r="M1649" t="inlineStr"/>
    </row>
    <row r="1650">
      <c r="A1650" t="inlineStr">
        <is>
          <t>06/25/2026</t>
        </is>
      </c>
      <c r="B1650" t="inlineStr">
        <is>
          <t>OWN</t>
        </is>
      </c>
      <c r="C1650" s="1" t="inlineStr">
        <is>
          <t>STLD</t>
        </is>
      </c>
      <c r="D1650" s="1" t="inlineStr">
        <is>
          <t>858119100</t>
        </is>
      </c>
      <c r="E1650" t="inlineStr">
        <is>
          <t>Steel Dynamics Inc</t>
        </is>
      </c>
      <c r="F1650" t="inlineStr">
        <is>
          <t>43.00000000</t>
        </is>
      </c>
      <c r="G1650" t="inlineStr">
        <is>
          <t>241.430000</t>
        </is>
      </c>
      <c r="H1650" t="inlineStr">
        <is>
          <t>10381.49</t>
        </is>
      </c>
      <c r="I1650" t="inlineStr">
        <is>
          <t>0.44%</t>
        </is>
      </c>
      <c r="J1650" t="inlineStr">
        <is>
          <t>2364520.00</t>
        </is>
      </c>
      <c r="K1650" t="inlineStr">
        <is>
          <t>100000</t>
        </is>
      </c>
      <c r="L1650" t="inlineStr">
        <is>
          <t>10.000000000000</t>
        </is>
      </c>
      <c r="M1650" t="inlineStr"/>
    </row>
    <row r="1651">
      <c r="A1651" t="inlineStr">
        <is>
          <t>06/25/2026</t>
        </is>
      </c>
      <c r="B1651" t="inlineStr">
        <is>
          <t>OWN</t>
        </is>
      </c>
      <c r="C1651" s="1" t="inlineStr">
        <is>
          <t>STX</t>
        </is>
      </c>
      <c r="D1651" s="1" t="inlineStr">
        <is>
          <t>G7997R103</t>
        </is>
      </c>
      <c r="E1651" t="inlineStr">
        <is>
          <t>Seagate Technology Holdings PLC</t>
        </is>
      </c>
      <c r="F1651" t="inlineStr">
        <is>
          <t>10.00000000</t>
        </is>
      </c>
      <c r="G1651" t="inlineStr">
        <is>
          <t>993.250000</t>
        </is>
      </c>
      <c r="H1651" t="inlineStr">
        <is>
          <t>9932.50</t>
        </is>
      </c>
      <c r="I1651" t="inlineStr">
        <is>
          <t>0.42%</t>
        </is>
      </c>
      <c r="J1651" t="inlineStr">
        <is>
          <t>2364520.00</t>
        </is>
      </c>
      <c r="K1651" t="inlineStr">
        <is>
          <t>100000</t>
        </is>
      </c>
      <c r="L1651" t="inlineStr">
        <is>
          <t>10.000000000000</t>
        </is>
      </c>
      <c r="M1651" t="inlineStr"/>
    </row>
    <row r="1652">
      <c r="A1652" t="inlineStr">
        <is>
          <t>06/25/2026</t>
        </is>
      </c>
      <c r="B1652" t="inlineStr">
        <is>
          <t>OWN</t>
        </is>
      </c>
      <c r="C1652" s="1" t="inlineStr">
        <is>
          <t>STZ</t>
        </is>
      </c>
      <c r="D1652" s="1" t="inlineStr">
        <is>
          <t>21036P108</t>
        </is>
      </c>
      <c r="E1652" t="inlineStr">
        <is>
          <t>Constellation Brands Inc</t>
        </is>
      </c>
      <c r="F1652" t="inlineStr">
        <is>
          <t>53.00000000</t>
        </is>
      </c>
      <c r="G1652" t="inlineStr">
        <is>
          <t>143.020000</t>
        </is>
      </c>
      <c r="H1652" t="inlineStr">
        <is>
          <t>7580.06</t>
        </is>
      </c>
      <c r="I1652" t="inlineStr">
        <is>
          <t>0.32%</t>
        </is>
      </c>
      <c r="J1652" t="inlineStr">
        <is>
          <t>2364520.00</t>
        </is>
      </c>
      <c r="K1652" t="inlineStr">
        <is>
          <t>100000</t>
        </is>
      </c>
      <c r="L1652" t="inlineStr">
        <is>
          <t>10.000000000000</t>
        </is>
      </c>
      <c r="M1652" t="inlineStr"/>
    </row>
    <row r="1653">
      <c r="A1653" t="inlineStr">
        <is>
          <t>06/25/2026</t>
        </is>
      </c>
      <c r="B1653" t="inlineStr">
        <is>
          <t>OWN</t>
        </is>
      </c>
      <c r="C1653" s="1" t="inlineStr">
        <is>
          <t>SYK</t>
        </is>
      </c>
      <c r="D1653" s="1" t="inlineStr">
        <is>
          <t>863667101</t>
        </is>
      </c>
      <c r="E1653" t="inlineStr">
        <is>
          <t>Stryker Corp</t>
        </is>
      </c>
      <c r="F1653" t="inlineStr">
        <is>
          <t>68.00000000</t>
        </is>
      </c>
      <c r="G1653" t="inlineStr">
        <is>
          <t>313.680000</t>
        </is>
      </c>
      <c r="H1653" t="inlineStr">
        <is>
          <t>21330.24</t>
        </is>
      </c>
      <c r="I1653" t="inlineStr">
        <is>
          <t>0.90%</t>
        </is>
      </c>
      <c r="J1653" t="inlineStr">
        <is>
          <t>2364520.00</t>
        </is>
      </c>
      <c r="K1653" t="inlineStr">
        <is>
          <t>100000</t>
        </is>
      </c>
      <c r="L1653" t="inlineStr">
        <is>
          <t>10.000000000000</t>
        </is>
      </c>
      <c r="M1653" t="inlineStr"/>
    </row>
    <row r="1654">
      <c r="A1654" t="inlineStr">
        <is>
          <t>06/25/2026</t>
        </is>
      </c>
      <c r="B1654" t="inlineStr">
        <is>
          <t>OWN</t>
        </is>
      </c>
      <c r="C1654" s="1" t="inlineStr">
        <is>
          <t>TDG</t>
        </is>
      </c>
      <c r="D1654" s="1" t="inlineStr">
        <is>
          <t>893641100</t>
        </is>
      </c>
      <c r="E1654" t="inlineStr">
        <is>
          <t>TransDigm Group Inc</t>
        </is>
      </c>
      <c r="F1654" t="inlineStr">
        <is>
          <t>12.00000000</t>
        </is>
      </c>
      <c r="G1654" t="inlineStr">
        <is>
          <t>1322.670000</t>
        </is>
      </c>
      <c r="H1654" t="inlineStr">
        <is>
          <t>15872.04</t>
        </is>
      </c>
      <c r="I1654" t="inlineStr">
        <is>
          <t>0.67%</t>
        </is>
      </c>
      <c r="J1654" t="inlineStr">
        <is>
          <t>2364520.00</t>
        </is>
      </c>
      <c r="K1654" t="inlineStr">
        <is>
          <t>100000</t>
        </is>
      </c>
      <c r="L1654" t="inlineStr">
        <is>
          <t>10.000000000000</t>
        </is>
      </c>
      <c r="M1654" t="inlineStr"/>
    </row>
    <row r="1655">
      <c r="A1655" t="inlineStr">
        <is>
          <t>06/25/2026</t>
        </is>
      </c>
      <c r="B1655" t="inlineStr">
        <is>
          <t>OWN</t>
        </is>
      </c>
      <c r="C1655" s="1" t="inlineStr">
        <is>
          <t>TKO</t>
        </is>
      </c>
      <c r="D1655" s="1" t="inlineStr">
        <is>
          <t>87256C101</t>
        </is>
      </c>
      <c r="E1655" t="inlineStr">
        <is>
          <t>TKO Group Holdings Inc</t>
        </is>
      </c>
      <c r="F1655" t="inlineStr">
        <is>
          <t>53.00000000</t>
        </is>
      </c>
      <c r="G1655" t="inlineStr">
        <is>
          <t>203.510000</t>
        </is>
      </c>
      <c r="H1655" t="inlineStr">
        <is>
          <t>10786.03</t>
        </is>
      </c>
      <c r="I1655" t="inlineStr">
        <is>
          <t>0.46%</t>
        </is>
      </c>
      <c r="J1655" t="inlineStr">
        <is>
          <t>2364520.00</t>
        </is>
      </c>
      <c r="K1655" t="inlineStr">
        <is>
          <t>100000</t>
        </is>
      </c>
      <c r="L1655" t="inlineStr">
        <is>
          <t>10.000000000000</t>
        </is>
      </c>
      <c r="M1655" t="inlineStr"/>
    </row>
    <row r="1656">
      <c r="A1656" t="inlineStr">
        <is>
          <t>06/25/2026</t>
        </is>
      </c>
      <c r="B1656" t="inlineStr">
        <is>
          <t>OWN</t>
        </is>
      </c>
      <c r="C1656" s="1" t="inlineStr">
        <is>
          <t>TPL</t>
        </is>
      </c>
      <c r="D1656" s="1" t="inlineStr">
        <is>
          <t>88262P102</t>
        </is>
      </c>
      <c r="E1656" t="inlineStr">
        <is>
          <t>Texas Pacific Land Corp</t>
        </is>
      </c>
      <c r="F1656" t="inlineStr">
        <is>
          <t>21.00000000</t>
        </is>
      </c>
      <c r="G1656" t="inlineStr">
        <is>
          <t>377.560000</t>
        </is>
      </c>
      <c r="H1656" t="inlineStr">
        <is>
          <t>7928.76</t>
        </is>
      </c>
      <c r="I1656" t="inlineStr">
        <is>
          <t>0.34%</t>
        </is>
      </c>
      <c r="J1656" t="inlineStr">
        <is>
          <t>2364520.00</t>
        </is>
      </c>
      <c r="K1656" t="inlineStr">
        <is>
          <t>100000</t>
        </is>
      </c>
      <c r="L1656" t="inlineStr">
        <is>
          <t>10.000000000000</t>
        </is>
      </c>
      <c r="M1656" t="inlineStr"/>
    </row>
    <row r="1657">
      <c r="A1657" t="inlineStr">
        <is>
          <t>06/25/2026</t>
        </is>
      </c>
      <c r="B1657" t="inlineStr">
        <is>
          <t>OWN</t>
        </is>
      </c>
      <c r="C1657" s="1" t="inlineStr">
        <is>
          <t>TSLA</t>
        </is>
      </c>
      <c r="D1657" s="1" t="inlineStr">
        <is>
          <t>88160R101</t>
        </is>
      </c>
      <c r="E1657" t="inlineStr">
        <is>
          <t>Tesla Inc</t>
        </is>
      </c>
      <c r="F1657" t="inlineStr">
        <is>
          <t>332.00000000</t>
        </is>
      </c>
      <c r="G1657" t="inlineStr">
        <is>
          <t>375.530000</t>
        </is>
      </c>
      <c r="H1657" t="inlineStr">
        <is>
          <t>124675.96</t>
        </is>
      </c>
      <c r="I1657" t="inlineStr">
        <is>
          <t>5.27%</t>
        </is>
      </c>
      <c r="J1657" t="inlineStr">
        <is>
          <t>2364520.00</t>
        </is>
      </c>
      <c r="K1657" t="inlineStr">
        <is>
          <t>100000</t>
        </is>
      </c>
      <c r="L1657" t="inlineStr">
        <is>
          <t>10.000000000000</t>
        </is>
      </c>
      <c r="M1657" t="inlineStr"/>
    </row>
    <row r="1658">
      <c r="A1658" t="inlineStr">
        <is>
          <t>06/25/2026</t>
        </is>
      </c>
      <c r="B1658" t="inlineStr">
        <is>
          <t>OWN</t>
        </is>
      </c>
      <c r="C1658" s="1" t="inlineStr">
        <is>
          <t>TXN</t>
        </is>
      </c>
      <c r="D1658" s="1" t="inlineStr">
        <is>
          <t>882508104</t>
        </is>
      </c>
      <c r="E1658" t="inlineStr">
        <is>
          <t>Texas Instruments Inc</t>
        </is>
      </c>
      <c r="F1658" t="inlineStr">
        <is>
          <t>28.00000000</t>
        </is>
      </c>
      <c r="G1658" t="inlineStr">
        <is>
          <t>303.110000</t>
        </is>
      </c>
      <c r="H1658" t="inlineStr">
        <is>
          <t>8487.08</t>
        </is>
      </c>
      <c r="I1658" t="inlineStr">
        <is>
          <t>0.36%</t>
        </is>
      </c>
      <c r="J1658" t="inlineStr">
        <is>
          <t>2364520.00</t>
        </is>
      </c>
      <c r="K1658" t="inlineStr">
        <is>
          <t>100000</t>
        </is>
      </c>
      <c r="L1658" t="inlineStr">
        <is>
          <t>10.000000000000</t>
        </is>
      </c>
      <c r="M1658" t="inlineStr"/>
    </row>
    <row r="1659">
      <c r="A1659" t="inlineStr">
        <is>
          <t>06/25/2026</t>
        </is>
      </c>
      <c r="B1659" t="inlineStr">
        <is>
          <t>OWN</t>
        </is>
      </c>
      <c r="C1659" s="1" t="inlineStr">
        <is>
          <t>UBER</t>
        </is>
      </c>
      <c r="D1659" s="1" t="inlineStr">
        <is>
          <t>90353T100</t>
        </is>
      </c>
      <c r="E1659" t="inlineStr">
        <is>
          <t>Uber Technologies Inc</t>
        </is>
      </c>
      <c r="F1659" t="inlineStr">
        <is>
          <t>290.00000000</t>
        </is>
      </c>
      <c r="G1659" t="inlineStr">
        <is>
          <t>73.850000</t>
        </is>
      </c>
      <c r="H1659" t="inlineStr">
        <is>
          <t>21416.50</t>
        </is>
      </c>
      <c r="I1659" t="inlineStr">
        <is>
          <t>0.91%</t>
        </is>
      </c>
      <c r="J1659" t="inlineStr">
        <is>
          <t>2364520.00</t>
        </is>
      </c>
      <c r="K1659" t="inlineStr">
        <is>
          <t>100000</t>
        </is>
      </c>
      <c r="L1659" t="inlineStr">
        <is>
          <t>10.000000000000</t>
        </is>
      </c>
      <c r="M1659" t="inlineStr"/>
    </row>
    <row r="1660">
      <c r="A1660" t="inlineStr">
        <is>
          <t>06/25/2026</t>
        </is>
      </c>
      <c r="B1660" t="inlineStr">
        <is>
          <t>OWN</t>
        </is>
      </c>
      <c r="C1660" s="1" t="inlineStr">
        <is>
          <t>VEEV</t>
        </is>
      </c>
      <c r="D1660" s="1" t="inlineStr">
        <is>
          <t>922475108</t>
        </is>
      </c>
      <c r="E1660" t="inlineStr">
        <is>
          <t>Veeva Systems Inc</t>
        </is>
      </c>
      <c r="F1660" t="inlineStr">
        <is>
          <t>50.00000000</t>
        </is>
      </c>
      <c r="G1660" t="inlineStr">
        <is>
          <t>161.350000</t>
        </is>
      </c>
      <c r="H1660" t="inlineStr">
        <is>
          <t>8067.50</t>
        </is>
      </c>
      <c r="I1660" t="inlineStr">
        <is>
          <t>0.34%</t>
        </is>
      </c>
      <c r="J1660" t="inlineStr">
        <is>
          <t>2364520.00</t>
        </is>
      </c>
      <c r="K1660" t="inlineStr">
        <is>
          <t>100000</t>
        </is>
      </c>
      <c r="L1660" t="inlineStr">
        <is>
          <t>10.000000000000</t>
        </is>
      </c>
      <c r="M1660" t="inlineStr"/>
    </row>
    <row r="1661">
      <c r="A1661" t="inlineStr">
        <is>
          <t>06/25/2026</t>
        </is>
      </c>
      <c r="B1661" t="inlineStr">
        <is>
          <t>OWN</t>
        </is>
      </c>
      <c r="C1661" s="1" t="inlineStr">
        <is>
          <t>VRT</t>
        </is>
      </c>
      <c r="D1661" s="1" t="inlineStr">
        <is>
          <t>92537N108</t>
        </is>
      </c>
      <c r="E1661" t="inlineStr">
        <is>
          <t>Vertiv Holdings Co</t>
        </is>
      </c>
      <c r="F1661" t="inlineStr">
        <is>
          <t>22.00000000</t>
        </is>
      </c>
      <c r="G1661" t="inlineStr">
        <is>
          <t>316.430000</t>
        </is>
      </c>
      <c r="H1661" t="inlineStr">
        <is>
          <t>6961.46</t>
        </is>
      </c>
      <c r="I1661" t="inlineStr">
        <is>
          <t>0.29%</t>
        </is>
      </c>
      <c r="J1661" t="inlineStr">
        <is>
          <t>2364520.00</t>
        </is>
      </c>
      <c r="K1661" t="inlineStr">
        <is>
          <t>100000</t>
        </is>
      </c>
      <c r="L1661" t="inlineStr">
        <is>
          <t>10.000000000000</t>
        </is>
      </c>
      <c r="M1661" t="inlineStr"/>
    </row>
    <row r="1662">
      <c r="A1662" t="inlineStr">
        <is>
          <t>06/25/2026</t>
        </is>
      </c>
      <c r="B1662" t="inlineStr">
        <is>
          <t>OWN</t>
        </is>
      </c>
      <c r="C1662" s="1" t="inlineStr">
        <is>
          <t>WDAY</t>
        </is>
      </c>
      <c r="D1662" s="1" t="inlineStr">
        <is>
          <t>98138H101</t>
        </is>
      </c>
      <c r="E1662" t="inlineStr">
        <is>
          <t>Workday Inc</t>
        </is>
      </c>
      <c r="F1662" t="inlineStr">
        <is>
          <t>81.00000000</t>
        </is>
      </c>
      <c r="G1662" t="inlineStr">
        <is>
          <t>118.090000</t>
        </is>
      </c>
      <c r="H1662" t="inlineStr">
        <is>
          <t>9565.29</t>
        </is>
      </c>
      <c r="I1662" t="inlineStr">
        <is>
          <t>0.40%</t>
        </is>
      </c>
      <c r="J1662" t="inlineStr">
        <is>
          <t>2364520.00</t>
        </is>
      </c>
      <c r="K1662" t="inlineStr">
        <is>
          <t>100000</t>
        </is>
      </c>
      <c r="L1662" t="inlineStr">
        <is>
          <t>10.000000000000</t>
        </is>
      </c>
      <c r="M1662" t="inlineStr"/>
    </row>
    <row r="1663">
      <c r="A1663" t="inlineStr">
        <is>
          <t>06/25/2026</t>
        </is>
      </c>
      <c r="B1663" t="inlineStr">
        <is>
          <t>OWN</t>
        </is>
      </c>
      <c r="C1663" s="1" t="inlineStr">
        <is>
          <t>WRB</t>
        </is>
      </c>
      <c r="D1663" s="1" t="inlineStr">
        <is>
          <t>084423102</t>
        </is>
      </c>
      <c r="E1663" t="inlineStr">
        <is>
          <t>W R Berkley Corp</t>
        </is>
      </c>
      <c r="F1663" t="inlineStr">
        <is>
          <t>109.00000000</t>
        </is>
      </c>
      <c r="G1663" t="inlineStr">
        <is>
          <t>70.050000</t>
        </is>
      </c>
      <c r="H1663" t="inlineStr">
        <is>
          <t>7635.45</t>
        </is>
      </c>
      <c r="I1663" t="inlineStr">
        <is>
          <t>0.32%</t>
        </is>
      </c>
      <c r="J1663" t="inlineStr">
        <is>
          <t>2364520.00</t>
        </is>
      </c>
      <c r="K1663" t="inlineStr">
        <is>
          <t>100000</t>
        </is>
      </c>
      <c r="L1663" t="inlineStr">
        <is>
          <t>10.000000000000</t>
        </is>
      </c>
      <c r="M1663" t="inlineStr"/>
    </row>
    <row r="1664">
      <c r="A1664" t="inlineStr">
        <is>
          <t>06/25/2026</t>
        </is>
      </c>
      <c r="B1664" t="inlineStr">
        <is>
          <t>OWN</t>
        </is>
      </c>
      <c r="C1664" s="1" t="inlineStr">
        <is>
          <t>XYZ</t>
        </is>
      </c>
      <c r="D1664" s="1" t="inlineStr">
        <is>
          <t>852234103</t>
        </is>
      </c>
      <c r="E1664" t="inlineStr">
        <is>
          <t>Block Inc</t>
        </is>
      </c>
      <c r="F1664" t="inlineStr">
        <is>
          <t>136.00000000</t>
        </is>
      </c>
      <c r="G1664" t="inlineStr">
        <is>
          <t>75.680000</t>
        </is>
      </c>
      <c r="H1664" t="inlineStr">
        <is>
          <t>10292.48</t>
        </is>
      </c>
      <c r="I1664" t="inlineStr">
        <is>
          <t>0.44%</t>
        </is>
      </c>
      <c r="J1664" t="inlineStr">
        <is>
          <t>2364520.00</t>
        </is>
      </c>
      <c r="K1664" t="inlineStr">
        <is>
          <t>100000</t>
        </is>
      </c>
      <c r="L1664" t="inlineStr">
        <is>
          <t>10.000000000000</t>
        </is>
      </c>
      <c r="M1664" t="inlineStr"/>
    </row>
    <row r="1665">
      <c r="A1665" t="inlineStr">
        <is>
          <t>06/25/2026</t>
        </is>
      </c>
      <c r="B1665" t="inlineStr">
        <is>
          <t>OWN</t>
        </is>
      </c>
      <c r="C1665" s="1" t="inlineStr">
        <is>
          <t>Cash&amp;Other</t>
        </is>
      </c>
      <c r="D1665" s="1" t="inlineStr">
        <is>
          <t>Cash&amp;Other</t>
        </is>
      </c>
      <c r="E1665" t="inlineStr">
        <is>
          <t>Cash &amp; Other</t>
        </is>
      </c>
      <c r="F1665" t="inlineStr">
        <is>
          <t>-84393.67000000</t>
        </is>
      </c>
      <c r="G1665" t="inlineStr">
        <is>
          <t>1.000000</t>
        </is>
      </c>
      <c r="H1665" t="inlineStr">
        <is>
          <t>-84393.67</t>
        </is>
      </c>
      <c r="I1665" t="inlineStr">
        <is>
          <t>-3.57%</t>
        </is>
      </c>
      <c r="J1665" t="inlineStr">
        <is>
          <t>2364520.00</t>
        </is>
      </c>
      <c r="K1665" t="inlineStr">
        <is>
          <t>100000</t>
        </is>
      </c>
      <c r="L1665" t="inlineStr">
        <is>
          <t>10.000000000000</t>
        </is>
      </c>
      <c r="M1665" t="inlineStr">
        <is>
          <t>Y</t>
        </is>
      </c>
    </row>
    <row r="1666">
      <c r="A1666" t="inlineStr">
        <is>
          <t>06/25/2026</t>
        </is>
      </c>
      <c r="B1666" t="inlineStr">
        <is>
          <t>PTNT</t>
        </is>
      </c>
      <c r="C1666" s="1" t="inlineStr">
        <is>
          <t>ACTG</t>
        </is>
      </c>
      <c r="D1666" s="1" t="inlineStr">
        <is>
          <t>003881307</t>
        </is>
      </c>
      <c r="E1666" t="inlineStr">
        <is>
          <t>Acacia Research Corp</t>
        </is>
      </c>
      <c r="F1666" t="inlineStr">
        <is>
          <t>3432.00000000</t>
        </is>
      </c>
      <c r="G1666" t="inlineStr">
        <is>
          <t>4.700000</t>
        </is>
      </c>
      <c r="H1666" t="inlineStr">
        <is>
          <t>16130.40</t>
        </is>
      </c>
      <c r="I1666" t="inlineStr">
        <is>
          <t>1.12%</t>
        </is>
      </c>
      <c r="J1666" t="inlineStr">
        <is>
          <t>1433861.00</t>
        </is>
      </c>
      <c r="K1666" t="inlineStr">
        <is>
          <t>55000</t>
        </is>
      </c>
      <c r="L1666" t="inlineStr">
        <is>
          <t>11.000000000000</t>
        </is>
      </c>
      <c r="M1666" t="inlineStr"/>
    </row>
    <row r="1667">
      <c r="A1667" t="inlineStr">
        <is>
          <t>06/25/2026</t>
        </is>
      </c>
      <c r="B1667" t="inlineStr">
        <is>
          <t>PTNT</t>
        </is>
      </c>
      <c r="C1667" s="1" t="inlineStr">
        <is>
          <t>ADEA</t>
        </is>
      </c>
      <c r="D1667" s="1" t="inlineStr">
        <is>
          <t>00676P107</t>
        </is>
      </c>
      <c r="E1667" t="inlineStr">
        <is>
          <t>Adeia Inc</t>
        </is>
      </c>
      <c r="F1667" t="inlineStr">
        <is>
          <t>1580.00000000</t>
        </is>
      </c>
      <c r="G1667" t="inlineStr">
        <is>
          <t>30.060000</t>
        </is>
      </c>
      <c r="H1667" t="inlineStr">
        <is>
          <t>47494.80</t>
        </is>
      </c>
      <c r="I1667" t="inlineStr">
        <is>
          <t>3.31%</t>
        </is>
      </c>
      <c r="J1667" t="inlineStr">
        <is>
          <t>1433861.00</t>
        </is>
      </c>
      <c r="K1667" t="inlineStr">
        <is>
          <t>55000</t>
        </is>
      </c>
      <c r="L1667" t="inlineStr">
        <is>
          <t>11.000000000000</t>
        </is>
      </c>
      <c r="M1667" t="inlineStr"/>
    </row>
    <row r="1668">
      <c r="A1668" t="inlineStr">
        <is>
          <t>06/25/2026</t>
        </is>
      </c>
      <c r="B1668" t="inlineStr">
        <is>
          <t>PTNT</t>
        </is>
      </c>
      <c r="C1668" s="1" t="inlineStr">
        <is>
          <t>ARM</t>
        </is>
      </c>
      <c r="D1668" s="1" t="inlineStr">
        <is>
          <t>042068205</t>
        </is>
      </c>
      <c r="E1668" t="inlineStr">
        <is>
          <t>ARM Holdings PLC</t>
        </is>
      </c>
      <c r="F1668" t="inlineStr">
        <is>
          <t>286.00000000</t>
        </is>
      </c>
      <c r="G1668" t="inlineStr">
        <is>
          <t>359.080000</t>
        </is>
      </c>
      <c r="H1668" t="inlineStr">
        <is>
          <t>102696.88</t>
        </is>
      </c>
      <c r="I1668" t="inlineStr">
        <is>
          <t>7.16%</t>
        </is>
      </c>
      <c r="J1668" t="inlineStr">
        <is>
          <t>1433861.00</t>
        </is>
      </c>
      <c r="K1668" t="inlineStr">
        <is>
          <t>55000</t>
        </is>
      </c>
      <c r="L1668" t="inlineStr">
        <is>
          <t>11.000000000000</t>
        </is>
      </c>
      <c r="M1668" t="inlineStr"/>
    </row>
    <row r="1669">
      <c r="A1669" t="inlineStr">
        <is>
          <t>06/25/2026</t>
        </is>
      </c>
      <c r="B1669" t="inlineStr">
        <is>
          <t>PTNT</t>
        </is>
      </c>
      <c r="C1669" s="1" t="inlineStr">
        <is>
          <t>CDNS</t>
        </is>
      </c>
      <c r="D1669" s="1" t="inlineStr">
        <is>
          <t>127387108</t>
        </is>
      </c>
      <c r="E1669" t="inlineStr">
        <is>
          <t>Cadence Design Systems Inc</t>
        </is>
      </c>
      <c r="F1669" t="inlineStr">
        <is>
          <t>198.00000000</t>
        </is>
      </c>
      <c r="G1669" t="inlineStr">
        <is>
          <t>372.400000</t>
        </is>
      </c>
      <c r="H1669" t="inlineStr">
        <is>
          <t>73735.20</t>
        </is>
      </c>
      <c r="I1669" t="inlineStr">
        <is>
          <t>5.14%</t>
        </is>
      </c>
      <c r="J1669" t="inlineStr">
        <is>
          <t>1433861.00</t>
        </is>
      </c>
      <c r="K1669" t="inlineStr">
        <is>
          <t>55000</t>
        </is>
      </c>
      <c r="L1669" t="inlineStr">
        <is>
          <t>11.000000000000</t>
        </is>
      </c>
      <c r="M1669" t="inlineStr"/>
    </row>
    <row r="1670">
      <c r="A1670" t="inlineStr">
        <is>
          <t>06/25/2026</t>
        </is>
      </c>
      <c r="B1670" t="inlineStr">
        <is>
          <t>PTNT</t>
        </is>
      </c>
      <c r="C1670" s="1" t="inlineStr">
        <is>
          <t>CEVA</t>
        </is>
      </c>
      <c r="D1670" s="1" t="inlineStr">
        <is>
          <t>157210105</t>
        </is>
      </c>
      <c r="E1670" t="inlineStr">
        <is>
          <t>CEVA Inc</t>
        </is>
      </c>
      <c r="F1670" t="inlineStr">
        <is>
          <t>660.00000000</t>
        </is>
      </c>
      <c r="G1670" t="inlineStr">
        <is>
          <t>45.035000</t>
        </is>
      </c>
      <c r="H1670" t="inlineStr">
        <is>
          <t>29723.10</t>
        </is>
      </c>
      <c r="I1670" t="inlineStr">
        <is>
          <t>2.07%</t>
        </is>
      </c>
      <c r="J1670" t="inlineStr">
        <is>
          <t>1433861.00</t>
        </is>
      </c>
      <c r="K1670" t="inlineStr">
        <is>
          <t>55000</t>
        </is>
      </c>
      <c r="L1670" t="inlineStr">
        <is>
          <t>11.000000000000</t>
        </is>
      </c>
      <c r="M1670" t="inlineStr"/>
    </row>
    <row r="1671">
      <c r="A1671" t="inlineStr">
        <is>
          <t>06/25/2026</t>
        </is>
      </c>
      <c r="B1671" t="inlineStr">
        <is>
          <t>PTNT</t>
        </is>
      </c>
      <c r="C1671" s="1" t="inlineStr">
        <is>
          <t>DIS</t>
        </is>
      </c>
      <c r="D1671" s="1" t="inlineStr">
        <is>
          <t>254687106</t>
        </is>
      </c>
      <c r="E1671" t="inlineStr">
        <is>
          <t>Walt Disney Co/The</t>
        </is>
      </c>
      <c r="F1671" t="inlineStr">
        <is>
          <t>660.00000000</t>
        </is>
      </c>
      <c r="G1671" t="inlineStr">
        <is>
          <t>101.120000</t>
        </is>
      </c>
      <c r="H1671" t="inlineStr">
        <is>
          <t>66739.20</t>
        </is>
      </c>
      <c r="I1671" t="inlineStr">
        <is>
          <t>4.65%</t>
        </is>
      </c>
      <c r="J1671" t="inlineStr">
        <is>
          <t>1433861.00</t>
        </is>
      </c>
      <c r="K1671" t="inlineStr">
        <is>
          <t>55000</t>
        </is>
      </c>
      <c r="L1671" t="inlineStr">
        <is>
          <t>11.000000000000</t>
        </is>
      </c>
      <c r="M1671" t="inlineStr"/>
    </row>
    <row r="1672">
      <c r="A1672" t="inlineStr">
        <is>
          <t>06/25/2026</t>
        </is>
      </c>
      <c r="B1672" t="inlineStr">
        <is>
          <t>PTNT</t>
        </is>
      </c>
      <c r="C1672" s="1" t="inlineStr">
        <is>
          <t>DLB</t>
        </is>
      </c>
      <c r="D1672" s="1" t="inlineStr">
        <is>
          <t>25659T107</t>
        </is>
      </c>
      <c r="E1672" t="inlineStr">
        <is>
          <t>Dolby Laboratories Inc</t>
        </is>
      </c>
      <c r="F1672" t="inlineStr">
        <is>
          <t>451.00000000</t>
        </is>
      </c>
      <c r="G1672" t="inlineStr">
        <is>
          <t>52.640000</t>
        </is>
      </c>
      <c r="H1672" t="inlineStr">
        <is>
          <t>23740.64</t>
        </is>
      </c>
      <c r="I1672" t="inlineStr">
        <is>
          <t>1.66%</t>
        </is>
      </c>
      <c r="J1672" t="inlineStr">
        <is>
          <t>1433861.00</t>
        </is>
      </c>
      <c r="K1672" t="inlineStr">
        <is>
          <t>55000</t>
        </is>
      </c>
      <c r="L1672" t="inlineStr">
        <is>
          <t>11.000000000000</t>
        </is>
      </c>
      <c r="M1672" t="inlineStr"/>
    </row>
    <row r="1673">
      <c r="A1673" t="inlineStr">
        <is>
          <t>06/25/2026</t>
        </is>
      </c>
      <c r="B1673" t="inlineStr">
        <is>
          <t>PTNT</t>
        </is>
      </c>
      <c r="C1673" s="1" t="inlineStr">
        <is>
          <t>DPZ</t>
        </is>
      </c>
      <c r="D1673" s="1" t="inlineStr">
        <is>
          <t>25754A201</t>
        </is>
      </c>
      <c r="E1673" t="inlineStr">
        <is>
          <t>Domino's Pizza Inc</t>
        </is>
      </c>
      <c r="F1673" t="inlineStr">
        <is>
          <t>110.00000000</t>
        </is>
      </c>
      <c r="G1673" t="inlineStr">
        <is>
          <t>287.620000</t>
        </is>
      </c>
      <c r="H1673" t="inlineStr">
        <is>
          <t>31638.20</t>
        </is>
      </c>
      <c r="I1673" t="inlineStr">
        <is>
          <t>2.21%</t>
        </is>
      </c>
      <c r="J1673" t="inlineStr">
        <is>
          <t>1433861.00</t>
        </is>
      </c>
      <c r="K1673" t="inlineStr">
        <is>
          <t>55000</t>
        </is>
      </c>
      <c r="L1673" t="inlineStr">
        <is>
          <t>11.000000000000</t>
        </is>
      </c>
      <c r="M1673" t="inlineStr"/>
    </row>
    <row r="1674">
      <c r="A1674" t="inlineStr">
        <is>
          <t>06/25/2026</t>
        </is>
      </c>
      <c r="B1674" t="inlineStr">
        <is>
          <t>PTNT</t>
        </is>
      </c>
      <c r="C1674" s="1" t="inlineStr">
        <is>
          <t>FGXXX</t>
        </is>
      </c>
      <c r="D1674" s="1" t="inlineStr">
        <is>
          <t>31846V336</t>
        </is>
      </c>
      <c r="E1674" t="inlineStr">
        <is>
          <t>First American Government Obligations Fund 12/01/2031</t>
        </is>
      </c>
      <c r="F1674" t="inlineStr">
        <is>
          <t>29296.41000000</t>
        </is>
      </c>
      <c r="G1674" t="inlineStr">
        <is>
          <t>100.000000</t>
        </is>
      </c>
      <c r="H1674" t="inlineStr">
        <is>
          <t>29296.41</t>
        </is>
      </c>
      <c r="I1674" t="inlineStr">
        <is>
          <t>2.04%</t>
        </is>
      </c>
      <c r="J1674" t="inlineStr">
        <is>
          <t>1433861.00</t>
        </is>
      </c>
      <c r="K1674" t="inlineStr">
        <is>
          <t>55000</t>
        </is>
      </c>
      <c r="L1674" t="inlineStr">
        <is>
          <t>11.000000000000</t>
        </is>
      </c>
      <c r="M1674" t="inlineStr">
        <is>
          <t>Y</t>
        </is>
      </c>
    </row>
    <row r="1675">
      <c r="A1675" t="inlineStr">
        <is>
          <t>06/25/2026</t>
        </is>
      </c>
      <c r="B1675" t="inlineStr">
        <is>
          <t>PTNT</t>
        </is>
      </c>
      <c r="C1675" s="1" t="inlineStr">
        <is>
          <t>FWONK</t>
        </is>
      </c>
      <c r="D1675" s="1" t="inlineStr">
        <is>
          <t>531229755</t>
        </is>
      </c>
      <c r="E1675" t="inlineStr">
        <is>
          <t>Liberty Media Corp-Liberty Formula One</t>
        </is>
      </c>
      <c r="F1675" t="inlineStr">
        <is>
          <t>550.00000000</t>
        </is>
      </c>
      <c r="G1675" t="inlineStr">
        <is>
          <t>90.030000</t>
        </is>
      </c>
      <c r="H1675" t="inlineStr">
        <is>
          <t>49516.50</t>
        </is>
      </c>
      <c r="I1675" t="inlineStr">
        <is>
          <t>3.45%</t>
        </is>
      </c>
      <c r="J1675" t="inlineStr">
        <is>
          <t>1433861.00</t>
        </is>
      </c>
      <c r="K1675" t="inlineStr">
        <is>
          <t>55000</t>
        </is>
      </c>
      <c r="L1675" t="inlineStr">
        <is>
          <t>11.000000000000</t>
        </is>
      </c>
      <c r="M1675" t="inlineStr"/>
    </row>
    <row r="1676">
      <c r="A1676" t="inlineStr">
        <is>
          <t>06/25/2026</t>
        </is>
      </c>
      <c r="B1676" t="inlineStr">
        <is>
          <t>PTNT</t>
        </is>
      </c>
      <c r="C1676" s="1" t="inlineStr">
        <is>
          <t>HAS</t>
        </is>
      </c>
      <c r="D1676" s="1" t="inlineStr">
        <is>
          <t>418056107</t>
        </is>
      </c>
      <c r="E1676" t="inlineStr">
        <is>
          <t>Hasbro Inc</t>
        </is>
      </c>
      <c r="F1676" t="inlineStr">
        <is>
          <t>451.00000000</t>
        </is>
      </c>
      <c r="G1676" t="inlineStr">
        <is>
          <t>83.280000</t>
        </is>
      </c>
      <c r="H1676" t="inlineStr">
        <is>
          <t>37559.28</t>
        </is>
      </c>
      <c r="I1676" t="inlineStr">
        <is>
          <t>2.62%</t>
        </is>
      </c>
      <c r="J1676" t="inlineStr">
        <is>
          <t>1433861.00</t>
        </is>
      </c>
      <c r="K1676" t="inlineStr">
        <is>
          <t>55000</t>
        </is>
      </c>
      <c r="L1676" t="inlineStr">
        <is>
          <t>11.000000000000</t>
        </is>
      </c>
      <c r="M1676" t="inlineStr"/>
    </row>
    <row r="1677">
      <c r="A1677" t="inlineStr">
        <is>
          <t>06/25/2026</t>
        </is>
      </c>
      <c r="B1677" t="inlineStr">
        <is>
          <t>PTNT</t>
        </is>
      </c>
      <c r="C1677" s="1" t="inlineStr">
        <is>
          <t>IBM</t>
        </is>
      </c>
      <c r="D1677" s="1" t="inlineStr">
        <is>
          <t>459200101</t>
        </is>
      </c>
      <c r="E1677" t="inlineStr">
        <is>
          <t>International Business Machines Corp</t>
        </is>
      </c>
      <c r="F1677" t="inlineStr">
        <is>
          <t>286.00000000</t>
        </is>
      </c>
      <c r="G1677" t="inlineStr">
        <is>
          <t>262.960000</t>
        </is>
      </c>
      <c r="H1677" t="inlineStr">
        <is>
          <t>75206.56</t>
        </is>
      </c>
      <c r="I1677" t="inlineStr">
        <is>
          <t>5.25%</t>
        </is>
      </c>
      <c r="J1677" t="inlineStr">
        <is>
          <t>1433861.00</t>
        </is>
      </c>
      <c r="K1677" t="inlineStr">
        <is>
          <t>55000</t>
        </is>
      </c>
      <c r="L1677" t="inlineStr">
        <is>
          <t>11.000000000000</t>
        </is>
      </c>
      <c r="M1677" t="inlineStr"/>
    </row>
    <row r="1678">
      <c r="A1678" t="inlineStr">
        <is>
          <t>06/25/2026</t>
        </is>
      </c>
      <c r="B1678" t="inlineStr">
        <is>
          <t>PTNT</t>
        </is>
      </c>
      <c r="C1678" s="1" t="inlineStr">
        <is>
          <t>IDCC</t>
        </is>
      </c>
      <c r="D1678" s="1" t="inlineStr">
        <is>
          <t>45867G101</t>
        </is>
      </c>
      <c r="E1678" t="inlineStr">
        <is>
          <t>InterDigital Inc</t>
        </is>
      </c>
      <c r="F1678" t="inlineStr">
        <is>
          <t>99.00000000</t>
        </is>
      </c>
      <c r="G1678" t="inlineStr">
        <is>
          <t>274.050000</t>
        </is>
      </c>
      <c r="H1678" t="inlineStr">
        <is>
          <t>27130.95</t>
        </is>
      </c>
      <c r="I1678" t="inlineStr">
        <is>
          <t>1.89%</t>
        </is>
      </c>
      <c r="J1678" t="inlineStr">
        <is>
          <t>1433861.00</t>
        </is>
      </c>
      <c r="K1678" t="inlineStr">
        <is>
          <t>55000</t>
        </is>
      </c>
      <c r="L1678" t="inlineStr">
        <is>
          <t>11.000000000000</t>
        </is>
      </c>
      <c r="M1678" t="inlineStr"/>
    </row>
    <row r="1679">
      <c r="A1679" t="inlineStr">
        <is>
          <t>06/25/2026</t>
        </is>
      </c>
      <c r="B1679" t="inlineStr">
        <is>
          <t>PTNT</t>
        </is>
      </c>
      <c r="C1679" s="1" t="inlineStr">
        <is>
          <t>LGND</t>
        </is>
      </c>
      <c r="D1679" s="1" t="inlineStr">
        <is>
          <t>53220K504</t>
        </is>
      </c>
      <c r="E1679" t="inlineStr">
        <is>
          <t>Ligand Pharmaceuticals Inc</t>
        </is>
      </c>
      <c r="F1679" t="inlineStr">
        <is>
          <t>132.00000000</t>
        </is>
      </c>
      <c r="G1679" t="inlineStr">
        <is>
          <t>284.910000</t>
        </is>
      </c>
      <c r="H1679" t="inlineStr">
        <is>
          <t>37608.12</t>
        </is>
      </c>
      <c r="I1679" t="inlineStr">
        <is>
          <t>2.62%</t>
        </is>
      </c>
      <c r="J1679" t="inlineStr">
        <is>
          <t>1433861.00</t>
        </is>
      </c>
      <c r="K1679" t="inlineStr">
        <is>
          <t>55000</t>
        </is>
      </c>
      <c r="L1679" t="inlineStr">
        <is>
          <t>11.000000000000</t>
        </is>
      </c>
      <c r="M1679" t="inlineStr"/>
    </row>
    <row r="1680">
      <c r="A1680" t="inlineStr">
        <is>
          <t>06/25/2026</t>
        </is>
      </c>
      <c r="B1680" t="inlineStr">
        <is>
          <t>PTNT</t>
        </is>
      </c>
      <c r="C1680" s="1" t="inlineStr">
        <is>
          <t>MAT</t>
        </is>
      </c>
      <c r="D1680" s="1" t="inlineStr">
        <is>
          <t>577081102</t>
        </is>
      </c>
      <c r="E1680" t="inlineStr">
        <is>
          <t>Mattel Inc</t>
        </is>
      </c>
      <c r="F1680" t="inlineStr">
        <is>
          <t>2101.00000000</t>
        </is>
      </c>
      <c r="G1680" t="inlineStr">
        <is>
          <t>13.880000</t>
        </is>
      </c>
      <c r="H1680" t="inlineStr">
        <is>
          <t>29161.88</t>
        </is>
      </c>
      <c r="I1680" t="inlineStr">
        <is>
          <t>2.03%</t>
        </is>
      </c>
      <c r="J1680" t="inlineStr">
        <is>
          <t>1433861.00</t>
        </is>
      </c>
      <c r="K1680" t="inlineStr">
        <is>
          <t>55000</t>
        </is>
      </c>
      <c r="L1680" t="inlineStr">
        <is>
          <t>11.000000000000</t>
        </is>
      </c>
      <c r="M1680" t="inlineStr"/>
    </row>
    <row r="1681">
      <c r="A1681" t="inlineStr">
        <is>
          <t>06/25/2026</t>
        </is>
      </c>
      <c r="B1681" t="inlineStr">
        <is>
          <t>PTNT</t>
        </is>
      </c>
      <c r="C1681" s="1" t="inlineStr">
        <is>
          <t>MCD</t>
        </is>
      </c>
      <c r="D1681" s="1" t="inlineStr">
        <is>
          <t>580135101</t>
        </is>
      </c>
      <c r="E1681" t="inlineStr">
        <is>
          <t>McDonald's Corp</t>
        </is>
      </c>
      <c r="F1681" t="inlineStr">
        <is>
          <t>396.00000000</t>
        </is>
      </c>
      <c r="G1681" t="inlineStr">
        <is>
          <t>273.880000</t>
        </is>
      </c>
      <c r="H1681" t="inlineStr">
        <is>
          <t>108456.48</t>
        </is>
      </c>
      <c r="I1681" t="inlineStr">
        <is>
          <t>7.56%</t>
        </is>
      </c>
      <c r="J1681" t="inlineStr">
        <is>
          <t>1433861.00</t>
        </is>
      </c>
      <c r="K1681" t="inlineStr">
        <is>
          <t>55000</t>
        </is>
      </c>
      <c r="L1681" t="inlineStr">
        <is>
          <t>11.000000000000</t>
        </is>
      </c>
      <c r="M1681" t="inlineStr"/>
    </row>
    <row r="1682">
      <c r="A1682" t="inlineStr">
        <is>
          <t>06/25/2026</t>
        </is>
      </c>
      <c r="B1682" t="inlineStr">
        <is>
          <t>PTNT</t>
        </is>
      </c>
      <c r="C1682" s="1" t="inlineStr">
        <is>
          <t>NFLX</t>
        </is>
      </c>
      <c r="D1682" s="1" t="inlineStr">
        <is>
          <t>64110L106</t>
        </is>
      </c>
      <c r="E1682" t="inlineStr">
        <is>
          <t>Netflix Inc</t>
        </is>
      </c>
      <c r="F1682" t="inlineStr">
        <is>
          <t>1090.00000000</t>
        </is>
      </c>
      <c r="G1682" t="inlineStr">
        <is>
          <t>71.840000</t>
        </is>
      </c>
      <c r="H1682" t="inlineStr">
        <is>
          <t>78305.60</t>
        </is>
      </c>
      <c r="I1682" t="inlineStr">
        <is>
          <t>5.46%</t>
        </is>
      </c>
      <c r="J1682" t="inlineStr">
        <is>
          <t>1433861.00</t>
        </is>
      </c>
      <c r="K1682" t="inlineStr">
        <is>
          <t>55000</t>
        </is>
      </c>
      <c r="L1682" t="inlineStr">
        <is>
          <t>11.000000000000</t>
        </is>
      </c>
      <c r="M1682" t="inlineStr"/>
    </row>
    <row r="1683">
      <c r="A1683" t="inlineStr">
        <is>
          <t>06/25/2026</t>
        </is>
      </c>
      <c r="B1683" t="inlineStr">
        <is>
          <t>PTNT</t>
        </is>
      </c>
      <c r="C1683" s="1" t="inlineStr">
        <is>
          <t>NOK</t>
        </is>
      </c>
      <c r="D1683" s="1" t="inlineStr">
        <is>
          <t>654902204</t>
        </is>
      </c>
      <c r="E1683" t="inlineStr">
        <is>
          <t>Nokia Oyj</t>
        </is>
      </c>
      <c r="F1683" t="inlineStr">
        <is>
          <t>2951.00000000</t>
        </is>
      </c>
      <c r="G1683" t="inlineStr">
        <is>
          <t>13.810000</t>
        </is>
      </c>
      <c r="H1683" t="inlineStr">
        <is>
          <t>40753.31</t>
        </is>
      </c>
      <c r="I1683" t="inlineStr">
        <is>
          <t>2.84%</t>
        </is>
      </c>
      <c r="J1683" t="inlineStr">
        <is>
          <t>1433861.00</t>
        </is>
      </c>
      <c r="K1683" t="inlineStr">
        <is>
          <t>55000</t>
        </is>
      </c>
      <c r="L1683" t="inlineStr">
        <is>
          <t>11.000000000000</t>
        </is>
      </c>
      <c r="M1683" t="inlineStr"/>
    </row>
    <row r="1684">
      <c r="A1684" t="inlineStr">
        <is>
          <t>06/25/2026</t>
        </is>
      </c>
      <c r="B1684" t="inlineStr">
        <is>
          <t>PTNT</t>
        </is>
      </c>
      <c r="C1684" s="1" t="inlineStr">
        <is>
          <t>QCOM</t>
        </is>
      </c>
      <c r="D1684" s="1" t="inlineStr">
        <is>
          <t>747525103</t>
        </is>
      </c>
      <c r="E1684" t="inlineStr">
        <is>
          <t>QUALCOMM Inc</t>
        </is>
      </c>
      <c r="F1684" t="inlineStr">
        <is>
          <t>505.00000000</t>
        </is>
      </c>
      <c r="G1684" t="inlineStr">
        <is>
          <t>197.410000</t>
        </is>
      </c>
      <c r="H1684" t="inlineStr">
        <is>
          <t>99692.05</t>
        </is>
      </c>
      <c r="I1684" t="inlineStr">
        <is>
          <t>6.95%</t>
        </is>
      </c>
      <c r="J1684" t="inlineStr">
        <is>
          <t>1433861.00</t>
        </is>
      </c>
      <c r="K1684" t="inlineStr">
        <is>
          <t>55000</t>
        </is>
      </c>
      <c r="L1684" t="inlineStr">
        <is>
          <t>11.000000000000</t>
        </is>
      </c>
      <c r="M1684" t="inlineStr"/>
    </row>
    <row r="1685">
      <c r="A1685" t="inlineStr">
        <is>
          <t>06/25/2026</t>
        </is>
      </c>
      <c r="B1685" t="inlineStr">
        <is>
          <t>PTNT</t>
        </is>
      </c>
      <c r="C1685" s="1" t="inlineStr">
        <is>
          <t>RMBS</t>
        </is>
      </c>
      <c r="D1685" s="1" t="inlineStr">
        <is>
          <t>750917106</t>
        </is>
      </c>
      <c r="E1685" t="inlineStr">
        <is>
          <t>Rambus Inc</t>
        </is>
      </c>
      <c r="F1685" t="inlineStr">
        <is>
          <t>242.00000000</t>
        </is>
      </c>
      <c r="G1685" t="inlineStr">
        <is>
          <t>124.520000</t>
        </is>
      </c>
      <c r="H1685" t="inlineStr">
        <is>
          <t>30133.84</t>
        </is>
      </c>
      <c r="I1685" t="inlineStr">
        <is>
          <t>2.10%</t>
        </is>
      </c>
      <c r="J1685" t="inlineStr">
        <is>
          <t>1433861.00</t>
        </is>
      </c>
      <c r="K1685" t="inlineStr">
        <is>
          <t>55000</t>
        </is>
      </c>
      <c r="L1685" t="inlineStr">
        <is>
          <t>11.000000000000</t>
        </is>
      </c>
      <c r="M1685" t="inlineStr"/>
    </row>
    <row r="1686">
      <c r="A1686" t="inlineStr">
        <is>
          <t>06/25/2026</t>
        </is>
      </c>
      <c r="B1686" t="inlineStr">
        <is>
          <t>PTNT</t>
        </is>
      </c>
      <c r="C1686" s="1" t="inlineStr">
        <is>
          <t>RPRX</t>
        </is>
      </c>
      <c r="D1686" s="1" t="inlineStr">
        <is>
          <t>G7709Q104</t>
        </is>
      </c>
      <c r="E1686" t="inlineStr">
        <is>
          <t>Royalty Pharma PLC</t>
        </is>
      </c>
      <c r="F1686" t="inlineStr">
        <is>
          <t>979.00000000</t>
        </is>
      </c>
      <c r="G1686" t="inlineStr">
        <is>
          <t>54.280000</t>
        </is>
      </c>
      <c r="H1686" t="inlineStr">
        <is>
          <t>53140.12</t>
        </is>
      </c>
      <c r="I1686" t="inlineStr">
        <is>
          <t>3.71%</t>
        </is>
      </c>
      <c r="J1686" t="inlineStr">
        <is>
          <t>1433861.00</t>
        </is>
      </c>
      <c r="K1686" t="inlineStr">
        <is>
          <t>55000</t>
        </is>
      </c>
      <c r="L1686" t="inlineStr">
        <is>
          <t>11.000000000000</t>
        </is>
      </c>
      <c r="M1686" t="inlineStr"/>
    </row>
    <row r="1687">
      <c r="A1687" t="inlineStr">
        <is>
          <t>06/25/2026</t>
        </is>
      </c>
      <c r="B1687" t="inlineStr">
        <is>
          <t>PTNT</t>
        </is>
      </c>
      <c r="C1687" s="1" t="inlineStr">
        <is>
          <t>SNPS</t>
        </is>
      </c>
      <c r="D1687" s="1" t="inlineStr">
        <is>
          <t>871607107</t>
        </is>
      </c>
      <c r="E1687" t="inlineStr">
        <is>
          <t>Synopsys Inc</t>
        </is>
      </c>
      <c r="F1687" t="inlineStr">
        <is>
          <t>132.00000000</t>
        </is>
      </c>
      <c r="G1687" t="inlineStr">
        <is>
          <t>463.930000</t>
        </is>
      </c>
      <c r="H1687" t="inlineStr">
        <is>
          <t>61238.76</t>
        </is>
      </c>
      <c r="I1687" t="inlineStr">
        <is>
          <t>4.27%</t>
        </is>
      </c>
      <c r="J1687" t="inlineStr">
        <is>
          <t>1433861.00</t>
        </is>
      </c>
      <c r="K1687" t="inlineStr">
        <is>
          <t>55000</t>
        </is>
      </c>
      <c r="L1687" t="inlineStr">
        <is>
          <t>11.000000000000</t>
        </is>
      </c>
      <c r="M1687" t="inlineStr"/>
    </row>
    <row r="1688">
      <c r="A1688" t="inlineStr">
        <is>
          <t>06/25/2026</t>
        </is>
      </c>
      <c r="B1688" t="inlineStr">
        <is>
          <t>PTNT</t>
        </is>
      </c>
      <c r="C1688" s="1" t="inlineStr">
        <is>
          <t>SVCO</t>
        </is>
      </c>
      <c r="D1688" s="1" t="inlineStr">
        <is>
          <t>82728C102</t>
        </is>
      </c>
      <c r="E1688" t="inlineStr">
        <is>
          <t>Silvaco Group Inc</t>
        </is>
      </c>
      <c r="F1688" t="inlineStr">
        <is>
          <t>1502.00000000</t>
        </is>
      </c>
      <c r="G1688" t="inlineStr">
        <is>
          <t>11.820000</t>
        </is>
      </c>
      <c r="H1688" t="inlineStr">
        <is>
          <t>17753.64</t>
        </is>
      </c>
      <c r="I1688" t="inlineStr">
        <is>
          <t>1.24%</t>
        </is>
      </c>
      <c r="J1688" t="inlineStr">
        <is>
          <t>1433861.00</t>
        </is>
      </c>
      <c r="K1688" t="inlineStr">
        <is>
          <t>55000</t>
        </is>
      </c>
      <c r="L1688" t="inlineStr">
        <is>
          <t>11.000000000000</t>
        </is>
      </c>
      <c r="M1688" t="inlineStr"/>
    </row>
    <row r="1689">
      <c r="A1689" t="inlineStr">
        <is>
          <t>06/25/2026</t>
        </is>
      </c>
      <c r="B1689" t="inlineStr">
        <is>
          <t>PTNT</t>
        </is>
      </c>
      <c r="C1689" s="1" t="inlineStr">
        <is>
          <t>TKO</t>
        </is>
      </c>
      <c r="D1689" s="1" t="inlineStr">
        <is>
          <t>87256C101</t>
        </is>
      </c>
      <c r="E1689" t="inlineStr">
        <is>
          <t>TKO Group Holdings Inc</t>
        </is>
      </c>
      <c r="F1689" t="inlineStr">
        <is>
          <t>231.00000000</t>
        </is>
      </c>
      <c r="G1689" t="inlineStr">
        <is>
          <t>203.510000</t>
        </is>
      </c>
      <c r="H1689" t="inlineStr">
        <is>
          <t>47010.81</t>
        </is>
      </c>
      <c r="I1689" t="inlineStr">
        <is>
          <t>3.28%</t>
        </is>
      </c>
      <c r="J1689" t="inlineStr">
        <is>
          <t>1433861.00</t>
        </is>
      </c>
      <c r="K1689" t="inlineStr">
        <is>
          <t>55000</t>
        </is>
      </c>
      <c r="L1689" t="inlineStr">
        <is>
          <t>11.000000000000</t>
        </is>
      </c>
      <c r="M1689" t="inlineStr"/>
    </row>
    <row r="1690">
      <c r="A1690" t="inlineStr">
        <is>
          <t>06/25/2026</t>
        </is>
      </c>
      <c r="B1690" t="inlineStr">
        <is>
          <t>PTNT</t>
        </is>
      </c>
      <c r="C1690" s="1" t="inlineStr">
        <is>
          <t>TTWO</t>
        </is>
      </c>
      <c r="D1690" s="1" t="inlineStr">
        <is>
          <t>874054109</t>
        </is>
      </c>
      <c r="E1690" t="inlineStr">
        <is>
          <t>Take-Two Interactive Software Inc</t>
        </is>
      </c>
      <c r="F1690" t="inlineStr">
        <is>
          <t>76.00000000</t>
        </is>
      </c>
      <c r="G1690" t="inlineStr">
        <is>
          <t>235.770000</t>
        </is>
      </c>
      <c r="H1690" t="inlineStr">
        <is>
          <t>17918.52</t>
        </is>
      </c>
      <c r="I1690" t="inlineStr">
        <is>
          <t>1.25%</t>
        </is>
      </c>
      <c r="J1690" t="inlineStr">
        <is>
          <t>1433861.00</t>
        </is>
      </c>
      <c r="K1690" t="inlineStr">
        <is>
          <t>55000</t>
        </is>
      </c>
      <c r="L1690" t="inlineStr">
        <is>
          <t>11.000000000000</t>
        </is>
      </c>
      <c r="M1690" t="inlineStr"/>
    </row>
    <row r="1691">
      <c r="A1691" t="inlineStr">
        <is>
          <t>06/25/2026</t>
        </is>
      </c>
      <c r="B1691" t="inlineStr">
        <is>
          <t>PTNT</t>
        </is>
      </c>
      <c r="C1691" s="1" t="inlineStr">
        <is>
          <t>VRSN</t>
        </is>
      </c>
      <c r="D1691" s="1" t="inlineStr">
        <is>
          <t>92343E102</t>
        </is>
      </c>
      <c r="E1691" t="inlineStr">
        <is>
          <t>VeriSign Inc</t>
        </is>
      </c>
      <c r="F1691" t="inlineStr">
        <is>
          <t>187.00000000</t>
        </is>
      </c>
      <c r="G1691" t="inlineStr">
        <is>
          <t>252.080000</t>
        </is>
      </c>
      <c r="H1691" t="inlineStr">
        <is>
          <t>47138.96</t>
        </is>
      </c>
      <c r="I1691" t="inlineStr">
        <is>
          <t>3.29%</t>
        </is>
      </c>
      <c r="J1691" t="inlineStr">
        <is>
          <t>1433861.00</t>
        </is>
      </c>
      <c r="K1691" t="inlineStr">
        <is>
          <t>55000</t>
        </is>
      </c>
      <c r="L1691" t="inlineStr">
        <is>
          <t>11.000000000000</t>
        </is>
      </c>
      <c r="M1691" t="inlineStr"/>
    </row>
    <row r="1692">
      <c r="A1692" t="inlineStr">
        <is>
          <t>06/25/2026</t>
        </is>
      </c>
      <c r="B1692" t="inlineStr">
        <is>
          <t>PTNT</t>
        </is>
      </c>
      <c r="C1692" s="1" t="inlineStr">
        <is>
          <t>WING</t>
        </is>
      </c>
      <c r="D1692" s="1" t="inlineStr">
        <is>
          <t>974155103</t>
        </is>
      </c>
      <c r="E1692" t="inlineStr">
        <is>
          <t>Wingstop Inc</t>
        </is>
      </c>
      <c r="F1692" t="inlineStr">
        <is>
          <t>154.00000000</t>
        </is>
      </c>
      <c r="G1692" t="inlineStr">
        <is>
          <t>155.790000</t>
        </is>
      </c>
      <c r="H1692" t="inlineStr">
        <is>
          <t>23991.66</t>
        </is>
      </c>
      <c r="I1692" t="inlineStr">
        <is>
          <t>1.67%</t>
        </is>
      </c>
      <c r="J1692" t="inlineStr">
        <is>
          <t>1433861.00</t>
        </is>
      </c>
      <c r="K1692" t="inlineStr">
        <is>
          <t>55000</t>
        </is>
      </c>
      <c r="L1692" t="inlineStr">
        <is>
          <t>11.000000000000</t>
        </is>
      </c>
      <c r="M1692" t="inlineStr"/>
    </row>
    <row r="1693">
      <c r="A1693" t="inlineStr">
        <is>
          <t>06/25/2026</t>
        </is>
      </c>
      <c r="B1693" t="inlineStr">
        <is>
          <t>PTNT</t>
        </is>
      </c>
      <c r="C1693" s="1" t="inlineStr">
        <is>
          <t>WMG</t>
        </is>
      </c>
      <c r="D1693" s="1" t="inlineStr">
        <is>
          <t>934550203</t>
        </is>
      </c>
      <c r="E1693" t="inlineStr">
        <is>
          <t>Warner Music Group Corp</t>
        </is>
      </c>
      <c r="F1693" t="inlineStr">
        <is>
          <t>1001.00000000</t>
        </is>
      </c>
      <c r="G1693" t="inlineStr">
        <is>
          <t>26.930000</t>
        </is>
      </c>
      <c r="H1693" t="inlineStr">
        <is>
          <t>26956.93</t>
        </is>
      </c>
      <c r="I1693" t="inlineStr">
        <is>
          <t>1.88%</t>
        </is>
      </c>
      <c r="J1693" t="inlineStr">
        <is>
          <t>1433861.00</t>
        </is>
      </c>
      <c r="K1693" t="inlineStr">
        <is>
          <t>55000</t>
        </is>
      </c>
      <c r="L1693" t="inlineStr">
        <is>
          <t>11.000000000000</t>
        </is>
      </c>
      <c r="M1693" t="inlineStr"/>
    </row>
    <row r="1694">
      <c r="A1694" t="inlineStr">
        <is>
          <t>06/25/2026</t>
        </is>
      </c>
      <c r="B1694" t="inlineStr">
        <is>
          <t>PTNT</t>
        </is>
      </c>
      <c r="C1694" s="1" t="inlineStr">
        <is>
          <t>XOMA</t>
        </is>
      </c>
      <c r="D1694" s="1" t="inlineStr">
        <is>
          <t>98419J206</t>
        </is>
      </c>
      <c r="E1694" t="inlineStr">
        <is>
          <t>XOMA Royalty Corp</t>
        </is>
      </c>
      <c r="F1694" t="inlineStr">
        <is>
          <t>484.00000000</t>
        </is>
      </c>
      <c r="G1694" t="inlineStr">
        <is>
          <t>42.150000</t>
        </is>
      </c>
      <c r="H1694" t="inlineStr">
        <is>
          <t>20400.60</t>
        </is>
      </c>
      <c r="I1694" t="inlineStr">
        <is>
          <t>1.42%</t>
        </is>
      </c>
      <c r="J1694" t="inlineStr">
        <is>
          <t>1433861.00</t>
        </is>
      </c>
      <c r="K1694" t="inlineStr">
        <is>
          <t>55000</t>
        </is>
      </c>
      <c r="L1694" t="inlineStr">
        <is>
          <t>11.000000000000</t>
        </is>
      </c>
      <c r="M1694" t="inlineStr"/>
    </row>
    <row r="1695">
      <c r="A1695" t="inlineStr">
        <is>
          <t>06/25/2026</t>
        </is>
      </c>
      <c r="B1695" t="inlineStr">
        <is>
          <t>PTNT</t>
        </is>
      </c>
      <c r="C1695" s="1" t="inlineStr">
        <is>
          <t>XPER</t>
        </is>
      </c>
      <c r="D1695" s="1" t="inlineStr">
        <is>
          <t>98423J101</t>
        </is>
      </c>
      <c r="E1695" t="inlineStr">
        <is>
          <t>Xperi Inc</t>
        </is>
      </c>
      <c r="F1695" t="inlineStr">
        <is>
          <t>2640.00000000</t>
        </is>
      </c>
      <c r="G1695" t="inlineStr">
        <is>
          <t>7.850000</t>
        </is>
      </c>
      <c r="H1695" t="inlineStr">
        <is>
          <t>20724.00</t>
        </is>
      </c>
      <c r="I1695" t="inlineStr">
        <is>
          <t>1.45%</t>
        </is>
      </c>
      <c r="J1695" t="inlineStr">
        <is>
          <t>1433861.00</t>
        </is>
      </c>
      <c r="K1695" t="inlineStr">
        <is>
          <t>55000</t>
        </is>
      </c>
      <c r="L1695" t="inlineStr">
        <is>
          <t>11.000000000000</t>
        </is>
      </c>
      <c r="M1695" t="inlineStr"/>
    </row>
    <row r="1696">
      <c r="A1696" t="inlineStr">
        <is>
          <t>06/25/2026</t>
        </is>
      </c>
      <c r="B1696" t="inlineStr">
        <is>
          <t>PTNT</t>
        </is>
      </c>
      <c r="C1696" s="1" t="inlineStr">
        <is>
          <t>YUM</t>
        </is>
      </c>
      <c r="D1696" s="1" t="inlineStr">
        <is>
          <t>988498101</t>
        </is>
      </c>
      <c r="E1696" t="inlineStr">
        <is>
          <t>Yum! Brands Inc</t>
        </is>
      </c>
      <c r="F1696" t="inlineStr">
        <is>
          <t>407.00000000</t>
        </is>
      </c>
      <c r="G1696" t="inlineStr">
        <is>
          <t>153.020000</t>
        </is>
      </c>
      <c r="H1696" t="inlineStr">
        <is>
          <t>62279.14</t>
        </is>
      </c>
      <c r="I1696" t="inlineStr">
        <is>
          <t>4.34%</t>
        </is>
      </c>
      <c r="J1696" t="inlineStr">
        <is>
          <t>1433861.00</t>
        </is>
      </c>
      <c r="K1696" t="inlineStr">
        <is>
          <t>55000</t>
        </is>
      </c>
      <c r="L1696" t="inlineStr">
        <is>
          <t>11.000000000000</t>
        </is>
      </c>
      <c r="M1696" t="inlineStr"/>
    </row>
    <row r="1697">
      <c r="A1697" t="inlineStr">
        <is>
          <t>06/25/2026</t>
        </is>
      </c>
      <c r="B1697" t="inlineStr">
        <is>
          <t>PTNT</t>
        </is>
      </c>
      <c r="C1697" s="1" t="inlineStr">
        <is>
          <t>Cash&amp;Other</t>
        </is>
      </c>
      <c r="D1697" s="1" t="inlineStr">
        <is>
          <t>Cash&amp;Other</t>
        </is>
      </c>
      <c r="E1697" t="inlineStr">
        <is>
          <t>Cash &amp; Other</t>
        </is>
      </c>
      <c r="F1697" t="inlineStr">
        <is>
          <t>577.56000000</t>
        </is>
      </c>
      <c r="G1697" t="inlineStr">
        <is>
          <t>1.000000</t>
        </is>
      </c>
      <c r="H1697" t="inlineStr">
        <is>
          <t>577.56</t>
        </is>
      </c>
      <c r="I1697" t="inlineStr">
        <is>
          <t>0.04%</t>
        </is>
      </c>
      <c r="J1697" t="inlineStr">
        <is>
          <t>1433861.00</t>
        </is>
      </c>
      <c r="K1697" t="inlineStr">
        <is>
          <t>55000</t>
        </is>
      </c>
      <c r="L1697" t="inlineStr">
        <is>
          <t>11.000000000000</t>
        </is>
      </c>
      <c r="M1697" t="inlineStr">
        <is>
          <t>Y</t>
        </is>
      </c>
    </row>
    <row r="1698">
      <c r="A1698" t="inlineStr">
        <is>
          <t>06/25/2026</t>
        </is>
      </c>
      <c r="B1698" t="inlineStr">
        <is>
          <t>QJN</t>
        </is>
      </c>
      <c r="C1698" s="1" t="inlineStr">
        <is>
          <t>2QQQ  270528C00148550</t>
        </is>
      </c>
      <c r="D1698" s="1" t="inlineStr">
        <is>
          <t>2QQQ  270528C00148550</t>
        </is>
      </c>
      <c r="E1698" t="inlineStr">
        <is>
          <t>QQQ 05/28/2027 148.55 C</t>
        </is>
      </c>
      <c r="F1698" t="inlineStr">
        <is>
          <t>13.00000000</t>
        </is>
      </c>
      <c r="G1698" t="inlineStr">
        <is>
          <t>570.102495</t>
        </is>
      </c>
      <c r="H1698" t="inlineStr">
        <is>
          <t>741133.24</t>
        </is>
      </c>
      <c r="I1698" t="inlineStr">
        <is>
          <t>75.91%</t>
        </is>
      </c>
      <c r="J1698" t="inlineStr">
        <is>
          <t>976332.00</t>
        </is>
      </c>
      <c r="K1698" t="inlineStr">
        <is>
          <t>40000</t>
        </is>
      </c>
      <c r="L1698" t="inlineStr">
        <is>
          <t>8.000000000000</t>
        </is>
      </c>
      <c r="M1698" t="inlineStr"/>
    </row>
    <row r="1699">
      <c r="A1699" t="inlineStr">
        <is>
          <t>06/25/2026</t>
        </is>
      </c>
      <c r="B1699" t="inlineStr">
        <is>
          <t>QJN</t>
        </is>
      </c>
      <c r="C1699" s="1" t="inlineStr">
        <is>
          <t>2QQQ  270528C00905400</t>
        </is>
      </c>
      <c r="D1699" s="1" t="inlineStr">
        <is>
          <t>2QQQ  270528C00905400</t>
        </is>
      </c>
      <c r="E1699" t="inlineStr">
        <is>
          <t>QQQ 05/28/2027 905.4 C</t>
        </is>
      </c>
      <c r="F1699" t="inlineStr">
        <is>
          <t>-13.00000000</t>
        </is>
      </c>
      <c r="G1699" t="inlineStr">
        <is>
          <t>19.077879</t>
        </is>
      </c>
      <c r="H1699" t="inlineStr">
        <is>
          <t>-24801.24</t>
        </is>
      </c>
      <c r="I1699" t="inlineStr">
        <is>
          <t>-2.54%</t>
        </is>
      </c>
      <c r="J1699" t="inlineStr">
        <is>
          <t>976332.00</t>
        </is>
      </c>
      <c r="K1699" t="inlineStr">
        <is>
          <t>40000</t>
        </is>
      </c>
      <c r="L1699" t="inlineStr">
        <is>
          <t>8.000000000000</t>
        </is>
      </c>
      <c r="M1699" t="inlineStr"/>
    </row>
    <row r="1700">
      <c r="A1700" t="inlineStr">
        <is>
          <t>06/25/2026</t>
        </is>
      </c>
      <c r="B1700" t="inlineStr">
        <is>
          <t>QJN</t>
        </is>
      </c>
      <c r="C1700" s="1" t="inlineStr">
        <is>
          <t>2QQQ  270528P00668470</t>
        </is>
      </c>
      <c r="D1700" s="1" t="inlineStr">
        <is>
          <t>2QQQ  270528P00668470</t>
        </is>
      </c>
      <c r="E1700" t="inlineStr">
        <is>
          <t>QQQ 05/28/2027 668.47 P</t>
        </is>
      </c>
      <c r="F1700" t="inlineStr">
        <is>
          <t>-13.00000000</t>
        </is>
      </c>
      <c r="G1700" t="inlineStr">
        <is>
          <t>45.170565</t>
        </is>
      </c>
      <c r="H1700" t="inlineStr">
        <is>
          <t>-58721.73</t>
        </is>
      </c>
      <c r="I1700" t="inlineStr">
        <is>
          <t>-6.01%</t>
        </is>
      </c>
      <c r="J1700" t="inlineStr">
        <is>
          <t>976332.00</t>
        </is>
      </c>
      <c r="K1700" t="inlineStr">
        <is>
          <t>40000</t>
        </is>
      </c>
      <c r="L1700" t="inlineStr">
        <is>
          <t>8.000000000000</t>
        </is>
      </c>
      <c r="M1700" t="inlineStr"/>
    </row>
    <row r="1701">
      <c r="A1701" t="inlineStr">
        <is>
          <t>06/25/2026</t>
        </is>
      </c>
      <c r="B1701" t="inlineStr">
        <is>
          <t>QJN</t>
        </is>
      </c>
      <c r="C1701" s="1" t="inlineStr">
        <is>
          <t>2QQQ  270528P00742740</t>
        </is>
      </c>
      <c r="D1701" s="1" t="inlineStr">
        <is>
          <t>2QQQ  270528P00742740</t>
        </is>
      </c>
      <c r="E1701" t="inlineStr">
        <is>
          <t>QQQ 05/28/2027 742.74 P</t>
        </is>
      </c>
      <c r="F1701" t="inlineStr">
        <is>
          <t>13.00000000</t>
        </is>
      </c>
      <c r="G1701" t="inlineStr">
        <is>
          <t>73.792208</t>
        </is>
      </c>
      <c r="H1701" t="inlineStr">
        <is>
          <t>95929.87</t>
        </is>
      </c>
      <c r="I1701" t="inlineStr">
        <is>
          <t>9.83%</t>
        </is>
      </c>
      <c r="J1701" t="inlineStr">
        <is>
          <t>976332.00</t>
        </is>
      </c>
      <c r="K1701" t="inlineStr">
        <is>
          <t>40000</t>
        </is>
      </c>
      <c r="L1701" t="inlineStr">
        <is>
          <t>8.000000000000</t>
        </is>
      </c>
      <c r="M1701" t="inlineStr"/>
    </row>
    <row r="1702">
      <c r="A1702" t="inlineStr">
        <is>
          <t>06/25/2026</t>
        </is>
      </c>
      <c r="B1702" t="inlineStr">
        <is>
          <t>QJN</t>
        </is>
      </c>
      <c r="C1702" s="1" t="inlineStr">
        <is>
          <t>912828ZS2</t>
        </is>
      </c>
      <c r="D1702" s="1" t="inlineStr">
        <is>
          <t>912828ZS2</t>
        </is>
      </c>
      <c r="E1702" t="inlineStr">
        <is>
          <t>United States Treasury Note/Bond 0.5% 05/31/2027</t>
        </is>
      </c>
      <c r="F1702" t="inlineStr">
        <is>
          <t>188000.00000000</t>
        </is>
      </c>
      <c r="G1702" t="inlineStr">
        <is>
          <t>96.755895</t>
        </is>
      </c>
      <c r="H1702" t="inlineStr">
        <is>
          <t>181901.08</t>
        </is>
      </c>
      <c r="I1702" t="inlineStr">
        <is>
          <t>18.63%</t>
        </is>
      </c>
      <c r="J1702" t="inlineStr">
        <is>
          <t>976332.00</t>
        </is>
      </c>
      <c r="K1702" t="inlineStr">
        <is>
          <t>40000</t>
        </is>
      </c>
      <c r="L1702" t="inlineStr">
        <is>
          <t>8.000000000000</t>
        </is>
      </c>
      <c r="M1702" t="inlineStr"/>
    </row>
    <row r="1703">
      <c r="A1703" t="inlineStr">
        <is>
          <t>06/25/2026</t>
        </is>
      </c>
      <c r="B1703" t="inlineStr">
        <is>
          <t>QJN</t>
        </is>
      </c>
      <c r="C1703" s="1" t="inlineStr">
        <is>
          <t>FGXXX</t>
        </is>
      </c>
      <c r="D1703" s="1" t="inlineStr">
        <is>
          <t>31846V336</t>
        </is>
      </c>
      <c r="E1703" t="inlineStr">
        <is>
          <t>First American Government Obligations Fund 12/01/2031</t>
        </is>
      </c>
      <c r="F1703" t="inlineStr">
        <is>
          <t>40790.24000000</t>
        </is>
      </c>
      <c r="G1703" t="inlineStr">
        <is>
          <t>100.000000</t>
        </is>
      </c>
      <c r="H1703" t="inlineStr">
        <is>
          <t>40790.24</t>
        </is>
      </c>
      <c r="I1703" t="inlineStr">
        <is>
          <t>4.18%</t>
        </is>
      </c>
      <c r="J1703" t="inlineStr">
        <is>
          <t>976332.00</t>
        </is>
      </c>
      <c r="K1703" t="inlineStr">
        <is>
          <t>40000</t>
        </is>
      </c>
      <c r="L1703" t="inlineStr">
        <is>
          <t>8.000000000000</t>
        </is>
      </c>
      <c r="M1703" t="inlineStr">
        <is>
          <t>Y</t>
        </is>
      </c>
    </row>
    <row r="1704">
      <c r="A1704" t="inlineStr">
        <is>
          <t>06/25/2026</t>
        </is>
      </c>
      <c r="B1704" t="inlineStr">
        <is>
          <t>QJN</t>
        </is>
      </c>
      <c r="C1704" s="1" t="inlineStr">
        <is>
          <t>Cash&amp;Other</t>
        </is>
      </c>
      <c r="D1704" s="1" t="inlineStr">
        <is>
          <t>Cash&amp;Other</t>
        </is>
      </c>
      <c r="E1704" t="inlineStr">
        <is>
          <t>Cash &amp; Other</t>
        </is>
      </c>
      <c r="F1704" t="inlineStr">
        <is>
          <t>99.08000000</t>
        </is>
      </c>
      <c r="G1704" t="inlineStr">
        <is>
          <t>1.000000</t>
        </is>
      </c>
      <c r="H1704" t="inlineStr">
        <is>
          <t>99.08</t>
        </is>
      </c>
      <c r="I1704" t="inlineStr">
        <is>
          <t>0.01%</t>
        </is>
      </c>
      <c r="J1704" t="inlineStr">
        <is>
          <t>976332.00</t>
        </is>
      </c>
      <c r="K1704" t="inlineStr">
        <is>
          <t>40000</t>
        </is>
      </c>
      <c r="L1704" t="inlineStr">
        <is>
          <t>8.000000000000</t>
        </is>
      </c>
      <c r="M1704" t="inlineStr">
        <is>
          <t>Y</t>
        </is>
      </c>
    </row>
    <row r="1705">
      <c r="A1705" t="inlineStr">
        <is>
          <t>06/25/2026</t>
        </is>
      </c>
      <c r="B1705" t="inlineStr">
        <is>
          <t>QMY</t>
        </is>
      </c>
      <c r="C1705" s="1" t="inlineStr">
        <is>
          <t>2QQQ  270430C00136300</t>
        </is>
      </c>
      <c r="D1705" s="1" t="inlineStr">
        <is>
          <t>2QQQ  270430C00136300</t>
        </is>
      </c>
      <c r="E1705" t="inlineStr">
        <is>
          <t>QQQ 04/30/2027 136.3 C</t>
        </is>
      </c>
      <c r="F1705" t="inlineStr">
        <is>
          <t>67.00000000</t>
        </is>
      </c>
      <c r="G1705" t="inlineStr">
        <is>
          <t>580.745956</t>
        </is>
      </c>
      <c r="H1705" t="inlineStr">
        <is>
          <t>3890997.91</t>
        </is>
      </c>
      <c r="I1705" t="inlineStr">
        <is>
          <t>82.19%</t>
        </is>
      </c>
      <c r="J1705" t="inlineStr">
        <is>
          <t>4734168.50</t>
        </is>
      </c>
      <c r="K1705" t="inlineStr">
        <is>
          <t>185000</t>
        </is>
      </c>
      <c r="L1705" t="inlineStr">
        <is>
          <t>37.000000000000</t>
        </is>
      </c>
      <c r="M1705" t="inlineStr"/>
    </row>
    <row r="1706">
      <c r="A1706" t="inlineStr">
        <is>
          <t>06/25/2026</t>
        </is>
      </c>
      <c r="B1706" t="inlineStr">
        <is>
          <t>QMY</t>
        </is>
      </c>
      <c r="C1706" s="1" t="inlineStr">
        <is>
          <t>2QQQ  270430C00834840</t>
        </is>
      </c>
      <c r="D1706" s="1" t="inlineStr">
        <is>
          <t>2QQQ  270430C00834840</t>
        </is>
      </c>
      <c r="E1706" t="inlineStr">
        <is>
          <t>QQQ 04/30/2027 834.84 C</t>
        </is>
      </c>
      <c r="F1706" t="inlineStr">
        <is>
          <t>-67.00000000</t>
        </is>
      </c>
      <c r="G1706" t="inlineStr">
        <is>
          <t>30.994972</t>
        </is>
      </c>
      <c r="H1706" t="inlineStr">
        <is>
          <t>-207666.31</t>
        </is>
      </c>
      <c r="I1706" t="inlineStr">
        <is>
          <t>-4.39%</t>
        </is>
      </c>
      <c r="J1706" t="inlineStr">
        <is>
          <t>4734168.50</t>
        </is>
      </c>
      <c r="K1706" t="inlineStr">
        <is>
          <t>185000</t>
        </is>
      </c>
      <c r="L1706" t="inlineStr">
        <is>
          <t>37.000000000000</t>
        </is>
      </c>
      <c r="M1706" t="inlineStr"/>
    </row>
    <row r="1707">
      <c r="A1707" t="inlineStr">
        <is>
          <t>06/25/2026</t>
        </is>
      </c>
      <c r="B1707" t="inlineStr">
        <is>
          <t>QMY</t>
        </is>
      </c>
      <c r="C1707" s="1" t="inlineStr">
        <is>
          <t>2QQQ  270430P00613350</t>
        </is>
      </c>
      <c r="D1707" s="1" t="inlineStr">
        <is>
          <t>2QQQ  270430P00613350</t>
        </is>
      </c>
      <c r="E1707" t="inlineStr">
        <is>
          <t>QQQ 04/30/2027 613.35 P</t>
        </is>
      </c>
      <c r="F1707" t="inlineStr">
        <is>
          <t>-67.00000000</t>
        </is>
      </c>
      <c r="G1707" t="inlineStr">
        <is>
          <t>29.037820</t>
        </is>
      </c>
      <c r="H1707" t="inlineStr">
        <is>
          <t>-194553.39</t>
        </is>
      </c>
      <c r="I1707" t="inlineStr">
        <is>
          <t>-4.11%</t>
        </is>
      </c>
      <c r="J1707" t="inlineStr">
        <is>
          <t>4734168.50</t>
        </is>
      </c>
      <c r="K1707" t="inlineStr">
        <is>
          <t>185000</t>
        </is>
      </c>
      <c r="L1707" t="inlineStr">
        <is>
          <t>37.000000000000</t>
        </is>
      </c>
      <c r="M1707" t="inlineStr"/>
    </row>
    <row r="1708">
      <c r="A1708" t="inlineStr">
        <is>
          <t>06/25/2026</t>
        </is>
      </c>
      <c r="B1708" t="inlineStr">
        <is>
          <t>QMY</t>
        </is>
      </c>
      <c r="C1708" s="1" t="inlineStr">
        <is>
          <t>2QQQ  270430P00681500</t>
        </is>
      </c>
      <c r="D1708" s="1" t="inlineStr">
        <is>
          <t>2QQQ  270430P00681500</t>
        </is>
      </c>
      <c r="E1708" t="inlineStr">
        <is>
          <t>QQQ 04/30/2027 681.5 P</t>
        </is>
      </c>
      <c r="F1708" t="inlineStr">
        <is>
          <t>67.00000000</t>
        </is>
      </c>
      <c r="G1708" t="inlineStr">
        <is>
          <t>47.486611</t>
        </is>
      </c>
      <c r="H1708" t="inlineStr">
        <is>
          <t>318160.29</t>
        </is>
      </c>
      <c r="I1708" t="inlineStr">
        <is>
          <t>6.72%</t>
        </is>
      </c>
      <c r="J1708" t="inlineStr">
        <is>
          <t>4734168.50</t>
        </is>
      </c>
      <c r="K1708" t="inlineStr">
        <is>
          <t>185000</t>
        </is>
      </c>
      <c r="L1708" t="inlineStr">
        <is>
          <t>37.000000000000</t>
        </is>
      </c>
      <c r="M1708" t="inlineStr"/>
    </row>
    <row r="1709">
      <c r="A1709" t="inlineStr">
        <is>
          <t>06/25/2026</t>
        </is>
      </c>
      <c r="B1709" t="inlineStr">
        <is>
          <t>QMY</t>
        </is>
      </c>
      <c r="C1709" s="1" t="inlineStr">
        <is>
          <t>91282CMY4</t>
        </is>
      </c>
      <c r="D1709" s="1" t="inlineStr">
        <is>
          <t>91282CMY4</t>
        </is>
      </c>
      <c r="E1709" t="inlineStr">
        <is>
          <t>United States Treasury Note/Bond 3.75% 04/30/2027</t>
        </is>
      </c>
      <c r="F1709" t="inlineStr">
        <is>
          <t>878000.00000000</t>
        </is>
      </c>
      <c r="G1709" t="inlineStr">
        <is>
          <t>99.758247</t>
        </is>
      </c>
      <c r="H1709" t="inlineStr">
        <is>
          <t>875877.41</t>
        </is>
      </c>
      <c r="I1709" t="inlineStr">
        <is>
          <t>18.50%</t>
        </is>
      </c>
      <c r="J1709" t="inlineStr">
        <is>
          <t>4734168.50</t>
        </is>
      </c>
      <c r="K1709" t="inlineStr">
        <is>
          <t>185000</t>
        </is>
      </c>
      <c r="L1709" t="inlineStr">
        <is>
          <t>37.000000000000</t>
        </is>
      </c>
      <c r="M1709" t="inlineStr"/>
    </row>
    <row r="1710">
      <c r="A1710" t="inlineStr">
        <is>
          <t>06/25/2026</t>
        </is>
      </c>
      <c r="B1710" t="inlineStr">
        <is>
          <t>QMY</t>
        </is>
      </c>
      <c r="C1710" s="1" t="inlineStr">
        <is>
          <t>FGXXX</t>
        </is>
      </c>
      <c r="D1710" s="1" t="inlineStr">
        <is>
          <t>31846V336</t>
        </is>
      </c>
      <c r="E1710" t="inlineStr">
        <is>
          <t>First American Government Obligations Fund 12/01/2031</t>
        </is>
      </c>
      <c r="F1710" t="inlineStr">
        <is>
          <t>47039.45000000</t>
        </is>
      </c>
      <c r="G1710" t="inlineStr">
        <is>
          <t>100.000000</t>
        </is>
      </c>
      <c r="H1710" t="inlineStr">
        <is>
          <t>47039.45</t>
        </is>
      </c>
      <c r="I1710" t="inlineStr">
        <is>
          <t>0.99%</t>
        </is>
      </c>
      <c r="J1710" t="inlineStr">
        <is>
          <t>4734168.50</t>
        </is>
      </c>
      <c r="K1710" t="inlineStr">
        <is>
          <t>185000</t>
        </is>
      </c>
      <c r="L1710" t="inlineStr">
        <is>
          <t>37.000000000000</t>
        </is>
      </c>
      <c r="M1710" t="inlineStr">
        <is>
          <t>Y</t>
        </is>
      </c>
    </row>
    <row r="1711">
      <c r="A1711" t="inlineStr">
        <is>
          <t>06/25/2026</t>
        </is>
      </c>
      <c r="B1711" t="inlineStr">
        <is>
          <t>QMY</t>
        </is>
      </c>
      <c r="C1711" s="1" t="inlineStr">
        <is>
          <t>Cash&amp;Other</t>
        </is>
      </c>
      <c r="D1711" s="1" t="inlineStr">
        <is>
          <t>Cash&amp;Other</t>
        </is>
      </c>
      <c r="E1711" t="inlineStr">
        <is>
          <t>Cash &amp; Other</t>
        </is>
      </c>
      <c r="F1711" t="inlineStr">
        <is>
          <t>4368.35000000</t>
        </is>
      </c>
      <c r="G1711" t="inlineStr">
        <is>
          <t>1.000000</t>
        </is>
      </c>
      <c r="H1711" t="inlineStr">
        <is>
          <t>4368.35</t>
        </is>
      </c>
      <c r="I1711" t="inlineStr">
        <is>
          <t>0.09%</t>
        </is>
      </c>
      <c r="J1711" t="inlineStr">
        <is>
          <t>4734168.50</t>
        </is>
      </c>
      <c r="K1711" t="inlineStr">
        <is>
          <t>185000</t>
        </is>
      </c>
      <c r="L1711" t="inlineStr">
        <is>
          <t>37.000000000000</t>
        </is>
      </c>
      <c r="M1711" t="inlineStr">
        <is>
          <t>Y</t>
        </is>
      </c>
    </row>
    <row r="1712">
      <c r="A1712" t="inlineStr">
        <is>
          <t>06/25/2026</t>
        </is>
      </c>
      <c r="B1712" t="inlineStr">
        <is>
          <t>QQJN</t>
        </is>
      </c>
      <c r="C1712" s="1" t="inlineStr">
        <is>
          <t>2QQQ  270528C00148550</t>
        </is>
      </c>
      <c r="D1712" s="1" t="inlineStr">
        <is>
          <t>2QQQ  270528C00148550</t>
        </is>
      </c>
      <c r="E1712" t="inlineStr">
        <is>
          <t>QQQ 05/28/2027 148.55 C</t>
        </is>
      </c>
      <c r="F1712" t="inlineStr">
        <is>
          <t>16.00000000</t>
        </is>
      </c>
      <c r="G1712" t="inlineStr">
        <is>
          <t>570.102495</t>
        </is>
      </c>
      <c r="H1712" t="inlineStr">
        <is>
          <t>912163.99</t>
        </is>
      </c>
      <c r="I1712" t="inlineStr">
        <is>
          <t>74.36%</t>
        </is>
      </c>
      <c r="J1712" t="inlineStr">
        <is>
          <t>1226640.00</t>
        </is>
      </c>
      <c r="K1712" t="inlineStr">
        <is>
          <t>50000</t>
        </is>
      </c>
      <c r="L1712" t="inlineStr">
        <is>
          <t>10.000000000000</t>
        </is>
      </c>
      <c r="M1712" t="inlineStr"/>
    </row>
    <row r="1713">
      <c r="A1713" t="inlineStr">
        <is>
          <t>06/25/2026</t>
        </is>
      </c>
      <c r="B1713" t="inlineStr">
        <is>
          <t>QQJN</t>
        </is>
      </c>
      <c r="C1713" s="1" t="inlineStr">
        <is>
          <t>2QQQ  270528C00880220</t>
        </is>
      </c>
      <c r="D1713" s="1" t="inlineStr">
        <is>
          <t>2QQQ  270528C00880220</t>
        </is>
      </c>
      <c r="E1713" t="inlineStr">
        <is>
          <t>QQQ 05/28/2027 880.22 C</t>
        </is>
      </c>
      <c r="F1713" t="inlineStr">
        <is>
          <t>-16.00000000</t>
        </is>
      </c>
      <c r="G1713" t="inlineStr">
        <is>
          <t>23.747057</t>
        </is>
      </c>
      <c r="H1713" t="inlineStr">
        <is>
          <t>-37995.29</t>
        </is>
      </c>
      <c r="I1713" t="inlineStr">
        <is>
          <t>-3.10%</t>
        </is>
      </c>
      <c r="J1713" t="inlineStr">
        <is>
          <t>1226640.00</t>
        </is>
      </c>
      <c r="K1713" t="inlineStr">
        <is>
          <t>50000</t>
        </is>
      </c>
      <c r="L1713" t="inlineStr">
        <is>
          <t>10.000000000000</t>
        </is>
      </c>
      <c r="M1713" t="inlineStr"/>
    </row>
    <row r="1714">
      <c r="A1714" t="inlineStr">
        <is>
          <t>06/25/2026</t>
        </is>
      </c>
      <c r="B1714" t="inlineStr">
        <is>
          <t>QQJN</t>
        </is>
      </c>
      <c r="C1714" s="1" t="inlineStr">
        <is>
          <t>2QQQ  270528P00631330</t>
        </is>
      </c>
      <c r="D1714" s="1" t="inlineStr">
        <is>
          <t>2QQQ  270528P00631330</t>
        </is>
      </c>
      <c r="E1714" t="inlineStr">
        <is>
          <t>QQQ 05/28/2027 631.33 P</t>
        </is>
      </c>
      <c r="F1714" t="inlineStr">
        <is>
          <t>-16.00000000</t>
        </is>
      </c>
      <c r="G1714" t="inlineStr">
        <is>
          <t>34.885246</t>
        </is>
      </c>
      <c r="H1714" t="inlineStr">
        <is>
          <t>-55816.39</t>
        </is>
      </c>
      <c r="I1714" t="inlineStr">
        <is>
          <t>-4.55%</t>
        </is>
      </c>
      <c r="J1714" t="inlineStr">
        <is>
          <t>1226640.00</t>
        </is>
      </c>
      <c r="K1714" t="inlineStr">
        <is>
          <t>50000</t>
        </is>
      </c>
      <c r="L1714" t="inlineStr">
        <is>
          <t>10.000000000000</t>
        </is>
      </c>
      <c r="M1714" t="inlineStr"/>
    </row>
    <row r="1715">
      <c r="A1715" t="inlineStr">
        <is>
          <t>06/25/2026</t>
        </is>
      </c>
      <c r="B1715" t="inlineStr">
        <is>
          <t>QQJN</t>
        </is>
      </c>
      <c r="C1715" s="1" t="inlineStr">
        <is>
          <t>2QQQ  270528P00742740</t>
        </is>
      </c>
      <c r="D1715" s="1" t="inlineStr">
        <is>
          <t>2QQQ  270528P00742740</t>
        </is>
      </c>
      <c r="E1715" t="inlineStr">
        <is>
          <t>QQQ 05/28/2027 742.74 P</t>
        </is>
      </c>
      <c r="F1715" t="inlineStr">
        <is>
          <t>16.00000000</t>
        </is>
      </c>
      <c r="G1715" t="inlineStr">
        <is>
          <t>73.792208</t>
        </is>
      </c>
      <c r="H1715" t="inlineStr">
        <is>
          <t>118067.53</t>
        </is>
      </c>
      <c r="I1715" t="inlineStr">
        <is>
          <t>9.63%</t>
        </is>
      </c>
      <c r="J1715" t="inlineStr">
        <is>
          <t>1226640.00</t>
        </is>
      </c>
      <c r="K1715" t="inlineStr">
        <is>
          <t>50000</t>
        </is>
      </c>
      <c r="L1715" t="inlineStr">
        <is>
          <t>10.000000000000</t>
        </is>
      </c>
      <c r="M1715" t="inlineStr"/>
    </row>
    <row r="1716">
      <c r="A1716" t="inlineStr">
        <is>
          <t>06/25/2026</t>
        </is>
      </c>
      <c r="B1716" t="inlineStr">
        <is>
          <t>QQJN</t>
        </is>
      </c>
      <c r="C1716" s="1" t="inlineStr">
        <is>
          <t>912828ZS2</t>
        </is>
      </c>
      <c r="D1716" s="1" t="inlineStr">
        <is>
          <t>912828ZS2</t>
        </is>
      </c>
      <c r="E1716" t="inlineStr">
        <is>
          <t>United States Treasury Note/Bond 0.5% 05/31/2027</t>
        </is>
      </c>
      <c r="F1716" t="inlineStr">
        <is>
          <t>190000.00000000</t>
        </is>
      </c>
      <c r="G1716" t="inlineStr">
        <is>
          <t>96.755895</t>
        </is>
      </c>
      <c r="H1716" t="inlineStr">
        <is>
          <t>183836.20</t>
        </is>
      </c>
      <c r="I1716" t="inlineStr">
        <is>
          <t>14.99%</t>
        </is>
      </c>
      <c r="J1716" t="inlineStr">
        <is>
          <t>1226640.00</t>
        </is>
      </c>
      <c r="K1716" t="inlineStr">
        <is>
          <t>50000</t>
        </is>
      </c>
      <c r="L1716" t="inlineStr">
        <is>
          <t>10.000000000000</t>
        </is>
      </c>
      <c r="M1716" t="inlineStr"/>
    </row>
    <row r="1717">
      <c r="A1717" t="inlineStr">
        <is>
          <t>06/25/2026</t>
        </is>
      </c>
      <c r="B1717" t="inlineStr">
        <is>
          <t>QQJN</t>
        </is>
      </c>
      <c r="C1717" s="1" t="inlineStr">
        <is>
          <t>FGXXX</t>
        </is>
      </c>
      <c r="D1717" s="1" t="inlineStr">
        <is>
          <t>31846V336</t>
        </is>
      </c>
      <c r="E1717" t="inlineStr">
        <is>
          <t>First American Government Obligations Fund 12/01/2031</t>
        </is>
      </c>
      <c r="F1717" t="inlineStr">
        <is>
          <t>106219.79000000</t>
        </is>
      </c>
      <c r="G1717" t="inlineStr">
        <is>
          <t>100.000000</t>
        </is>
      </c>
      <c r="H1717" t="inlineStr">
        <is>
          <t>106219.79</t>
        </is>
      </c>
      <c r="I1717" t="inlineStr">
        <is>
          <t>8.66%</t>
        </is>
      </c>
      <c r="J1717" t="inlineStr">
        <is>
          <t>1226640.00</t>
        </is>
      </c>
      <c r="K1717" t="inlineStr">
        <is>
          <t>50000</t>
        </is>
      </c>
      <c r="L1717" t="inlineStr">
        <is>
          <t>10.000000000000</t>
        </is>
      </c>
      <c r="M1717" t="inlineStr">
        <is>
          <t>Y</t>
        </is>
      </c>
    </row>
    <row r="1718">
      <c r="A1718" t="inlineStr">
        <is>
          <t>06/25/2026</t>
        </is>
      </c>
      <c r="B1718" t="inlineStr">
        <is>
          <t>QQJN</t>
        </is>
      </c>
      <c r="C1718" s="1" t="inlineStr">
        <is>
          <t>Cash&amp;Other</t>
        </is>
      </c>
      <c r="D1718" s="1" t="inlineStr">
        <is>
          <t>Cash&amp;Other</t>
        </is>
      </c>
      <c r="E1718" t="inlineStr">
        <is>
          <t>Cash &amp; Other</t>
        </is>
      </c>
      <c r="F1718" t="inlineStr">
        <is>
          <t>167.01000000</t>
        </is>
      </c>
      <c r="G1718" t="inlineStr">
        <is>
          <t>1.000000</t>
        </is>
      </c>
      <c r="H1718" t="inlineStr">
        <is>
          <t>167.01</t>
        </is>
      </c>
      <c r="I1718" t="inlineStr">
        <is>
          <t>0.01%</t>
        </is>
      </c>
      <c r="J1718" t="inlineStr">
        <is>
          <t>1226640.00</t>
        </is>
      </c>
      <c r="K1718" t="inlineStr">
        <is>
          <t>50000</t>
        </is>
      </c>
      <c r="L1718" t="inlineStr">
        <is>
          <t>10.000000000000</t>
        </is>
      </c>
      <c r="M1718" t="inlineStr">
        <is>
          <t>Y</t>
        </is>
      </c>
    </row>
    <row r="1719">
      <c r="A1719" t="inlineStr">
        <is>
          <t>06/25/2026</t>
        </is>
      </c>
      <c r="B1719" t="inlineStr">
        <is>
          <t>QQMY</t>
        </is>
      </c>
      <c r="C1719" s="1" t="inlineStr">
        <is>
          <t>2QQQ  270430C00133550</t>
        </is>
      </c>
      <c r="D1719" s="1" t="inlineStr">
        <is>
          <t>2QQQ  270430C00133550</t>
        </is>
      </c>
      <c r="E1719" t="inlineStr">
        <is>
          <t>QQQ 04/30/2027 133.55 C</t>
        </is>
      </c>
      <c r="F1719" t="inlineStr">
        <is>
          <t>78.00000000</t>
        </is>
      </c>
      <c r="G1719" t="inlineStr">
        <is>
          <t>583.402481</t>
        </is>
      </c>
      <c r="H1719" t="inlineStr">
        <is>
          <t>4550539.35</t>
        </is>
      </c>
      <c r="I1719" t="inlineStr">
        <is>
          <t>84.67%</t>
        </is>
      </c>
      <c r="J1719" t="inlineStr">
        <is>
          <t>5374362.00</t>
        </is>
      </c>
      <c r="K1719" t="inlineStr">
        <is>
          <t>210000</t>
        </is>
      </c>
      <c r="L1719" t="inlineStr">
        <is>
          <t>42.000000000000</t>
        </is>
      </c>
      <c r="M1719" t="inlineStr"/>
    </row>
    <row r="1720">
      <c r="A1720" t="inlineStr">
        <is>
          <t>06/25/2026</t>
        </is>
      </c>
      <c r="B1720" t="inlineStr">
        <is>
          <t>QQMY</t>
        </is>
      </c>
      <c r="C1720" s="1" t="inlineStr">
        <is>
          <t>2QQQ  270430C00767900</t>
        </is>
      </c>
      <c r="D1720" s="1" t="inlineStr">
        <is>
          <t>2QQQ  270430C00767900</t>
        </is>
      </c>
      <c r="E1720" t="inlineStr">
        <is>
          <t>QQQ 04/30/2027 767.9 C</t>
        </is>
      </c>
      <c r="F1720" t="inlineStr">
        <is>
          <t>-78.00000000</t>
        </is>
      </c>
      <c r="G1720" t="inlineStr">
        <is>
          <t>54.761009</t>
        </is>
      </c>
      <c r="H1720" t="inlineStr">
        <is>
          <t>-427135.87</t>
        </is>
      </c>
      <c r="I1720" t="inlineStr">
        <is>
          <t>-7.95%</t>
        </is>
      </c>
      <c r="J1720" t="inlineStr">
        <is>
          <t>5374362.00</t>
        </is>
      </c>
      <c r="K1720" t="inlineStr">
        <is>
          <t>210000</t>
        </is>
      </c>
      <c r="L1720" t="inlineStr">
        <is>
          <t>42.000000000000</t>
        </is>
      </c>
      <c r="M1720" t="inlineStr"/>
    </row>
    <row r="1721">
      <c r="A1721" t="inlineStr">
        <is>
          <t>06/25/2026</t>
        </is>
      </c>
      <c r="B1721" t="inlineStr">
        <is>
          <t>QQMY</t>
        </is>
      </c>
      <c r="C1721" s="1" t="inlineStr">
        <is>
          <t>2QQQ  270430P00567580</t>
        </is>
      </c>
      <c r="D1721" s="1" t="inlineStr">
        <is>
          <t>2QQQ  270430P00567580</t>
        </is>
      </c>
      <c r="E1721" t="inlineStr">
        <is>
          <t>QQQ 04/30/2027 567.58 P</t>
        </is>
      </c>
      <c r="F1721" t="inlineStr">
        <is>
          <t>-78.00000000</t>
        </is>
      </c>
      <c r="G1721" t="inlineStr">
        <is>
          <t>20.602443</t>
        </is>
      </c>
      <c r="H1721" t="inlineStr">
        <is>
          <t>-160699.06</t>
        </is>
      </c>
      <c r="I1721" t="inlineStr">
        <is>
          <t>-2.99%</t>
        </is>
      </c>
      <c r="J1721" t="inlineStr">
        <is>
          <t>5374362.00</t>
        </is>
      </c>
      <c r="K1721" t="inlineStr">
        <is>
          <t>210000</t>
        </is>
      </c>
      <c r="L1721" t="inlineStr">
        <is>
          <t>42.000000000000</t>
        </is>
      </c>
      <c r="M1721" t="inlineStr"/>
    </row>
    <row r="1722">
      <c r="A1722" t="inlineStr">
        <is>
          <t>06/25/2026</t>
        </is>
      </c>
      <c r="B1722" t="inlineStr">
        <is>
          <t>QQMY</t>
        </is>
      </c>
      <c r="C1722" s="1" t="inlineStr">
        <is>
          <t>2QQQ  270430P00667740</t>
        </is>
      </c>
      <c r="D1722" s="1" t="inlineStr">
        <is>
          <t>2QQQ  270430P00667740</t>
        </is>
      </c>
      <c r="E1722" t="inlineStr">
        <is>
          <t>QQQ 04/30/2027 667.74 P</t>
        </is>
      </c>
      <c r="F1722" t="inlineStr">
        <is>
          <t>78.00000000</t>
        </is>
      </c>
      <c r="G1722" t="inlineStr">
        <is>
          <t>43.098913</t>
        </is>
      </c>
      <c r="H1722" t="inlineStr">
        <is>
          <t>336171.52</t>
        </is>
      </c>
      <c r="I1722" t="inlineStr">
        <is>
          <t>6.26%</t>
        </is>
      </c>
      <c r="J1722" t="inlineStr">
        <is>
          <t>5374362.00</t>
        </is>
      </c>
      <c r="K1722" t="inlineStr">
        <is>
          <t>210000</t>
        </is>
      </c>
      <c r="L1722" t="inlineStr">
        <is>
          <t>42.000000000000</t>
        </is>
      </c>
      <c r="M1722" t="inlineStr"/>
    </row>
    <row r="1723">
      <c r="A1723" t="inlineStr">
        <is>
          <t>06/25/2026</t>
        </is>
      </c>
      <c r="B1723" t="inlineStr">
        <is>
          <t>QQMY</t>
        </is>
      </c>
      <c r="C1723" s="1" t="inlineStr">
        <is>
          <t>912828ZN3</t>
        </is>
      </c>
      <c r="D1723" s="1" t="inlineStr">
        <is>
          <t>912828ZN3</t>
        </is>
      </c>
      <c r="E1723" t="inlineStr">
        <is>
          <t>United States Treasury Note/Bond 0.5% 04/30/2027</t>
        </is>
      </c>
      <c r="F1723" t="inlineStr">
        <is>
          <t>930000.00000000</t>
        </is>
      </c>
      <c r="G1723" t="inlineStr">
        <is>
          <t>97.073002</t>
        </is>
      </c>
      <c r="H1723" t="inlineStr">
        <is>
          <t>902778.92</t>
        </is>
      </c>
      <c r="I1723" t="inlineStr">
        <is>
          <t>16.80%</t>
        </is>
      </c>
      <c r="J1723" t="inlineStr">
        <is>
          <t>5374362.00</t>
        </is>
      </c>
      <c r="K1723" t="inlineStr">
        <is>
          <t>210000</t>
        </is>
      </c>
      <c r="L1723" t="inlineStr">
        <is>
          <t>42.000000000000</t>
        </is>
      </c>
      <c r="M1723" t="inlineStr"/>
    </row>
    <row r="1724">
      <c r="A1724" t="inlineStr">
        <is>
          <t>06/25/2026</t>
        </is>
      </c>
      <c r="B1724" t="inlineStr">
        <is>
          <t>QQMY</t>
        </is>
      </c>
      <c r="C1724" s="1" t="inlineStr">
        <is>
          <t>FGXXX</t>
        </is>
      </c>
      <c r="D1724" s="1" t="inlineStr">
        <is>
          <t>31846V336</t>
        </is>
      </c>
      <c r="E1724" t="inlineStr">
        <is>
          <t>First American Government Obligations Fund 12/01/2031</t>
        </is>
      </c>
      <c r="F1724" t="inlineStr">
        <is>
          <t>172653.54000000</t>
        </is>
      </c>
      <c r="G1724" t="inlineStr">
        <is>
          <t>100.000000</t>
        </is>
      </c>
      <c r="H1724" t="inlineStr">
        <is>
          <t>172653.54</t>
        </is>
      </c>
      <c r="I1724" t="inlineStr">
        <is>
          <t>3.21%</t>
        </is>
      </c>
      <c r="J1724" t="inlineStr">
        <is>
          <t>5374362.00</t>
        </is>
      </c>
      <c r="K1724" t="inlineStr">
        <is>
          <t>210000</t>
        </is>
      </c>
      <c r="L1724" t="inlineStr">
        <is>
          <t>42.000000000000</t>
        </is>
      </c>
      <c r="M1724" t="inlineStr">
        <is>
          <t>Y</t>
        </is>
      </c>
    </row>
    <row r="1725">
      <c r="A1725" t="inlineStr">
        <is>
          <t>06/25/2026</t>
        </is>
      </c>
      <c r="B1725" t="inlineStr">
        <is>
          <t>QQMY</t>
        </is>
      </c>
      <c r="C1725" s="1" t="inlineStr">
        <is>
          <t>Cash&amp;Other</t>
        </is>
      </c>
      <c r="D1725" s="1" t="inlineStr">
        <is>
          <t>Cash&amp;Other</t>
        </is>
      </c>
      <c r="E1725" t="inlineStr">
        <is>
          <t>Cash &amp; Other</t>
        </is>
      </c>
      <c r="F1725" t="inlineStr">
        <is>
          <t>38.93000000</t>
        </is>
      </c>
      <c r="G1725" t="inlineStr">
        <is>
          <t>1.000000</t>
        </is>
      </c>
      <c r="H1725" t="inlineStr">
        <is>
          <t>38.93</t>
        </is>
      </c>
      <c r="I1725" t="inlineStr">
        <is>
          <t>0.00%</t>
        </is>
      </c>
      <c r="J1725" t="inlineStr">
        <is>
          <t>5374362.00</t>
        </is>
      </c>
      <c r="K1725" t="inlineStr">
        <is>
          <t>210000</t>
        </is>
      </c>
      <c r="L1725" t="inlineStr">
        <is>
          <t>42.000000000000</t>
        </is>
      </c>
      <c r="M1725" t="inlineStr">
        <is>
          <t>Y</t>
        </is>
      </c>
    </row>
    <row r="1726">
      <c r="A1726" t="inlineStr">
        <is>
          <t>06/25/2026</t>
        </is>
      </c>
      <c r="B1726" t="inlineStr">
        <is>
          <t>RMBC</t>
        </is>
      </c>
      <c r="C1726" s="1" t="inlineStr">
        <is>
          <t>750917106-TRS-12/01/27-L-CANT</t>
        </is>
      </c>
      <c r="D1726" s="1" t="inlineStr">
        <is>
          <t>750917106-TRS-12/01/27-L-CANT</t>
        </is>
      </c>
      <c r="E1726" t="inlineStr">
        <is>
          <t>RAMBUS INC.-SWAP-CANT-L</t>
        </is>
      </c>
      <c r="F1726" t="inlineStr">
        <is>
          <t>3774.00000000</t>
        </is>
      </c>
      <c r="G1726" t="inlineStr">
        <is>
          <t>124.520000</t>
        </is>
      </c>
      <c r="H1726" t="inlineStr">
        <is>
          <t>469938.48</t>
        </is>
      </c>
      <c r="I1726" t="inlineStr">
        <is>
          <t>199.30%</t>
        </is>
      </c>
      <c r="J1726" t="inlineStr">
        <is>
          <t>235792.00</t>
        </is>
      </c>
      <c r="K1726" t="inlineStr">
        <is>
          <t>10000</t>
        </is>
      </c>
      <c r="L1726" t="inlineStr">
        <is>
          <t>2.000000000000</t>
        </is>
      </c>
      <c r="M1726" t="inlineStr"/>
    </row>
    <row r="1727">
      <c r="A1727" t="inlineStr">
        <is>
          <t>06/25/2026</t>
        </is>
      </c>
      <c r="B1727" t="inlineStr">
        <is>
          <t>RMBC</t>
        </is>
      </c>
      <c r="C1727" s="1" t="inlineStr">
        <is>
          <t>FGXXX</t>
        </is>
      </c>
      <c r="D1727" s="1" t="inlineStr">
        <is>
          <t>31846V336</t>
        </is>
      </c>
      <c r="E1727" t="inlineStr">
        <is>
          <t>First American Government Obligations Fund 12/01/2031</t>
        </is>
      </c>
      <c r="F1727" t="inlineStr">
        <is>
          <t>26815.00000000</t>
        </is>
      </c>
      <c r="G1727" t="inlineStr">
        <is>
          <t>100.000000</t>
        </is>
      </c>
      <c r="H1727" t="inlineStr">
        <is>
          <t>26815.00</t>
        </is>
      </c>
      <c r="I1727" t="inlineStr">
        <is>
          <t>11.37%</t>
        </is>
      </c>
      <c r="J1727" t="inlineStr">
        <is>
          <t>235792.00</t>
        </is>
      </c>
      <c r="K1727" t="inlineStr">
        <is>
          <t>10000</t>
        </is>
      </c>
      <c r="L1727" t="inlineStr">
        <is>
          <t>2.000000000000</t>
        </is>
      </c>
      <c r="M1727" t="inlineStr">
        <is>
          <t>Y</t>
        </is>
      </c>
    </row>
    <row r="1728">
      <c r="A1728" t="inlineStr">
        <is>
          <t>06/25/2026</t>
        </is>
      </c>
      <c r="B1728" t="inlineStr">
        <is>
          <t>RMBC</t>
        </is>
      </c>
      <c r="C1728" s="1" t="inlineStr">
        <is>
          <t>Cash&amp;Other</t>
        </is>
      </c>
      <c r="D1728" s="1" t="inlineStr">
        <is>
          <t>Cash&amp;Other</t>
        </is>
      </c>
      <c r="E1728" t="inlineStr">
        <is>
          <t>Cash &amp; Other</t>
        </is>
      </c>
      <c r="F1728" t="inlineStr">
        <is>
          <t>-261287.28000000</t>
        </is>
      </c>
      <c r="G1728" t="inlineStr">
        <is>
          <t>1.000000</t>
        </is>
      </c>
      <c r="H1728" t="inlineStr">
        <is>
          <t>-261287.28</t>
        </is>
      </c>
      <c r="I1728" t="inlineStr">
        <is>
          <t>-110.81%</t>
        </is>
      </c>
      <c r="J1728" t="inlineStr">
        <is>
          <t>235792.00</t>
        </is>
      </c>
      <c r="K1728" t="inlineStr">
        <is>
          <t>10000</t>
        </is>
      </c>
      <c r="L1728" t="inlineStr">
        <is>
          <t>2.000000000000</t>
        </is>
      </c>
      <c r="M1728" t="inlineStr">
        <is>
          <t>Y</t>
        </is>
      </c>
    </row>
    <row r="1729">
      <c r="A1729" t="inlineStr">
        <is>
          <t>06/25/2026</t>
        </is>
      </c>
      <c r="B1729" t="inlineStr">
        <is>
          <t>SCJN</t>
        </is>
      </c>
      <c r="C1729" s="1" t="inlineStr">
        <is>
          <t>2IWM  270528C00057790</t>
        </is>
      </c>
      <c r="D1729" s="1" t="inlineStr">
        <is>
          <t>2IWM  270528C00057790</t>
        </is>
      </c>
      <c r="E1729" t="inlineStr">
        <is>
          <t>IWM 05/28/2027 57.79 C</t>
        </is>
      </c>
      <c r="F1729" t="inlineStr">
        <is>
          <t>34.00000000</t>
        </is>
      </c>
      <c r="G1729" t="inlineStr">
        <is>
          <t>239.495494</t>
        </is>
      </c>
      <c r="H1729" t="inlineStr">
        <is>
          <t>814284.68</t>
        </is>
      </c>
      <c r="I1729" t="inlineStr">
        <is>
          <t>80.04%</t>
        </is>
      </c>
      <c r="J1729" t="inlineStr">
        <is>
          <t>1017320.00</t>
        </is>
      </c>
      <c r="K1729" t="inlineStr">
        <is>
          <t>40000</t>
        </is>
      </c>
      <c r="L1729" t="inlineStr">
        <is>
          <t>8.000000000000</t>
        </is>
      </c>
      <c r="M1729" t="inlineStr"/>
    </row>
    <row r="1730">
      <c r="A1730" t="inlineStr">
        <is>
          <t>06/25/2026</t>
        </is>
      </c>
      <c r="B1730" t="inlineStr">
        <is>
          <t>SCJN</t>
        </is>
      </c>
      <c r="C1730" s="1" t="inlineStr">
        <is>
          <t>2IWM  270528C00345560</t>
        </is>
      </c>
      <c r="D1730" s="1" t="inlineStr">
        <is>
          <t>2IWM  270528C00345560</t>
        </is>
      </c>
      <c r="E1730" t="inlineStr">
        <is>
          <t>IWM 05/28/2027 345.56 C</t>
        </is>
      </c>
      <c r="F1730" t="inlineStr">
        <is>
          <t>-34.00000000</t>
        </is>
      </c>
      <c r="G1730" t="inlineStr">
        <is>
          <t>11.356236</t>
        </is>
      </c>
      <c r="H1730" t="inlineStr">
        <is>
          <t>-38611.20</t>
        </is>
      </c>
      <c r="I1730" t="inlineStr">
        <is>
          <t>-3.80%</t>
        </is>
      </c>
      <c r="J1730" t="inlineStr">
        <is>
          <t>1017320.00</t>
        </is>
      </c>
      <c r="K1730" t="inlineStr">
        <is>
          <t>40000</t>
        </is>
      </c>
      <c r="L1730" t="inlineStr">
        <is>
          <t>8.000000000000</t>
        </is>
      </c>
      <c r="M1730" t="inlineStr"/>
    </row>
    <row r="1731">
      <c r="A1731" t="inlineStr">
        <is>
          <t>06/25/2026</t>
        </is>
      </c>
      <c r="B1731" t="inlineStr">
        <is>
          <t>SCJN</t>
        </is>
      </c>
      <c r="C1731" s="1" t="inlineStr">
        <is>
          <t>2IWM  270528P00245610</t>
        </is>
      </c>
      <c r="D1731" s="1" t="inlineStr">
        <is>
          <t>2IWM  270528P00245610</t>
        </is>
      </c>
      <c r="E1731" t="inlineStr">
        <is>
          <t>IWM 05/28/2027 245.61 P</t>
        </is>
      </c>
      <c r="F1731" t="inlineStr">
        <is>
          <t>-34.00000000</t>
        </is>
      </c>
      <c r="G1731" t="inlineStr">
        <is>
          <t>7.957447</t>
        </is>
      </c>
      <c r="H1731" t="inlineStr">
        <is>
          <t>-27055.32</t>
        </is>
      </c>
      <c r="I1731" t="inlineStr">
        <is>
          <t>-2.66%</t>
        </is>
      </c>
      <c r="J1731" t="inlineStr">
        <is>
          <t>1017320.00</t>
        </is>
      </c>
      <c r="K1731" t="inlineStr">
        <is>
          <t>40000</t>
        </is>
      </c>
      <c r="L1731" t="inlineStr">
        <is>
          <t>8.000000000000</t>
        </is>
      </c>
      <c r="M1731" t="inlineStr"/>
    </row>
    <row r="1732">
      <c r="A1732" t="inlineStr">
        <is>
          <t>06/25/2026</t>
        </is>
      </c>
      <c r="B1732" t="inlineStr">
        <is>
          <t>SCJN</t>
        </is>
      </c>
      <c r="C1732" s="1" t="inlineStr">
        <is>
          <t>2IWM  270528P00288950</t>
        </is>
      </c>
      <c r="D1732" s="1" t="inlineStr">
        <is>
          <t>2IWM  270528P00288950</t>
        </is>
      </c>
      <c r="E1732" t="inlineStr">
        <is>
          <t>IWM 05/28/2027 288.95 P</t>
        </is>
      </c>
      <c r="F1732" t="inlineStr">
        <is>
          <t>34.00000000</t>
        </is>
      </c>
      <c r="G1732" t="inlineStr">
        <is>
          <t>18.819787</t>
        </is>
      </c>
      <c r="H1732" t="inlineStr">
        <is>
          <t>63987.28</t>
        </is>
      </c>
      <c r="I1732" t="inlineStr">
        <is>
          <t>6.29%</t>
        </is>
      </c>
      <c r="J1732" t="inlineStr">
        <is>
          <t>1017320.00</t>
        </is>
      </c>
      <c r="K1732" t="inlineStr">
        <is>
          <t>40000</t>
        </is>
      </c>
      <c r="L1732" t="inlineStr">
        <is>
          <t>8.000000000000</t>
        </is>
      </c>
      <c r="M1732" t="inlineStr"/>
    </row>
    <row r="1733">
      <c r="A1733" t="inlineStr">
        <is>
          <t>06/25/2026</t>
        </is>
      </c>
      <c r="B1733" t="inlineStr">
        <is>
          <t>SCJN</t>
        </is>
      </c>
      <c r="C1733" s="1" t="inlineStr">
        <is>
          <t>912828ZS2</t>
        </is>
      </c>
      <c r="D1733" s="1" t="inlineStr">
        <is>
          <t>912828ZS2</t>
        </is>
      </c>
      <c r="E1733" t="inlineStr">
        <is>
          <t>United States Treasury Note/Bond 0.5% 05/31/2027</t>
        </is>
      </c>
      <c r="F1733" t="inlineStr">
        <is>
          <t>187000.00000000</t>
        </is>
      </c>
      <c r="G1733" t="inlineStr">
        <is>
          <t>96.755895</t>
        </is>
      </c>
      <c r="H1733" t="inlineStr">
        <is>
          <t>180933.52</t>
        </is>
      </c>
      <c r="I1733" t="inlineStr">
        <is>
          <t>17.79%</t>
        </is>
      </c>
      <c r="J1733" t="inlineStr">
        <is>
          <t>1017320.00</t>
        </is>
      </c>
      <c r="K1733" t="inlineStr">
        <is>
          <t>40000</t>
        </is>
      </c>
      <c r="L1733" t="inlineStr">
        <is>
          <t>8.000000000000</t>
        </is>
      </c>
      <c r="M1733" t="inlineStr"/>
    </row>
    <row r="1734">
      <c r="A1734" t="inlineStr">
        <is>
          <t>06/25/2026</t>
        </is>
      </c>
      <c r="B1734" t="inlineStr">
        <is>
          <t>SCJN</t>
        </is>
      </c>
      <c r="C1734" s="1" t="inlineStr">
        <is>
          <t>FGXXX</t>
        </is>
      </c>
      <c r="D1734" s="1" t="inlineStr">
        <is>
          <t>31846V336</t>
        </is>
      </c>
      <c r="E1734" t="inlineStr">
        <is>
          <t>First American Government Obligations Fund 12/01/2031</t>
        </is>
      </c>
      <c r="F1734" t="inlineStr">
        <is>
          <t>23722.76000000</t>
        </is>
      </c>
      <c r="G1734" t="inlineStr">
        <is>
          <t>100.000000</t>
        </is>
      </c>
      <c r="H1734" t="inlineStr">
        <is>
          <t>23722.76</t>
        </is>
      </c>
      <c r="I1734" t="inlineStr">
        <is>
          <t>2.33%</t>
        </is>
      </c>
      <c r="J1734" t="inlineStr">
        <is>
          <t>1017320.00</t>
        </is>
      </c>
      <c r="K1734" t="inlineStr">
        <is>
          <t>40000</t>
        </is>
      </c>
      <c r="L1734" t="inlineStr">
        <is>
          <t>8.000000000000</t>
        </is>
      </c>
      <c r="M1734" t="inlineStr">
        <is>
          <t>Y</t>
        </is>
      </c>
    </row>
    <row r="1735">
      <c r="A1735" t="inlineStr">
        <is>
          <t>06/25/2026</t>
        </is>
      </c>
      <c r="B1735" t="inlineStr">
        <is>
          <t>SCJN</t>
        </is>
      </c>
      <c r="C1735" s="1" t="inlineStr">
        <is>
          <t>Cash&amp;Other</t>
        </is>
      </c>
      <c r="D1735" s="1" t="inlineStr">
        <is>
          <t>Cash&amp;Other</t>
        </is>
      </c>
      <c r="E1735" t="inlineStr">
        <is>
          <t>Cash &amp; Other</t>
        </is>
      </c>
      <c r="F1735" t="inlineStr">
        <is>
          <t>54.74000000</t>
        </is>
      </c>
      <c r="G1735" t="inlineStr">
        <is>
          <t>1.000000</t>
        </is>
      </c>
      <c r="H1735" t="inlineStr">
        <is>
          <t>54.74</t>
        </is>
      </c>
      <c r="I1735" t="inlineStr">
        <is>
          <t>0.01%</t>
        </is>
      </c>
      <c r="J1735" t="inlineStr">
        <is>
          <t>1017320.00</t>
        </is>
      </c>
      <c r="K1735" t="inlineStr">
        <is>
          <t>40000</t>
        </is>
      </c>
      <c r="L1735" t="inlineStr">
        <is>
          <t>8.000000000000</t>
        </is>
      </c>
      <c r="M1735" t="inlineStr">
        <is>
          <t>Y</t>
        </is>
      </c>
    </row>
    <row r="1736">
      <c r="A1736" t="inlineStr">
        <is>
          <t>06/25/2026</t>
        </is>
      </c>
      <c r="B1736" t="inlineStr">
        <is>
          <t>SCMY</t>
        </is>
      </c>
      <c r="C1736" s="1" t="inlineStr">
        <is>
          <t>2IWM  270430C00056520</t>
        </is>
      </c>
      <c r="D1736" s="1" t="inlineStr">
        <is>
          <t>2IWM  270430C00056520</t>
        </is>
      </c>
      <c r="E1736" t="inlineStr">
        <is>
          <t>IWM 04/30/2027 56.52 C</t>
        </is>
      </c>
      <c r="F1736" t="inlineStr">
        <is>
          <t>163.00000000</t>
        </is>
      </c>
      <c r="G1736" t="inlineStr">
        <is>
          <t>240.603815</t>
        </is>
      </c>
      <c r="H1736" t="inlineStr">
        <is>
          <t>3921842.18</t>
        </is>
      </c>
      <c r="I1736" t="inlineStr">
        <is>
          <t>82.47%</t>
        </is>
      </c>
      <c r="J1736" t="inlineStr">
        <is>
          <t>4755702.50</t>
        </is>
      </c>
      <c r="K1736" t="inlineStr">
        <is>
          <t>185000</t>
        </is>
      </c>
      <c r="L1736" t="inlineStr">
        <is>
          <t>37.000000000000</t>
        </is>
      </c>
      <c r="M1736" t="inlineStr"/>
    </row>
    <row r="1737">
      <c r="A1737" t="inlineStr">
        <is>
          <t>06/25/2026</t>
        </is>
      </c>
      <c r="B1737" t="inlineStr">
        <is>
          <t>SCMY</t>
        </is>
      </c>
      <c r="C1737" s="1" t="inlineStr">
        <is>
          <t>2IWM  270430C00333470</t>
        </is>
      </c>
      <c r="D1737" s="1" t="inlineStr">
        <is>
          <t>2IWM  270430C00333470</t>
        </is>
      </c>
      <c r="E1737" t="inlineStr">
        <is>
          <t>IWM 04/30/2027 333.47 C</t>
        </is>
      </c>
      <c r="F1737" t="inlineStr">
        <is>
          <t>-163.00000000</t>
        </is>
      </c>
      <c r="G1737" t="inlineStr">
        <is>
          <t>13.630917</t>
        </is>
      </c>
      <c r="H1737" t="inlineStr">
        <is>
          <t>-222183.95</t>
        </is>
      </c>
      <c r="I1737" t="inlineStr">
        <is>
          <t>-4.67%</t>
        </is>
      </c>
      <c r="J1737" t="inlineStr">
        <is>
          <t>4755702.50</t>
        </is>
      </c>
      <c r="K1737" t="inlineStr">
        <is>
          <t>185000</t>
        </is>
      </c>
      <c r="L1737" t="inlineStr">
        <is>
          <t>37.000000000000</t>
        </is>
      </c>
      <c r="M1737" t="inlineStr"/>
    </row>
    <row r="1738">
      <c r="A1738" t="inlineStr">
        <is>
          <t>06/25/2026</t>
        </is>
      </c>
      <c r="B1738" t="inlineStr">
        <is>
          <t>SCMY</t>
        </is>
      </c>
      <c r="C1738" s="1" t="inlineStr">
        <is>
          <t>2IWM  270430P00240210</t>
        </is>
      </c>
      <c r="D1738" s="1" t="inlineStr">
        <is>
          <t>2IWM  270430P00240210</t>
        </is>
      </c>
      <c r="E1738" t="inlineStr">
        <is>
          <t>IWM 04/30/2027 240.21 P</t>
        </is>
      </c>
      <c r="F1738" t="inlineStr">
        <is>
          <t>-163.00000000</t>
        </is>
      </c>
      <c r="G1738" t="inlineStr">
        <is>
          <t>6.554536</t>
        </is>
      </c>
      <c r="H1738" t="inlineStr">
        <is>
          <t>-106838.94</t>
        </is>
      </c>
      <c r="I1738" t="inlineStr">
        <is>
          <t>-2.25%</t>
        </is>
      </c>
      <c r="J1738" t="inlineStr">
        <is>
          <t>4755702.50</t>
        </is>
      </c>
      <c r="K1738" t="inlineStr">
        <is>
          <t>185000</t>
        </is>
      </c>
      <c r="L1738" t="inlineStr">
        <is>
          <t>37.000000000000</t>
        </is>
      </c>
      <c r="M1738" t="inlineStr"/>
    </row>
    <row r="1739">
      <c r="A1739" t="inlineStr">
        <is>
          <t>06/25/2026</t>
        </is>
      </c>
      <c r="B1739" t="inlineStr">
        <is>
          <t>SCMY</t>
        </is>
      </c>
      <c r="C1739" s="1" t="inlineStr">
        <is>
          <t>2IWM  270430P00282600</t>
        </is>
      </c>
      <c r="D1739" s="1" t="inlineStr">
        <is>
          <t>2IWM  270430P00282600</t>
        </is>
      </c>
      <c r="E1739" t="inlineStr">
        <is>
          <t>IWM 04/30/2027 282.6 P</t>
        </is>
      </c>
      <c r="F1739" t="inlineStr">
        <is>
          <t>163.00000000</t>
        </is>
      </c>
      <c r="G1739" t="inlineStr">
        <is>
          <t>15.785036</t>
        </is>
      </c>
      <c r="H1739" t="inlineStr">
        <is>
          <t>257296.09</t>
        </is>
      </c>
      <c r="I1739" t="inlineStr">
        <is>
          <t>5.41%</t>
        </is>
      </c>
      <c r="J1739" t="inlineStr">
        <is>
          <t>4755702.50</t>
        </is>
      </c>
      <c r="K1739" t="inlineStr">
        <is>
          <t>185000</t>
        </is>
      </c>
      <c r="L1739" t="inlineStr">
        <is>
          <t>37.000000000000</t>
        </is>
      </c>
      <c r="M1739" t="inlineStr"/>
    </row>
    <row r="1740">
      <c r="A1740" t="inlineStr">
        <is>
          <t>06/25/2026</t>
        </is>
      </c>
      <c r="B1740" t="inlineStr">
        <is>
          <t>SCMY</t>
        </is>
      </c>
      <c r="C1740" s="1" t="inlineStr">
        <is>
          <t>91282CMY4</t>
        </is>
      </c>
      <c r="D1740" s="1" t="inlineStr">
        <is>
          <t>91282CMY4</t>
        </is>
      </c>
      <c r="E1740" t="inlineStr">
        <is>
          <t>United States Treasury Note/Bond 3.75% 04/30/2027</t>
        </is>
      </c>
      <c r="F1740" t="inlineStr">
        <is>
          <t>857000.00000000</t>
        </is>
      </c>
      <c r="G1740" t="inlineStr">
        <is>
          <t>99.758247</t>
        </is>
      </c>
      <c r="H1740" t="inlineStr">
        <is>
          <t>854928.18</t>
        </is>
      </c>
      <c r="I1740" t="inlineStr">
        <is>
          <t>17.98%</t>
        </is>
      </c>
      <c r="J1740" t="inlineStr">
        <is>
          <t>4755702.50</t>
        </is>
      </c>
      <c r="K1740" t="inlineStr">
        <is>
          <t>185000</t>
        </is>
      </c>
      <c r="L1740" t="inlineStr">
        <is>
          <t>37.000000000000</t>
        </is>
      </c>
      <c r="M1740" t="inlineStr"/>
    </row>
    <row r="1741">
      <c r="A1741" t="inlineStr">
        <is>
          <t>06/25/2026</t>
        </is>
      </c>
      <c r="B1741" t="inlineStr">
        <is>
          <t>SCMY</t>
        </is>
      </c>
      <c r="C1741" s="1" t="inlineStr">
        <is>
          <t>FGXXX</t>
        </is>
      </c>
      <c r="D1741" s="1" t="inlineStr">
        <is>
          <t>31846V336</t>
        </is>
      </c>
      <c r="E1741" t="inlineStr">
        <is>
          <t>First American Government Obligations Fund 12/01/2031</t>
        </is>
      </c>
      <c r="F1741" t="inlineStr">
        <is>
          <t>46241.01000000</t>
        </is>
      </c>
      <c r="G1741" t="inlineStr">
        <is>
          <t>100.000000</t>
        </is>
      </c>
      <c r="H1741" t="inlineStr">
        <is>
          <t>46241.01</t>
        </is>
      </c>
      <c r="I1741" t="inlineStr">
        <is>
          <t>0.97%</t>
        </is>
      </c>
      <c r="J1741" t="inlineStr">
        <is>
          <t>4755702.50</t>
        </is>
      </c>
      <c r="K1741" t="inlineStr">
        <is>
          <t>185000</t>
        </is>
      </c>
      <c r="L1741" t="inlineStr">
        <is>
          <t>37.000000000000</t>
        </is>
      </c>
      <c r="M1741" t="inlineStr">
        <is>
          <t>Y</t>
        </is>
      </c>
    </row>
    <row r="1742">
      <c r="A1742" t="inlineStr">
        <is>
          <t>06/25/2026</t>
        </is>
      </c>
      <c r="B1742" t="inlineStr">
        <is>
          <t>SCMY</t>
        </is>
      </c>
      <c r="C1742" s="1" t="inlineStr">
        <is>
          <t>Cash&amp;Other</t>
        </is>
      </c>
      <c r="D1742" s="1" t="inlineStr">
        <is>
          <t>Cash&amp;Other</t>
        </is>
      </c>
      <c r="E1742" t="inlineStr">
        <is>
          <t>Cash &amp; Other</t>
        </is>
      </c>
      <c r="F1742" t="inlineStr">
        <is>
          <t>4470.54000000</t>
        </is>
      </c>
      <c r="G1742" t="inlineStr">
        <is>
          <t>1.000000</t>
        </is>
      </c>
      <c r="H1742" t="inlineStr">
        <is>
          <t>4470.54</t>
        </is>
      </c>
      <c r="I1742" t="inlineStr">
        <is>
          <t>0.09%</t>
        </is>
      </c>
      <c r="J1742" t="inlineStr">
        <is>
          <t>4755702.50</t>
        </is>
      </c>
      <c r="K1742" t="inlineStr">
        <is>
          <t>185000</t>
        </is>
      </c>
      <c r="L1742" t="inlineStr">
        <is>
          <t>37.000000000000</t>
        </is>
      </c>
      <c r="M1742" t="inlineStr">
        <is>
          <t>Y</t>
        </is>
      </c>
    </row>
    <row r="1743">
      <c r="A1743" t="inlineStr">
        <is>
          <t>06/25/2026</t>
        </is>
      </c>
      <c r="B1743" t="inlineStr">
        <is>
          <t>SIMX</t>
        </is>
      </c>
      <c r="C1743" s="1" t="inlineStr">
        <is>
          <t>82706C108-TRS-12/01/27-L-CANT</t>
        </is>
      </c>
      <c r="D1743" s="1" t="inlineStr">
        <is>
          <t>82706C108-TRS-12/01/27-L-CANT</t>
        </is>
      </c>
      <c r="E1743" t="inlineStr">
        <is>
          <t>SILICON MOTION TECHNOLOGY CORPORATION-SWAP-CANT-L</t>
        </is>
      </c>
      <c r="F1743" t="inlineStr">
        <is>
          <t>1583.00000000</t>
        </is>
      </c>
      <c r="G1743" t="inlineStr">
        <is>
          <t>321.660000</t>
        </is>
      </c>
      <c r="H1743" t="inlineStr">
        <is>
          <t>509187.78</t>
        </is>
      </c>
      <c r="I1743" t="inlineStr">
        <is>
          <t>200.28%</t>
        </is>
      </c>
      <c r="J1743" t="inlineStr">
        <is>
          <t>254243.00</t>
        </is>
      </c>
      <c r="K1743" t="inlineStr">
        <is>
          <t>10000</t>
        </is>
      </c>
      <c r="L1743" t="inlineStr">
        <is>
          <t>2.000000000000</t>
        </is>
      </c>
      <c r="M1743" t="inlineStr"/>
    </row>
    <row r="1744">
      <c r="A1744" t="inlineStr">
        <is>
          <t>06/25/2026</t>
        </is>
      </c>
      <c r="B1744" t="inlineStr">
        <is>
          <t>SIMX</t>
        </is>
      </c>
      <c r="C1744" s="1" t="inlineStr">
        <is>
          <t>FGXXX</t>
        </is>
      </c>
      <c r="D1744" s="1" t="inlineStr">
        <is>
          <t>31846V336</t>
        </is>
      </c>
      <c r="E1744" t="inlineStr">
        <is>
          <t>First American Government Obligations Fund 12/01/2031</t>
        </is>
      </c>
      <c r="F1744" t="inlineStr">
        <is>
          <t>25207.00000000</t>
        </is>
      </c>
      <c r="G1744" t="inlineStr">
        <is>
          <t>100.000000</t>
        </is>
      </c>
      <c r="H1744" t="inlineStr">
        <is>
          <t>25207.00</t>
        </is>
      </c>
      <c r="I1744" t="inlineStr">
        <is>
          <t>9.91%</t>
        </is>
      </c>
      <c r="J1744" t="inlineStr">
        <is>
          <t>254243.00</t>
        </is>
      </c>
      <c r="K1744" t="inlineStr">
        <is>
          <t>10000</t>
        </is>
      </c>
      <c r="L1744" t="inlineStr">
        <is>
          <t>2.000000000000</t>
        </is>
      </c>
      <c r="M1744" t="inlineStr">
        <is>
          <t>Y</t>
        </is>
      </c>
    </row>
    <row r="1745">
      <c r="A1745" t="inlineStr">
        <is>
          <t>06/25/2026</t>
        </is>
      </c>
      <c r="B1745" t="inlineStr">
        <is>
          <t>SIMX</t>
        </is>
      </c>
      <c r="C1745" s="1" t="inlineStr">
        <is>
          <t>Cash&amp;Other</t>
        </is>
      </c>
      <c r="D1745" s="1" t="inlineStr">
        <is>
          <t>Cash&amp;Other</t>
        </is>
      </c>
      <c r="E1745" t="inlineStr">
        <is>
          <t>Cash &amp; Other</t>
        </is>
      </c>
      <c r="F1745" t="inlineStr">
        <is>
          <t>-280229.42000000</t>
        </is>
      </c>
      <c r="G1745" t="inlineStr">
        <is>
          <t>1.000000</t>
        </is>
      </c>
      <c r="H1745" t="inlineStr">
        <is>
          <t>-280229.42</t>
        </is>
      </c>
      <c r="I1745" t="inlineStr">
        <is>
          <t>-110.22%</t>
        </is>
      </c>
      <c r="J1745" t="inlineStr">
        <is>
          <t>254243.00</t>
        </is>
      </c>
      <c r="K1745" t="inlineStr">
        <is>
          <t>10000</t>
        </is>
      </c>
      <c r="L1745" t="inlineStr">
        <is>
          <t>2.000000000000</t>
        </is>
      </c>
      <c r="M1745" t="inlineStr">
        <is>
          <t>Y</t>
        </is>
      </c>
    </row>
    <row r="1746">
      <c r="A1746" t="inlineStr">
        <is>
          <t>06/25/2026</t>
        </is>
      </c>
      <c r="B1746" t="inlineStr">
        <is>
          <t>STYL</t>
        </is>
      </c>
      <c r="C1746" s="1" t="inlineStr">
        <is>
          <t>AEO</t>
        </is>
      </c>
      <c r="D1746" s="1" t="inlineStr">
        <is>
          <t>02553E106</t>
        </is>
      </c>
      <c r="E1746" t="inlineStr">
        <is>
          <t>American Eagle Outfitters Inc</t>
        </is>
      </c>
      <c r="F1746" t="inlineStr">
        <is>
          <t>1396.00000000</t>
        </is>
      </c>
      <c r="G1746" t="inlineStr">
        <is>
          <t>18.500000</t>
        </is>
      </c>
      <c r="H1746" t="inlineStr">
        <is>
          <t>25826.00</t>
        </is>
      </c>
      <c r="I1746" t="inlineStr">
        <is>
          <t>2.17%</t>
        </is>
      </c>
      <c r="J1746" t="inlineStr">
        <is>
          <t>1188504.00</t>
        </is>
      </c>
      <c r="K1746" t="inlineStr">
        <is>
          <t>45000</t>
        </is>
      </c>
      <c r="L1746" t="inlineStr">
        <is>
          <t>9.000000000000</t>
        </is>
      </c>
      <c r="M1746" t="inlineStr"/>
    </row>
    <row r="1747">
      <c r="A1747" t="inlineStr">
        <is>
          <t>06/25/2026</t>
        </is>
      </c>
      <c r="B1747" t="inlineStr">
        <is>
          <t>STYL</t>
        </is>
      </c>
      <c r="C1747" s="1" t="inlineStr">
        <is>
          <t>ANF</t>
        </is>
      </c>
      <c r="D1747" s="1" t="inlineStr">
        <is>
          <t>002896207</t>
        </is>
      </c>
      <c r="E1747" t="inlineStr">
        <is>
          <t>Abercrombie &amp; Fitch Co</t>
        </is>
      </c>
      <c r="F1747" t="inlineStr">
        <is>
          <t>376.00000000</t>
        </is>
      </c>
      <c r="G1747" t="inlineStr">
        <is>
          <t>88.830000</t>
        </is>
      </c>
      <c r="H1747" t="inlineStr">
        <is>
          <t>33400.08</t>
        </is>
      </c>
      <c r="I1747" t="inlineStr">
        <is>
          <t>2.81%</t>
        </is>
      </c>
      <c r="J1747" t="inlineStr">
        <is>
          <t>1188504.00</t>
        </is>
      </c>
      <c r="K1747" t="inlineStr">
        <is>
          <t>45000</t>
        </is>
      </c>
      <c r="L1747" t="inlineStr">
        <is>
          <t>9.000000000000</t>
        </is>
      </c>
      <c r="M1747" t="inlineStr"/>
    </row>
    <row r="1748">
      <c r="A1748" t="inlineStr">
        <is>
          <t>06/25/2026</t>
        </is>
      </c>
      <c r="B1748" t="inlineStr">
        <is>
          <t>STYL</t>
        </is>
      </c>
      <c r="C1748" s="1" t="inlineStr">
        <is>
          <t>AS</t>
        </is>
      </c>
      <c r="D1748" s="1" t="inlineStr">
        <is>
          <t>G0260P102</t>
        </is>
      </c>
      <c r="E1748" t="inlineStr">
        <is>
          <t>Amer Sports Inc</t>
        </is>
      </c>
      <c r="F1748" t="inlineStr">
        <is>
          <t>900.00000000</t>
        </is>
      </c>
      <c r="G1748" t="inlineStr">
        <is>
          <t>35.100000</t>
        </is>
      </c>
      <c r="H1748" t="inlineStr">
        <is>
          <t>31590.00</t>
        </is>
      </c>
      <c r="I1748" t="inlineStr">
        <is>
          <t>2.66%</t>
        </is>
      </c>
      <c r="J1748" t="inlineStr">
        <is>
          <t>1188504.00</t>
        </is>
      </c>
      <c r="K1748" t="inlineStr">
        <is>
          <t>45000</t>
        </is>
      </c>
      <c r="L1748" t="inlineStr">
        <is>
          <t>9.000000000000</t>
        </is>
      </c>
      <c r="M1748" t="inlineStr"/>
    </row>
    <row r="1749">
      <c r="A1749" t="inlineStr">
        <is>
          <t>06/25/2026</t>
        </is>
      </c>
      <c r="B1749" t="inlineStr">
        <is>
          <t>STYL</t>
        </is>
      </c>
      <c r="C1749" s="1" t="inlineStr">
        <is>
          <t>BIRK</t>
        </is>
      </c>
      <c r="D1749" s="1" t="inlineStr">
        <is>
          <t>M2029K104</t>
        </is>
      </c>
      <c r="E1749" t="inlineStr">
        <is>
          <t>Birkenstock Holding Plc</t>
        </is>
      </c>
      <c r="F1749" t="inlineStr">
        <is>
          <t>450.00000000</t>
        </is>
      </c>
      <c r="G1749" t="inlineStr">
        <is>
          <t>45.090000</t>
        </is>
      </c>
      <c r="H1749" t="inlineStr">
        <is>
          <t>20290.50</t>
        </is>
      </c>
      <c r="I1749" t="inlineStr">
        <is>
          <t>1.71%</t>
        </is>
      </c>
      <c r="J1749" t="inlineStr">
        <is>
          <t>1188504.00</t>
        </is>
      </c>
      <c r="K1749" t="inlineStr">
        <is>
          <t>45000</t>
        </is>
      </c>
      <c r="L1749" t="inlineStr">
        <is>
          <t>9.000000000000</t>
        </is>
      </c>
      <c r="M1749" t="inlineStr"/>
    </row>
    <row r="1750">
      <c r="A1750" t="inlineStr">
        <is>
          <t>06/25/2026</t>
        </is>
      </c>
      <c r="B1750" t="inlineStr">
        <is>
          <t>STYL</t>
        </is>
      </c>
      <c r="C1750" s="1" t="inlineStr">
        <is>
          <t>BKE</t>
        </is>
      </c>
      <c r="D1750" s="1" t="inlineStr">
        <is>
          <t>118440106</t>
        </is>
      </c>
      <c r="E1750" t="inlineStr">
        <is>
          <t>Buckle Inc/The</t>
        </is>
      </c>
      <c r="F1750" t="inlineStr">
        <is>
          <t>279.00000000</t>
        </is>
      </c>
      <c r="G1750" t="inlineStr">
        <is>
          <t>44.570000</t>
        </is>
      </c>
      <c r="H1750" t="inlineStr">
        <is>
          <t>12435.03</t>
        </is>
      </c>
      <c r="I1750" t="inlineStr">
        <is>
          <t>1.05%</t>
        </is>
      </c>
      <c r="J1750" t="inlineStr">
        <is>
          <t>1188504.00</t>
        </is>
      </c>
      <c r="K1750" t="inlineStr">
        <is>
          <t>45000</t>
        </is>
      </c>
      <c r="L1750" t="inlineStr">
        <is>
          <t>9.000000000000</t>
        </is>
      </c>
      <c r="M1750" t="inlineStr"/>
    </row>
    <row r="1751">
      <c r="A1751" t="inlineStr">
        <is>
          <t>06/25/2026</t>
        </is>
      </c>
      <c r="B1751" t="inlineStr">
        <is>
          <t>STYL</t>
        </is>
      </c>
      <c r="C1751" s="1" t="inlineStr">
        <is>
          <t>BOOT</t>
        </is>
      </c>
      <c r="D1751" s="1" t="inlineStr">
        <is>
          <t>099406100</t>
        </is>
      </c>
      <c r="E1751" t="inlineStr">
        <is>
          <t>Boot Barn Holdings Inc</t>
        </is>
      </c>
      <c r="F1751" t="inlineStr">
        <is>
          <t>162.00000000</t>
        </is>
      </c>
      <c r="G1751" t="inlineStr">
        <is>
          <t>177.480000</t>
        </is>
      </c>
      <c r="H1751" t="inlineStr">
        <is>
          <t>28751.76</t>
        </is>
      </c>
      <c r="I1751" t="inlineStr">
        <is>
          <t>2.42%</t>
        </is>
      </c>
      <c r="J1751" t="inlineStr">
        <is>
          <t>1188504.00</t>
        </is>
      </c>
      <c r="K1751" t="inlineStr">
        <is>
          <t>45000</t>
        </is>
      </c>
      <c r="L1751" t="inlineStr">
        <is>
          <t>9.000000000000</t>
        </is>
      </c>
      <c r="M1751" t="inlineStr"/>
    </row>
    <row r="1752">
      <c r="A1752" t="inlineStr">
        <is>
          <t>06/25/2026</t>
        </is>
      </c>
      <c r="B1752" t="inlineStr">
        <is>
          <t>STYL</t>
        </is>
      </c>
      <c r="C1752" s="1" t="inlineStr">
        <is>
          <t>CAL</t>
        </is>
      </c>
      <c r="D1752" s="1" t="inlineStr">
        <is>
          <t>129500104</t>
        </is>
      </c>
      <c r="E1752" t="inlineStr">
        <is>
          <t>CALERES INC COM</t>
        </is>
      </c>
      <c r="F1752" t="inlineStr">
        <is>
          <t>522.00000000</t>
        </is>
      </c>
      <c r="G1752" t="inlineStr">
        <is>
          <t>12.970000</t>
        </is>
      </c>
      <c r="H1752" t="inlineStr">
        <is>
          <t>6770.34</t>
        </is>
      </c>
      <c r="I1752" t="inlineStr">
        <is>
          <t>0.57%</t>
        </is>
      </c>
      <c r="J1752" t="inlineStr">
        <is>
          <t>1188504.00</t>
        </is>
      </c>
      <c r="K1752" t="inlineStr">
        <is>
          <t>45000</t>
        </is>
      </c>
      <c r="L1752" t="inlineStr">
        <is>
          <t>9.000000000000</t>
        </is>
      </c>
      <c r="M1752" t="inlineStr"/>
    </row>
    <row r="1753">
      <c r="A1753" t="inlineStr">
        <is>
          <t>06/25/2026</t>
        </is>
      </c>
      <c r="B1753" t="inlineStr">
        <is>
          <t>STYL</t>
        </is>
      </c>
      <c r="C1753" s="1" t="inlineStr">
        <is>
          <t>COLM</t>
        </is>
      </c>
      <c r="D1753" s="1" t="inlineStr">
        <is>
          <t>198516106</t>
        </is>
      </c>
      <c r="E1753" t="inlineStr">
        <is>
          <t>Columbia Sportswear Co</t>
        </is>
      </c>
      <c r="F1753" t="inlineStr">
        <is>
          <t>225.00000000</t>
        </is>
      </c>
      <c r="G1753" t="inlineStr">
        <is>
          <t>64.510000</t>
        </is>
      </c>
      <c r="H1753" t="inlineStr">
        <is>
          <t>14514.75</t>
        </is>
      </c>
      <c r="I1753" t="inlineStr">
        <is>
          <t>1.22%</t>
        </is>
      </c>
      <c r="J1753" t="inlineStr">
        <is>
          <t>1188504.00</t>
        </is>
      </c>
      <c r="K1753" t="inlineStr">
        <is>
          <t>45000</t>
        </is>
      </c>
      <c r="L1753" t="inlineStr">
        <is>
          <t>9.000000000000</t>
        </is>
      </c>
      <c r="M1753" t="inlineStr"/>
    </row>
    <row r="1754">
      <c r="A1754" t="inlineStr">
        <is>
          <t>06/25/2026</t>
        </is>
      </c>
      <c r="B1754" t="inlineStr">
        <is>
          <t>STYL</t>
        </is>
      </c>
      <c r="C1754" s="1" t="inlineStr">
        <is>
          <t>CPRI</t>
        </is>
      </c>
      <c r="D1754" s="1" t="inlineStr">
        <is>
          <t>G1890L107</t>
        </is>
      </c>
      <c r="E1754" t="inlineStr">
        <is>
          <t>CAPRI HOLDINGS LTD</t>
        </is>
      </c>
      <c r="F1754" t="inlineStr">
        <is>
          <t>864.00000000</t>
        </is>
      </c>
      <c r="G1754" t="inlineStr">
        <is>
          <t>19.130000</t>
        </is>
      </c>
      <c r="H1754" t="inlineStr">
        <is>
          <t>16528.32</t>
        </is>
      </c>
      <c r="I1754" t="inlineStr">
        <is>
          <t>1.39%</t>
        </is>
      </c>
      <c r="J1754" t="inlineStr">
        <is>
          <t>1188504.00</t>
        </is>
      </c>
      <c r="K1754" t="inlineStr">
        <is>
          <t>45000</t>
        </is>
      </c>
      <c r="L1754" t="inlineStr">
        <is>
          <t>9.000000000000</t>
        </is>
      </c>
      <c r="M1754" t="inlineStr"/>
    </row>
    <row r="1755">
      <c r="A1755" t="inlineStr">
        <is>
          <t>06/25/2026</t>
        </is>
      </c>
      <c r="B1755" t="inlineStr">
        <is>
          <t>STYL</t>
        </is>
      </c>
      <c r="C1755" s="1" t="inlineStr">
        <is>
          <t>CRI</t>
        </is>
      </c>
      <c r="D1755" s="1" t="inlineStr">
        <is>
          <t>146229109</t>
        </is>
      </c>
      <c r="E1755" t="inlineStr">
        <is>
          <t>Carter's Inc</t>
        </is>
      </c>
      <c r="F1755" t="inlineStr">
        <is>
          <t>369.00000000</t>
        </is>
      </c>
      <c r="G1755" t="inlineStr">
        <is>
          <t>43.330000</t>
        </is>
      </c>
      <c r="H1755" t="inlineStr">
        <is>
          <t>15988.77</t>
        </is>
      </c>
      <c r="I1755" t="inlineStr">
        <is>
          <t>1.35%</t>
        </is>
      </c>
      <c r="J1755" t="inlineStr">
        <is>
          <t>1188504.00</t>
        </is>
      </c>
      <c r="K1755" t="inlineStr">
        <is>
          <t>45000</t>
        </is>
      </c>
      <c r="L1755" t="inlineStr">
        <is>
          <t>9.000000000000</t>
        </is>
      </c>
      <c r="M1755" t="inlineStr"/>
    </row>
    <row r="1756">
      <c r="A1756" t="inlineStr">
        <is>
          <t>06/25/2026</t>
        </is>
      </c>
      <c r="B1756" t="inlineStr">
        <is>
          <t>STYL</t>
        </is>
      </c>
      <c r="C1756" s="1" t="inlineStr">
        <is>
          <t>CROX</t>
        </is>
      </c>
      <c r="D1756" s="1" t="inlineStr">
        <is>
          <t>227046109</t>
        </is>
      </c>
      <c r="E1756" t="inlineStr">
        <is>
          <t>Crocs Inc</t>
        </is>
      </c>
      <c r="F1756" t="inlineStr">
        <is>
          <t>252.00000000</t>
        </is>
      </c>
      <c r="G1756" t="inlineStr">
        <is>
          <t>121.400000</t>
        </is>
      </c>
      <c r="H1756" t="inlineStr">
        <is>
          <t>30592.80</t>
        </is>
      </c>
      <c r="I1756" t="inlineStr">
        <is>
          <t>2.57%</t>
        </is>
      </c>
      <c r="J1756" t="inlineStr">
        <is>
          <t>1188504.00</t>
        </is>
      </c>
      <c r="K1756" t="inlineStr">
        <is>
          <t>45000</t>
        </is>
      </c>
      <c r="L1756" t="inlineStr">
        <is>
          <t>9.000000000000</t>
        </is>
      </c>
      <c r="M1756" t="inlineStr"/>
    </row>
    <row r="1757">
      <c r="A1757" t="inlineStr">
        <is>
          <t>06/25/2026</t>
        </is>
      </c>
      <c r="B1757" t="inlineStr">
        <is>
          <t>STYL</t>
        </is>
      </c>
      <c r="C1757" s="1" t="inlineStr">
        <is>
          <t>DBI</t>
        </is>
      </c>
      <c r="D1757" s="1" t="inlineStr">
        <is>
          <t>250565108</t>
        </is>
      </c>
      <c r="E1757" t="inlineStr">
        <is>
          <t>Designer Brands Inc</t>
        </is>
      </c>
      <c r="F1757" t="inlineStr">
        <is>
          <t>1629.00000000</t>
        </is>
      </c>
      <c r="G1757" t="inlineStr">
        <is>
          <t>6.220000</t>
        </is>
      </c>
      <c r="H1757" t="inlineStr">
        <is>
          <t>10132.38</t>
        </is>
      </c>
      <c r="I1757" t="inlineStr">
        <is>
          <t>0.85%</t>
        </is>
      </c>
      <c r="J1757" t="inlineStr">
        <is>
          <t>1188504.00</t>
        </is>
      </c>
      <c r="K1757" t="inlineStr">
        <is>
          <t>45000</t>
        </is>
      </c>
      <c r="L1757" t="inlineStr">
        <is>
          <t>9.000000000000</t>
        </is>
      </c>
      <c r="M1757" t="inlineStr"/>
    </row>
    <row r="1758">
      <c r="A1758" t="inlineStr">
        <is>
          <t>06/25/2026</t>
        </is>
      </c>
      <c r="B1758" t="inlineStr">
        <is>
          <t>STYL</t>
        </is>
      </c>
      <c r="C1758" s="1" t="inlineStr">
        <is>
          <t>DECK</t>
        </is>
      </c>
      <c r="D1758" s="1" t="inlineStr">
        <is>
          <t>243537107</t>
        </is>
      </c>
      <c r="E1758" t="inlineStr">
        <is>
          <t>Deckers Outdoor Corp</t>
        </is>
      </c>
      <c r="F1758" t="inlineStr">
        <is>
          <t>468.00000000</t>
        </is>
      </c>
      <c r="G1758" t="inlineStr">
        <is>
          <t>105.700000</t>
        </is>
      </c>
      <c r="H1758" t="inlineStr">
        <is>
          <t>49467.60</t>
        </is>
      </c>
      <c r="I1758" t="inlineStr">
        <is>
          <t>4.16%</t>
        </is>
      </c>
      <c r="J1758" t="inlineStr">
        <is>
          <t>1188504.00</t>
        </is>
      </c>
      <c r="K1758" t="inlineStr">
        <is>
          <t>45000</t>
        </is>
      </c>
      <c r="L1758" t="inlineStr">
        <is>
          <t>9.000000000000</t>
        </is>
      </c>
      <c r="M1758" t="inlineStr"/>
    </row>
    <row r="1759">
      <c r="A1759" t="inlineStr">
        <is>
          <t>06/25/2026</t>
        </is>
      </c>
      <c r="B1759" t="inlineStr">
        <is>
          <t>STYL</t>
        </is>
      </c>
      <c r="C1759" s="1" t="inlineStr">
        <is>
          <t>FGXXX</t>
        </is>
      </c>
      <c r="D1759" s="1" t="inlineStr">
        <is>
          <t>31846V336</t>
        </is>
      </c>
      <c r="E1759" t="inlineStr">
        <is>
          <t>First American Government Obligations Fund 12/01/2031</t>
        </is>
      </c>
      <c r="F1759" t="inlineStr">
        <is>
          <t>49425.17000000</t>
        </is>
      </c>
      <c r="G1759" t="inlineStr">
        <is>
          <t>100.000000</t>
        </is>
      </c>
      <c r="H1759" t="inlineStr">
        <is>
          <t>49425.17</t>
        </is>
      </c>
      <c r="I1759" t="inlineStr">
        <is>
          <t>4.16%</t>
        </is>
      </c>
      <c r="J1759" t="inlineStr">
        <is>
          <t>1188504.00</t>
        </is>
      </c>
      <c r="K1759" t="inlineStr">
        <is>
          <t>45000</t>
        </is>
      </c>
      <c r="L1759" t="inlineStr">
        <is>
          <t>9.000000000000</t>
        </is>
      </c>
      <c r="M1759" t="inlineStr">
        <is>
          <t>Y</t>
        </is>
      </c>
    </row>
    <row r="1760">
      <c r="A1760" t="inlineStr">
        <is>
          <t>06/25/2026</t>
        </is>
      </c>
      <c r="B1760" t="inlineStr">
        <is>
          <t>STYL</t>
        </is>
      </c>
      <c r="C1760" s="1" t="inlineStr">
        <is>
          <t>FIGS</t>
        </is>
      </c>
      <c r="D1760" s="1" t="inlineStr">
        <is>
          <t>30260D103</t>
        </is>
      </c>
      <c r="E1760" t="inlineStr">
        <is>
          <t>Figs Inc</t>
        </is>
      </c>
      <c r="F1760" t="inlineStr">
        <is>
          <t>855.00000000</t>
        </is>
      </c>
      <c r="G1760" t="inlineStr">
        <is>
          <t>11.780000</t>
        </is>
      </c>
      <c r="H1760" t="inlineStr">
        <is>
          <t>10071.90</t>
        </is>
      </c>
      <c r="I1760" t="inlineStr">
        <is>
          <t>0.85%</t>
        </is>
      </c>
      <c r="J1760" t="inlineStr">
        <is>
          <t>1188504.00</t>
        </is>
      </c>
      <c r="K1760" t="inlineStr">
        <is>
          <t>45000</t>
        </is>
      </c>
      <c r="L1760" t="inlineStr">
        <is>
          <t>9.000000000000</t>
        </is>
      </c>
      <c r="M1760" t="inlineStr"/>
    </row>
    <row r="1761">
      <c r="A1761" t="inlineStr">
        <is>
          <t>06/25/2026</t>
        </is>
      </c>
      <c r="B1761" t="inlineStr">
        <is>
          <t>STYL</t>
        </is>
      </c>
      <c r="C1761" s="1" t="inlineStr">
        <is>
          <t>FOSL</t>
        </is>
      </c>
      <c r="D1761" s="1" t="inlineStr">
        <is>
          <t>34988V106</t>
        </is>
      </c>
      <c r="E1761" t="inlineStr">
        <is>
          <t>Fossil Group Inc</t>
        </is>
      </c>
      <c r="F1761" t="inlineStr">
        <is>
          <t>1188.00000000</t>
        </is>
      </c>
      <c r="G1761" t="inlineStr">
        <is>
          <t>4.030000</t>
        </is>
      </c>
      <c r="H1761" t="inlineStr">
        <is>
          <t>4787.64</t>
        </is>
      </c>
      <c r="I1761" t="inlineStr">
        <is>
          <t>0.40%</t>
        </is>
      </c>
      <c r="J1761" t="inlineStr">
        <is>
          <t>1188504.00</t>
        </is>
      </c>
      <c r="K1761" t="inlineStr">
        <is>
          <t>45000</t>
        </is>
      </c>
      <c r="L1761" t="inlineStr">
        <is>
          <t>9.000000000000</t>
        </is>
      </c>
      <c r="M1761" t="inlineStr"/>
    </row>
    <row r="1762">
      <c r="A1762" t="inlineStr">
        <is>
          <t>06/25/2026</t>
        </is>
      </c>
      <c r="B1762" t="inlineStr">
        <is>
          <t>STYL</t>
        </is>
      </c>
      <c r="C1762" s="1" t="inlineStr">
        <is>
          <t>GAP</t>
        </is>
      </c>
      <c r="D1762" s="1" t="inlineStr">
        <is>
          <t>364760108</t>
        </is>
      </c>
      <c r="E1762" t="inlineStr">
        <is>
          <t>Gap Inc/The</t>
        </is>
      </c>
      <c r="F1762" t="inlineStr">
        <is>
          <t>1532.00000000</t>
        </is>
      </c>
      <c r="G1762" t="inlineStr">
        <is>
          <t>20.920000</t>
        </is>
      </c>
      <c r="H1762" t="inlineStr">
        <is>
          <t>32049.44</t>
        </is>
      </c>
      <c r="I1762" t="inlineStr">
        <is>
          <t>2.70%</t>
        </is>
      </c>
      <c r="J1762" t="inlineStr">
        <is>
          <t>1188504.00</t>
        </is>
      </c>
      <c r="K1762" t="inlineStr">
        <is>
          <t>45000</t>
        </is>
      </c>
      <c r="L1762" t="inlineStr">
        <is>
          <t>9.000000000000</t>
        </is>
      </c>
      <c r="M1762" t="inlineStr"/>
    </row>
    <row r="1763">
      <c r="A1763" t="inlineStr">
        <is>
          <t>06/25/2026</t>
        </is>
      </c>
      <c r="B1763" t="inlineStr">
        <is>
          <t>STYL</t>
        </is>
      </c>
      <c r="C1763" s="1" t="inlineStr">
        <is>
          <t>GCO</t>
        </is>
      </c>
      <c r="D1763" s="1" t="inlineStr">
        <is>
          <t>371532102</t>
        </is>
      </c>
      <c r="E1763" t="inlineStr">
        <is>
          <t>Genesco Inc</t>
        </is>
      </c>
      <c r="F1763" t="inlineStr">
        <is>
          <t>180.00000000</t>
        </is>
      </c>
      <c r="G1763" t="inlineStr">
        <is>
          <t>35.320000</t>
        </is>
      </c>
      <c r="H1763" t="inlineStr">
        <is>
          <t>6357.60</t>
        </is>
      </c>
      <c r="I1763" t="inlineStr">
        <is>
          <t>0.53%</t>
        </is>
      </c>
      <c r="J1763" t="inlineStr">
        <is>
          <t>1188504.00</t>
        </is>
      </c>
      <c r="K1763" t="inlineStr">
        <is>
          <t>45000</t>
        </is>
      </c>
      <c r="L1763" t="inlineStr">
        <is>
          <t>9.000000000000</t>
        </is>
      </c>
      <c r="M1763" t="inlineStr"/>
    </row>
    <row r="1764">
      <c r="A1764" t="inlineStr">
        <is>
          <t>06/25/2026</t>
        </is>
      </c>
      <c r="B1764" t="inlineStr">
        <is>
          <t>STYL</t>
        </is>
      </c>
      <c r="C1764" s="1" t="inlineStr">
        <is>
          <t>GIII</t>
        </is>
      </c>
      <c r="D1764" s="1" t="inlineStr">
        <is>
          <t>36237H101</t>
        </is>
      </c>
      <c r="E1764" t="inlineStr">
        <is>
          <t>G-III Apparel Group Ltd</t>
        </is>
      </c>
      <c r="F1764" t="inlineStr">
        <is>
          <t>387.00000000</t>
        </is>
      </c>
      <c r="G1764" t="inlineStr">
        <is>
          <t>34.400000</t>
        </is>
      </c>
      <c r="H1764" t="inlineStr">
        <is>
          <t>13312.80</t>
        </is>
      </c>
      <c r="I1764" t="inlineStr">
        <is>
          <t>1.12%</t>
        </is>
      </c>
      <c r="J1764" t="inlineStr">
        <is>
          <t>1188504.00</t>
        </is>
      </c>
      <c r="K1764" t="inlineStr">
        <is>
          <t>45000</t>
        </is>
      </c>
      <c r="L1764" t="inlineStr">
        <is>
          <t>9.000000000000</t>
        </is>
      </c>
      <c r="M1764" t="inlineStr"/>
    </row>
    <row r="1765">
      <c r="A1765" t="inlineStr">
        <is>
          <t>06/25/2026</t>
        </is>
      </c>
      <c r="B1765" t="inlineStr">
        <is>
          <t>STYL</t>
        </is>
      </c>
      <c r="C1765" s="1" t="inlineStr">
        <is>
          <t>GIL</t>
        </is>
      </c>
      <c r="D1765" s="1" t="inlineStr">
        <is>
          <t>375916103</t>
        </is>
      </c>
      <c r="E1765" t="inlineStr">
        <is>
          <t>Gildan Activewear Inc</t>
        </is>
      </c>
      <c r="F1765" t="inlineStr">
        <is>
          <t>711.00000000</t>
        </is>
      </c>
      <c r="G1765" t="inlineStr">
        <is>
          <t>54.080000</t>
        </is>
      </c>
      <c r="H1765" t="inlineStr">
        <is>
          <t>38450.88</t>
        </is>
      </c>
      <c r="I1765" t="inlineStr">
        <is>
          <t>3.24%</t>
        </is>
      </c>
      <c r="J1765" t="inlineStr">
        <is>
          <t>1188504.00</t>
        </is>
      </c>
      <c r="K1765" t="inlineStr">
        <is>
          <t>45000</t>
        </is>
      </c>
      <c r="L1765" t="inlineStr">
        <is>
          <t>9.000000000000</t>
        </is>
      </c>
      <c r="M1765" t="inlineStr"/>
    </row>
    <row r="1766">
      <c r="A1766" t="inlineStr">
        <is>
          <t>06/25/2026</t>
        </is>
      </c>
      <c r="B1766" t="inlineStr">
        <is>
          <t>STYL</t>
        </is>
      </c>
      <c r="C1766" s="1" t="inlineStr">
        <is>
          <t>GOOS</t>
        </is>
      </c>
      <c r="D1766" s="1" t="inlineStr">
        <is>
          <t>135086106</t>
        </is>
      </c>
      <c r="E1766" t="inlineStr">
        <is>
          <t>Canada Goose Holdings Inc</t>
        </is>
      </c>
      <c r="F1766" t="inlineStr">
        <is>
          <t>702.00000000</t>
        </is>
      </c>
      <c r="G1766" t="inlineStr">
        <is>
          <t>9.470000</t>
        </is>
      </c>
      <c r="H1766" t="inlineStr">
        <is>
          <t>6647.94</t>
        </is>
      </c>
      <c r="I1766" t="inlineStr">
        <is>
          <t>0.56%</t>
        </is>
      </c>
      <c r="J1766" t="inlineStr">
        <is>
          <t>1188504.00</t>
        </is>
      </c>
      <c r="K1766" t="inlineStr">
        <is>
          <t>45000</t>
        </is>
      </c>
      <c r="L1766" t="inlineStr">
        <is>
          <t>9.000000000000</t>
        </is>
      </c>
      <c r="M1766" t="inlineStr"/>
    </row>
    <row r="1767">
      <c r="A1767" t="inlineStr">
        <is>
          <t>06/25/2026</t>
        </is>
      </c>
      <c r="B1767" t="inlineStr">
        <is>
          <t>STYL</t>
        </is>
      </c>
      <c r="C1767" s="1" t="inlineStr">
        <is>
          <t>JOUT</t>
        </is>
      </c>
      <c r="D1767" s="1" t="inlineStr">
        <is>
          <t>479167108</t>
        </is>
      </c>
      <c r="E1767" t="inlineStr">
        <is>
          <t>Johnson Outdoors Inc</t>
        </is>
      </c>
      <c r="F1767" t="inlineStr">
        <is>
          <t>108.00000000</t>
        </is>
      </c>
      <c r="G1767" t="inlineStr">
        <is>
          <t>46.080000</t>
        </is>
      </c>
      <c r="H1767" t="inlineStr">
        <is>
          <t>4976.64</t>
        </is>
      </c>
      <c r="I1767" t="inlineStr">
        <is>
          <t>0.42%</t>
        </is>
      </c>
      <c r="J1767" t="inlineStr">
        <is>
          <t>1188504.00</t>
        </is>
      </c>
      <c r="K1767" t="inlineStr">
        <is>
          <t>45000</t>
        </is>
      </c>
      <c r="L1767" t="inlineStr">
        <is>
          <t>9.000000000000</t>
        </is>
      </c>
      <c r="M1767" t="inlineStr"/>
    </row>
    <row r="1768">
      <c r="A1768" t="inlineStr">
        <is>
          <t>06/25/2026</t>
        </is>
      </c>
      <c r="B1768" t="inlineStr">
        <is>
          <t>STYL</t>
        </is>
      </c>
      <c r="C1768" s="1" t="inlineStr">
        <is>
          <t>KTB</t>
        </is>
      </c>
      <c r="D1768" s="1" t="inlineStr">
        <is>
          <t>50050N103</t>
        </is>
      </c>
      <c r="E1768" t="inlineStr">
        <is>
          <t>Kontoor Brands Inc</t>
        </is>
      </c>
      <c r="F1768" t="inlineStr">
        <is>
          <t>342.00000000</t>
        </is>
      </c>
      <c r="G1768" t="inlineStr">
        <is>
          <t>78.000000</t>
        </is>
      </c>
      <c r="H1768" t="inlineStr">
        <is>
          <t>26676.00</t>
        </is>
      </c>
      <c r="I1768" t="inlineStr">
        <is>
          <t>2.24%</t>
        </is>
      </c>
      <c r="J1768" t="inlineStr">
        <is>
          <t>1188504.00</t>
        </is>
      </c>
      <c r="K1768" t="inlineStr">
        <is>
          <t>45000</t>
        </is>
      </c>
      <c r="L1768" t="inlineStr">
        <is>
          <t>9.000000000000</t>
        </is>
      </c>
      <c r="M1768" t="inlineStr"/>
    </row>
    <row r="1769">
      <c r="A1769" t="inlineStr">
        <is>
          <t>06/25/2026</t>
        </is>
      </c>
      <c r="B1769" t="inlineStr">
        <is>
          <t>STYL</t>
        </is>
      </c>
      <c r="C1769" s="1" t="inlineStr">
        <is>
          <t>LEVI</t>
        </is>
      </c>
      <c r="D1769" s="1" t="inlineStr">
        <is>
          <t>52736R102</t>
        </is>
      </c>
      <c r="E1769" t="inlineStr">
        <is>
          <t>Levi Strauss &amp; Co</t>
        </is>
      </c>
      <c r="F1769" t="inlineStr">
        <is>
          <t>738.00000000</t>
        </is>
      </c>
      <c r="G1769" t="inlineStr">
        <is>
          <t>23.560000</t>
        </is>
      </c>
      <c r="H1769" t="inlineStr">
        <is>
          <t>17387.28</t>
        </is>
      </c>
      <c r="I1769" t="inlineStr">
        <is>
          <t>1.46%</t>
        </is>
      </c>
      <c r="J1769" t="inlineStr">
        <is>
          <t>1188504.00</t>
        </is>
      </c>
      <c r="K1769" t="inlineStr">
        <is>
          <t>45000</t>
        </is>
      </c>
      <c r="L1769" t="inlineStr">
        <is>
          <t>9.000000000000</t>
        </is>
      </c>
      <c r="M1769" t="inlineStr"/>
    </row>
    <row r="1770">
      <c r="A1770" t="inlineStr">
        <is>
          <t>06/25/2026</t>
        </is>
      </c>
      <c r="B1770" t="inlineStr">
        <is>
          <t>STYL</t>
        </is>
      </c>
      <c r="C1770" s="1" t="inlineStr">
        <is>
          <t>LULU</t>
        </is>
      </c>
      <c r="D1770" s="1" t="inlineStr">
        <is>
          <t>550021109</t>
        </is>
      </c>
      <c r="E1770" t="inlineStr">
        <is>
          <t>Lululemon Athletica Inc</t>
        </is>
      </c>
      <c r="F1770" t="inlineStr">
        <is>
          <t>378.00000000</t>
        </is>
      </c>
      <c r="G1770" t="inlineStr">
        <is>
          <t>113.090000</t>
        </is>
      </c>
      <c r="H1770" t="inlineStr">
        <is>
          <t>42748.02</t>
        </is>
      </c>
      <c r="I1770" t="inlineStr">
        <is>
          <t>3.60%</t>
        </is>
      </c>
      <c r="J1770" t="inlineStr">
        <is>
          <t>1188504.00</t>
        </is>
      </c>
      <c r="K1770" t="inlineStr">
        <is>
          <t>45000</t>
        </is>
      </c>
      <c r="L1770" t="inlineStr">
        <is>
          <t>9.000000000000</t>
        </is>
      </c>
      <c r="M1770" t="inlineStr"/>
    </row>
    <row r="1771">
      <c r="A1771" t="inlineStr">
        <is>
          <t>06/25/2026</t>
        </is>
      </c>
      <c r="B1771" t="inlineStr">
        <is>
          <t>STYL</t>
        </is>
      </c>
      <c r="C1771" s="1" t="inlineStr">
        <is>
          <t>NKE</t>
        </is>
      </c>
      <c r="D1771" s="1" t="inlineStr">
        <is>
          <t>654106103</t>
        </is>
      </c>
      <c r="E1771" t="inlineStr">
        <is>
          <t>NIKE Inc</t>
        </is>
      </c>
      <c r="F1771" t="inlineStr">
        <is>
          <t>2502.00000000</t>
        </is>
      </c>
      <c r="G1771" t="inlineStr">
        <is>
          <t>41.820000</t>
        </is>
      </c>
      <c r="H1771" t="inlineStr">
        <is>
          <t>104633.64</t>
        </is>
      </c>
      <c r="I1771" t="inlineStr">
        <is>
          <t>8.80%</t>
        </is>
      </c>
      <c r="J1771" t="inlineStr">
        <is>
          <t>1188504.00</t>
        </is>
      </c>
      <c r="K1771" t="inlineStr">
        <is>
          <t>45000</t>
        </is>
      </c>
      <c r="L1771" t="inlineStr">
        <is>
          <t>9.000000000000</t>
        </is>
      </c>
      <c r="M1771" t="inlineStr"/>
    </row>
    <row r="1772">
      <c r="A1772" t="inlineStr">
        <is>
          <t>06/25/2026</t>
        </is>
      </c>
      <c r="B1772" t="inlineStr">
        <is>
          <t>STYL</t>
        </is>
      </c>
      <c r="C1772" s="1" t="inlineStr">
        <is>
          <t>ONON</t>
        </is>
      </c>
      <c r="D1772" s="1" t="inlineStr">
        <is>
          <t>H5919C104</t>
        </is>
      </c>
      <c r="E1772" t="inlineStr">
        <is>
          <t>On Holding AG</t>
        </is>
      </c>
      <c r="F1772" t="inlineStr">
        <is>
          <t>1178.00000000</t>
        </is>
      </c>
      <c r="G1772" t="inlineStr">
        <is>
          <t>36.920000</t>
        </is>
      </c>
      <c r="H1772" t="inlineStr">
        <is>
          <t>43491.76</t>
        </is>
      </c>
      <c r="I1772" t="inlineStr">
        <is>
          <t>3.66%</t>
        </is>
      </c>
      <c r="J1772" t="inlineStr">
        <is>
          <t>1188504.00</t>
        </is>
      </c>
      <c r="K1772" t="inlineStr">
        <is>
          <t>45000</t>
        </is>
      </c>
      <c r="L1772" t="inlineStr">
        <is>
          <t>9.000000000000</t>
        </is>
      </c>
      <c r="M1772" t="inlineStr"/>
    </row>
    <row r="1773">
      <c r="A1773" t="inlineStr">
        <is>
          <t>06/25/2026</t>
        </is>
      </c>
      <c r="B1773" t="inlineStr">
        <is>
          <t>STYL</t>
        </is>
      </c>
      <c r="C1773" s="1" t="inlineStr">
        <is>
          <t>OXM</t>
        </is>
      </c>
      <c r="D1773" s="1" t="inlineStr">
        <is>
          <t>691497309</t>
        </is>
      </c>
      <c r="E1773" t="inlineStr">
        <is>
          <t>Oxford Industries Inc</t>
        </is>
      </c>
      <c r="F1773" t="inlineStr">
        <is>
          <t>198.00000000</t>
        </is>
      </c>
      <c r="G1773" t="inlineStr">
        <is>
          <t>35.820000</t>
        </is>
      </c>
      <c r="H1773" t="inlineStr">
        <is>
          <t>7092.36</t>
        </is>
      </c>
      <c r="I1773" t="inlineStr">
        <is>
          <t>0.60%</t>
        </is>
      </c>
      <c r="J1773" t="inlineStr">
        <is>
          <t>1188504.00</t>
        </is>
      </c>
      <c r="K1773" t="inlineStr">
        <is>
          <t>45000</t>
        </is>
      </c>
      <c r="L1773" t="inlineStr">
        <is>
          <t>9.000000000000</t>
        </is>
      </c>
      <c r="M1773" t="inlineStr"/>
    </row>
    <row r="1774">
      <c r="A1774" t="inlineStr">
        <is>
          <t>06/25/2026</t>
        </is>
      </c>
      <c r="B1774" t="inlineStr">
        <is>
          <t>STYL</t>
        </is>
      </c>
      <c r="C1774" s="1" t="inlineStr">
        <is>
          <t>PVH</t>
        </is>
      </c>
      <c r="D1774" s="1" t="inlineStr">
        <is>
          <t>693656100</t>
        </is>
      </c>
      <c r="E1774" t="inlineStr">
        <is>
          <t>PVH Corp</t>
        </is>
      </c>
      <c r="F1774" t="inlineStr">
        <is>
          <t>243.00000000</t>
        </is>
      </c>
      <c r="G1774" t="inlineStr">
        <is>
          <t>72.710000</t>
        </is>
      </c>
      <c r="H1774" t="inlineStr">
        <is>
          <t>17668.53</t>
        </is>
      </c>
      <c r="I1774" t="inlineStr">
        <is>
          <t>1.49%</t>
        </is>
      </c>
      <c r="J1774" t="inlineStr">
        <is>
          <t>1188504.00</t>
        </is>
      </c>
      <c r="K1774" t="inlineStr">
        <is>
          <t>45000</t>
        </is>
      </c>
      <c r="L1774" t="inlineStr">
        <is>
          <t>9.000000000000</t>
        </is>
      </c>
      <c r="M1774" t="inlineStr"/>
    </row>
    <row r="1775">
      <c r="A1775" t="inlineStr">
        <is>
          <t>06/25/2026</t>
        </is>
      </c>
      <c r="B1775" t="inlineStr">
        <is>
          <t>STYL</t>
        </is>
      </c>
      <c r="C1775" s="1" t="inlineStr">
        <is>
          <t>RACE</t>
        </is>
      </c>
      <c r="D1775" s="1" t="inlineStr">
        <is>
          <t>N3167Y103</t>
        </is>
      </c>
      <c r="E1775" t="inlineStr">
        <is>
          <t>FERRARI NV</t>
        </is>
      </c>
      <c r="F1775" t="inlineStr">
        <is>
          <t>234.00000000</t>
        </is>
      </c>
      <c r="G1775" t="inlineStr">
        <is>
          <t>348.750000</t>
        </is>
      </c>
      <c r="H1775" t="inlineStr">
        <is>
          <t>81607.50</t>
        </is>
      </c>
      <c r="I1775" t="inlineStr">
        <is>
          <t>6.87%</t>
        </is>
      </c>
      <c r="J1775" t="inlineStr">
        <is>
          <t>1188504.00</t>
        </is>
      </c>
      <c r="K1775" t="inlineStr">
        <is>
          <t>45000</t>
        </is>
      </c>
      <c r="L1775" t="inlineStr">
        <is>
          <t>9.000000000000</t>
        </is>
      </c>
      <c r="M1775" t="inlineStr"/>
    </row>
    <row r="1776">
      <c r="A1776" t="inlineStr">
        <is>
          <t>06/25/2026</t>
        </is>
      </c>
      <c r="B1776" t="inlineStr">
        <is>
          <t>STYL</t>
        </is>
      </c>
      <c r="C1776" s="1" t="inlineStr">
        <is>
          <t>RCKY</t>
        </is>
      </c>
      <c r="D1776" s="1" t="inlineStr">
        <is>
          <t>774515100</t>
        </is>
      </c>
      <c r="E1776" t="inlineStr">
        <is>
          <t>Rocky Brands Inc</t>
        </is>
      </c>
      <c r="F1776" t="inlineStr">
        <is>
          <t>144.00000000</t>
        </is>
      </c>
      <c r="G1776" t="inlineStr">
        <is>
          <t>40.650000</t>
        </is>
      </c>
      <c r="H1776" t="inlineStr">
        <is>
          <t>5853.60</t>
        </is>
      </c>
      <c r="I1776" t="inlineStr">
        <is>
          <t>0.49%</t>
        </is>
      </c>
      <c r="J1776" t="inlineStr">
        <is>
          <t>1188504.00</t>
        </is>
      </c>
      <c r="K1776" t="inlineStr">
        <is>
          <t>45000</t>
        </is>
      </c>
      <c r="L1776" t="inlineStr">
        <is>
          <t>9.000000000000</t>
        </is>
      </c>
      <c r="M1776" t="inlineStr"/>
    </row>
    <row r="1777">
      <c r="A1777" t="inlineStr">
        <is>
          <t>06/25/2026</t>
        </is>
      </c>
      <c r="B1777" t="inlineStr">
        <is>
          <t>STYL</t>
        </is>
      </c>
      <c r="C1777" s="1" t="inlineStr">
        <is>
          <t>REAL</t>
        </is>
      </c>
      <c r="D1777" s="1" t="inlineStr">
        <is>
          <t>88339P101</t>
        </is>
      </c>
      <c r="E1777" t="inlineStr">
        <is>
          <t>RealReal Inc/The</t>
        </is>
      </c>
      <c r="F1777" t="inlineStr">
        <is>
          <t>981.00000000</t>
        </is>
      </c>
      <c r="G1777" t="inlineStr">
        <is>
          <t>12.860000</t>
        </is>
      </c>
      <c r="H1777" t="inlineStr">
        <is>
          <t>12615.66</t>
        </is>
      </c>
      <c r="I1777" t="inlineStr">
        <is>
          <t>1.06%</t>
        </is>
      </c>
      <c r="J1777" t="inlineStr">
        <is>
          <t>1188504.00</t>
        </is>
      </c>
      <c r="K1777" t="inlineStr">
        <is>
          <t>45000</t>
        </is>
      </c>
      <c r="L1777" t="inlineStr">
        <is>
          <t>9.000000000000</t>
        </is>
      </c>
      <c r="M1777" t="inlineStr"/>
    </row>
    <row r="1778">
      <c r="A1778" t="inlineStr">
        <is>
          <t>06/25/2026</t>
        </is>
      </c>
      <c r="B1778" t="inlineStr">
        <is>
          <t>STYL</t>
        </is>
      </c>
      <c r="C1778" s="1" t="inlineStr">
        <is>
          <t>RH</t>
        </is>
      </c>
      <c r="D1778" s="1" t="inlineStr">
        <is>
          <t>74967X103</t>
        </is>
      </c>
      <c r="E1778" t="inlineStr">
        <is>
          <t>RH</t>
        </is>
      </c>
      <c r="F1778" t="inlineStr">
        <is>
          <t>135.00000000</t>
        </is>
      </c>
      <c r="G1778" t="inlineStr">
        <is>
          <t>156.540000</t>
        </is>
      </c>
      <c r="H1778" t="inlineStr">
        <is>
          <t>21132.90</t>
        </is>
      </c>
      <c r="I1778" t="inlineStr">
        <is>
          <t>1.78%</t>
        </is>
      </c>
      <c r="J1778" t="inlineStr">
        <is>
          <t>1188504.00</t>
        </is>
      </c>
      <c r="K1778" t="inlineStr">
        <is>
          <t>45000</t>
        </is>
      </c>
      <c r="L1778" t="inlineStr">
        <is>
          <t>9.000000000000</t>
        </is>
      </c>
      <c r="M1778" t="inlineStr"/>
    </row>
    <row r="1779">
      <c r="A1779" t="inlineStr">
        <is>
          <t>06/25/2026</t>
        </is>
      </c>
      <c r="B1779" t="inlineStr">
        <is>
          <t>STYL</t>
        </is>
      </c>
      <c r="C1779" s="1" t="inlineStr">
        <is>
          <t>RL</t>
        </is>
      </c>
      <c r="D1779" s="1" t="inlineStr">
        <is>
          <t>751212101</t>
        </is>
      </c>
      <c r="E1779" t="inlineStr">
        <is>
          <t>Ralph Lauren Corp</t>
        </is>
      </c>
      <c r="F1779" t="inlineStr">
        <is>
          <t>126.00000000</t>
        </is>
      </c>
      <c r="G1779" t="inlineStr">
        <is>
          <t>414.250000</t>
        </is>
      </c>
      <c r="H1779" t="inlineStr">
        <is>
          <t>52195.50</t>
        </is>
      </c>
      <c r="I1779" t="inlineStr">
        <is>
          <t>4.39%</t>
        </is>
      </c>
      <c r="J1779" t="inlineStr">
        <is>
          <t>1188504.00</t>
        </is>
      </c>
      <c r="K1779" t="inlineStr">
        <is>
          <t>45000</t>
        </is>
      </c>
      <c r="L1779" t="inlineStr">
        <is>
          <t>9.000000000000</t>
        </is>
      </c>
      <c r="M1779" t="inlineStr"/>
    </row>
    <row r="1780">
      <c r="A1780" t="inlineStr">
        <is>
          <t>06/25/2026</t>
        </is>
      </c>
      <c r="B1780" t="inlineStr">
        <is>
          <t>STYL</t>
        </is>
      </c>
      <c r="C1780" s="1" t="inlineStr">
        <is>
          <t>RVLV</t>
        </is>
      </c>
      <c r="D1780" s="1" t="inlineStr">
        <is>
          <t>76156B107</t>
        </is>
      </c>
      <c r="E1780" t="inlineStr">
        <is>
          <t>Revolve Group Inc</t>
        </is>
      </c>
      <c r="F1780" t="inlineStr">
        <is>
          <t>441.00000000</t>
        </is>
      </c>
      <c r="G1780" t="inlineStr">
        <is>
          <t>22.940000</t>
        </is>
      </c>
      <c r="H1780" t="inlineStr">
        <is>
          <t>10116.54</t>
        </is>
      </c>
      <c r="I1780" t="inlineStr">
        <is>
          <t>0.85%</t>
        </is>
      </c>
      <c r="J1780" t="inlineStr">
        <is>
          <t>1188504.00</t>
        </is>
      </c>
      <c r="K1780" t="inlineStr">
        <is>
          <t>45000</t>
        </is>
      </c>
      <c r="L1780" t="inlineStr">
        <is>
          <t>9.000000000000</t>
        </is>
      </c>
      <c r="M1780" t="inlineStr"/>
    </row>
    <row r="1781">
      <c r="A1781" t="inlineStr">
        <is>
          <t>06/25/2026</t>
        </is>
      </c>
      <c r="B1781" t="inlineStr">
        <is>
          <t>STYL</t>
        </is>
      </c>
      <c r="C1781" s="1" t="inlineStr">
        <is>
          <t>SFIX</t>
        </is>
      </c>
      <c r="D1781" s="1" t="inlineStr">
        <is>
          <t>860897107</t>
        </is>
      </c>
      <c r="E1781" t="inlineStr">
        <is>
          <t>Stitch Fix Inc</t>
        </is>
      </c>
      <c r="F1781" t="inlineStr">
        <is>
          <t>1399.00000000</t>
        </is>
      </c>
      <c r="G1781" t="inlineStr">
        <is>
          <t>4.410000</t>
        </is>
      </c>
      <c r="H1781" t="inlineStr">
        <is>
          <t>6169.59</t>
        </is>
      </c>
      <c r="I1781" t="inlineStr">
        <is>
          <t>0.52%</t>
        </is>
      </c>
      <c r="J1781" t="inlineStr">
        <is>
          <t>1188504.00</t>
        </is>
      </c>
      <c r="K1781" t="inlineStr">
        <is>
          <t>45000</t>
        </is>
      </c>
      <c r="L1781" t="inlineStr">
        <is>
          <t>9.000000000000</t>
        </is>
      </c>
      <c r="M1781" t="inlineStr"/>
    </row>
    <row r="1782">
      <c r="A1782" t="inlineStr">
        <is>
          <t>06/25/2026</t>
        </is>
      </c>
      <c r="B1782" t="inlineStr">
        <is>
          <t>STYL</t>
        </is>
      </c>
      <c r="C1782" s="1" t="inlineStr">
        <is>
          <t>SHOO</t>
        </is>
      </c>
      <c r="D1782" s="1" t="inlineStr">
        <is>
          <t>556269108</t>
        </is>
      </c>
      <c r="E1782" t="inlineStr">
        <is>
          <t>Steven Madden Ltd</t>
        </is>
      </c>
      <c r="F1782" t="inlineStr">
        <is>
          <t>504.00000000</t>
        </is>
      </c>
      <c r="G1782" t="inlineStr">
        <is>
          <t>42.290000</t>
        </is>
      </c>
      <c r="H1782" t="inlineStr">
        <is>
          <t>21314.16</t>
        </is>
      </c>
      <c r="I1782" t="inlineStr">
        <is>
          <t>1.79%</t>
        </is>
      </c>
      <c r="J1782" t="inlineStr">
        <is>
          <t>1188504.00</t>
        </is>
      </c>
      <c r="K1782" t="inlineStr">
        <is>
          <t>45000</t>
        </is>
      </c>
      <c r="L1782" t="inlineStr">
        <is>
          <t>9.000000000000</t>
        </is>
      </c>
      <c r="M1782" t="inlineStr"/>
    </row>
    <row r="1783">
      <c r="A1783" t="inlineStr">
        <is>
          <t>06/25/2026</t>
        </is>
      </c>
      <c r="B1783" t="inlineStr">
        <is>
          <t>STYL</t>
        </is>
      </c>
      <c r="C1783" s="1" t="inlineStr">
        <is>
          <t>TDUP</t>
        </is>
      </c>
      <c r="D1783" s="1" t="inlineStr">
        <is>
          <t>88556E102</t>
        </is>
      </c>
      <c r="E1783" t="inlineStr">
        <is>
          <t>ThredUp Inc</t>
        </is>
      </c>
      <c r="F1783" t="inlineStr">
        <is>
          <t>1620.00000000</t>
        </is>
      </c>
      <c r="G1783" t="inlineStr">
        <is>
          <t>6.540000</t>
        </is>
      </c>
      <c r="H1783" t="inlineStr">
        <is>
          <t>10594.80</t>
        </is>
      </c>
      <c r="I1783" t="inlineStr">
        <is>
          <t>0.89%</t>
        </is>
      </c>
      <c r="J1783" t="inlineStr">
        <is>
          <t>1188504.00</t>
        </is>
      </c>
      <c r="K1783" t="inlineStr">
        <is>
          <t>45000</t>
        </is>
      </c>
      <c r="L1783" t="inlineStr">
        <is>
          <t>9.000000000000</t>
        </is>
      </c>
      <c r="M1783" t="inlineStr"/>
    </row>
    <row r="1784">
      <c r="A1784" t="inlineStr">
        <is>
          <t>06/25/2026</t>
        </is>
      </c>
      <c r="B1784" t="inlineStr">
        <is>
          <t>STYL</t>
        </is>
      </c>
      <c r="C1784" s="1" t="inlineStr">
        <is>
          <t>TPR</t>
        </is>
      </c>
      <c r="D1784" s="1" t="inlineStr">
        <is>
          <t>876030107</t>
        </is>
      </c>
      <c r="E1784" t="inlineStr">
        <is>
          <t>Tapestry Inc</t>
        </is>
      </c>
      <c r="F1784" t="inlineStr">
        <is>
          <t>378.00000000</t>
        </is>
      </c>
      <c r="G1784" t="inlineStr">
        <is>
          <t>149.750000</t>
        </is>
      </c>
      <c r="H1784" t="inlineStr">
        <is>
          <t>56605.50</t>
        </is>
      </c>
      <c r="I1784" t="inlineStr">
        <is>
          <t>4.76%</t>
        </is>
      </c>
      <c r="J1784" t="inlineStr">
        <is>
          <t>1188504.00</t>
        </is>
      </c>
      <c r="K1784" t="inlineStr">
        <is>
          <t>45000</t>
        </is>
      </c>
      <c r="L1784" t="inlineStr">
        <is>
          <t>9.000000000000</t>
        </is>
      </c>
      <c r="M1784" t="inlineStr"/>
    </row>
    <row r="1785">
      <c r="A1785" t="inlineStr">
        <is>
          <t>06/25/2026</t>
        </is>
      </c>
      <c r="B1785" t="inlineStr">
        <is>
          <t>STYL</t>
        </is>
      </c>
      <c r="C1785" s="1" t="inlineStr">
        <is>
          <t>UAA</t>
        </is>
      </c>
      <c r="D1785" s="1" t="inlineStr">
        <is>
          <t>904311107</t>
        </is>
      </c>
      <c r="E1785" t="inlineStr">
        <is>
          <t>Under Armour Inc</t>
        </is>
      </c>
      <c r="F1785" t="inlineStr">
        <is>
          <t>2088.00000000</t>
        </is>
      </c>
      <c r="G1785" t="inlineStr">
        <is>
          <t>6.060000</t>
        </is>
      </c>
      <c r="H1785" t="inlineStr">
        <is>
          <t>12653.28</t>
        </is>
      </c>
      <c r="I1785" t="inlineStr">
        <is>
          <t>1.06%</t>
        </is>
      </c>
      <c r="J1785" t="inlineStr">
        <is>
          <t>1188504.00</t>
        </is>
      </c>
      <c r="K1785" t="inlineStr">
        <is>
          <t>45000</t>
        </is>
      </c>
      <c r="L1785" t="inlineStr">
        <is>
          <t>9.000000000000</t>
        </is>
      </c>
      <c r="M1785" t="inlineStr"/>
    </row>
    <row r="1786">
      <c r="A1786" t="inlineStr">
        <is>
          <t>06/25/2026</t>
        </is>
      </c>
      <c r="B1786" t="inlineStr">
        <is>
          <t>STYL</t>
        </is>
      </c>
      <c r="C1786" s="1" t="inlineStr">
        <is>
          <t>URBN</t>
        </is>
      </c>
      <c r="D1786" s="1" t="inlineStr">
        <is>
          <t>917047102</t>
        </is>
      </c>
      <c r="E1786" t="inlineStr">
        <is>
          <t>Urban Outfitters Inc</t>
        </is>
      </c>
      <c r="F1786" t="inlineStr">
        <is>
          <t>351.00000000</t>
        </is>
      </c>
      <c r="G1786" t="inlineStr">
        <is>
          <t>72.320000</t>
        </is>
      </c>
      <c r="H1786" t="inlineStr">
        <is>
          <t>25384.32</t>
        </is>
      </c>
      <c r="I1786" t="inlineStr">
        <is>
          <t>2.14%</t>
        </is>
      </c>
      <c r="J1786" t="inlineStr">
        <is>
          <t>1188504.00</t>
        </is>
      </c>
      <c r="K1786" t="inlineStr">
        <is>
          <t>45000</t>
        </is>
      </c>
      <c r="L1786" t="inlineStr">
        <is>
          <t>9.000000000000</t>
        </is>
      </c>
      <c r="M1786" t="inlineStr"/>
    </row>
    <row r="1787">
      <c r="A1787" t="inlineStr">
        <is>
          <t>06/25/2026</t>
        </is>
      </c>
      <c r="B1787" t="inlineStr">
        <is>
          <t>STYL</t>
        </is>
      </c>
      <c r="C1787" s="1" t="inlineStr">
        <is>
          <t>VFC</t>
        </is>
      </c>
      <c r="D1787" s="1" t="inlineStr">
        <is>
          <t>918204108</t>
        </is>
      </c>
      <c r="E1787" t="inlineStr">
        <is>
          <t>VF Corp</t>
        </is>
      </c>
      <c r="F1787" t="inlineStr">
        <is>
          <t>1683.00000000</t>
        </is>
      </c>
      <c r="G1787" t="inlineStr">
        <is>
          <t>17.220000</t>
        </is>
      </c>
      <c r="H1787" t="inlineStr">
        <is>
          <t>28981.26</t>
        </is>
      </c>
      <c r="I1787" t="inlineStr">
        <is>
          <t>2.44%</t>
        </is>
      </c>
      <c r="J1787" t="inlineStr">
        <is>
          <t>1188504.00</t>
        </is>
      </c>
      <c r="K1787" t="inlineStr">
        <is>
          <t>45000</t>
        </is>
      </c>
      <c r="L1787" t="inlineStr">
        <is>
          <t>9.000000000000</t>
        </is>
      </c>
      <c r="M1787" t="inlineStr"/>
    </row>
    <row r="1788">
      <c r="A1788" t="inlineStr">
        <is>
          <t>06/25/2026</t>
        </is>
      </c>
      <c r="B1788" t="inlineStr">
        <is>
          <t>STYL</t>
        </is>
      </c>
      <c r="C1788" s="1" t="inlineStr">
        <is>
          <t>VSXY</t>
        </is>
      </c>
      <c r="D1788" s="1" t="inlineStr">
        <is>
          <t>926400102</t>
        </is>
      </c>
      <c r="E1788" t="inlineStr">
        <is>
          <t>Victoria's Secret &amp; Co</t>
        </is>
      </c>
      <c r="F1788" t="inlineStr">
        <is>
          <t>468.00000000</t>
        </is>
      </c>
      <c r="G1788" t="inlineStr">
        <is>
          <t>80.640000</t>
        </is>
      </c>
      <c r="H1788" t="inlineStr">
        <is>
          <t>37739.52</t>
        </is>
      </c>
      <c r="I1788" t="inlineStr">
        <is>
          <t>3.18%</t>
        </is>
      </c>
      <c r="J1788" t="inlineStr">
        <is>
          <t>1188504.00</t>
        </is>
      </c>
      <c r="K1788" t="inlineStr">
        <is>
          <t>45000</t>
        </is>
      </c>
      <c r="L1788" t="inlineStr">
        <is>
          <t>9.000000000000</t>
        </is>
      </c>
      <c r="M1788" t="inlineStr"/>
    </row>
    <row r="1789">
      <c r="A1789" t="inlineStr">
        <is>
          <t>06/25/2026</t>
        </is>
      </c>
      <c r="B1789" t="inlineStr">
        <is>
          <t>STYL</t>
        </is>
      </c>
      <c r="C1789" s="1" t="inlineStr">
        <is>
          <t>WRBY</t>
        </is>
      </c>
      <c r="D1789" s="1" t="inlineStr">
        <is>
          <t>93403J106</t>
        </is>
      </c>
      <c r="E1789" t="inlineStr">
        <is>
          <t>Warby Parker Inc</t>
        </is>
      </c>
      <c r="F1789" t="inlineStr">
        <is>
          <t>801.00000000</t>
        </is>
      </c>
      <c r="G1789" t="inlineStr">
        <is>
          <t>26.850000</t>
        </is>
      </c>
      <c r="H1789" t="inlineStr">
        <is>
          <t>21506.85</t>
        </is>
      </c>
      <c r="I1789" t="inlineStr">
        <is>
          <t>1.81%</t>
        </is>
      </c>
      <c r="J1789" t="inlineStr">
        <is>
          <t>1188504.00</t>
        </is>
      </c>
      <c r="K1789" t="inlineStr">
        <is>
          <t>45000</t>
        </is>
      </c>
      <c r="L1789" t="inlineStr">
        <is>
          <t>9.000000000000</t>
        </is>
      </c>
      <c r="M1789" t="inlineStr"/>
    </row>
    <row r="1790">
      <c r="A1790" t="inlineStr">
        <is>
          <t>06/25/2026</t>
        </is>
      </c>
      <c r="B1790" t="inlineStr">
        <is>
          <t>STYL</t>
        </is>
      </c>
      <c r="C1790" s="1" t="inlineStr">
        <is>
          <t>WWW</t>
        </is>
      </c>
      <c r="D1790" s="1" t="inlineStr">
        <is>
          <t>978097103</t>
        </is>
      </c>
      <c r="E1790" t="inlineStr">
        <is>
          <t>Wolverine World Wide Inc</t>
        </is>
      </c>
      <c r="F1790" t="inlineStr">
        <is>
          <t>792.00000000</t>
        </is>
      </c>
      <c r="G1790" t="inlineStr">
        <is>
          <t>17.540000</t>
        </is>
      </c>
      <c r="H1790" t="inlineStr">
        <is>
          <t>13891.68</t>
        </is>
      </c>
      <c r="I1790" t="inlineStr">
        <is>
          <t>1.17%</t>
        </is>
      </c>
      <c r="J1790" t="inlineStr">
        <is>
          <t>1188504.00</t>
        </is>
      </c>
      <c r="K1790" t="inlineStr">
        <is>
          <t>45000</t>
        </is>
      </c>
      <c r="L1790" t="inlineStr">
        <is>
          <t>9.000000000000</t>
        </is>
      </c>
      <c r="M1790" t="inlineStr"/>
    </row>
    <row r="1791">
      <c r="A1791" t="inlineStr">
        <is>
          <t>06/25/2026</t>
        </is>
      </c>
      <c r="B1791" t="inlineStr">
        <is>
          <t>STYL</t>
        </is>
      </c>
      <c r="C1791" s="1" t="inlineStr">
        <is>
          <t>YETI</t>
        </is>
      </c>
      <c r="D1791" s="1" t="inlineStr">
        <is>
          <t>98585X104</t>
        </is>
      </c>
      <c r="E1791" t="inlineStr">
        <is>
          <t>YETI Holdings Inc</t>
        </is>
      </c>
      <c r="F1791" t="inlineStr">
        <is>
          <t>801.00000000</t>
        </is>
      </c>
      <c r="G1791" t="inlineStr">
        <is>
          <t>49.640000</t>
        </is>
      </c>
      <c r="H1791" t="inlineStr">
        <is>
          <t>39761.64</t>
        </is>
      </c>
      <c r="I1791" t="inlineStr">
        <is>
          <t>3.35%</t>
        </is>
      </c>
      <c r="J1791" t="inlineStr">
        <is>
          <t>1188504.00</t>
        </is>
      </c>
      <c r="K1791" t="inlineStr">
        <is>
          <t>45000</t>
        </is>
      </c>
      <c r="L1791" t="inlineStr">
        <is>
          <t>9.000000000000</t>
        </is>
      </c>
      <c r="M1791" t="inlineStr"/>
    </row>
    <row r="1792">
      <c r="A1792" t="inlineStr">
        <is>
          <t>06/25/2026</t>
        </is>
      </c>
      <c r="B1792" t="inlineStr">
        <is>
          <t>STYL</t>
        </is>
      </c>
      <c r="C1792" s="1" t="inlineStr">
        <is>
          <t>ZGN</t>
        </is>
      </c>
      <c r="D1792" s="1" t="inlineStr">
        <is>
          <t>N30577105</t>
        </is>
      </c>
      <c r="E1792" t="inlineStr">
        <is>
          <t>Ermenegildo Zegna NV</t>
        </is>
      </c>
      <c r="F1792" t="inlineStr">
        <is>
          <t>882.00000000</t>
        </is>
      </c>
      <c r="G1792" t="inlineStr">
        <is>
          <t>13.110000</t>
        </is>
      </c>
      <c r="H1792" t="inlineStr">
        <is>
          <t>11563.02</t>
        </is>
      </c>
      <c r="I1792" t="inlineStr">
        <is>
          <t>0.97%</t>
        </is>
      </c>
      <c r="J1792" t="inlineStr">
        <is>
          <t>1188504.00</t>
        </is>
      </c>
      <c r="K1792" t="inlineStr">
        <is>
          <t>45000</t>
        </is>
      </c>
      <c r="L1792" t="inlineStr">
        <is>
          <t>9.000000000000</t>
        </is>
      </c>
      <c r="M1792" t="inlineStr"/>
    </row>
    <row r="1793">
      <c r="A1793" t="inlineStr">
        <is>
          <t>06/25/2026</t>
        </is>
      </c>
      <c r="B1793" t="inlineStr">
        <is>
          <t>STYL</t>
        </is>
      </c>
      <c r="C1793" s="1" t="inlineStr">
        <is>
          <t>ZUMZ</t>
        </is>
      </c>
      <c r="D1793" s="1" t="inlineStr">
        <is>
          <t>989817101</t>
        </is>
      </c>
      <c r="E1793" t="inlineStr">
        <is>
          <t>Zumiez Inc</t>
        </is>
      </c>
      <c r="F1793" t="inlineStr">
        <is>
          <t>261.00000000</t>
        </is>
      </c>
      <c r="G1793" t="inlineStr">
        <is>
          <t>19.110000</t>
        </is>
      </c>
      <c r="H1793" t="inlineStr">
        <is>
          <t>4987.71</t>
        </is>
      </c>
      <c r="I1793" t="inlineStr">
        <is>
          <t>0.42%</t>
        </is>
      </c>
      <c r="J1793" t="inlineStr">
        <is>
          <t>1188504.00</t>
        </is>
      </c>
      <c r="K1793" t="inlineStr">
        <is>
          <t>45000</t>
        </is>
      </c>
      <c r="L1793" t="inlineStr">
        <is>
          <t>9.000000000000</t>
        </is>
      </c>
      <c r="M1793" t="inlineStr"/>
    </row>
    <row r="1794">
      <c r="A1794" t="inlineStr">
        <is>
          <t>06/25/2026</t>
        </is>
      </c>
      <c r="B1794" t="inlineStr">
        <is>
          <t>STYL</t>
        </is>
      </c>
      <c r="C1794" s="1" t="inlineStr">
        <is>
          <t>Cash&amp;Other</t>
        </is>
      </c>
      <c r="D1794" s="1" t="inlineStr">
        <is>
          <t>Cash&amp;Other</t>
        </is>
      </c>
      <c r="E1794" t="inlineStr">
        <is>
          <t>Cash &amp; Other</t>
        </is>
      </c>
      <c r="F1794" t="inlineStr">
        <is>
          <t>-8246.10000000</t>
        </is>
      </c>
      <c r="G1794" t="inlineStr">
        <is>
          <t>1.000000</t>
        </is>
      </c>
      <c r="H1794" t="inlineStr">
        <is>
          <t>-8246.10</t>
        </is>
      </c>
      <c r="I1794" t="inlineStr">
        <is>
          <t>-0.69%</t>
        </is>
      </c>
      <c r="J1794" t="inlineStr">
        <is>
          <t>1188504.00</t>
        </is>
      </c>
      <c r="K1794" t="inlineStr">
        <is>
          <t>45000</t>
        </is>
      </c>
      <c r="L1794" t="inlineStr">
        <is>
          <t>9.000000000000</t>
        </is>
      </c>
      <c r="M1794" t="inlineStr">
        <is>
          <t>Y</t>
        </is>
      </c>
    </row>
    <row r="1795">
      <c r="A1795" t="inlineStr">
        <is>
          <t>06/25/2026</t>
        </is>
      </c>
      <c r="B1795" t="inlineStr">
        <is>
          <t>TAJX</t>
        </is>
      </c>
      <c r="C1795" s="1" t="inlineStr">
        <is>
          <t>46429B598-TRS-07/05/27-L-MREX</t>
        </is>
      </c>
      <c r="D1795" s="1" t="inlineStr">
        <is>
          <t>46429B598-TRS-07/05/27-L-MREX</t>
        </is>
      </c>
      <c r="E1795" t="inlineStr">
        <is>
          <t>ISHARES MSCI INDIA ETF-SWAP-MREX-L</t>
        </is>
      </c>
      <c r="F1795" t="inlineStr">
        <is>
          <t>26627.00000000</t>
        </is>
      </c>
      <c r="G1795" t="inlineStr">
        <is>
          <t>49.630000</t>
        </is>
      </c>
      <c r="H1795" t="inlineStr">
        <is>
          <t>1321498.01</t>
        </is>
      </c>
      <c r="I1795" t="inlineStr">
        <is>
          <t>199.81%</t>
        </is>
      </c>
      <c r="J1795" t="inlineStr">
        <is>
          <t>661380.00</t>
        </is>
      </c>
      <c r="K1795" t="inlineStr">
        <is>
          <t>25000</t>
        </is>
      </c>
      <c r="L1795" t="inlineStr">
        <is>
          <t>5.000000000000</t>
        </is>
      </c>
      <c r="M1795" t="inlineStr"/>
    </row>
    <row r="1796">
      <c r="A1796" t="inlineStr">
        <is>
          <t>06/25/2026</t>
        </is>
      </c>
      <c r="B1796" t="inlineStr">
        <is>
          <t>TAJX</t>
        </is>
      </c>
      <c r="C1796" s="1" t="inlineStr">
        <is>
          <t>FGXXX</t>
        </is>
      </c>
      <c r="D1796" s="1" t="inlineStr">
        <is>
          <t>31846V336</t>
        </is>
      </c>
      <c r="E1796" t="inlineStr">
        <is>
          <t>First American Government Obligations Fund 12/01/2031</t>
        </is>
      </c>
      <c r="F1796" t="inlineStr">
        <is>
          <t>137335.96000000</t>
        </is>
      </c>
      <c r="G1796" t="inlineStr">
        <is>
          <t>100.000000</t>
        </is>
      </c>
      <c r="H1796" t="inlineStr">
        <is>
          <t>137335.96</t>
        </is>
      </c>
      <c r="I1796" t="inlineStr">
        <is>
          <t>20.77%</t>
        </is>
      </c>
      <c r="J1796" t="inlineStr">
        <is>
          <t>661380.00</t>
        </is>
      </c>
      <c r="K1796" t="inlineStr">
        <is>
          <t>25000</t>
        </is>
      </c>
      <c r="L1796" t="inlineStr">
        <is>
          <t>5.000000000000</t>
        </is>
      </c>
      <c r="M1796" t="inlineStr">
        <is>
          <t>Y</t>
        </is>
      </c>
    </row>
    <row r="1797">
      <c r="A1797" t="inlineStr">
        <is>
          <t>06/25/2026</t>
        </is>
      </c>
      <c r="B1797" t="inlineStr">
        <is>
          <t>TAJX</t>
        </is>
      </c>
      <c r="C1797" s="1" t="inlineStr">
        <is>
          <t>Cash&amp;Other</t>
        </is>
      </c>
      <c r="D1797" s="1" t="inlineStr">
        <is>
          <t>Cash&amp;Other</t>
        </is>
      </c>
      <c r="E1797" t="inlineStr">
        <is>
          <t>Cash &amp; Other</t>
        </is>
      </c>
      <c r="F1797" t="inlineStr">
        <is>
          <t>-797585.04000000</t>
        </is>
      </c>
      <c r="G1797" t="inlineStr">
        <is>
          <t>1.000000</t>
        </is>
      </c>
      <c r="H1797" t="inlineStr">
        <is>
          <t>-797585.04</t>
        </is>
      </c>
      <c r="I1797" t="inlineStr">
        <is>
          <t>-120.59%</t>
        </is>
      </c>
      <c r="J1797" t="inlineStr">
        <is>
          <t>661380.00</t>
        </is>
      </c>
      <c r="K1797" t="inlineStr">
        <is>
          <t>25000</t>
        </is>
      </c>
      <c r="L1797" t="inlineStr">
        <is>
          <t>5.000000000000</t>
        </is>
      </c>
      <c r="M1797" t="inlineStr">
        <is>
          <t>Y</t>
        </is>
      </c>
    </row>
    <row r="1798">
      <c r="A1798" t="inlineStr">
        <is>
          <t>06/25/2026</t>
        </is>
      </c>
      <c r="B1798" t="inlineStr">
        <is>
          <t>TPLX</t>
        </is>
      </c>
      <c r="C1798" s="1" t="inlineStr">
        <is>
          <t>88262P102-TRS-12/01/27-L-CANT</t>
        </is>
      </c>
      <c r="D1798" s="1" t="inlineStr">
        <is>
          <t>88262P102-TRS-12/01/27-L-CANT</t>
        </is>
      </c>
      <c r="E1798" t="inlineStr">
        <is>
          <t>TEXAS PACIFIC LAND CORPORATION-SWAP-CANT-L</t>
        </is>
      </c>
      <c r="F1798" t="inlineStr">
        <is>
          <t>1363.00000000</t>
        </is>
      </c>
      <c r="G1798" t="inlineStr">
        <is>
          <t>377.560000</t>
        </is>
      </c>
      <c r="H1798" t="inlineStr">
        <is>
          <t>514614.28</t>
        </is>
      </c>
      <c r="I1798" t="inlineStr">
        <is>
          <t>197.52%</t>
        </is>
      </c>
      <c r="J1798" t="inlineStr">
        <is>
          <t>260536.00</t>
        </is>
      </c>
      <c r="K1798" t="inlineStr">
        <is>
          <t>10000</t>
        </is>
      </c>
      <c r="L1798" t="inlineStr">
        <is>
          <t>2.000000000000</t>
        </is>
      </c>
      <c r="M1798" t="inlineStr"/>
    </row>
    <row r="1799">
      <c r="A1799" t="inlineStr">
        <is>
          <t>06/25/2026</t>
        </is>
      </c>
      <c r="B1799" t="inlineStr">
        <is>
          <t>TPLX</t>
        </is>
      </c>
      <c r="C1799" s="1" t="inlineStr">
        <is>
          <t>FGXXX</t>
        </is>
      </c>
      <c r="D1799" s="1" t="inlineStr">
        <is>
          <t>31846V336</t>
        </is>
      </c>
      <c r="E1799" t="inlineStr">
        <is>
          <t>First American Government Obligations Fund 12/01/2031</t>
        </is>
      </c>
      <c r="F1799" t="inlineStr">
        <is>
          <t>22771.00000000</t>
        </is>
      </c>
      <c r="G1799" t="inlineStr">
        <is>
          <t>100.000000</t>
        </is>
      </c>
      <c r="H1799" t="inlineStr">
        <is>
          <t>22771.00</t>
        </is>
      </c>
      <c r="I1799" t="inlineStr">
        <is>
          <t>8.74%</t>
        </is>
      </c>
      <c r="J1799" t="inlineStr">
        <is>
          <t>260536.00</t>
        </is>
      </c>
      <c r="K1799" t="inlineStr">
        <is>
          <t>10000</t>
        </is>
      </c>
      <c r="L1799" t="inlineStr">
        <is>
          <t>2.000000000000</t>
        </is>
      </c>
      <c r="M1799" t="inlineStr">
        <is>
          <t>Y</t>
        </is>
      </c>
    </row>
    <row r="1800">
      <c r="A1800" t="inlineStr">
        <is>
          <t>06/25/2026</t>
        </is>
      </c>
      <c r="B1800" t="inlineStr">
        <is>
          <t>TPLX</t>
        </is>
      </c>
      <c r="C1800" s="1" t="inlineStr">
        <is>
          <t>Cash&amp;Other</t>
        </is>
      </c>
      <c r="D1800" s="1" t="inlineStr">
        <is>
          <t>Cash&amp;Other</t>
        </is>
      </c>
      <c r="E1800" t="inlineStr">
        <is>
          <t>Cash &amp; Other</t>
        </is>
      </c>
      <c r="F1800" t="inlineStr">
        <is>
          <t>-276929.29000000</t>
        </is>
      </c>
      <c r="G1800" t="inlineStr">
        <is>
          <t>1.000000</t>
        </is>
      </c>
      <c r="H1800" t="inlineStr">
        <is>
          <t>-276929.29</t>
        </is>
      </c>
      <c r="I1800" t="inlineStr">
        <is>
          <t>-106.29%</t>
        </is>
      </c>
      <c r="J1800" t="inlineStr">
        <is>
          <t>260536.00</t>
        </is>
      </c>
      <c r="K1800" t="inlineStr">
        <is>
          <t>10000</t>
        </is>
      </c>
      <c r="L1800" t="inlineStr">
        <is>
          <t>2.000000000000</t>
        </is>
      </c>
      <c r="M1800" t="inlineStr">
        <is>
          <t>Y</t>
        </is>
      </c>
    </row>
    <row r="1801">
      <c r="A1801" t="inlineStr">
        <is>
          <t>06/25/2026</t>
        </is>
      </c>
      <c r="B1801" t="inlineStr">
        <is>
          <t>UMCX</t>
        </is>
      </c>
      <c r="C1801" s="1" t="inlineStr">
        <is>
          <t>910873405-TRS-12/01/27-L-CANT</t>
        </is>
      </c>
      <c r="D1801" s="1" t="inlineStr">
        <is>
          <t>910873405-TRS-12/01/27-L-CANT</t>
        </is>
      </c>
      <c r="E1801" t="inlineStr">
        <is>
          <t>UNITED MICROELECTRONICS CORPORATION-SWAP-CANT-L</t>
        </is>
      </c>
      <c r="F1801" t="inlineStr">
        <is>
          <t>20072.00000000</t>
        </is>
      </c>
      <c r="G1801" t="inlineStr">
        <is>
          <t>28.010000</t>
        </is>
      </c>
      <c r="H1801" t="inlineStr">
        <is>
          <t>562216.72</t>
        </is>
      </c>
      <c r="I1801" t="inlineStr">
        <is>
          <t>197.70%</t>
        </is>
      </c>
      <c r="J1801" t="inlineStr">
        <is>
          <t>284375.00</t>
        </is>
      </c>
      <c r="K1801" t="inlineStr">
        <is>
          <t>10000</t>
        </is>
      </c>
      <c r="L1801" t="inlineStr">
        <is>
          <t>2.000000000000</t>
        </is>
      </c>
      <c r="M1801" t="inlineStr"/>
    </row>
    <row r="1802">
      <c r="A1802" t="inlineStr">
        <is>
          <t>06/25/2026</t>
        </is>
      </c>
      <c r="B1802" t="inlineStr">
        <is>
          <t>UMCX</t>
        </is>
      </c>
      <c r="C1802" s="1" t="inlineStr">
        <is>
          <t>FGXXX</t>
        </is>
      </c>
      <c r="D1802" s="1" t="inlineStr">
        <is>
          <t>31846V336</t>
        </is>
      </c>
      <c r="E1802" t="inlineStr">
        <is>
          <t>First American Government Obligations Fund 12/01/2031</t>
        </is>
      </c>
      <c r="F1802" t="inlineStr">
        <is>
          <t>26730.00000000</t>
        </is>
      </c>
      <c r="G1802" t="inlineStr">
        <is>
          <t>100.000000</t>
        </is>
      </c>
      <c r="H1802" t="inlineStr">
        <is>
          <t>26730.00</t>
        </is>
      </c>
      <c r="I1802" t="inlineStr">
        <is>
          <t>9.40%</t>
        </is>
      </c>
      <c r="J1802" t="inlineStr">
        <is>
          <t>284375.00</t>
        </is>
      </c>
      <c r="K1802" t="inlineStr">
        <is>
          <t>10000</t>
        </is>
      </c>
      <c r="L1802" t="inlineStr">
        <is>
          <t>2.000000000000</t>
        </is>
      </c>
      <c r="M1802" t="inlineStr">
        <is>
          <t>Y</t>
        </is>
      </c>
    </row>
    <row r="1803">
      <c r="A1803" t="inlineStr">
        <is>
          <t>06/25/2026</t>
        </is>
      </c>
      <c r="B1803" t="inlineStr">
        <is>
          <t>UMCX</t>
        </is>
      </c>
      <c r="C1803" s="1" t="inlineStr">
        <is>
          <t>Cash&amp;Other</t>
        </is>
      </c>
      <c r="D1803" s="1" t="inlineStr">
        <is>
          <t>Cash&amp;Other</t>
        </is>
      </c>
      <c r="E1803" t="inlineStr">
        <is>
          <t>Cash &amp; Other</t>
        </is>
      </c>
      <c r="F1803" t="inlineStr">
        <is>
          <t>-304655.81000000</t>
        </is>
      </c>
      <c r="G1803" t="inlineStr">
        <is>
          <t>1.000000</t>
        </is>
      </c>
      <c r="H1803" t="inlineStr">
        <is>
          <t>-304655.81</t>
        </is>
      </c>
      <c r="I1803" t="inlineStr">
        <is>
          <t>-107.13%</t>
        </is>
      </c>
      <c r="J1803" t="inlineStr">
        <is>
          <t>284375.00</t>
        </is>
      </c>
      <c r="K1803" t="inlineStr">
        <is>
          <t>10000</t>
        </is>
      </c>
      <c r="L1803" t="inlineStr">
        <is>
          <t>2.000000000000</t>
        </is>
      </c>
      <c r="M1803" t="inlineStr">
        <is>
          <t>Y</t>
        </is>
      </c>
    </row>
    <row r="1804">
      <c r="A1804" t="inlineStr">
        <is>
          <t>06/25/2026</t>
        </is>
      </c>
      <c r="B1804" t="inlineStr">
        <is>
          <t>USX</t>
        </is>
      </c>
      <c r="C1804" s="1" t="inlineStr">
        <is>
          <t>922908769-TRS-07/07/27-L-CLST</t>
        </is>
      </c>
      <c r="D1804" s="1" t="inlineStr">
        <is>
          <t>922908769-TRS-07/07/27-L-CLST</t>
        </is>
      </c>
      <c r="E1804" t="inlineStr">
        <is>
          <t>VANGUARD TOTAL STOCK MARKET INDEX FUND ETF SHARES-SWAP-CLST-L</t>
        </is>
      </c>
      <c r="F1804" t="inlineStr">
        <is>
          <t>2574.00000000</t>
        </is>
      </c>
      <c r="G1804" t="inlineStr">
        <is>
          <t>363.650000</t>
        </is>
      </c>
      <c r="H1804" t="inlineStr">
        <is>
          <t>936035.10</t>
        </is>
      </c>
      <c r="I1804" t="inlineStr">
        <is>
          <t>199.91%</t>
        </is>
      </c>
      <c r="J1804" t="inlineStr">
        <is>
          <t>468224.00</t>
        </is>
      </c>
      <c r="K1804" t="inlineStr">
        <is>
          <t>20000</t>
        </is>
      </c>
      <c r="L1804" t="inlineStr">
        <is>
          <t>4.000000000000</t>
        </is>
      </c>
      <c r="M1804" t="inlineStr"/>
    </row>
    <row r="1805">
      <c r="A1805" t="inlineStr">
        <is>
          <t>06/25/2026</t>
        </is>
      </c>
      <c r="B1805" t="inlineStr">
        <is>
          <t>USX</t>
        </is>
      </c>
      <c r="C1805" s="1" t="inlineStr">
        <is>
          <t>FGXXX</t>
        </is>
      </c>
      <c r="D1805" s="1" t="inlineStr">
        <is>
          <t>31846V336</t>
        </is>
      </c>
      <c r="E1805" t="inlineStr">
        <is>
          <t>First American Government Obligations Fund 12/01/2031</t>
        </is>
      </c>
      <c r="F1805" t="inlineStr">
        <is>
          <t>186080.85000000</t>
        </is>
      </c>
      <c r="G1805" t="inlineStr">
        <is>
          <t>100.000000</t>
        </is>
      </c>
      <c r="H1805" t="inlineStr">
        <is>
          <t>186080.85</t>
        </is>
      </c>
      <c r="I1805" t="inlineStr">
        <is>
          <t>39.74%</t>
        </is>
      </c>
      <c r="J1805" t="inlineStr">
        <is>
          <t>468224.00</t>
        </is>
      </c>
      <c r="K1805" t="inlineStr">
        <is>
          <t>20000</t>
        </is>
      </c>
      <c r="L1805" t="inlineStr">
        <is>
          <t>4.000000000000</t>
        </is>
      </c>
      <c r="M1805" t="inlineStr">
        <is>
          <t>Y</t>
        </is>
      </c>
    </row>
    <row r="1806">
      <c r="A1806" t="inlineStr">
        <is>
          <t>06/25/2026</t>
        </is>
      </c>
      <c r="B1806" t="inlineStr">
        <is>
          <t>USX</t>
        </is>
      </c>
      <c r="C1806" s="1" t="inlineStr">
        <is>
          <t>Cash&amp;Other</t>
        </is>
      </c>
      <c r="D1806" s="1" t="inlineStr">
        <is>
          <t>Cash&amp;Other</t>
        </is>
      </c>
      <c r="E1806" t="inlineStr">
        <is>
          <t>Cash &amp; Other</t>
        </is>
      </c>
      <c r="F1806" t="inlineStr">
        <is>
          <t>-653982.20000000</t>
        </is>
      </c>
      <c r="G1806" t="inlineStr">
        <is>
          <t>1.000000</t>
        </is>
      </c>
      <c r="H1806" t="inlineStr">
        <is>
          <t>-653982.20</t>
        </is>
      </c>
      <c r="I1806" t="inlineStr">
        <is>
          <t>-139.67%</t>
        </is>
      </c>
      <c r="J1806" t="inlineStr">
        <is>
          <t>468224.00</t>
        </is>
      </c>
      <c r="K1806" t="inlineStr">
        <is>
          <t>20000</t>
        </is>
      </c>
      <c r="L1806" t="inlineStr">
        <is>
          <t>4.000000000000</t>
        </is>
      </c>
      <c r="M1806" t="inlineStr">
        <is>
          <t>Y</t>
        </is>
      </c>
    </row>
    <row r="1807">
      <c r="A1807" t="inlineStr">
        <is>
          <t>06/25/2026</t>
        </is>
      </c>
      <c r="B1807" t="inlineStr">
        <is>
          <t>VBX</t>
        </is>
      </c>
      <c r="C1807" s="1" t="inlineStr">
        <is>
          <t>922908751-TRS-07/05/27-L-MREX</t>
        </is>
      </c>
      <c r="D1807" s="1" t="inlineStr">
        <is>
          <t>922908751-TRS-07/05/27-L-MREX</t>
        </is>
      </c>
      <c r="E1807" t="inlineStr">
        <is>
          <t>VANGUARD SMALL-CAP INDEX FUND ETF SHARES-SWAP-MREX-L</t>
        </is>
      </c>
      <c r="F1807" t="inlineStr">
        <is>
          <t>5890.00000000</t>
        </is>
      </c>
      <c r="G1807" t="inlineStr">
        <is>
          <t>297.230000</t>
        </is>
      </c>
      <c r="H1807" t="inlineStr">
        <is>
          <t>1750684.70</t>
        </is>
      </c>
      <c r="I1807" t="inlineStr">
        <is>
          <t>199.51%</t>
        </is>
      </c>
      <c r="J1807" t="inlineStr">
        <is>
          <t>877471.00</t>
        </is>
      </c>
      <c r="K1807" t="inlineStr">
        <is>
          <t>35000</t>
        </is>
      </c>
      <c r="L1807" t="inlineStr">
        <is>
          <t>7.000000000000</t>
        </is>
      </c>
      <c r="M1807" t="inlineStr"/>
    </row>
    <row r="1808">
      <c r="A1808" t="inlineStr">
        <is>
          <t>06/25/2026</t>
        </is>
      </c>
      <c r="B1808" t="inlineStr">
        <is>
          <t>VBX</t>
        </is>
      </c>
      <c r="C1808" s="1" t="inlineStr">
        <is>
          <t>FGXXX</t>
        </is>
      </c>
      <c r="D1808" s="1" t="inlineStr">
        <is>
          <t>31846V336</t>
        </is>
      </c>
      <c r="E1808" t="inlineStr">
        <is>
          <t>First American Government Obligations Fund 12/01/2031</t>
        </is>
      </c>
      <c r="F1808" t="inlineStr">
        <is>
          <t>178019.23000000</t>
        </is>
      </c>
      <c r="G1808" t="inlineStr">
        <is>
          <t>100.000000</t>
        </is>
      </c>
      <c r="H1808" t="inlineStr">
        <is>
          <t>178019.23</t>
        </is>
      </c>
      <c r="I1808" t="inlineStr">
        <is>
          <t>20.29%</t>
        </is>
      </c>
      <c r="J1808" t="inlineStr">
        <is>
          <t>877471.00</t>
        </is>
      </c>
      <c r="K1808" t="inlineStr">
        <is>
          <t>35000</t>
        </is>
      </c>
      <c r="L1808" t="inlineStr">
        <is>
          <t>7.000000000000</t>
        </is>
      </c>
      <c r="M1808" t="inlineStr">
        <is>
          <t>Y</t>
        </is>
      </c>
    </row>
    <row r="1809">
      <c r="A1809" t="inlineStr">
        <is>
          <t>06/25/2026</t>
        </is>
      </c>
      <c r="B1809" t="inlineStr">
        <is>
          <t>VBX</t>
        </is>
      </c>
      <c r="C1809" s="1" t="inlineStr">
        <is>
          <t>Cash&amp;Other</t>
        </is>
      </c>
      <c r="D1809" s="1" t="inlineStr">
        <is>
          <t>Cash&amp;Other</t>
        </is>
      </c>
      <c r="E1809" t="inlineStr">
        <is>
          <t>Cash &amp; Other</t>
        </is>
      </c>
      <c r="F1809" t="inlineStr">
        <is>
          <t>-1051520.99000000</t>
        </is>
      </c>
      <c r="G1809" t="inlineStr">
        <is>
          <t>1.000000</t>
        </is>
      </c>
      <c r="H1809" t="inlineStr">
        <is>
          <t>-1051520.99</t>
        </is>
      </c>
      <c r="I1809" t="inlineStr">
        <is>
          <t>-119.84%</t>
        </is>
      </c>
      <c r="J1809" t="inlineStr">
        <is>
          <t>877471.00</t>
        </is>
      </c>
      <c r="K1809" t="inlineStr">
        <is>
          <t>35000</t>
        </is>
      </c>
      <c r="L1809" t="inlineStr">
        <is>
          <t>7.000000000000</t>
        </is>
      </c>
      <c r="M1809" t="inlineStr">
        <is>
          <t>Y</t>
        </is>
      </c>
    </row>
    <row r="1810">
      <c r="A1810" t="inlineStr">
        <is>
          <t>06/25/2026</t>
        </is>
      </c>
      <c r="B1810" t="inlineStr">
        <is>
          <t>VOOX</t>
        </is>
      </c>
      <c r="C1810" s="1" t="inlineStr">
        <is>
          <t>922908363-TRS-07/07/27-L-CLST</t>
        </is>
      </c>
      <c r="D1810" s="1" t="inlineStr">
        <is>
          <t>922908363-TRS-07/07/27-L-CLST</t>
        </is>
      </c>
      <c r="E1810" t="inlineStr">
        <is>
          <t>VANGUARD S&amp;P 500 ETF-SWAP-CLST-L</t>
        </is>
      </c>
      <c r="F1810" t="inlineStr">
        <is>
          <t>2061.00000000</t>
        </is>
      </c>
      <c r="G1810" t="inlineStr">
        <is>
          <t>675.690000</t>
        </is>
      </c>
      <c r="H1810" t="inlineStr">
        <is>
          <t>1392597.09</t>
        </is>
      </c>
      <c r="I1810" t="inlineStr">
        <is>
          <t>199.75%</t>
        </is>
      </c>
      <c r="J1810" t="inlineStr">
        <is>
          <t>697164.00</t>
        </is>
      </c>
      <c r="K1810" t="inlineStr">
        <is>
          <t>30000</t>
        </is>
      </c>
      <c r="L1810" t="inlineStr">
        <is>
          <t>6.000000000000</t>
        </is>
      </c>
      <c r="M1810" t="inlineStr"/>
    </row>
    <row r="1811">
      <c r="A1811" t="inlineStr">
        <is>
          <t>06/25/2026</t>
        </is>
      </c>
      <c r="B1811" t="inlineStr">
        <is>
          <t>VOOX</t>
        </is>
      </c>
      <c r="C1811" s="1" t="inlineStr">
        <is>
          <t>FGXXX</t>
        </is>
      </c>
      <c r="D1811" s="1" t="inlineStr">
        <is>
          <t>31846V336</t>
        </is>
      </c>
      <c r="E1811" t="inlineStr">
        <is>
          <t>First American Government Obligations Fund 12/01/2031</t>
        </is>
      </c>
      <c r="F1811" t="inlineStr">
        <is>
          <t>280111.64000000</t>
        </is>
      </c>
      <c r="G1811" t="inlineStr">
        <is>
          <t>100.000000</t>
        </is>
      </c>
      <c r="H1811" t="inlineStr">
        <is>
          <t>280111.64</t>
        </is>
      </c>
      <c r="I1811" t="inlineStr">
        <is>
          <t>40.18%</t>
        </is>
      </c>
      <c r="J1811" t="inlineStr">
        <is>
          <t>697164.00</t>
        </is>
      </c>
      <c r="K1811" t="inlineStr">
        <is>
          <t>30000</t>
        </is>
      </c>
      <c r="L1811" t="inlineStr">
        <is>
          <t>6.000000000000</t>
        </is>
      </c>
      <c r="M1811" t="inlineStr">
        <is>
          <t>Y</t>
        </is>
      </c>
    </row>
    <row r="1812">
      <c r="A1812" t="inlineStr">
        <is>
          <t>06/25/2026</t>
        </is>
      </c>
      <c r="B1812" t="inlineStr">
        <is>
          <t>VOOX</t>
        </is>
      </c>
      <c r="C1812" s="1" t="inlineStr">
        <is>
          <t>Cash&amp;Other</t>
        </is>
      </c>
      <c r="D1812" s="1" t="inlineStr">
        <is>
          <t>Cash&amp;Other</t>
        </is>
      </c>
      <c r="E1812" t="inlineStr">
        <is>
          <t>Cash &amp; Other</t>
        </is>
      </c>
      <c r="F1812" t="inlineStr">
        <is>
          <t>-975667.61000000</t>
        </is>
      </c>
      <c r="G1812" t="inlineStr">
        <is>
          <t>1.000000</t>
        </is>
      </c>
      <c r="H1812" t="inlineStr">
        <is>
          <t>-975667.61</t>
        </is>
      </c>
      <c r="I1812" t="inlineStr">
        <is>
          <t>-139.95%</t>
        </is>
      </c>
      <c r="J1812" t="inlineStr">
        <is>
          <t>697164.00</t>
        </is>
      </c>
      <c r="K1812" t="inlineStr">
        <is>
          <t>30000</t>
        </is>
      </c>
      <c r="L1812" t="inlineStr">
        <is>
          <t>6.000000000000</t>
        </is>
      </c>
      <c r="M1812" t="inlineStr">
        <is>
          <t>Y</t>
        </is>
      </c>
    </row>
    <row r="1813">
      <c r="A1813" t="inlineStr">
        <is>
          <t>06/25/2026</t>
        </is>
      </c>
      <c r="B1813" t="inlineStr">
        <is>
          <t>WATS</t>
        </is>
      </c>
      <c r="C1813" s="1" t="inlineStr">
        <is>
          <t>ABAT</t>
        </is>
      </c>
      <c r="D1813" s="1" t="inlineStr">
        <is>
          <t>02451V309</t>
        </is>
      </c>
      <c r="E1813" t="inlineStr">
        <is>
          <t>American Battery Technology Co</t>
        </is>
      </c>
      <c r="F1813" t="inlineStr">
        <is>
          <t>19616.00000000</t>
        </is>
      </c>
      <c r="G1813" t="inlineStr">
        <is>
          <t>2.700000</t>
        </is>
      </c>
      <c r="H1813" t="inlineStr">
        <is>
          <t>52963.20</t>
        </is>
      </c>
      <c r="I1813" t="inlineStr">
        <is>
          <t>2.56%</t>
        </is>
      </c>
      <c r="J1813" t="inlineStr">
        <is>
          <t>2066872.00</t>
        </is>
      </c>
      <c r="K1813" t="inlineStr">
        <is>
          <t>80000</t>
        </is>
      </c>
      <c r="L1813" t="inlineStr">
        <is>
          <t>16.000000000000</t>
        </is>
      </c>
      <c r="M1813" t="inlineStr"/>
    </row>
    <row r="1814">
      <c r="A1814" t="inlineStr">
        <is>
          <t>06/25/2026</t>
        </is>
      </c>
      <c r="B1814" t="inlineStr">
        <is>
          <t>WATS</t>
        </is>
      </c>
      <c r="C1814" s="1" t="inlineStr">
        <is>
          <t>AES</t>
        </is>
      </c>
      <c r="D1814" s="1" t="inlineStr">
        <is>
          <t>00130H105</t>
        </is>
      </c>
      <c r="E1814" t="inlineStr">
        <is>
          <t>AES Corp/The</t>
        </is>
      </c>
      <c r="F1814" t="inlineStr">
        <is>
          <t>4448.00000000</t>
        </is>
      </c>
      <c r="G1814" t="inlineStr">
        <is>
          <t>14.680000</t>
        </is>
      </c>
      <c r="H1814" t="inlineStr">
        <is>
          <t>65296.64</t>
        </is>
      </c>
      <c r="I1814" t="inlineStr">
        <is>
          <t>3.16%</t>
        </is>
      </c>
      <c r="J1814" t="inlineStr">
        <is>
          <t>2066872.00</t>
        </is>
      </c>
      <c r="K1814" t="inlineStr">
        <is>
          <t>80000</t>
        </is>
      </c>
      <c r="L1814" t="inlineStr">
        <is>
          <t>16.000000000000</t>
        </is>
      </c>
      <c r="M1814" t="inlineStr"/>
    </row>
    <row r="1815">
      <c r="A1815" t="inlineStr">
        <is>
          <t>06/25/2026</t>
        </is>
      </c>
      <c r="B1815" t="inlineStr">
        <is>
          <t>WATS</t>
        </is>
      </c>
      <c r="C1815" s="1" t="inlineStr">
        <is>
          <t>ALB</t>
        </is>
      </c>
      <c r="D1815" s="1" t="inlineStr">
        <is>
          <t>012653101</t>
        </is>
      </c>
      <c r="E1815" t="inlineStr">
        <is>
          <t>Albemarle Corp</t>
        </is>
      </c>
      <c r="F1815" t="inlineStr">
        <is>
          <t>496.00000000</t>
        </is>
      </c>
      <c r="G1815" t="inlineStr">
        <is>
          <t>147.840000</t>
        </is>
      </c>
      <c r="H1815" t="inlineStr">
        <is>
          <t>73328.64</t>
        </is>
      </c>
      <c r="I1815" t="inlineStr">
        <is>
          <t>3.55%</t>
        </is>
      </c>
      <c r="J1815" t="inlineStr">
        <is>
          <t>2066872.00</t>
        </is>
      </c>
      <c r="K1815" t="inlineStr">
        <is>
          <t>80000</t>
        </is>
      </c>
      <c r="L1815" t="inlineStr">
        <is>
          <t>16.000000000000</t>
        </is>
      </c>
      <c r="M1815" t="inlineStr"/>
    </row>
    <row r="1816">
      <c r="A1816" t="inlineStr">
        <is>
          <t>06/25/2026</t>
        </is>
      </c>
      <c r="B1816" t="inlineStr">
        <is>
          <t>WATS</t>
        </is>
      </c>
      <c r="C1816" s="1" t="inlineStr">
        <is>
          <t>AMPX</t>
        </is>
      </c>
      <c r="D1816" s="1" t="inlineStr">
        <is>
          <t>03214Q108</t>
        </is>
      </c>
      <c r="E1816" t="inlineStr">
        <is>
          <t>Amprius Technologies Inc</t>
        </is>
      </c>
      <c r="F1816" t="inlineStr">
        <is>
          <t>4208.00000000</t>
        </is>
      </c>
      <c r="G1816" t="inlineStr">
        <is>
          <t>12.520000</t>
        </is>
      </c>
      <c r="H1816" t="inlineStr">
        <is>
          <t>52684.16</t>
        </is>
      </c>
      <c r="I1816" t="inlineStr">
        <is>
          <t>2.55%</t>
        </is>
      </c>
      <c r="J1816" t="inlineStr">
        <is>
          <t>2066872.00</t>
        </is>
      </c>
      <c r="K1816" t="inlineStr">
        <is>
          <t>80000</t>
        </is>
      </c>
      <c r="L1816" t="inlineStr">
        <is>
          <t>16.000000000000</t>
        </is>
      </c>
      <c r="M1816" t="inlineStr"/>
    </row>
    <row r="1817">
      <c r="A1817" t="inlineStr">
        <is>
          <t>06/25/2026</t>
        </is>
      </c>
      <c r="B1817" t="inlineStr">
        <is>
          <t>WATS</t>
        </is>
      </c>
      <c r="C1817" s="1" t="inlineStr">
        <is>
          <t>AMSC</t>
        </is>
      </c>
      <c r="D1817" s="1" t="inlineStr">
        <is>
          <t>030111207</t>
        </is>
      </c>
      <c r="E1817" t="inlineStr">
        <is>
          <t>American Superconductor Corp</t>
        </is>
      </c>
      <c r="F1817" t="inlineStr">
        <is>
          <t>576.00000000</t>
        </is>
      </c>
      <c r="G1817" t="inlineStr">
        <is>
          <t>40.850000</t>
        </is>
      </c>
      <c r="H1817" t="inlineStr">
        <is>
          <t>23529.60</t>
        </is>
      </c>
      <c r="I1817" t="inlineStr">
        <is>
          <t>1.14%</t>
        </is>
      </c>
      <c r="J1817" t="inlineStr">
        <is>
          <t>2066872.00</t>
        </is>
      </c>
      <c r="K1817" t="inlineStr">
        <is>
          <t>80000</t>
        </is>
      </c>
      <c r="L1817" t="inlineStr">
        <is>
          <t>16.000000000000</t>
        </is>
      </c>
      <c r="M1817" t="inlineStr"/>
    </row>
    <row r="1818">
      <c r="A1818" t="inlineStr">
        <is>
          <t>06/25/2026</t>
        </is>
      </c>
      <c r="B1818" t="inlineStr">
        <is>
          <t>WATS</t>
        </is>
      </c>
      <c r="C1818" s="1" t="inlineStr">
        <is>
          <t>ATKR</t>
        </is>
      </c>
      <c r="D1818" s="1" t="inlineStr">
        <is>
          <t>047649108</t>
        </is>
      </c>
      <c r="E1818" t="inlineStr">
        <is>
          <t>Atkore Inc</t>
        </is>
      </c>
      <c r="F1818" t="inlineStr">
        <is>
          <t>416.00000000</t>
        </is>
      </c>
      <c r="G1818" t="inlineStr">
        <is>
          <t>77.890000</t>
        </is>
      </c>
      <c r="H1818" t="inlineStr">
        <is>
          <t>32402.24</t>
        </is>
      </c>
      <c r="I1818" t="inlineStr">
        <is>
          <t>1.57%</t>
        </is>
      </c>
      <c r="J1818" t="inlineStr">
        <is>
          <t>2066872.00</t>
        </is>
      </c>
      <c r="K1818" t="inlineStr">
        <is>
          <t>80000</t>
        </is>
      </c>
      <c r="L1818" t="inlineStr">
        <is>
          <t>16.000000000000</t>
        </is>
      </c>
      <c r="M1818" t="inlineStr"/>
    </row>
    <row r="1819">
      <c r="A1819" t="inlineStr">
        <is>
          <t>06/25/2026</t>
        </is>
      </c>
      <c r="B1819" t="inlineStr">
        <is>
          <t>WATS</t>
        </is>
      </c>
      <c r="C1819" s="1" t="inlineStr">
        <is>
          <t>BE</t>
        </is>
      </c>
      <c r="D1819" s="1" t="inlineStr">
        <is>
          <t>093712107</t>
        </is>
      </c>
      <c r="E1819" t="inlineStr">
        <is>
          <t>Bloom Energy Corp</t>
        </is>
      </c>
      <c r="F1819" t="inlineStr">
        <is>
          <t>704.00000000</t>
        </is>
      </c>
      <c r="G1819" t="inlineStr">
        <is>
          <t>326.190000</t>
        </is>
      </c>
      <c r="H1819" t="inlineStr">
        <is>
          <t>229637.76</t>
        </is>
      </c>
      <c r="I1819" t="inlineStr">
        <is>
          <t>11.11%</t>
        </is>
      </c>
      <c r="J1819" t="inlineStr">
        <is>
          <t>2066872.00</t>
        </is>
      </c>
      <c r="K1819" t="inlineStr">
        <is>
          <t>80000</t>
        </is>
      </c>
      <c r="L1819" t="inlineStr">
        <is>
          <t>16.000000000000</t>
        </is>
      </c>
      <c r="M1819" t="inlineStr"/>
    </row>
    <row r="1820">
      <c r="A1820" t="inlineStr">
        <is>
          <t>06/25/2026</t>
        </is>
      </c>
      <c r="B1820" t="inlineStr">
        <is>
          <t>WATS</t>
        </is>
      </c>
      <c r="C1820" s="1" t="inlineStr">
        <is>
          <t>ENPH</t>
        </is>
      </c>
      <c r="D1820" s="1" t="inlineStr">
        <is>
          <t>29355A107</t>
        </is>
      </c>
      <c r="E1820" t="inlineStr">
        <is>
          <t>Enphase Energy Inc</t>
        </is>
      </c>
      <c r="F1820" t="inlineStr">
        <is>
          <t>2928.00000000</t>
        </is>
      </c>
      <c r="G1820" t="inlineStr">
        <is>
          <t>47.820000</t>
        </is>
      </c>
      <c r="H1820" t="inlineStr">
        <is>
          <t>140016.96</t>
        </is>
      </c>
      <c r="I1820" t="inlineStr">
        <is>
          <t>6.77%</t>
        </is>
      </c>
      <c r="J1820" t="inlineStr">
        <is>
          <t>2066872.00</t>
        </is>
      </c>
      <c r="K1820" t="inlineStr">
        <is>
          <t>80000</t>
        </is>
      </c>
      <c r="L1820" t="inlineStr">
        <is>
          <t>16.000000000000</t>
        </is>
      </c>
      <c r="M1820" t="inlineStr"/>
    </row>
    <row r="1821">
      <c r="A1821" t="inlineStr">
        <is>
          <t>06/25/2026</t>
        </is>
      </c>
      <c r="B1821" t="inlineStr">
        <is>
          <t>WATS</t>
        </is>
      </c>
      <c r="C1821" s="1" t="inlineStr">
        <is>
          <t>ENS</t>
        </is>
      </c>
      <c r="D1821" s="1" t="inlineStr">
        <is>
          <t>29275Y102</t>
        </is>
      </c>
      <c r="E1821" t="inlineStr">
        <is>
          <t>EnerSys</t>
        </is>
      </c>
      <c r="F1821" t="inlineStr">
        <is>
          <t>496.00000000</t>
        </is>
      </c>
      <c r="G1821" t="inlineStr">
        <is>
          <t>218.940000</t>
        </is>
      </c>
      <c r="H1821" t="inlineStr">
        <is>
          <t>108594.24</t>
        </is>
      </c>
      <c r="I1821" t="inlineStr">
        <is>
          <t>5.25%</t>
        </is>
      </c>
      <c r="J1821" t="inlineStr">
        <is>
          <t>2066872.00</t>
        </is>
      </c>
      <c r="K1821" t="inlineStr">
        <is>
          <t>80000</t>
        </is>
      </c>
      <c r="L1821" t="inlineStr">
        <is>
          <t>16.000000000000</t>
        </is>
      </c>
      <c r="M1821" t="inlineStr"/>
    </row>
    <row r="1822">
      <c r="A1822" t="inlineStr">
        <is>
          <t>06/25/2026</t>
        </is>
      </c>
      <c r="B1822" t="inlineStr">
        <is>
          <t>WATS</t>
        </is>
      </c>
      <c r="C1822" s="1" t="inlineStr">
        <is>
          <t>ENVX</t>
        </is>
      </c>
      <c r="D1822" s="1" t="inlineStr">
        <is>
          <t>293594107</t>
        </is>
      </c>
      <c r="E1822" t="inlineStr">
        <is>
          <t>Enovix Corp</t>
        </is>
      </c>
      <c r="F1822" t="inlineStr">
        <is>
          <t>11872.00000000</t>
        </is>
      </c>
      <c r="G1822" t="inlineStr">
        <is>
          <t>5.940000</t>
        </is>
      </c>
      <c r="H1822" t="inlineStr">
        <is>
          <t>70519.68</t>
        </is>
      </c>
      <c r="I1822" t="inlineStr">
        <is>
          <t>3.41%</t>
        </is>
      </c>
      <c r="J1822" t="inlineStr">
        <is>
          <t>2066872.00</t>
        </is>
      </c>
      <c r="K1822" t="inlineStr">
        <is>
          <t>80000</t>
        </is>
      </c>
      <c r="L1822" t="inlineStr">
        <is>
          <t>16.000000000000</t>
        </is>
      </c>
      <c r="M1822" t="inlineStr"/>
    </row>
    <row r="1823">
      <c r="A1823" t="inlineStr">
        <is>
          <t>06/25/2026</t>
        </is>
      </c>
      <c r="B1823" t="inlineStr">
        <is>
          <t>WATS</t>
        </is>
      </c>
      <c r="C1823" s="1" t="inlineStr">
        <is>
          <t>EOSE</t>
        </is>
      </c>
      <c r="D1823" s="1" t="inlineStr">
        <is>
          <t>29415C101</t>
        </is>
      </c>
      <c r="E1823" t="inlineStr">
        <is>
          <t>Eos Energy Enterprises Inc</t>
        </is>
      </c>
      <c r="F1823" t="inlineStr">
        <is>
          <t>12128.00000000</t>
        </is>
      </c>
      <c r="G1823" t="inlineStr">
        <is>
          <t>6.060000</t>
        </is>
      </c>
      <c r="H1823" t="inlineStr">
        <is>
          <t>73495.68</t>
        </is>
      </c>
      <c r="I1823" t="inlineStr">
        <is>
          <t>3.56%</t>
        </is>
      </c>
      <c r="J1823" t="inlineStr">
        <is>
          <t>2066872.00</t>
        </is>
      </c>
      <c r="K1823" t="inlineStr">
        <is>
          <t>80000</t>
        </is>
      </c>
      <c r="L1823" t="inlineStr">
        <is>
          <t>16.000000000000</t>
        </is>
      </c>
      <c r="M1823" t="inlineStr"/>
    </row>
    <row r="1824">
      <c r="A1824" t="inlineStr">
        <is>
          <t>06/25/2026</t>
        </is>
      </c>
      <c r="B1824" t="inlineStr">
        <is>
          <t>WATS</t>
        </is>
      </c>
      <c r="C1824" s="1" t="inlineStr">
        <is>
          <t>FGXXX</t>
        </is>
      </c>
      <c r="D1824" s="1" t="inlineStr">
        <is>
          <t>31846V336</t>
        </is>
      </c>
      <c r="E1824" t="inlineStr">
        <is>
          <t>First American Government Obligations Fund 12/01/2031</t>
        </is>
      </c>
      <c r="F1824" t="inlineStr">
        <is>
          <t>31584.48000000</t>
        </is>
      </c>
      <c r="G1824" t="inlineStr">
        <is>
          <t>100.000000</t>
        </is>
      </c>
      <c r="H1824" t="inlineStr">
        <is>
          <t>31584.48</t>
        </is>
      </c>
      <c r="I1824" t="inlineStr">
        <is>
          <t>1.53%</t>
        </is>
      </c>
      <c r="J1824" t="inlineStr">
        <is>
          <t>2066872.00</t>
        </is>
      </c>
      <c r="K1824" t="inlineStr">
        <is>
          <t>80000</t>
        </is>
      </c>
      <c r="L1824" t="inlineStr">
        <is>
          <t>16.000000000000</t>
        </is>
      </c>
      <c r="M1824" t="inlineStr">
        <is>
          <t>Y</t>
        </is>
      </c>
    </row>
    <row r="1825">
      <c r="A1825" t="inlineStr">
        <is>
          <t>06/25/2026</t>
        </is>
      </c>
      <c r="B1825" t="inlineStr">
        <is>
          <t>WATS</t>
        </is>
      </c>
      <c r="C1825" s="1" t="inlineStr">
        <is>
          <t>FLNC</t>
        </is>
      </c>
      <c r="D1825" s="1" t="inlineStr">
        <is>
          <t>34379V103</t>
        </is>
      </c>
      <c r="E1825" t="inlineStr">
        <is>
          <t>Fluence Energy Inc</t>
        </is>
      </c>
      <c r="F1825" t="inlineStr">
        <is>
          <t>5984.00000000</t>
        </is>
      </c>
      <c r="G1825" t="inlineStr">
        <is>
          <t>19.750000</t>
        </is>
      </c>
      <c r="H1825" t="inlineStr">
        <is>
          <t>118184.00</t>
        </is>
      </c>
      <c r="I1825" t="inlineStr">
        <is>
          <t>5.72%</t>
        </is>
      </c>
      <c r="J1825" t="inlineStr">
        <is>
          <t>2066872.00</t>
        </is>
      </c>
      <c r="K1825" t="inlineStr">
        <is>
          <t>80000</t>
        </is>
      </c>
      <c r="L1825" t="inlineStr">
        <is>
          <t>16.000000000000</t>
        </is>
      </c>
      <c r="M1825" t="inlineStr"/>
    </row>
    <row r="1826">
      <c r="A1826" t="inlineStr">
        <is>
          <t>06/25/2026</t>
        </is>
      </c>
      <c r="B1826" t="inlineStr">
        <is>
          <t>WATS</t>
        </is>
      </c>
      <c r="C1826" s="1" t="inlineStr">
        <is>
          <t>GNRC</t>
        </is>
      </c>
      <c r="D1826" s="1" t="inlineStr">
        <is>
          <t>368736104</t>
        </is>
      </c>
      <c r="E1826" t="inlineStr">
        <is>
          <t>Generac Holdings Inc</t>
        </is>
      </c>
      <c r="F1826" t="inlineStr">
        <is>
          <t>304.00000000</t>
        </is>
      </c>
      <c r="G1826" t="inlineStr">
        <is>
          <t>284.140000</t>
        </is>
      </c>
      <c r="H1826" t="inlineStr">
        <is>
          <t>86378.56</t>
        </is>
      </c>
      <c r="I1826" t="inlineStr">
        <is>
          <t>4.18%</t>
        </is>
      </c>
      <c r="J1826" t="inlineStr">
        <is>
          <t>2066872.00</t>
        </is>
      </c>
      <c r="K1826" t="inlineStr">
        <is>
          <t>80000</t>
        </is>
      </c>
      <c r="L1826" t="inlineStr">
        <is>
          <t>16.000000000000</t>
        </is>
      </c>
      <c r="M1826" t="inlineStr"/>
    </row>
    <row r="1827">
      <c r="A1827" t="inlineStr">
        <is>
          <t>06/25/2026</t>
        </is>
      </c>
      <c r="B1827" t="inlineStr">
        <is>
          <t>WATS</t>
        </is>
      </c>
      <c r="C1827" s="1" t="inlineStr">
        <is>
          <t>MVST</t>
        </is>
      </c>
      <c r="D1827" s="1" t="inlineStr">
        <is>
          <t>59516C106</t>
        </is>
      </c>
      <c r="E1827" t="inlineStr">
        <is>
          <t>Microvast Holdings Inc</t>
        </is>
      </c>
      <c r="F1827" t="inlineStr">
        <is>
          <t>33904.00000000</t>
        </is>
      </c>
      <c r="G1827" t="inlineStr">
        <is>
          <t>1.180000</t>
        </is>
      </c>
      <c r="H1827" t="inlineStr">
        <is>
          <t>40006.72</t>
        </is>
      </c>
      <c r="I1827" t="inlineStr">
        <is>
          <t>1.94%</t>
        </is>
      </c>
      <c r="J1827" t="inlineStr">
        <is>
          <t>2066872.00</t>
        </is>
      </c>
      <c r="K1827" t="inlineStr">
        <is>
          <t>80000</t>
        </is>
      </c>
      <c r="L1827" t="inlineStr">
        <is>
          <t>16.000000000000</t>
        </is>
      </c>
      <c r="M1827" t="inlineStr"/>
    </row>
    <row r="1828">
      <c r="A1828" t="inlineStr">
        <is>
          <t>06/25/2026</t>
        </is>
      </c>
      <c r="B1828" t="inlineStr">
        <is>
          <t>WATS</t>
        </is>
      </c>
      <c r="C1828" s="1" t="inlineStr">
        <is>
          <t>NRGV</t>
        </is>
      </c>
      <c r="D1828" s="1" t="inlineStr">
        <is>
          <t>29280W109</t>
        </is>
      </c>
      <c r="E1828" t="inlineStr">
        <is>
          <t>Energy Vault Holdings Inc</t>
        </is>
      </c>
      <c r="F1828" t="inlineStr">
        <is>
          <t>16688.00000000</t>
        </is>
      </c>
      <c r="G1828" t="inlineStr">
        <is>
          <t>3.930000</t>
        </is>
      </c>
      <c r="H1828" t="inlineStr">
        <is>
          <t>65583.84</t>
        </is>
      </c>
      <c r="I1828" t="inlineStr">
        <is>
          <t>3.17%</t>
        </is>
      </c>
      <c r="J1828" t="inlineStr">
        <is>
          <t>2066872.00</t>
        </is>
      </c>
      <c r="K1828" t="inlineStr">
        <is>
          <t>80000</t>
        </is>
      </c>
      <c r="L1828" t="inlineStr">
        <is>
          <t>16.000000000000</t>
        </is>
      </c>
      <c r="M1828" t="inlineStr"/>
    </row>
    <row r="1829">
      <c r="A1829" t="inlineStr">
        <is>
          <t>06/25/2026</t>
        </is>
      </c>
      <c r="B1829" t="inlineStr">
        <is>
          <t>WATS</t>
        </is>
      </c>
      <c r="C1829" s="1" t="inlineStr">
        <is>
          <t>RUN</t>
        </is>
      </c>
      <c r="D1829" s="1" t="inlineStr">
        <is>
          <t>86771W105</t>
        </is>
      </c>
      <c r="E1829" t="inlineStr">
        <is>
          <t>Sunrun Inc</t>
        </is>
      </c>
      <c r="F1829" t="inlineStr">
        <is>
          <t>8128.00000000</t>
        </is>
      </c>
      <c r="G1829" t="inlineStr">
        <is>
          <t>14.420000</t>
        </is>
      </c>
      <c r="H1829" t="inlineStr">
        <is>
          <t>117205.76</t>
        </is>
      </c>
      <c r="I1829" t="inlineStr">
        <is>
          <t>5.67%</t>
        </is>
      </c>
      <c r="J1829" t="inlineStr">
        <is>
          <t>2066872.00</t>
        </is>
      </c>
      <c r="K1829" t="inlineStr">
        <is>
          <t>80000</t>
        </is>
      </c>
      <c r="L1829" t="inlineStr">
        <is>
          <t>16.000000000000</t>
        </is>
      </c>
      <c r="M1829" t="inlineStr"/>
    </row>
    <row r="1830">
      <c r="A1830" t="inlineStr">
        <is>
          <t>06/25/2026</t>
        </is>
      </c>
      <c r="B1830" t="inlineStr">
        <is>
          <t>WATS</t>
        </is>
      </c>
      <c r="C1830" s="1" t="inlineStr">
        <is>
          <t>SEDG</t>
        </is>
      </c>
      <c r="D1830" s="1" t="inlineStr">
        <is>
          <t>83417M104</t>
        </is>
      </c>
      <c r="E1830" t="inlineStr">
        <is>
          <t>SolarEdge Technologies Inc</t>
        </is>
      </c>
      <c r="F1830" t="inlineStr">
        <is>
          <t>2352.00000000</t>
        </is>
      </c>
      <c r="G1830" t="inlineStr">
        <is>
          <t>49.740000</t>
        </is>
      </c>
      <c r="H1830" t="inlineStr">
        <is>
          <t>116988.48</t>
        </is>
      </c>
      <c r="I1830" t="inlineStr">
        <is>
          <t>5.66%</t>
        </is>
      </c>
      <c r="J1830" t="inlineStr">
        <is>
          <t>2066872.00</t>
        </is>
      </c>
      <c r="K1830" t="inlineStr">
        <is>
          <t>80000</t>
        </is>
      </c>
      <c r="L1830" t="inlineStr">
        <is>
          <t>16.000000000000</t>
        </is>
      </c>
      <c r="M1830" t="inlineStr"/>
    </row>
    <row r="1831">
      <c r="A1831" t="inlineStr">
        <is>
          <t>06/25/2026</t>
        </is>
      </c>
      <c r="B1831" t="inlineStr">
        <is>
          <t>WATS</t>
        </is>
      </c>
      <c r="C1831" s="1" t="inlineStr">
        <is>
          <t>SES</t>
        </is>
      </c>
      <c r="D1831" s="1" t="inlineStr">
        <is>
          <t>78397Q109</t>
        </is>
      </c>
      <c r="E1831" t="inlineStr">
        <is>
          <t>SES AI Corp</t>
        </is>
      </c>
      <c r="F1831" t="inlineStr">
        <is>
          <t>50928.00000000</t>
        </is>
      </c>
      <c r="G1831" t="inlineStr">
        <is>
          <t>0.905100</t>
        </is>
      </c>
      <c r="H1831" t="inlineStr">
        <is>
          <t>46094.93</t>
        </is>
      </c>
      <c r="I1831" t="inlineStr">
        <is>
          <t>2.23%</t>
        </is>
      </c>
      <c r="J1831" t="inlineStr">
        <is>
          <t>2066872.00</t>
        </is>
      </c>
      <c r="K1831" t="inlineStr">
        <is>
          <t>80000</t>
        </is>
      </c>
      <c r="L1831" t="inlineStr">
        <is>
          <t>16.000000000000</t>
        </is>
      </c>
      <c r="M1831" t="inlineStr"/>
    </row>
    <row r="1832">
      <c r="A1832" t="inlineStr">
        <is>
          <t>06/25/2026</t>
        </is>
      </c>
      <c r="B1832" t="inlineStr">
        <is>
          <t>WATS</t>
        </is>
      </c>
      <c r="C1832" s="1" t="inlineStr">
        <is>
          <t>SLDP</t>
        </is>
      </c>
      <c r="D1832" s="1" t="inlineStr">
        <is>
          <t>83422N105</t>
        </is>
      </c>
      <c r="E1832" t="inlineStr">
        <is>
          <t>Solid Power Inc</t>
        </is>
      </c>
      <c r="F1832" t="inlineStr">
        <is>
          <t>19904.00000000</t>
        </is>
      </c>
      <c r="G1832" t="inlineStr">
        <is>
          <t>2.640000</t>
        </is>
      </c>
      <c r="H1832" t="inlineStr">
        <is>
          <t>52546.56</t>
        </is>
      </c>
      <c r="I1832" t="inlineStr">
        <is>
          <t>2.54%</t>
        </is>
      </c>
      <c r="J1832" t="inlineStr">
        <is>
          <t>2066872.00</t>
        </is>
      </c>
      <c r="K1832" t="inlineStr">
        <is>
          <t>80000</t>
        </is>
      </c>
      <c r="L1832" t="inlineStr">
        <is>
          <t>16.000000000000</t>
        </is>
      </c>
      <c r="M1832" t="inlineStr"/>
    </row>
    <row r="1833">
      <c r="A1833" t="inlineStr">
        <is>
          <t>06/25/2026</t>
        </is>
      </c>
      <c r="B1833" t="inlineStr">
        <is>
          <t>WATS</t>
        </is>
      </c>
      <c r="C1833" s="1" t="inlineStr">
        <is>
          <t>SQM</t>
        </is>
      </c>
      <c r="D1833" s="1" t="inlineStr">
        <is>
          <t>833635105</t>
        </is>
      </c>
      <c r="E1833" t="inlineStr">
        <is>
          <t>Sociedad Quimica y Minera de Chile SA</t>
        </is>
      </c>
      <c r="F1833" t="inlineStr">
        <is>
          <t>976.00000000</t>
        </is>
      </c>
      <c r="G1833" t="inlineStr">
        <is>
          <t>75.580000</t>
        </is>
      </c>
      <c r="H1833" t="inlineStr">
        <is>
          <t>73766.08</t>
        </is>
      </c>
      <c r="I1833" t="inlineStr">
        <is>
          <t>3.57%</t>
        </is>
      </c>
      <c r="J1833" t="inlineStr">
        <is>
          <t>2066872.00</t>
        </is>
      </c>
      <c r="K1833" t="inlineStr">
        <is>
          <t>80000</t>
        </is>
      </c>
      <c r="L1833" t="inlineStr">
        <is>
          <t>16.000000000000</t>
        </is>
      </c>
      <c r="M1833" t="inlineStr"/>
    </row>
    <row r="1834">
      <c r="A1834" t="inlineStr">
        <is>
          <t>06/25/2026</t>
        </is>
      </c>
      <c r="B1834" t="inlineStr">
        <is>
          <t>WATS</t>
        </is>
      </c>
      <c r="C1834" s="1" t="inlineStr">
        <is>
          <t>STEM</t>
        </is>
      </c>
      <c r="D1834" s="1" t="inlineStr">
        <is>
          <t>85859N300</t>
        </is>
      </c>
      <c r="E1834" t="inlineStr">
        <is>
          <t>Stem Inc</t>
        </is>
      </c>
      <c r="F1834" t="inlineStr">
        <is>
          <t>4640.00000000</t>
        </is>
      </c>
      <c r="G1834" t="inlineStr">
        <is>
          <t>7.450000</t>
        </is>
      </c>
      <c r="H1834" t="inlineStr">
        <is>
          <t>34568.00</t>
        </is>
      </c>
      <c r="I1834" t="inlineStr">
        <is>
          <t>1.67%</t>
        </is>
      </c>
      <c r="J1834" t="inlineStr">
        <is>
          <t>2066872.00</t>
        </is>
      </c>
      <c r="K1834" t="inlineStr">
        <is>
          <t>80000</t>
        </is>
      </c>
      <c r="L1834" t="inlineStr">
        <is>
          <t>16.000000000000</t>
        </is>
      </c>
      <c r="M1834" t="inlineStr"/>
    </row>
    <row r="1835">
      <c r="A1835" t="inlineStr">
        <is>
          <t>06/25/2026</t>
        </is>
      </c>
      <c r="B1835" t="inlineStr">
        <is>
          <t>WATS</t>
        </is>
      </c>
      <c r="C1835" s="1" t="inlineStr">
        <is>
          <t>TE</t>
        </is>
      </c>
      <c r="D1835" s="1" t="inlineStr">
        <is>
          <t>35834F104</t>
        </is>
      </c>
      <c r="E1835" t="inlineStr">
        <is>
          <t>T1 Energy Inc</t>
        </is>
      </c>
      <c r="F1835" t="inlineStr">
        <is>
          <t>3648.00000000</t>
        </is>
      </c>
      <c r="G1835" t="inlineStr">
        <is>
          <t>8.530000</t>
        </is>
      </c>
      <c r="H1835" t="inlineStr">
        <is>
          <t>31117.44</t>
        </is>
      </c>
      <c r="I1835" t="inlineStr">
        <is>
          <t>1.51%</t>
        </is>
      </c>
      <c r="J1835" t="inlineStr">
        <is>
          <t>2066872.00</t>
        </is>
      </c>
      <c r="K1835" t="inlineStr">
        <is>
          <t>80000</t>
        </is>
      </c>
      <c r="L1835" t="inlineStr">
        <is>
          <t>16.000000000000</t>
        </is>
      </c>
      <c r="M1835" t="inlineStr"/>
    </row>
    <row r="1836">
      <c r="A1836" t="inlineStr">
        <is>
          <t>06/25/2026</t>
        </is>
      </c>
      <c r="B1836" t="inlineStr">
        <is>
          <t>WATS</t>
        </is>
      </c>
      <c r="C1836" s="1" t="inlineStr">
        <is>
          <t>TSLA</t>
        </is>
      </c>
      <c r="D1836" s="1" t="inlineStr">
        <is>
          <t>88160R101</t>
        </is>
      </c>
      <c r="E1836" t="inlineStr">
        <is>
          <t>Tesla Inc</t>
        </is>
      </c>
      <c r="F1836" t="inlineStr">
        <is>
          <t>880.00000000</t>
        </is>
      </c>
      <c r="G1836" t="inlineStr">
        <is>
          <t>375.530000</t>
        </is>
      </c>
      <c r="H1836" t="inlineStr">
        <is>
          <t>330466.40</t>
        </is>
      </c>
      <c r="I1836" t="inlineStr">
        <is>
          <t>15.99%</t>
        </is>
      </c>
      <c r="J1836" t="inlineStr">
        <is>
          <t>2066872.00</t>
        </is>
      </c>
      <c r="K1836" t="inlineStr">
        <is>
          <t>80000</t>
        </is>
      </c>
      <c r="L1836" t="inlineStr">
        <is>
          <t>16.000000000000</t>
        </is>
      </c>
      <c r="M1836" t="inlineStr"/>
    </row>
    <row r="1837">
      <c r="A1837" t="inlineStr">
        <is>
          <t>06/25/2026</t>
        </is>
      </c>
      <c r="B1837" t="inlineStr">
        <is>
          <t>WATS</t>
        </is>
      </c>
      <c r="C1837" s="1" t="inlineStr">
        <is>
          <t>Cash&amp;Other</t>
        </is>
      </c>
      <c r="D1837" s="1" t="inlineStr">
        <is>
          <t>Cash&amp;Other</t>
        </is>
      </c>
      <c r="E1837" t="inlineStr">
        <is>
          <t>Cash &amp; Other</t>
        </is>
      </c>
      <c r="F1837" t="inlineStr">
        <is>
          <t>-104.81000000</t>
        </is>
      </c>
      <c r="G1837" t="inlineStr">
        <is>
          <t>1.000000</t>
        </is>
      </c>
      <c r="H1837" t="inlineStr">
        <is>
          <t>-104.81</t>
        </is>
      </c>
      <c r="I1837" t="inlineStr">
        <is>
          <t>-0.01%</t>
        </is>
      </c>
      <c r="J1837" t="inlineStr">
        <is>
          <t>2066872.00</t>
        </is>
      </c>
      <c r="K1837" t="inlineStr">
        <is>
          <t>80000</t>
        </is>
      </c>
      <c r="L1837" t="inlineStr">
        <is>
          <t>16.000000000000</t>
        </is>
      </c>
      <c r="M1837" t="inlineStr">
        <is>
          <t>Y</t>
        </is>
      </c>
    </row>
    <row r="1838">
      <c r="A1838" t="inlineStr">
        <is>
          <t>06/25/2026</t>
        </is>
      </c>
      <c r="B1838" t="inlineStr">
        <is>
          <t>WEBX</t>
        </is>
      </c>
      <c r="C1838" s="1" t="inlineStr">
        <is>
          <t>500767306-TRS-12/01/27-L-CANT</t>
        </is>
      </c>
      <c r="D1838" s="1" t="inlineStr">
        <is>
          <t>500767306-TRS-12/01/27-L-CANT</t>
        </is>
      </c>
      <c r="E1838" t="inlineStr">
        <is>
          <t>KRANESHARES CSI CHINA INTERNET ETF-SWAP-CANT-L</t>
        </is>
      </c>
      <c r="F1838" t="inlineStr">
        <is>
          <t>37353.00000000</t>
        </is>
      </c>
      <c r="G1838" t="inlineStr">
        <is>
          <t>24.300000</t>
        </is>
      </c>
      <c r="H1838" t="inlineStr">
        <is>
          <t>907677.90</t>
        </is>
      </c>
      <c r="I1838" t="inlineStr">
        <is>
          <t>199.73%</t>
        </is>
      </c>
      <c r="J1838" t="inlineStr">
        <is>
          <t>454462.50</t>
        </is>
      </c>
      <c r="K1838" t="inlineStr">
        <is>
          <t>25000</t>
        </is>
      </c>
      <c r="L1838" t="inlineStr">
        <is>
          <t>5.000000000000</t>
        </is>
      </c>
      <c r="M1838" t="inlineStr"/>
    </row>
    <row r="1839">
      <c r="A1839" t="inlineStr">
        <is>
          <t>06/25/2026</t>
        </is>
      </c>
      <c r="B1839" t="inlineStr">
        <is>
          <t>WEBX</t>
        </is>
      </c>
      <c r="C1839" s="1" t="inlineStr">
        <is>
          <t>FGXXX</t>
        </is>
      </c>
      <c r="D1839" s="1" t="inlineStr">
        <is>
          <t>31846V336</t>
        </is>
      </c>
      <c r="E1839" t="inlineStr">
        <is>
          <t>First American Government Obligations Fund 12/01/2031</t>
        </is>
      </c>
      <c r="F1839" t="inlineStr">
        <is>
          <t>45282.43000000</t>
        </is>
      </c>
      <c r="G1839" t="inlineStr">
        <is>
          <t>100.000000</t>
        </is>
      </c>
      <c r="H1839" t="inlineStr">
        <is>
          <t>45282.43</t>
        </is>
      </c>
      <c r="I1839" t="inlineStr">
        <is>
          <t>9.96%</t>
        </is>
      </c>
      <c r="J1839" t="inlineStr">
        <is>
          <t>454462.50</t>
        </is>
      </c>
      <c r="K1839" t="inlineStr">
        <is>
          <t>25000</t>
        </is>
      </c>
      <c r="L1839" t="inlineStr">
        <is>
          <t>5.000000000000</t>
        </is>
      </c>
      <c r="M1839" t="inlineStr">
        <is>
          <t>Y</t>
        </is>
      </c>
    </row>
    <row r="1840">
      <c r="A1840" t="inlineStr">
        <is>
          <t>06/25/2026</t>
        </is>
      </c>
      <c r="B1840" t="inlineStr">
        <is>
          <t>WEBX</t>
        </is>
      </c>
      <c r="C1840" s="1" t="inlineStr">
        <is>
          <t>Cash&amp;Other</t>
        </is>
      </c>
      <c r="D1840" s="1" t="inlineStr">
        <is>
          <t>Cash&amp;Other</t>
        </is>
      </c>
      <c r="E1840" t="inlineStr">
        <is>
          <t>Cash &amp; Other</t>
        </is>
      </c>
      <c r="F1840" t="inlineStr">
        <is>
          <t>-498579.15000000</t>
        </is>
      </c>
      <c r="G1840" t="inlineStr">
        <is>
          <t>1.000000</t>
        </is>
      </c>
      <c r="H1840" t="inlineStr">
        <is>
          <t>-498579.15</t>
        </is>
      </c>
      <c r="I1840" t="inlineStr">
        <is>
          <t>-109.71%</t>
        </is>
      </c>
      <c r="J1840" t="inlineStr">
        <is>
          <t>454462.50</t>
        </is>
      </c>
      <c r="K1840" t="inlineStr">
        <is>
          <t>25000</t>
        </is>
      </c>
      <c r="L1840" t="inlineStr">
        <is>
          <t>5.000000000000</t>
        </is>
      </c>
      <c r="M1840" t="inlineStr">
        <is>
          <t>Y</t>
        </is>
      </c>
    </row>
    <row r="1841">
      <c r="A1841" t="inlineStr">
        <is>
          <t>06/25/2026</t>
        </is>
      </c>
      <c r="B1841" t="inlineStr">
        <is>
          <t>WNDR</t>
        </is>
      </c>
      <c r="C1841" s="1" t="inlineStr">
        <is>
          <t>AAL</t>
        </is>
      </c>
      <c r="D1841" s="1" t="inlineStr">
        <is>
          <t>02376R102</t>
        </is>
      </c>
      <c r="E1841" t="inlineStr">
        <is>
          <t>American Airlines Group Inc</t>
        </is>
      </c>
      <c r="F1841" t="inlineStr">
        <is>
          <t>1441.00000000</t>
        </is>
      </c>
      <c r="G1841" t="inlineStr">
        <is>
          <t>17.440000</t>
        </is>
      </c>
      <c r="H1841" t="inlineStr">
        <is>
          <t>25131.04</t>
        </is>
      </c>
      <c r="I1841" t="inlineStr">
        <is>
          <t>1.62%</t>
        </is>
      </c>
      <c r="J1841" t="inlineStr">
        <is>
          <t>1554773.00</t>
        </is>
      </c>
      <c r="K1841" t="inlineStr">
        <is>
          <t>55000</t>
        </is>
      </c>
      <c r="L1841" t="inlineStr">
        <is>
          <t>11.000000000000</t>
        </is>
      </c>
      <c r="M1841" t="inlineStr"/>
    </row>
    <row r="1842">
      <c r="A1842" t="inlineStr">
        <is>
          <t>06/25/2026</t>
        </is>
      </c>
      <c r="B1842" t="inlineStr">
        <is>
          <t>WNDR</t>
        </is>
      </c>
      <c r="C1842" s="1" t="inlineStr">
        <is>
          <t>ABNB</t>
        </is>
      </c>
      <c r="D1842" s="1" t="inlineStr">
        <is>
          <t>009066101</t>
        </is>
      </c>
      <c r="E1842" t="inlineStr">
        <is>
          <t>Airbnb Inc</t>
        </is>
      </c>
      <c r="F1842" t="inlineStr">
        <is>
          <t>330.00000000</t>
        </is>
      </c>
      <c r="G1842" t="inlineStr">
        <is>
          <t>144.400000</t>
        </is>
      </c>
      <c r="H1842" t="inlineStr">
        <is>
          <t>47652.00</t>
        </is>
      </c>
      <c r="I1842" t="inlineStr">
        <is>
          <t>3.06%</t>
        </is>
      </c>
      <c r="J1842" t="inlineStr">
        <is>
          <t>1554773.00</t>
        </is>
      </c>
      <c r="K1842" t="inlineStr">
        <is>
          <t>55000</t>
        </is>
      </c>
      <c r="L1842" t="inlineStr">
        <is>
          <t>11.000000000000</t>
        </is>
      </c>
      <c r="M1842" t="inlineStr"/>
    </row>
    <row r="1843">
      <c r="A1843" t="inlineStr">
        <is>
          <t>06/25/2026</t>
        </is>
      </c>
      <c r="B1843" t="inlineStr">
        <is>
          <t>WNDR</t>
        </is>
      </c>
      <c r="C1843" s="1" t="inlineStr">
        <is>
          <t>ALGT</t>
        </is>
      </c>
      <c r="D1843" s="1" t="inlineStr">
        <is>
          <t>01748X102</t>
        </is>
      </c>
      <c r="E1843" t="inlineStr">
        <is>
          <t>Allegiant Travel Co</t>
        </is>
      </c>
      <c r="F1843" t="inlineStr">
        <is>
          <t>99.00000000</t>
        </is>
      </c>
      <c r="G1843" t="inlineStr">
        <is>
          <t>107.320000</t>
        </is>
      </c>
      <c r="H1843" t="inlineStr">
        <is>
          <t>10624.68</t>
        </is>
      </c>
      <c r="I1843" t="inlineStr">
        <is>
          <t>0.68%</t>
        </is>
      </c>
      <c r="J1843" t="inlineStr">
        <is>
          <t>1554773.00</t>
        </is>
      </c>
      <c r="K1843" t="inlineStr">
        <is>
          <t>55000</t>
        </is>
      </c>
      <c r="L1843" t="inlineStr">
        <is>
          <t>11.000000000000</t>
        </is>
      </c>
      <c r="M1843" t="inlineStr"/>
    </row>
    <row r="1844">
      <c r="A1844" t="inlineStr">
        <is>
          <t>06/25/2026</t>
        </is>
      </c>
      <c r="B1844" t="inlineStr">
        <is>
          <t>WNDR</t>
        </is>
      </c>
      <c r="C1844" s="1" t="inlineStr">
        <is>
          <t>ALK</t>
        </is>
      </c>
      <c r="D1844" s="1" t="inlineStr">
        <is>
          <t>011659109</t>
        </is>
      </c>
      <c r="E1844" t="inlineStr">
        <is>
          <t>Alaska Air Group Inc</t>
        </is>
      </c>
      <c r="F1844" t="inlineStr">
        <is>
          <t>319.00000000</t>
        </is>
      </c>
      <c r="G1844" t="inlineStr">
        <is>
          <t>51.560000</t>
        </is>
      </c>
      <c r="H1844" t="inlineStr">
        <is>
          <t>16447.64</t>
        </is>
      </c>
      <c r="I1844" t="inlineStr">
        <is>
          <t>1.06%</t>
        </is>
      </c>
      <c r="J1844" t="inlineStr">
        <is>
          <t>1554773.00</t>
        </is>
      </c>
      <c r="K1844" t="inlineStr">
        <is>
          <t>55000</t>
        </is>
      </c>
      <c r="L1844" t="inlineStr">
        <is>
          <t>11.000000000000</t>
        </is>
      </c>
      <c r="M1844" t="inlineStr"/>
    </row>
    <row r="1845">
      <c r="A1845" t="inlineStr">
        <is>
          <t>06/25/2026</t>
        </is>
      </c>
      <c r="B1845" t="inlineStr">
        <is>
          <t>WNDR</t>
        </is>
      </c>
      <c r="C1845" s="1" t="inlineStr">
        <is>
          <t>ASR</t>
        </is>
      </c>
      <c r="D1845" s="1" t="inlineStr">
        <is>
          <t>40051E202</t>
        </is>
      </c>
      <c r="E1845" t="inlineStr">
        <is>
          <t>Grupo Aeroportuario del Sureste SAB de CV</t>
        </is>
      </c>
      <c r="F1845" t="inlineStr">
        <is>
          <t>66.00000000</t>
        </is>
      </c>
      <c r="G1845" t="inlineStr">
        <is>
          <t>302.310000</t>
        </is>
      </c>
      <c r="H1845" t="inlineStr">
        <is>
          <t>19952.46</t>
        </is>
      </c>
      <c r="I1845" t="inlineStr">
        <is>
          <t>1.28%</t>
        </is>
      </c>
      <c r="J1845" t="inlineStr">
        <is>
          <t>1554773.00</t>
        </is>
      </c>
      <c r="K1845" t="inlineStr">
        <is>
          <t>55000</t>
        </is>
      </c>
      <c r="L1845" t="inlineStr">
        <is>
          <t>11.000000000000</t>
        </is>
      </c>
      <c r="M1845" t="inlineStr"/>
    </row>
    <row r="1846">
      <c r="A1846" t="inlineStr">
        <is>
          <t>06/25/2026</t>
        </is>
      </c>
      <c r="B1846" t="inlineStr">
        <is>
          <t>WNDR</t>
        </is>
      </c>
      <c r="C1846" s="1" t="inlineStr">
        <is>
          <t>AXP</t>
        </is>
      </c>
      <c r="D1846" s="1" t="inlineStr">
        <is>
          <t>025816109</t>
        </is>
      </c>
      <c r="E1846" t="inlineStr">
        <is>
          <t>American Express Co</t>
        </is>
      </c>
      <c r="F1846" t="inlineStr">
        <is>
          <t>264.00000000</t>
        </is>
      </c>
      <c r="G1846" t="inlineStr">
        <is>
          <t>342.560000</t>
        </is>
      </c>
      <c r="H1846" t="inlineStr">
        <is>
          <t>90435.84</t>
        </is>
      </c>
      <c r="I1846" t="inlineStr">
        <is>
          <t>5.82%</t>
        </is>
      </c>
      <c r="J1846" t="inlineStr">
        <is>
          <t>1554773.00</t>
        </is>
      </c>
      <c r="K1846" t="inlineStr">
        <is>
          <t>55000</t>
        </is>
      </c>
      <c r="L1846" t="inlineStr">
        <is>
          <t>11.000000000000</t>
        </is>
      </c>
      <c r="M1846" t="inlineStr"/>
    </row>
    <row r="1847">
      <c r="A1847" t="inlineStr">
        <is>
          <t>06/25/2026</t>
        </is>
      </c>
      <c r="B1847" t="inlineStr">
        <is>
          <t>WNDR</t>
        </is>
      </c>
      <c r="C1847" s="1" t="inlineStr">
        <is>
          <t>BKNG</t>
        </is>
      </c>
      <c r="D1847" s="1" t="inlineStr">
        <is>
          <t>09857L108</t>
        </is>
      </c>
      <c r="E1847" t="inlineStr">
        <is>
          <t>Booking Holdings Inc</t>
        </is>
      </c>
      <c r="F1847" t="inlineStr">
        <is>
          <t>374.00000000</t>
        </is>
      </c>
      <c r="G1847" t="inlineStr">
        <is>
          <t>181.250000</t>
        </is>
      </c>
      <c r="H1847" t="inlineStr">
        <is>
          <t>67787.50</t>
        </is>
      </c>
      <c r="I1847" t="inlineStr">
        <is>
          <t>4.36%</t>
        </is>
      </c>
      <c r="J1847" t="inlineStr">
        <is>
          <t>1554773.00</t>
        </is>
      </c>
      <c r="K1847" t="inlineStr">
        <is>
          <t>55000</t>
        </is>
      </c>
      <c r="L1847" t="inlineStr">
        <is>
          <t>11.000000000000</t>
        </is>
      </c>
      <c r="M1847" t="inlineStr"/>
    </row>
    <row r="1848">
      <c r="A1848" t="inlineStr">
        <is>
          <t>06/25/2026</t>
        </is>
      </c>
      <c r="B1848" t="inlineStr">
        <is>
          <t>WNDR</t>
        </is>
      </c>
      <c r="C1848" s="1" t="inlineStr">
        <is>
          <t>CAR</t>
        </is>
      </c>
      <c r="D1848" s="1" t="inlineStr">
        <is>
          <t>053774105</t>
        </is>
      </c>
      <c r="E1848" t="inlineStr">
        <is>
          <t>Avis Budget Group Inc</t>
        </is>
      </c>
      <c r="F1848" t="inlineStr">
        <is>
          <t>44.00000000</t>
        </is>
      </c>
      <c r="G1848" t="inlineStr">
        <is>
          <t>175.290000</t>
        </is>
      </c>
      <c r="H1848" t="inlineStr">
        <is>
          <t>7712.76</t>
        </is>
      </c>
      <c r="I1848" t="inlineStr">
        <is>
          <t>0.50%</t>
        </is>
      </c>
      <c r="J1848" t="inlineStr">
        <is>
          <t>1554773.00</t>
        </is>
      </c>
      <c r="K1848" t="inlineStr">
        <is>
          <t>55000</t>
        </is>
      </c>
      <c r="L1848" t="inlineStr">
        <is>
          <t>11.000000000000</t>
        </is>
      </c>
      <c r="M1848" t="inlineStr"/>
    </row>
    <row r="1849">
      <c r="A1849" t="inlineStr">
        <is>
          <t>06/25/2026</t>
        </is>
      </c>
      <c r="B1849" t="inlineStr">
        <is>
          <t>WNDR</t>
        </is>
      </c>
      <c r="C1849" s="1" t="inlineStr">
        <is>
          <t>CCL</t>
        </is>
      </c>
      <c r="D1849" s="1" t="inlineStr">
        <is>
          <t>G2004J103</t>
        </is>
      </c>
      <c r="E1849" t="inlineStr">
        <is>
          <t>Carnival Corp Ltd</t>
        </is>
      </c>
      <c r="F1849" t="inlineStr">
        <is>
          <t>1342.00000000</t>
        </is>
      </c>
      <c r="G1849" t="inlineStr">
        <is>
          <t>28.910000</t>
        </is>
      </c>
      <c r="H1849" t="inlineStr">
        <is>
          <t>38797.22</t>
        </is>
      </c>
      <c r="I1849" t="inlineStr">
        <is>
          <t>2.50%</t>
        </is>
      </c>
      <c r="J1849" t="inlineStr">
        <is>
          <t>1554773.00</t>
        </is>
      </c>
      <c r="K1849" t="inlineStr">
        <is>
          <t>55000</t>
        </is>
      </c>
      <c r="L1849" t="inlineStr">
        <is>
          <t>11.000000000000</t>
        </is>
      </c>
      <c r="M1849" t="inlineStr"/>
    </row>
    <row r="1850">
      <c r="A1850" t="inlineStr">
        <is>
          <t>06/25/2026</t>
        </is>
      </c>
      <c r="B1850" t="inlineStr">
        <is>
          <t>WNDR</t>
        </is>
      </c>
      <c r="C1850" s="1" t="inlineStr">
        <is>
          <t>CHH</t>
        </is>
      </c>
      <c r="D1850" s="1" t="inlineStr">
        <is>
          <t>169905106</t>
        </is>
      </c>
      <c r="E1850" t="inlineStr">
        <is>
          <t>Choice Hotels International Inc</t>
        </is>
      </c>
      <c r="F1850" t="inlineStr">
        <is>
          <t>88.00000000</t>
        </is>
      </c>
      <c r="G1850" t="inlineStr">
        <is>
          <t>112.040000</t>
        </is>
      </c>
      <c r="H1850" t="inlineStr">
        <is>
          <t>9859.52</t>
        </is>
      </c>
      <c r="I1850" t="inlineStr">
        <is>
          <t>0.63%</t>
        </is>
      </c>
      <c r="J1850" t="inlineStr">
        <is>
          <t>1554773.00</t>
        </is>
      </c>
      <c r="K1850" t="inlineStr">
        <is>
          <t>55000</t>
        </is>
      </c>
      <c r="L1850" t="inlineStr">
        <is>
          <t>11.000000000000</t>
        </is>
      </c>
      <c r="M1850" t="inlineStr"/>
    </row>
    <row r="1851">
      <c r="A1851" t="inlineStr">
        <is>
          <t>06/25/2026</t>
        </is>
      </c>
      <c r="B1851" t="inlineStr">
        <is>
          <t>WNDR</t>
        </is>
      </c>
      <c r="C1851" s="1" t="inlineStr">
        <is>
          <t>CPA</t>
        </is>
      </c>
      <c r="D1851" s="1" t="inlineStr">
        <is>
          <t>P31076105</t>
        </is>
      </c>
      <c r="E1851" t="inlineStr">
        <is>
          <t>Copa Holdings SA</t>
        </is>
      </c>
      <c r="F1851" t="inlineStr">
        <is>
          <t>99.00000000</t>
        </is>
      </c>
      <c r="G1851" t="inlineStr">
        <is>
          <t>156.860000</t>
        </is>
      </c>
      <c r="H1851" t="inlineStr">
        <is>
          <t>15529.14</t>
        </is>
      </c>
      <c r="I1851" t="inlineStr">
        <is>
          <t>1.00%</t>
        </is>
      </c>
      <c r="J1851" t="inlineStr">
        <is>
          <t>1554773.00</t>
        </is>
      </c>
      <c r="K1851" t="inlineStr">
        <is>
          <t>55000</t>
        </is>
      </c>
      <c r="L1851" t="inlineStr">
        <is>
          <t>11.000000000000</t>
        </is>
      </c>
      <c r="M1851" t="inlineStr"/>
    </row>
    <row r="1852">
      <c r="A1852" t="inlineStr">
        <is>
          <t>06/25/2026</t>
        </is>
      </c>
      <c r="B1852" t="inlineStr">
        <is>
          <t>WNDR</t>
        </is>
      </c>
      <c r="C1852" s="1" t="inlineStr">
        <is>
          <t>CZR</t>
        </is>
      </c>
      <c r="D1852" s="1" t="inlineStr">
        <is>
          <t>12769G100</t>
        </is>
      </c>
      <c r="E1852" t="inlineStr">
        <is>
          <t>Caesars Entertainment Inc</t>
        </is>
      </c>
      <c r="F1852" t="inlineStr">
        <is>
          <t>528.00000000</t>
        </is>
      </c>
      <c r="G1852" t="inlineStr">
        <is>
          <t>29.600000</t>
        </is>
      </c>
      <c r="H1852" t="inlineStr">
        <is>
          <t>15628.80</t>
        </is>
      </c>
      <c r="I1852" t="inlineStr">
        <is>
          <t>1.01%</t>
        </is>
      </c>
      <c r="J1852" t="inlineStr">
        <is>
          <t>1554773.00</t>
        </is>
      </c>
      <c r="K1852" t="inlineStr">
        <is>
          <t>55000</t>
        </is>
      </c>
      <c r="L1852" t="inlineStr">
        <is>
          <t>11.000000000000</t>
        </is>
      </c>
      <c r="M1852" t="inlineStr"/>
    </row>
    <row r="1853">
      <c r="A1853" t="inlineStr">
        <is>
          <t>06/25/2026</t>
        </is>
      </c>
      <c r="B1853" t="inlineStr">
        <is>
          <t>WNDR</t>
        </is>
      </c>
      <c r="C1853" s="1" t="inlineStr">
        <is>
          <t>DAL</t>
        </is>
      </c>
      <c r="D1853" s="1" t="inlineStr">
        <is>
          <t>247361702</t>
        </is>
      </c>
      <c r="E1853" t="inlineStr">
        <is>
          <t>Delta Air Lines Inc</t>
        </is>
      </c>
      <c r="F1853" t="inlineStr">
        <is>
          <t>649.00000000</t>
        </is>
      </c>
      <c r="G1853" t="inlineStr">
        <is>
          <t>90.650000</t>
        </is>
      </c>
      <c r="H1853" t="inlineStr">
        <is>
          <t>58831.85</t>
        </is>
      </c>
      <c r="I1853" t="inlineStr">
        <is>
          <t>3.78%</t>
        </is>
      </c>
      <c r="J1853" t="inlineStr">
        <is>
          <t>1554773.00</t>
        </is>
      </c>
      <c r="K1853" t="inlineStr">
        <is>
          <t>55000</t>
        </is>
      </c>
      <c r="L1853" t="inlineStr">
        <is>
          <t>11.000000000000</t>
        </is>
      </c>
      <c r="M1853" t="inlineStr"/>
    </row>
    <row r="1854">
      <c r="A1854" t="inlineStr">
        <is>
          <t>06/25/2026</t>
        </is>
      </c>
      <c r="B1854" t="inlineStr">
        <is>
          <t>WNDR</t>
        </is>
      </c>
      <c r="C1854" s="1" t="inlineStr">
        <is>
          <t>DIS</t>
        </is>
      </c>
      <c r="D1854" s="1" t="inlineStr">
        <is>
          <t>254687106</t>
        </is>
      </c>
      <c r="E1854" t="inlineStr">
        <is>
          <t>Walt Disney Co/The</t>
        </is>
      </c>
      <c r="F1854" t="inlineStr">
        <is>
          <t>880.00000000</t>
        </is>
      </c>
      <c r="G1854" t="inlineStr">
        <is>
          <t>101.120000</t>
        </is>
      </c>
      <c r="H1854" t="inlineStr">
        <is>
          <t>88985.60</t>
        </is>
      </c>
      <c r="I1854" t="inlineStr">
        <is>
          <t>5.72%</t>
        </is>
      </c>
      <c r="J1854" t="inlineStr">
        <is>
          <t>1554773.00</t>
        </is>
      </c>
      <c r="K1854" t="inlineStr">
        <is>
          <t>55000</t>
        </is>
      </c>
      <c r="L1854" t="inlineStr">
        <is>
          <t>11.000000000000</t>
        </is>
      </c>
      <c r="M1854" t="inlineStr"/>
    </row>
    <row r="1855">
      <c r="A1855" t="inlineStr">
        <is>
          <t>06/25/2026</t>
        </is>
      </c>
      <c r="B1855" t="inlineStr">
        <is>
          <t>WNDR</t>
        </is>
      </c>
      <c r="C1855" s="1" t="inlineStr">
        <is>
          <t>DRH</t>
        </is>
      </c>
      <c r="D1855" s="1" t="inlineStr">
        <is>
          <t>252784301</t>
        </is>
      </c>
      <c r="E1855" t="inlineStr">
        <is>
          <t>DiamondRock Hospitality Co</t>
        </is>
      </c>
      <c r="F1855" t="inlineStr">
        <is>
          <t>891.00000000</t>
        </is>
      </c>
      <c r="G1855" t="inlineStr">
        <is>
          <t>12.190000</t>
        </is>
      </c>
      <c r="H1855" t="inlineStr">
        <is>
          <t>10861.29</t>
        </is>
      </c>
      <c r="I1855" t="inlineStr">
        <is>
          <t>0.70%</t>
        </is>
      </c>
      <c r="J1855" t="inlineStr">
        <is>
          <t>1554773.00</t>
        </is>
      </c>
      <c r="K1855" t="inlineStr">
        <is>
          <t>55000</t>
        </is>
      </c>
      <c r="L1855" t="inlineStr">
        <is>
          <t>11.000000000000</t>
        </is>
      </c>
      <c r="M1855" t="inlineStr"/>
    </row>
    <row r="1856">
      <c r="A1856" t="inlineStr">
        <is>
          <t>06/25/2026</t>
        </is>
      </c>
      <c r="B1856" t="inlineStr">
        <is>
          <t>WNDR</t>
        </is>
      </c>
      <c r="C1856" s="1" t="inlineStr">
        <is>
          <t>EXPE</t>
        </is>
      </c>
      <c r="D1856" s="1" t="inlineStr">
        <is>
          <t>30212P303</t>
        </is>
      </c>
      <c r="E1856" t="inlineStr">
        <is>
          <t>Expedia Group Inc</t>
        </is>
      </c>
      <c r="F1856" t="inlineStr">
        <is>
          <t>132.00000000</t>
        </is>
      </c>
      <c r="G1856" t="inlineStr">
        <is>
          <t>262.150000</t>
        </is>
      </c>
      <c r="H1856" t="inlineStr">
        <is>
          <t>34603.80</t>
        </is>
      </c>
      <c r="I1856" t="inlineStr">
        <is>
          <t>2.23%</t>
        </is>
      </c>
      <c r="J1856" t="inlineStr">
        <is>
          <t>1554773.00</t>
        </is>
      </c>
      <c r="K1856" t="inlineStr">
        <is>
          <t>55000</t>
        </is>
      </c>
      <c r="L1856" t="inlineStr">
        <is>
          <t>11.000000000000</t>
        </is>
      </c>
      <c r="M1856" t="inlineStr"/>
    </row>
    <row r="1857">
      <c r="A1857" t="inlineStr">
        <is>
          <t>06/25/2026</t>
        </is>
      </c>
      <c r="B1857" t="inlineStr">
        <is>
          <t>WNDR</t>
        </is>
      </c>
      <c r="C1857" s="1" t="inlineStr">
        <is>
          <t>FGXXX</t>
        </is>
      </c>
      <c r="D1857" s="1" t="inlineStr">
        <is>
          <t>31846V336</t>
        </is>
      </c>
      <c r="E1857" t="inlineStr">
        <is>
          <t>First American Government Obligations Fund 12/01/2031</t>
        </is>
      </c>
      <c r="F1857" t="inlineStr">
        <is>
          <t>64886.28000000</t>
        </is>
      </c>
      <c r="G1857" t="inlineStr">
        <is>
          <t>100.000000</t>
        </is>
      </c>
      <c r="H1857" t="inlineStr">
        <is>
          <t>64886.28</t>
        </is>
      </c>
      <c r="I1857" t="inlineStr">
        <is>
          <t>4.17%</t>
        </is>
      </c>
      <c r="J1857" t="inlineStr">
        <is>
          <t>1554773.00</t>
        </is>
      </c>
      <c r="K1857" t="inlineStr">
        <is>
          <t>55000</t>
        </is>
      </c>
      <c r="L1857" t="inlineStr">
        <is>
          <t>11.000000000000</t>
        </is>
      </c>
      <c r="M1857" t="inlineStr">
        <is>
          <t>Y</t>
        </is>
      </c>
    </row>
    <row r="1858">
      <c r="A1858" t="inlineStr">
        <is>
          <t>06/25/2026</t>
        </is>
      </c>
      <c r="B1858" t="inlineStr">
        <is>
          <t>WNDR</t>
        </is>
      </c>
      <c r="C1858" s="1" t="inlineStr">
        <is>
          <t>FLYW</t>
        </is>
      </c>
      <c r="D1858" s="1" t="inlineStr">
        <is>
          <t>302492103</t>
        </is>
      </c>
      <c r="E1858" t="inlineStr">
        <is>
          <t>Flywire Corp</t>
        </is>
      </c>
      <c r="F1858" t="inlineStr">
        <is>
          <t>550.00000000</t>
        </is>
      </c>
      <c r="G1858" t="inlineStr">
        <is>
          <t>16.540000</t>
        </is>
      </c>
      <c r="H1858" t="inlineStr">
        <is>
          <t>9097.00</t>
        </is>
      </c>
      <c r="I1858" t="inlineStr">
        <is>
          <t>0.59%</t>
        </is>
      </c>
      <c r="J1858" t="inlineStr">
        <is>
          <t>1554773.00</t>
        </is>
      </c>
      <c r="K1858" t="inlineStr">
        <is>
          <t>55000</t>
        </is>
      </c>
      <c r="L1858" t="inlineStr">
        <is>
          <t>11.000000000000</t>
        </is>
      </c>
      <c r="M1858" t="inlineStr"/>
    </row>
    <row r="1859">
      <c r="A1859" t="inlineStr">
        <is>
          <t>06/25/2026</t>
        </is>
      </c>
      <c r="B1859" t="inlineStr">
        <is>
          <t>WNDR</t>
        </is>
      </c>
      <c r="C1859" s="1" t="inlineStr">
        <is>
          <t>FOUR</t>
        </is>
      </c>
      <c r="D1859" s="1" t="inlineStr">
        <is>
          <t>82452J109</t>
        </is>
      </c>
      <c r="E1859" t="inlineStr">
        <is>
          <t>Shift4 Payments Inc</t>
        </is>
      </c>
      <c r="F1859" t="inlineStr">
        <is>
          <t>231.00000000</t>
        </is>
      </c>
      <c r="G1859" t="inlineStr">
        <is>
          <t>44.220000</t>
        </is>
      </c>
      <c r="H1859" t="inlineStr">
        <is>
          <t>10214.82</t>
        </is>
      </c>
      <c r="I1859" t="inlineStr">
        <is>
          <t>0.66%</t>
        </is>
      </c>
      <c r="J1859" t="inlineStr">
        <is>
          <t>1554773.00</t>
        </is>
      </c>
      <c r="K1859" t="inlineStr">
        <is>
          <t>55000</t>
        </is>
      </c>
      <c r="L1859" t="inlineStr">
        <is>
          <t>11.000000000000</t>
        </is>
      </c>
      <c r="M1859" t="inlineStr"/>
    </row>
    <row r="1860">
      <c r="A1860" t="inlineStr">
        <is>
          <t>06/25/2026</t>
        </is>
      </c>
      <c r="B1860" t="inlineStr">
        <is>
          <t>WNDR</t>
        </is>
      </c>
      <c r="C1860" s="1" t="inlineStr">
        <is>
          <t>FUN</t>
        </is>
      </c>
      <c r="D1860" s="1" t="inlineStr">
        <is>
          <t>83001C108</t>
        </is>
      </c>
      <c r="E1860" t="inlineStr">
        <is>
          <t>Six Flags Entertainment Corp</t>
        </is>
      </c>
      <c r="F1860" t="inlineStr">
        <is>
          <t>462.00000000</t>
        </is>
      </c>
      <c r="G1860" t="inlineStr">
        <is>
          <t>23.020000</t>
        </is>
      </c>
      <c r="H1860" t="inlineStr">
        <is>
          <t>10635.24</t>
        </is>
      </c>
      <c r="I1860" t="inlineStr">
        <is>
          <t>0.68%</t>
        </is>
      </c>
      <c r="J1860" t="inlineStr">
        <is>
          <t>1554773.00</t>
        </is>
      </c>
      <c r="K1860" t="inlineStr">
        <is>
          <t>55000</t>
        </is>
      </c>
      <c r="L1860" t="inlineStr">
        <is>
          <t>11.000000000000</t>
        </is>
      </c>
      <c r="M1860" t="inlineStr"/>
    </row>
    <row r="1861">
      <c r="A1861" t="inlineStr">
        <is>
          <t>06/25/2026</t>
        </is>
      </c>
      <c r="B1861" t="inlineStr">
        <is>
          <t>WNDR</t>
        </is>
      </c>
      <c r="C1861" s="1" t="inlineStr">
        <is>
          <t>GBTG</t>
        </is>
      </c>
      <c r="D1861" s="1" t="inlineStr">
        <is>
          <t>37890B100</t>
        </is>
      </c>
      <c r="E1861" t="inlineStr">
        <is>
          <t>Global Business Travel Group I</t>
        </is>
      </c>
      <c r="F1861" t="inlineStr">
        <is>
          <t>1133.00000000</t>
        </is>
      </c>
      <c r="G1861" t="inlineStr">
        <is>
          <t>9.380000</t>
        </is>
      </c>
      <c r="H1861" t="inlineStr">
        <is>
          <t>10627.54</t>
        </is>
      </c>
      <c r="I1861" t="inlineStr">
        <is>
          <t>0.68%</t>
        </is>
      </c>
      <c r="J1861" t="inlineStr">
        <is>
          <t>1554773.00</t>
        </is>
      </c>
      <c r="K1861" t="inlineStr">
        <is>
          <t>55000</t>
        </is>
      </c>
      <c r="L1861" t="inlineStr">
        <is>
          <t>11.000000000000</t>
        </is>
      </c>
      <c r="M1861" t="inlineStr"/>
    </row>
    <row r="1862">
      <c r="A1862" t="inlineStr">
        <is>
          <t>06/25/2026</t>
        </is>
      </c>
      <c r="B1862" t="inlineStr">
        <is>
          <t>WNDR</t>
        </is>
      </c>
      <c r="C1862" s="1" t="inlineStr">
        <is>
          <t>H</t>
        </is>
      </c>
      <c r="D1862" s="1" t="inlineStr">
        <is>
          <t>448579102</t>
        </is>
      </c>
      <c r="E1862" t="inlineStr">
        <is>
          <t>Hyatt Hotels Corp</t>
        </is>
      </c>
      <c r="F1862" t="inlineStr">
        <is>
          <t>99.00000000</t>
        </is>
      </c>
      <c r="G1862" t="inlineStr">
        <is>
          <t>197.320000</t>
        </is>
      </c>
      <c r="H1862" t="inlineStr">
        <is>
          <t>19534.68</t>
        </is>
      </c>
      <c r="I1862" t="inlineStr">
        <is>
          <t>1.26%</t>
        </is>
      </c>
      <c r="J1862" t="inlineStr">
        <is>
          <t>1554773.00</t>
        </is>
      </c>
      <c r="K1862" t="inlineStr">
        <is>
          <t>55000</t>
        </is>
      </c>
      <c r="L1862" t="inlineStr">
        <is>
          <t>11.000000000000</t>
        </is>
      </c>
      <c r="M1862" t="inlineStr"/>
    </row>
    <row r="1863">
      <c r="A1863" t="inlineStr">
        <is>
          <t>06/25/2026</t>
        </is>
      </c>
      <c r="B1863" t="inlineStr">
        <is>
          <t>WNDR</t>
        </is>
      </c>
      <c r="C1863" s="1" t="inlineStr">
        <is>
          <t>HGV</t>
        </is>
      </c>
      <c r="D1863" s="1" t="inlineStr">
        <is>
          <t>43283X105</t>
        </is>
      </c>
      <c r="E1863" t="inlineStr">
        <is>
          <t>Hilton Grand Vacations Inc</t>
        </is>
      </c>
      <c r="F1863" t="inlineStr">
        <is>
          <t>220.00000000</t>
        </is>
      </c>
      <c r="G1863" t="inlineStr">
        <is>
          <t>54.670000</t>
        </is>
      </c>
      <c r="H1863" t="inlineStr">
        <is>
          <t>12027.40</t>
        </is>
      </c>
      <c r="I1863" t="inlineStr">
        <is>
          <t>0.77%</t>
        </is>
      </c>
      <c r="J1863" t="inlineStr">
        <is>
          <t>1554773.00</t>
        </is>
      </c>
      <c r="K1863" t="inlineStr">
        <is>
          <t>55000</t>
        </is>
      </c>
      <c r="L1863" t="inlineStr">
        <is>
          <t>11.000000000000</t>
        </is>
      </c>
      <c r="M1863" t="inlineStr"/>
    </row>
    <row r="1864">
      <c r="A1864" t="inlineStr">
        <is>
          <t>06/25/2026</t>
        </is>
      </c>
      <c r="B1864" t="inlineStr">
        <is>
          <t>WNDR</t>
        </is>
      </c>
      <c r="C1864" s="1" t="inlineStr">
        <is>
          <t>HLT</t>
        </is>
      </c>
      <c r="D1864" s="1" t="inlineStr">
        <is>
          <t>43300A203</t>
        </is>
      </c>
      <c r="E1864" t="inlineStr">
        <is>
          <t>Hilton Worldwide Holdings Inc</t>
        </is>
      </c>
      <c r="F1864" t="inlineStr">
        <is>
          <t>165.00000000</t>
        </is>
      </c>
      <c r="G1864" t="inlineStr">
        <is>
          <t>343.420000</t>
        </is>
      </c>
      <c r="H1864" t="inlineStr">
        <is>
          <t>56664.30</t>
        </is>
      </c>
      <c r="I1864" t="inlineStr">
        <is>
          <t>3.64%</t>
        </is>
      </c>
      <c r="J1864" t="inlineStr">
        <is>
          <t>1554773.00</t>
        </is>
      </c>
      <c r="K1864" t="inlineStr">
        <is>
          <t>55000</t>
        </is>
      </c>
      <c r="L1864" t="inlineStr">
        <is>
          <t>11.000000000000</t>
        </is>
      </c>
      <c r="M1864" t="inlineStr"/>
    </row>
    <row r="1865">
      <c r="A1865" t="inlineStr">
        <is>
          <t>06/25/2026</t>
        </is>
      </c>
      <c r="B1865" t="inlineStr">
        <is>
          <t>WNDR</t>
        </is>
      </c>
      <c r="C1865" s="1" t="inlineStr">
        <is>
          <t>HST</t>
        </is>
      </c>
      <c r="D1865" s="1" t="inlineStr">
        <is>
          <t>44107P104</t>
        </is>
      </c>
      <c r="E1865" t="inlineStr">
        <is>
          <t>Host Hotels &amp; Resorts Inc</t>
        </is>
      </c>
      <c r="F1865" t="inlineStr">
        <is>
          <t>1144.00000000</t>
        </is>
      </c>
      <c r="G1865" t="inlineStr">
        <is>
          <t>24.580000</t>
        </is>
      </c>
      <c r="H1865" t="inlineStr">
        <is>
          <t>28119.52</t>
        </is>
      </c>
      <c r="I1865" t="inlineStr">
        <is>
          <t>1.81%</t>
        </is>
      </c>
      <c r="J1865" t="inlineStr">
        <is>
          <t>1554773.00</t>
        </is>
      </c>
      <c r="K1865" t="inlineStr">
        <is>
          <t>55000</t>
        </is>
      </c>
      <c r="L1865" t="inlineStr">
        <is>
          <t>11.000000000000</t>
        </is>
      </c>
      <c r="M1865" t="inlineStr"/>
    </row>
    <row r="1866">
      <c r="A1866" t="inlineStr">
        <is>
          <t>06/25/2026</t>
        </is>
      </c>
      <c r="B1866" t="inlineStr">
        <is>
          <t>WNDR</t>
        </is>
      </c>
      <c r="C1866" s="1" t="inlineStr">
        <is>
          <t>HTHT</t>
        </is>
      </c>
      <c r="D1866" s="1" t="inlineStr">
        <is>
          <t>44332N106</t>
        </is>
      </c>
      <c r="E1866" t="inlineStr">
        <is>
          <t>H World Group Ltd</t>
        </is>
      </c>
      <c r="F1866" t="inlineStr">
        <is>
          <t>506.00000000</t>
        </is>
      </c>
      <c r="G1866" t="inlineStr">
        <is>
          <t>41.770000</t>
        </is>
      </c>
      <c r="H1866" t="inlineStr">
        <is>
          <t>21135.62</t>
        </is>
      </c>
      <c r="I1866" t="inlineStr">
        <is>
          <t>1.36%</t>
        </is>
      </c>
      <c r="J1866" t="inlineStr">
        <is>
          <t>1554773.00</t>
        </is>
      </c>
      <c r="K1866" t="inlineStr">
        <is>
          <t>55000</t>
        </is>
      </c>
      <c r="L1866" t="inlineStr">
        <is>
          <t>11.000000000000</t>
        </is>
      </c>
      <c r="M1866" t="inlineStr"/>
    </row>
    <row r="1867">
      <c r="A1867" t="inlineStr">
        <is>
          <t>06/25/2026</t>
        </is>
      </c>
      <c r="B1867" t="inlineStr">
        <is>
          <t>WNDR</t>
        </is>
      </c>
      <c r="C1867" s="1" t="inlineStr">
        <is>
          <t>HTZ</t>
        </is>
      </c>
      <c r="D1867" s="1" t="inlineStr">
        <is>
          <t>42806J700</t>
        </is>
      </c>
      <c r="E1867" t="inlineStr">
        <is>
          <t>Hertz Global Holdings Inc</t>
        </is>
      </c>
      <c r="F1867" t="inlineStr">
        <is>
          <t>869.00000000</t>
        </is>
      </c>
      <c r="G1867" t="inlineStr">
        <is>
          <t>3.000000</t>
        </is>
      </c>
      <c r="H1867" t="inlineStr">
        <is>
          <t>2607.00</t>
        </is>
      </c>
      <c r="I1867" t="inlineStr">
        <is>
          <t>0.17%</t>
        </is>
      </c>
      <c r="J1867" t="inlineStr">
        <is>
          <t>1554773.00</t>
        </is>
      </c>
      <c r="K1867" t="inlineStr">
        <is>
          <t>55000</t>
        </is>
      </c>
      <c r="L1867" t="inlineStr">
        <is>
          <t>11.000000000000</t>
        </is>
      </c>
      <c r="M1867" t="inlineStr"/>
    </row>
    <row r="1868">
      <c r="A1868" t="inlineStr">
        <is>
          <t>06/25/2026</t>
        </is>
      </c>
      <c r="B1868" t="inlineStr">
        <is>
          <t>WNDR</t>
        </is>
      </c>
      <c r="C1868" s="1" t="inlineStr">
        <is>
          <t>IHG</t>
        </is>
      </c>
      <c r="D1868" s="1" t="inlineStr">
        <is>
          <t>45857P806</t>
        </is>
      </c>
      <c r="E1868" t="inlineStr">
        <is>
          <t>InterContinental Hotels Group PLC</t>
        </is>
      </c>
      <c r="F1868" t="inlineStr">
        <is>
          <t>209.00000000</t>
        </is>
      </c>
      <c r="G1868" t="inlineStr">
        <is>
          <t>172.700000</t>
        </is>
      </c>
      <c r="H1868" t="inlineStr">
        <is>
          <t>36094.30</t>
        </is>
      </c>
      <c r="I1868" t="inlineStr">
        <is>
          <t>2.32%</t>
        </is>
      </c>
      <c r="J1868" t="inlineStr">
        <is>
          <t>1554773.00</t>
        </is>
      </c>
      <c r="K1868" t="inlineStr">
        <is>
          <t>55000</t>
        </is>
      </c>
      <c r="L1868" t="inlineStr">
        <is>
          <t>11.000000000000</t>
        </is>
      </c>
      <c r="M1868" t="inlineStr"/>
    </row>
    <row r="1869">
      <c r="A1869" t="inlineStr">
        <is>
          <t>06/25/2026</t>
        </is>
      </c>
      <c r="B1869" t="inlineStr">
        <is>
          <t>WNDR</t>
        </is>
      </c>
      <c r="C1869" s="1" t="inlineStr">
        <is>
          <t>JBLU</t>
        </is>
      </c>
      <c r="D1869" s="1" t="inlineStr">
        <is>
          <t>477143101</t>
        </is>
      </c>
      <c r="E1869" t="inlineStr">
        <is>
          <t>JetBlue Airways Corp</t>
        </is>
      </c>
      <c r="F1869" t="inlineStr">
        <is>
          <t>1452.00000000</t>
        </is>
      </c>
      <c r="G1869" t="inlineStr">
        <is>
          <t>5.790000</t>
        </is>
      </c>
      <c r="H1869" t="inlineStr">
        <is>
          <t>8407.08</t>
        </is>
      </c>
      <c r="I1869" t="inlineStr">
        <is>
          <t>0.54%</t>
        </is>
      </c>
      <c r="J1869" t="inlineStr">
        <is>
          <t>1554773.00</t>
        </is>
      </c>
      <c r="K1869" t="inlineStr">
        <is>
          <t>55000</t>
        </is>
      </c>
      <c r="L1869" t="inlineStr">
        <is>
          <t>11.000000000000</t>
        </is>
      </c>
      <c r="M1869" t="inlineStr"/>
    </row>
    <row r="1870">
      <c r="A1870" t="inlineStr">
        <is>
          <t>06/25/2026</t>
        </is>
      </c>
      <c r="B1870" t="inlineStr">
        <is>
          <t>WNDR</t>
        </is>
      </c>
      <c r="C1870" s="1" t="inlineStr">
        <is>
          <t>LIND</t>
        </is>
      </c>
      <c r="D1870" s="1" t="inlineStr">
        <is>
          <t>535219109</t>
        </is>
      </c>
      <c r="E1870" t="inlineStr">
        <is>
          <t>Lindblad Expeditions Holdings Inc</t>
        </is>
      </c>
      <c r="F1870" t="inlineStr">
        <is>
          <t>330.00000000</t>
        </is>
      </c>
      <c r="G1870" t="inlineStr">
        <is>
          <t>26.980000</t>
        </is>
      </c>
      <c r="H1870" t="inlineStr">
        <is>
          <t>8903.40</t>
        </is>
      </c>
      <c r="I1870" t="inlineStr">
        <is>
          <t>0.57%</t>
        </is>
      </c>
      <c r="J1870" t="inlineStr">
        <is>
          <t>1554773.00</t>
        </is>
      </c>
      <c r="K1870" t="inlineStr">
        <is>
          <t>55000</t>
        </is>
      </c>
      <c r="L1870" t="inlineStr">
        <is>
          <t>11.000000000000</t>
        </is>
      </c>
      <c r="M1870" t="inlineStr"/>
    </row>
    <row r="1871">
      <c r="A1871" t="inlineStr">
        <is>
          <t>06/25/2026</t>
        </is>
      </c>
      <c r="B1871" t="inlineStr">
        <is>
          <t>WNDR</t>
        </is>
      </c>
      <c r="C1871" s="1" t="inlineStr">
        <is>
          <t>LUV</t>
        </is>
      </c>
      <c r="D1871" s="1" t="inlineStr">
        <is>
          <t>844741108</t>
        </is>
      </c>
      <c r="E1871" t="inlineStr">
        <is>
          <t>Southwest Airlines Co</t>
        </is>
      </c>
      <c r="F1871" t="inlineStr">
        <is>
          <t>726.00000000</t>
        </is>
      </c>
      <c r="G1871" t="inlineStr">
        <is>
          <t>50.940000</t>
        </is>
      </c>
      <c r="H1871" t="inlineStr">
        <is>
          <t>36982.44</t>
        </is>
      </c>
      <c r="I1871" t="inlineStr">
        <is>
          <t>2.38%</t>
        </is>
      </c>
      <c r="J1871" t="inlineStr">
        <is>
          <t>1554773.00</t>
        </is>
      </c>
      <c r="K1871" t="inlineStr">
        <is>
          <t>55000</t>
        </is>
      </c>
      <c r="L1871" t="inlineStr">
        <is>
          <t>11.000000000000</t>
        </is>
      </c>
      <c r="M1871" t="inlineStr"/>
    </row>
    <row r="1872">
      <c r="A1872" t="inlineStr">
        <is>
          <t>06/25/2026</t>
        </is>
      </c>
      <c r="B1872" t="inlineStr">
        <is>
          <t>WNDR</t>
        </is>
      </c>
      <c r="C1872" s="1" t="inlineStr">
        <is>
          <t>LVS</t>
        </is>
      </c>
      <c r="D1872" s="1" t="inlineStr">
        <is>
          <t>517834107</t>
        </is>
      </c>
      <c r="E1872" t="inlineStr">
        <is>
          <t>Las Vegas Sands Corp</t>
        </is>
      </c>
      <c r="F1872" t="inlineStr">
        <is>
          <t>506.00000000</t>
        </is>
      </c>
      <c r="G1872" t="inlineStr">
        <is>
          <t>47.760000</t>
        </is>
      </c>
      <c r="H1872" t="inlineStr">
        <is>
          <t>24166.56</t>
        </is>
      </c>
      <c r="I1872" t="inlineStr">
        <is>
          <t>1.55%</t>
        </is>
      </c>
      <c r="J1872" t="inlineStr">
        <is>
          <t>1554773.00</t>
        </is>
      </c>
      <c r="K1872" t="inlineStr">
        <is>
          <t>55000</t>
        </is>
      </c>
      <c r="L1872" t="inlineStr">
        <is>
          <t>11.000000000000</t>
        </is>
      </c>
      <c r="M1872" t="inlineStr"/>
    </row>
    <row r="1873">
      <c r="A1873" t="inlineStr">
        <is>
          <t>06/25/2026</t>
        </is>
      </c>
      <c r="B1873" t="inlineStr">
        <is>
          <t>WNDR</t>
        </is>
      </c>
      <c r="C1873" s="1" t="inlineStr">
        <is>
          <t>LYFT</t>
        </is>
      </c>
      <c r="D1873" s="1" t="inlineStr">
        <is>
          <t>55087P104</t>
        </is>
      </c>
      <c r="E1873" t="inlineStr">
        <is>
          <t>Lyft Inc</t>
        </is>
      </c>
      <c r="F1873" t="inlineStr">
        <is>
          <t>1045.00000000</t>
        </is>
      </c>
      <c r="G1873" t="inlineStr">
        <is>
          <t>14.400000</t>
        </is>
      </c>
      <c r="H1873" t="inlineStr">
        <is>
          <t>15048.00</t>
        </is>
      </c>
      <c r="I1873" t="inlineStr">
        <is>
          <t>0.97%</t>
        </is>
      </c>
      <c r="J1873" t="inlineStr">
        <is>
          <t>1554773.00</t>
        </is>
      </c>
      <c r="K1873" t="inlineStr">
        <is>
          <t>55000</t>
        </is>
      </c>
      <c r="L1873" t="inlineStr">
        <is>
          <t>11.000000000000</t>
        </is>
      </c>
      <c r="M1873" t="inlineStr"/>
    </row>
    <row r="1874">
      <c r="A1874" t="inlineStr">
        <is>
          <t>06/25/2026</t>
        </is>
      </c>
      <c r="B1874" t="inlineStr">
        <is>
          <t>WNDR</t>
        </is>
      </c>
      <c r="C1874" s="1" t="inlineStr">
        <is>
          <t>LYV</t>
        </is>
      </c>
      <c r="D1874" s="1" t="inlineStr">
        <is>
          <t>538034109</t>
        </is>
      </c>
      <c r="E1874" t="inlineStr">
        <is>
          <t>Live Nation Entertainment Inc</t>
        </is>
      </c>
      <c r="F1874" t="inlineStr">
        <is>
          <t>209.00000000</t>
        </is>
      </c>
      <c r="G1874" t="inlineStr">
        <is>
          <t>171.470000</t>
        </is>
      </c>
      <c r="H1874" t="inlineStr">
        <is>
          <t>35837.23</t>
        </is>
      </c>
      <c r="I1874" t="inlineStr">
        <is>
          <t>2.30%</t>
        </is>
      </c>
      <c r="J1874" t="inlineStr">
        <is>
          <t>1554773.00</t>
        </is>
      </c>
      <c r="K1874" t="inlineStr">
        <is>
          <t>55000</t>
        </is>
      </c>
      <c r="L1874" t="inlineStr">
        <is>
          <t>11.000000000000</t>
        </is>
      </c>
      <c r="M1874" t="inlineStr"/>
    </row>
    <row r="1875">
      <c r="A1875" t="inlineStr">
        <is>
          <t>06/25/2026</t>
        </is>
      </c>
      <c r="B1875" t="inlineStr">
        <is>
          <t>WNDR</t>
        </is>
      </c>
      <c r="C1875" s="1" t="inlineStr">
        <is>
          <t>MAR</t>
        </is>
      </c>
      <c r="D1875" s="1" t="inlineStr">
        <is>
          <t>571903202</t>
        </is>
      </c>
      <c r="E1875" t="inlineStr">
        <is>
          <t>Marriott International Inc/MD</t>
        </is>
      </c>
      <c r="F1875" t="inlineStr">
        <is>
          <t>154.00000000</t>
        </is>
      </c>
      <c r="G1875" t="inlineStr">
        <is>
          <t>383.560000</t>
        </is>
      </c>
      <c r="H1875" t="inlineStr">
        <is>
          <t>59068.24</t>
        </is>
      </c>
      <c r="I1875" t="inlineStr">
        <is>
          <t>3.80%</t>
        </is>
      </c>
      <c r="J1875" t="inlineStr">
        <is>
          <t>1554773.00</t>
        </is>
      </c>
      <c r="K1875" t="inlineStr">
        <is>
          <t>55000</t>
        </is>
      </c>
      <c r="L1875" t="inlineStr">
        <is>
          <t>11.000000000000</t>
        </is>
      </c>
      <c r="M1875" t="inlineStr"/>
    </row>
    <row r="1876">
      <c r="A1876" t="inlineStr">
        <is>
          <t>06/25/2026</t>
        </is>
      </c>
      <c r="B1876" t="inlineStr">
        <is>
          <t>WNDR</t>
        </is>
      </c>
      <c r="C1876" s="1" t="inlineStr">
        <is>
          <t>MGM</t>
        </is>
      </c>
      <c r="D1876" s="1" t="inlineStr">
        <is>
          <t>552953101</t>
        </is>
      </c>
      <c r="E1876" t="inlineStr">
        <is>
          <t>MGM Resorts International</t>
        </is>
      </c>
      <c r="F1876" t="inlineStr">
        <is>
          <t>429.00000000</t>
        </is>
      </c>
      <c r="G1876" t="inlineStr">
        <is>
          <t>47.090000</t>
        </is>
      </c>
      <c r="H1876" t="inlineStr">
        <is>
          <t>20201.61</t>
        </is>
      </c>
      <c r="I1876" t="inlineStr">
        <is>
          <t>1.30%</t>
        </is>
      </c>
      <c r="J1876" t="inlineStr">
        <is>
          <t>1554773.00</t>
        </is>
      </c>
      <c r="K1876" t="inlineStr">
        <is>
          <t>55000</t>
        </is>
      </c>
      <c r="L1876" t="inlineStr">
        <is>
          <t>11.000000000000</t>
        </is>
      </c>
      <c r="M1876" t="inlineStr"/>
    </row>
    <row r="1877">
      <c r="A1877" t="inlineStr">
        <is>
          <t>06/25/2026</t>
        </is>
      </c>
      <c r="B1877" t="inlineStr">
        <is>
          <t>WNDR</t>
        </is>
      </c>
      <c r="C1877" s="1" t="inlineStr">
        <is>
          <t>MMYT</t>
        </is>
      </c>
      <c r="D1877" s="1" t="inlineStr">
        <is>
          <t>V5633W109</t>
        </is>
      </c>
      <c r="E1877" t="inlineStr">
        <is>
          <t>MakeMyTrip Ltd</t>
        </is>
      </c>
      <c r="F1877" t="inlineStr">
        <is>
          <t>242.00000000</t>
        </is>
      </c>
      <c r="G1877" t="inlineStr">
        <is>
          <t>51.680000</t>
        </is>
      </c>
      <c r="H1877" t="inlineStr">
        <is>
          <t>12506.56</t>
        </is>
      </c>
      <c r="I1877" t="inlineStr">
        <is>
          <t>0.80%</t>
        </is>
      </c>
      <c r="J1877" t="inlineStr">
        <is>
          <t>1554773.00</t>
        </is>
      </c>
      <c r="K1877" t="inlineStr">
        <is>
          <t>55000</t>
        </is>
      </c>
      <c r="L1877" t="inlineStr">
        <is>
          <t>11.000000000000</t>
        </is>
      </c>
      <c r="M1877" t="inlineStr"/>
    </row>
    <row r="1878">
      <c r="A1878" t="inlineStr">
        <is>
          <t>06/25/2026</t>
        </is>
      </c>
      <c r="B1878" t="inlineStr">
        <is>
          <t>WNDR</t>
        </is>
      </c>
      <c r="C1878" s="1" t="inlineStr">
        <is>
          <t>MTN</t>
        </is>
      </c>
      <c r="D1878" s="1" t="inlineStr">
        <is>
          <t>91879Q109</t>
        </is>
      </c>
      <c r="E1878" t="inlineStr">
        <is>
          <t>Vail Resorts Inc</t>
        </is>
      </c>
      <c r="F1878" t="inlineStr">
        <is>
          <t>121.00000000</t>
        </is>
      </c>
      <c r="G1878" t="inlineStr">
        <is>
          <t>142.020000</t>
        </is>
      </c>
      <c r="H1878" t="inlineStr">
        <is>
          <t>17184.42</t>
        </is>
      </c>
      <c r="I1878" t="inlineStr">
        <is>
          <t>1.11%</t>
        </is>
      </c>
      <c r="J1878" t="inlineStr">
        <is>
          <t>1554773.00</t>
        </is>
      </c>
      <c r="K1878" t="inlineStr">
        <is>
          <t>55000</t>
        </is>
      </c>
      <c r="L1878" t="inlineStr">
        <is>
          <t>11.000000000000</t>
        </is>
      </c>
      <c r="M1878" t="inlineStr"/>
    </row>
    <row r="1879">
      <c r="A1879" t="inlineStr">
        <is>
          <t>06/25/2026</t>
        </is>
      </c>
      <c r="B1879" t="inlineStr">
        <is>
          <t>WNDR</t>
        </is>
      </c>
      <c r="C1879" s="1" t="inlineStr">
        <is>
          <t>NAVN</t>
        </is>
      </c>
      <c r="D1879" s="1" t="inlineStr">
        <is>
          <t>639193101</t>
        </is>
      </c>
      <c r="E1879" t="inlineStr">
        <is>
          <t>Navan Inc</t>
        </is>
      </c>
      <c r="F1879" t="inlineStr">
        <is>
          <t>308.00000000</t>
        </is>
      </c>
      <c r="G1879" t="inlineStr">
        <is>
          <t>21.780000</t>
        </is>
      </c>
      <c r="H1879" t="inlineStr">
        <is>
          <t>6708.24</t>
        </is>
      </c>
      <c r="I1879" t="inlineStr">
        <is>
          <t>0.43%</t>
        </is>
      </c>
      <c r="J1879" t="inlineStr">
        <is>
          <t>1554773.00</t>
        </is>
      </c>
      <c r="K1879" t="inlineStr">
        <is>
          <t>55000</t>
        </is>
      </c>
      <c r="L1879" t="inlineStr">
        <is>
          <t>11.000000000000</t>
        </is>
      </c>
      <c r="M1879" t="inlineStr"/>
    </row>
    <row r="1880">
      <c r="A1880" t="inlineStr">
        <is>
          <t>06/25/2026</t>
        </is>
      </c>
      <c r="B1880" t="inlineStr">
        <is>
          <t>WNDR</t>
        </is>
      </c>
      <c r="C1880" s="1" t="inlineStr">
        <is>
          <t>NCLH</t>
        </is>
      </c>
      <c r="D1880" s="1" t="inlineStr">
        <is>
          <t>G66721104</t>
        </is>
      </c>
      <c r="E1880" t="inlineStr">
        <is>
          <t>Norwegian Cruise Line Holdings Ltd</t>
        </is>
      </c>
      <c r="F1880" t="inlineStr">
        <is>
          <t>1045.00000000</t>
        </is>
      </c>
      <c r="G1880" t="inlineStr">
        <is>
          <t>21.010000</t>
        </is>
      </c>
      <c r="H1880" t="inlineStr">
        <is>
          <t>21955.45</t>
        </is>
      </c>
      <c r="I1880" t="inlineStr">
        <is>
          <t>1.41%</t>
        </is>
      </c>
      <c r="J1880" t="inlineStr">
        <is>
          <t>1554773.00</t>
        </is>
      </c>
      <c r="K1880" t="inlineStr">
        <is>
          <t>55000</t>
        </is>
      </c>
      <c r="L1880" t="inlineStr">
        <is>
          <t>11.000000000000</t>
        </is>
      </c>
      <c r="M1880" t="inlineStr"/>
    </row>
    <row r="1881">
      <c r="A1881" t="inlineStr">
        <is>
          <t>06/25/2026</t>
        </is>
      </c>
      <c r="B1881" t="inlineStr">
        <is>
          <t>WNDR</t>
        </is>
      </c>
      <c r="C1881" s="1" t="inlineStr">
        <is>
          <t>PAC</t>
        </is>
      </c>
      <c r="D1881" s="1" t="inlineStr">
        <is>
          <t>400506101</t>
        </is>
      </c>
      <c r="E1881" t="inlineStr">
        <is>
          <t>Grupo Aeroportuario del Pacifico SAB de CV</t>
        </is>
      </c>
      <c r="F1881" t="inlineStr">
        <is>
          <t>88.00000000</t>
        </is>
      </c>
      <c r="G1881" t="inlineStr">
        <is>
          <t>245.580000</t>
        </is>
      </c>
      <c r="H1881" t="inlineStr">
        <is>
          <t>21611.04</t>
        </is>
      </c>
      <c r="I1881" t="inlineStr">
        <is>
          <t>1.39%</t>
        </is>
      </c>
      <c r="J1881" t="inlineStr">
        <is>
          <t>1554773.00</t>
        </is>
      </c>
      <c r="K1881" t="inlineStr">
        <is>
          <t>55000</t>
        </is>
      </c>
      <c r="L1881" t="inlineStr">
        <is>
          <t>11.000000000000</t>
        </is>
      </c>
      <c r="M1881" t="inlineStr"/>
    </row>
    <row r="1882">
      <c r="A1882" t="inlineStr">
        <is>
          <t>06/25/2026</t>
        </is>
      </c>
      <c r="B1882" t="inlineStr">
        <is>
          <t>WNDR</t>
        </is>
      </c>
      <c r="C1882" s="1" t="inlineStr">
        <is>
          <t>PEB</t>
        </is>
      </c>
      <c r="D1882" s="1" t="inlineStr">
        <is>
          <t>70509V100</t>
        </is>
      </c>
      <c r="E1882" t="inlineStr">
        <is>
          <t>Pebblebrook Hotel Trust</t>
        </is>
      </c>
      <c r="F1882" t="inlineStr">
        <is>
          <t>561.00000000</t>
        </is>
      </c>
      <c r="G1882" t="inlineStr">
        <is>
          <t>18.620000</t>
        </is>
      </c>
      <c r="H1882" t="inlineStr">
        <is>
          <t>10445.82</t>
        </is>
      </c>
      <c r="I1882" t="inlineStr">
        <is>
          <t>0.67%</t>
        </is>
      </c>
      <c r="J1882" t="inlineStr">
        <is>
          <t>1554773.00</t>
        </is>
      </c>
      <c r="K1882" t="inlineStr">
        <is>
          <t>55000</t>
        </is>
      </c>
      <c r="L1882" t="inlineStr">
        <is>
          <t>11.000000000000</t>
        </is>
      </c>
      <c r="M1882" t="inlineStr"/>
    </row>
    <row r="1883">
      <c r="A1883" t="inlineStr">
        <is>
          <t>06/25/2026</t>
        </is>
      </c>
      <c r="B1883" t="inlineStr">
        <is>
          <t>WNDR</t>
        </is>
      </c>
      <c r="C1883" s="1" t="inlineStr">
        <is>
          <t>PK</t>
        </is>
      </c>
      <c r="D1883" s="1" t="inlineStr">
        <is>
          <t>700517105</t>
        </is>
      </c>
      <c r="E1883" t="inlineStr">
        <is>
          <t>Park Hotels &amp; Resorts Inc</t>
        </is>
      </c>
      <c r="F1883" t="inlineStr">
        <is>
          <t>825.00000000</t>
        </is>
      </c>
      <c r="G1883" t="inlineStr">
        <is>
          <t>14.340000</t>
        </is>
      </c>
      <c r="H1883" t="inlineStr">
        <is>
          <t>11830.50</t>
        </is>
      </c>
      <c r="I1883" t="inlineStr">
        <is>
          <t>0.76%</t>
        </is>
      </c>
      <c r="J1883" t="inlineStr">
        <is>
          <t>1554773.00</t>
        </is>
      </c>
      <c r="K1883" t="inlineStr">
        <is>
          <t>55000</t>
        </is>
      </c>
      <c r="L1883" t="inlineStr">
        <is>
          <t>11.000000000000</t>
        </is>
      </c>
      <c r="M1883" t="inlineStr"/>
    </row>
    <row r="1884">
      <c r="A1884" t="inlineStr">
        <is>
          <t>06/25/2026</t>
        </is>
      </c>
      <c r="B1884" t="inlineStr">
        <is>
          <t>WNDR</t>
        </is>
      </c>
      <c r="C1884" s="1" t="inlineStr">
        <is>
          <t>PRKS</t>
        </is>
      </c>
      <c r="D1884" s="1" t="inlineStr">
        <is>
          <t>81282V100</t>
        </is>
      </c>
      <c r="E1884" t="inlineStr">
        <is>
          <t>United Parks &amp; Resorts Inc</t>
        </is>
      </c>
      <c r="F1884" t="inlineStr">
        <is>
          <t>154.00000000</t>
        </is>
      </c>
      <c r="G1884" t="inlineStr">
        <is>
          <t>46.870000</t>
        </is>
      </c>
      <c r="H1884" t="inlineStr">
        <is>
          <t>7217.98</t>
        </is>
      </c>
      <c r="I1884" t="inlineStr">
        <is>
          <t>0.46%</t>
        </is>
      </c>
      <c r="J1884" t="inlineStr">
        <is>
          <t>1554773.00</t>
        </is>
      </c>
      <c r="K1884" t="inlineStr">
        <is>
          <t>55000</t>
        </is>
      </c>
      <c r="L1884" t="inlineStr">
        <is>
          <t>11.000000000000</t>
        </is>
      </c>
      <c r="M1884" t="inlineStr"/>
    </row>
    <row r="1885">
      <c r="A1885" t="inlineStr">
        <is>
          <t>06/25/2026</t>
        </is>
      </c>
      <c r="B1885" t="inlineStr">
        <is>
          <t>WNDR</t>
        </is>
      </c>
      <c r="C1885" s="1" t="inlineStr">
        <is>
          <t>RCL</t>
        </is>
      </c>
      <c r="D1885" s="1" t="inlineStr">
        <is>
          <t>V7780T103</t>
        </is>
      </c>
      <c r="E1885" t="inlineStr">
        <is>
          <t>Royal Caribbean Cruises Ltd</t>
        </is>
      </c>
      <c r="F1885" t="inlineStr">
        <is>
          <t>209.00000000</t>
        </is>
      </c>
      <c r="G1885" t="inlineStr">
        <is>
          <t>320.950000</t>
        </is>
      </c>
      <c r="H1885" t="inlineStr">
        <is>
          <t>67078.55</t>
        </is>
      </c>
      <c r="I1885" t="inlineStr">
        <is>
          <t>4.31%</t>
        </is>
      </c>
      <c r="J1885" t="inlineStr">
        <is>
          <t>1554773.00</t>
        </is>
      </c>
      <c r="K1885" t="inlineStr">
        <is>
          <t>55000</t>
        </is>
      </c>
      <c r="L1885" t="inlineStr">
        <is>
          <t>11.000000000000</t>
        </is>
      </c>
      <c r="M1885" t="inlineStr"/>
    </row>
    <row r="1886">
      <c r="A1886" t="inlineStr">
        <is>
          <t>06/25/2026</t>
        </is>
      </c>
      <c r="B1886" t="inlineStr">
        <is>
          <t>WNDR</t>
        </is>
      </c>
      <c r="C1886" s="1" t="inlineStr">
        <is>
          <t>RHP</t>
        </is>
      </c>
      <c r="D1886" s="1" t="inlineStr">
        <is>
          <t>78377T107</t>
        </is>
      </c>
      <c r="E1886" t="inlineStr">
        <is>
          <t>Ryman Hospitality Properties Inc</t>
        </is>
      </c>
      <c r="F1886" t="inlineStr">
        <is>
          <t>154.00000000</t>
        </is>
      </c>
      <c r="G1886" t="inlineStr">
        <is>
          <t>129.770000</t>
        </is>
      </c>
      <c r="H1886" t="inlineStr">
        <is>
          <t>19984.58</t>
        </is>
      </c>
      <c r="I1886" t="inlineStr">
        <is>
          <t>1.29%</t>
        </is>
      </c>
      <c r="J1886" t="inlineStr">
        <is>
          <t>1554773.00</t>
        </is>
      </c>
      <c r="K1886" t="inlineStr">
        <is>
          <t>55000</t>
        </is>
      </c>
      <c r="L1886" t="inlineStr">
        <is>
          <t>11.000000000000</t>
        </is>
      </c>
      <c r="M1886" t="inlineStr"/>
    </row>
    <row r="1887">
      <c r="A1887" t="inlineStr">
        <is>
          <t>06/25/2026</t>
        </is>
      </c>
      <c r="B1887" t="inlineStr">
        <is>
          <t>WNDR</t>
        </is>
      </c>
      <c r="C1887" s="1" t="inlineStr">
        <is>
          <t>RLJ</t>
        </is>
      </c>
      <c r="D1887" s="1" t="inlineStr">
        <is>
          <t>74965L101</t>
        </is>
      </c>
      <c r="E1887" t="inlineStr">
        <is>
          <t>RLJ Lodging Trust</t>
        </is>
      </c>
      <c r="F1887" t="inlineStr">
        <is>
          <t>836.00000000</t>
        </is>
      </c>
      <c r="G1887" t="inlineStr">
        <is>
          <t>11.320000</t>
        </is>
      </c>
      <c r="H1887" t="inlineStr">
        <is>
          <t>9463.52</t>
        </is>
      </c>
      <c r="I1887" t="inlineStr">
        <is>
          <t>0.61%</t>
        </is>
      </c>
      <c r="J1887" t="inlineStr">
        <is>
          <t>1554773.00</t>
        </is>
      </c>
      <c r="K1887" t="inlineStr">
        <is>
          <t>55000</t>
        </is>
      </c>
      <c r="L1887" t="inlineStr">
        <is>
          <t>11.000000000000</t>
        </is>
      </c>
      <c r="M1887" t="inlineStr"/>
    </row>
    <row r="1888">
      <c r="A1888" t="inlineStr">
        <is>
          <t>06/25/2026</t>
        </is>
      </c>
      <c r="B1888" t="inlineStr">
        <is>
          <t>WNDR</t>
        </is>
      </c>
      <c r="C1888" s="1" t="inlineStr">
        <is>
          <t>RYAAY</t>
        </is>
      </c>
      <c r="D1888" s="1" t="inlineStr">
        <is>
          <t>783513203</t>
        </is>
      </c>
      <c r="E1888" t="inlineStr">
        <is>
          <t>Ryanair Holdings PLC</t>
        </is>
      </c>
      <c r="F1888" t="inlineStr">
        <is>
          <t>660.00000000</t>
        </is>
      </c>
      <c r="G1888" t="inlineStr">
        <is>
          <t>63.730000</t>
        </is>
      </c>
      <c r="H1888" t="inlineStr">
        <is>
          <t>42061.80</t>
        </is>
      </c>
      <c r="I1888" t="inlineStr">
        <is>
          <t>2.71%</t>
        </is>
      </c>
      <c r="J1888" t="inlineStr">
        <is>
          <t>1554773.00</t>
        </is>
      </c>
      <c r="K1888" t="inlineStr">
        <is>
          <t>55000</t>
        </is>
      </c>
      <c r="L1888" t="inlineStr">
        <is>
          <t>11.000000000000</t>
        </is>
      </c>
      <c r="M1888" t="inlineStr"/>
    </row>
    <row r="1889">
      <c r="A1889" t="inlineStr">
        <is>
          <t>06/25/2026</t>
        </is>
      </c>
      <c r="B1889" t="inlineStr">
        <is>
          <t>WNDR</t>
        </is>
      </c>
      <c r="C1889" s="1" t="inlineStr">
        <is>
          <t>SKYW</t>
        </is>
      </c>
      <c r="D1889" s="1" t="inlineStr">
        <is>
          <t>830879102</t>
        </is>
      </c>
      <c r="E1889" t="inlineStr">
        <is>
          <t>SkyWest Inc</t>
        </is>
      </c>
      <c r="F1889" t="inlineStr">
        <is>
          <t>143.00000000</t>
        </is>
      </c>
      <c r="G1889" t="inlineStr">
        <is>
          <t>96.700000</t>
        </is>
      </c>
      <c r="H1889" t="inlineStr">
        <is>
          <t>13828.10</t>
        </is>
      </c>
      <c r="I1889" t="inlineStr">
        <is>
          <t>0.89%</t>
        </is>
      </c>
      <c r="J1889" t="inlineStr">
        <is>
          <t>1554773.00</t>
        </is>
      </c>
      <c r="K1889" t="inlineStr">
        <is>
          <t>55000</t>
        </is>
      </c>
      <c r="L1889" t="inlineStr">
        <is>
          <t>11.000000000000</t>
        </is>
      </c>
      <c r="M1889" t="inlineStr"/>
    </row>
    <row r="1890">
      <c r="A1890" t="inlineStr">
        <is>
          <t>06/25/2026</t>
        </is>
      </c>
      <c r="B1890" t="inlineStr">
        <is>
          <t>WNDR</t>
        </is>
      </c>
      <c r="C1890" s="1" t="inlineStr">
        <is>
          <t>TCOM</t>
        </is>
      </c>
      <c r="D1890" s="1" t="inlineStr">
        <is>
          <t>89677Q107</t>
        </is>
      </c>
      <c r="E1890" t="inlineStr">
        <is>
          <t>TRIP.COM GROUP</t>
        </is>
      </c>
      <c r="F1890" t="inlineStr">
        <is>
          <t>726.00000000</t>
        </is>
      </c>
      <c r="G1890" t="inlineStr">
        <is>
          <t>46.300000</t>
        </is>
      </c>
      <c r="H1890" t="inlineStr">
        <is>
          <t>33613.80</t>
        </is>
      </c>
      <c r="I1890" t="inlineStr">
        <is>
          <t>2.16%</t>
        </is>
      </c>
      <c r="J1890" t="inlineStr">
        <is>
          <t>1554773.00</t>
        </is>
      </c>
      <c r="K1890" t="inlineStr">
        <is>
          <t>55000</t>
        </is>
      </c>
      <c r="L1890" t="inlineStr">
        <is>
          <t>11.000000000000</t>
        </is>
      </c>
      <c r="M1890" t="inlineStr"/>
    </row>
    <row r="1891">
      <c r="A1891" t="inlineStr">
        <is>
          <t>06/25/2026</t>
        </is>
      </c>
      <c r="B1891" t="inlineStr">
        <is>
          <t>WNDR</t>
        </is>
      </c>
      <c r="C1891" s="1" t="inlineStr">
        <is>
          <t>TNL</t>
        </is>
      </c>
      <c r="D1891" s="1" t="inlineStr">
        <is>
          <t>894164102</t>
        </is>
      </c>
      <c r="E1891" t="inlineStr">
        <is>
          <t>Travel + Leisure Co</t>
        </is>
      </c>
      <c r="F1891" t="inlineStr">
        <is>
          <t>198.00000000</t>
        </is>
      </c>
      <c r="G1891" t="inlineStr">
        <is>
          <t>76.680000</t>
        </is>
      </c>
      <c r="H1891" t="inlineStr">
        <is>
          <t>15182.64</t>
        </is>
      </c>
      <c r="I1891" t="inlineStr">
        <is>
          <t>0.98%</t>
        </is>
      </c>
      <c r="J1891" t="inlineStr">
        <is>
          <t>1554773.00</t>
        </is>
      </c>
      <c r="K1891" t="inlineStr">
        <is>
          <t>55000</t>
        </is>
      </c>
      <c r="L1891" t="inlineStr">
        <is>
          <t>11.000000000000</t>
        </is>
      </c>
      <c r="M1891" t="inlineStr"/>
    </row>
    <row r="1892">
      <c r="A1892" t="inlineStr">
        <is>
          <t>06/25/2026</t>
        </is>
      </c>
      <c r="B1892" t="inlineStr">
        <is>
          <t>WNDR</t>
        </is>
      </c>
      <c r="C1892" s="1" t="inlineStr">
        <is>
          <t>TRIP</t>
        </is>
      </c>
      <c r="D1892" s="1" t="inlineStr">
        <is>
          <t>896945201</t>
        </is>
      </c>
      <c r="E1892" t="inlineStr">
        <is>
          <t>TripAdvisor Inc</t>
        </is>
      </c>
      <c r="F1892" t="inlineStr">
        <is>
          <t>649.00000000</t>
        </is>
      </c>
      <c r="G1892" t="inlineStr">
        <is>
          <t>12.980000</t>
        </is>
      </c>
      <c r="H1892" t="inlineStr">
        <is>
          <t>8424.02</t>
        </is>
      </c>
      <c r="I1892" t="inlineStr">
        <is>
          <t>0.54%</t>
        </is>
      </c>
      <c r="J1892" t="inlineStr">
        <is>
          <t>1554773.00</t>
        </is>
      </c>
      <c r="K1892" t="inlineStr">
        <is>
          <t>55000</t>
        </is>
      </c>
      <c r="L1892" t="inlineStr">
        <is>
          <t>11.000000000000</t>
        </is>
      </c>
      <c r="M1892" t="inlineStr"/>
    </row>
    <row r="1893">
      <c r="A1893" t="inlineStr">
        <is>
          <t>06/25/2026</t>
        </is>
      </c>
      <c r="B1893" t="inlineStr">
        <is>
          <t>WNDR</t>
        </is>
      </c>
      <c r="C1893" s="1" t="inlineStr">
        <is>
          <t>UAL</t>
        </is>
      </c>
      <c r="D1893" s="1" t="inlineStr">
        <is>
          <t>910047109</t>
        </is>
      </c>
      <c r="E1893" t="inlineStr">
        <is>
          <t>United Airlines Holdings Inc</t>
        </is>
      </c>
      <c r="F1893" t="inlineStr">
        <is>
          <t>396.00000000</t>
        </is>
      </c>
      <c r="G1893" t="inlineStr">
        <is>
          <t>130.540000</t>
        </is>
      </c>
      <c r="H1893" t="inlineStr">
        <is>
          <t>51693.84</t>
        </is>
      </c>
      <c r="I1893" t="inlineStr">
        <is>
          <t>3.32%</t>
        </is>
      </c>
      <c r="J1893" t="inlineStr">
        <is>
          <t>1554773.00</t>
        </is>
      </c>
      <c r="K1893" t="inlineStr">
        <is>
          <t>55000</t>
        </is>
      </c>
      <c r="L1893" t="inlineStr">
        <is>
          <t>11.000000000000</t>
        </is>
      </c>
      <c r="M1893" t="inlineStr"/>
    </row>
    <row r="1894">
      <c r="A1894" t="inlineStr">
        <is>
          <t>06/25/2026</t>
        </is>
      </c>
      <c r="B1894" t="inlineStr">
        <is>
          <t>WNDR</t>
        </is>
      </c>
      <c r="C1894" s="1" t="inlineStr">
        <is>
          <t>UBER</t>
        </is>
      </c>
      <c r="D1894" s="1" t="inlineStr">
        <is>
          <t>90353T100</t>
        </is>
      </c>
      <c r="E1894" t="inlineStr">
        <is>
          <t>Uber Technologies Inc</t>
        </is>
      </c>
      <c r="F1894" t="inlineStr">
        <is>
          <t>902.00000000</t>
        </is>
      </c>
      <c r="G1894" t="inlineStr">
        <is>
          <t>73.850000</t>
        </is>
      </c>
      <c r="H1894" t="inlineStr">
        <is>
          <t>66612.70</t>
        </is>
      </c>
      <c r="I1894" t="inlineStr">
        <is>
          <t>4.28%</t>
        </is>
      </c>
      <c r="J1894" t="inlineStr">
        <is>
          <t>1554773.00</t>
        </is>
      </c>
      <c r="K1894" t="inlineStr">
        <is>
          <t>55000</t>
        </is>
      </c>
      <c r="L1894" t="inlineStr">
        <is>
          <t>11.000000000000</t>
        </is>
      </c>
      <c r="M1894" t="inlineStr"/>
    </row>
    <row r="1895">
      <c r="A1895" t="inlineStr">
        <is>
          <t>06/25/2026</t>
        </is>
      </c>
      <c r="B1895" t="inlineStr">
        <is>
          <t>WNDR</t>
        </is>
      </c>
      <c r="C1895" s="1" t="inlineStr">
        <is>
          <t>VAC</t>
        </is>
      </c>
      <c r="D1895" s="1" t="inlineStr">
        <is>
          <t>57164Y107</t>
        </is>
      </c>
      <c r="E1895" t="inlineStr">
        <is>
          <t>Marriott Vacations Worldwide Corp</t>
        </is>
      </c>
      <c r="F1895" t="inlineStr">
        <is>
          <t>132.00000000</t>
        </is>
      </c>
      <c r="G1895" t="inlineStr">
        <is>
          <t>99.150000</t>
        </is>
      </c>
      <c r="H1895" t="inlineStr">
        <is>
          <t>13087.80</t>
        </is>
      </c>
      <c r="I1895" t="inlineStr">
        <is>
          <t>0.84%</t>
        </is>
      </c>
      <c r="J1895" t="inlineStr">
        <is>
          <t>1554773.00</t>
        </is>
      </c>
      <c r="K1895" t="inlineStr">
        <is>
          <t>55000</t>
        </is>
      </c>
      <c r="L1895" t="inlineStr">
        <is>
          <t>11.000000000000</t>
        </is>
      </c>
      <c r="M1895" t="inlineStr"/>
    </row>
    <row r="1896">
      <c r="A1896" t="inlineStr">
        <is>
          <t>06/25/2026</t>
        </is>
      </c>
      <c r="B1896" t="inlineStr">
        <is>
          <t>WNDR</t>
        </is>
      </c>
      <c r="C1896" s="1" t="inlineStr">
        <is>
          <t>VIK</t>
        </is>
      </c>
      <c r="D1896" s="1" t="inlineStr">
        <is>
          <t>G93A5A101</t>
        </is>
      </c>
      <c r="E1896" t="inlineStr">
        <is>
          <t>Viking Holdings Ltd</t>
        </is>
      </c>
      <c r="F1896" t="inlineStr">
        <is>
          <t>297.00000000</t>
        </is>
      </c>
      <c r="G1896" t="inlineStr">
        <is>
          <t>103.050000</t>
        </is>
      </c>
      <c r="H1896" t="inlineStr">
        <is>
          <t>30605.85</t>
        </is>
      </c>
      <c r="I1896" t="inlineStr">
        <is>
          <t>1.97%</t>
        </is>
      </c>
      <c r="J1896" t="inlineStr">
        <is>
          <t>1554773.00</t>
        </is>
      </c>
      <c r="K1896" t="inlineStr">
        <is>
          <t>55000</t>
        </is>
      </c>
      <c r="L1896" t="inlineStr">
        <is>
          <t>11.000000000000</t>
        </is>
      </c>
      <c r="M1896" t="inlineStr"/>
    </row>
    <row r="1897">
      <c r="A1897" t="inlineStr">
        <is>
          <t>06/25/2026</t>
        </is>
      </c>
      <c r="B1897" t="inlineStr">
        <is>
          <t>WNDR</t>
        </is>
      </c>
      <c r="C1897" s="1" t="inlineStr">
        <is>
          <t>VLRS</t>
        </is>
      </c>
      <c r="D1897" s="1" t="inlineStr">
        <is>
          <t>21240E105</t>
        </is>
      </c>
      <c r="E1897" t="inlineStr">
        <is>
          <t>Controladora Vuela Cia de Aviacion SAB de CV</t>
        </is>
      </c>
      <c r="F1897" t="inlineStr">
        <is>
          <t>814.00000000</t>
        </is>
      </c>
      <c r="G1897" t="inlineStr">
        <is>
          <t>9.230000</t>
        </is>
      </c>
      <c r="H1897" t="inlineStr">
        <is>
          <t>7513.22</t>
        </is>
      </c>
      <c r="I1897" t="inlineStr">
        <is>
          <t>0.48%</t>
        </is>
      </c>
      <c r="J1897" t="inlineStr">
        <is>
          <t>1554773.00</t>
        </is>
      </c>
      <c r="K1897" t="inlineStr">
        <is>
          <t>55000</t>
        </is>
      </c>
      <c r="L1897" t="inlineStr">
        <is>
          <t>11.000000000000</t>
        </is>
      </c>
      <c r="M1897" t="inlineStr"/>
    </row>
    <row r="1898">
      <c r="A1898" t="inlineStr">
        <is>
          <t>06/25/2026</t>
        </is>
      </c>
      <c r="B1898" t="inlineStr">
        <is>
          <t>WNDR</t>
        </is>
      </c>
      <c r="C1898" s="1" t="inlineStr">
        <is>
          <t>WH</t>
        </is>
      </c>
      <c r="D1898" s="1" t="inlineStr">
        <is>
          <t>98311A105</t>
        </is>
      </c>
      <c r="E1898" t="inlineStr">
        <is>
          <t>Wyndham Hotels &amp; Resorts Inc</t>
        </is>
      </c>
      <c r="F1898" t="inlineStr">
        <is>
          <t>187.00000000</t>
        </is>
      </c>
      <c r="G1898" t="inlineStr">
        <is>
          <t>85.810000</t>
        </is>
      </c>
      <c r="H1898" t="inlineStr">
        <is>
          <t>16046.47</t>
        </is>
      </c>
      <c r="I1898" t="inlineStr">
        <is>
          <t>1.03%</t>
        </is>
      </c>
      <c r="J1898" t="inlineStr">
        <is>
          <t>1554773.00</t>
        </is>
      </c>
      <c r="K1898" t="inlineStr">
        <is>
          <t>55000</t>
        </is>
      </c>
      <c r="L1898" t="inlineStr">
        <is>
          <t>11.000000000000</t>
        </is>
      </c>
      <c r="M1898" t="inlineStr"/>
    </row>
    <row r="1899">
      <c r="A1899" t="inlineStr">
        <is>
          <t>06/25/2026</t>
        </is>
      </c>
      <c r="B1899" t="inlineStr">
        <is>
          <t>WNDR</t>
        </is>
      </c>
      <c r="C1899" s="1" t="inlineStr">
        <is>
          <t>Cash&amp;Other</t>
        </is>
      </c>
      <c r="D1899" s="1" t="inlineStr">
        <is>
          <t>Cash&amp;Other</t>
        </is>
      </c>
      <c r="E1899" t="inlineStr">
        <is>
          <t>Cash &amp; Other</t>
        </is>
      </c>
      <c r="F1899" t="inlineStr">
        <is>
          <t>1008.05000000</t>
        </is>
      </c>
      <c r="G1899" t="inlineStr">
        <is>
          <t>1.000000</t>
        </is>
      </c>
      <c r="H1899" t="inlineStr">
        <is>
          <t>1008.05</t>
        </is>
      </c>
      <c r="I1899" t="inlineStr">
        <is>
          <t>0.06%</t>
        </is>
      </c>
      <c r="J1899" t="inlineStr">
        <is>
          <t>1554773.00</t>
        </is>
      </c>
      <c r="K1899" t="inlineStr">
        <is>
          <t>55000</t>
        </is>
      </c>
      <c r="L1899" t="inlineStr">
        <is>
          <t>11.000000000000</t>
        </is>
      </c>
      <c r="M1899" t="inlineStr">
        <is>
          <t>Y</t>
        </is>
      </c>
    </row>
    <row r="1900">
      <c r="A1900" t="inlineStr">
        <is>
          <t>06/25/2026</t>
        </is>
      </c>
      <c r="B1900" t="inlineStr">
        <is>
          <t>WR</t>
        </is>
      </c>
      <c r="C1900" s="1" t="inlineStr">
        <is>
          <t>AMTM</t>
        </is>
      </c>
      <c r="D1900" s="1" t="inlineStr">
        <is>
          <t>023939101</t>
        </is>
      </c>
      <c r="E1900" t="inlineStr">
        <is>
          <t>Amentum Holdings Inc</t>
        </is>
      </c>
      <c r="F1900" t="inlineStr">
        <is>
          <t>729.00000000</t>
        </is>
      </c>
      <c r="G1900" t="inlineStr">
        <is>
          <t>20.380000</t>
        </is>
      </c>
      <c r="H1900" t="inlineStr">
        <is>
          <t>14857.02</t>
        </is>
      </c>
      <c r="I1900" t="inlineStr">
        <is>
          <t>0.46%</t>
        </is>
      </c>
      <c r="J1900" t="inlineStr">
        <is>
          <t>3221856.00</t>
        </is>
      </c>
      <c r="K1900" t="inlineStr">
        <is>
          <t>135000</t>
        </is>
      </c>
      <c r="L1900" t="inlineStr">
        <is>
          <t>27.000000000000</t>
        </is>
      </c>
      <c r="M1900" t="inlineStr"/>
    </row>
    <row r="1901">
      <c r="A1901" t="inlineStr">
        <is>
          <t>06/25/2026</t>
        </is>
      </c>
      <c r="B1901" t="inlineStr">
        <is>
          <t>WR</t>
        </is>
      </c>
      <c r="C1901" s="1" t="inlineStr">
        <is>
          <t>ATI</t>
        </is>
      </c>
      <c r="D1901" s="1" t="inlineStr">
        <is>
          <t>01741R102</t>
        </is>
      </c>
      <c r="E1901" t="inlineStr">
        <is>
          <t>ATI Inc</t>
        </is>
      </c>
      <c r="F1901" t="inlineStr">
        <is>
          <t>270.00000000</t>
        </is>
      </c>
      <c r="G1901" t="inlineStr">
        <is>
          <t>197.590000</t>
        </is>
      </c>
      <c r="H1901" t="inlineStr">
        <is>
          <t>53349.30</t>
        </is>
      </c>
      <c r="I1901" t="inlineStr">
        <is>
          <t>1.66%</t>
        </is>
      </c>
      <c r="J1901" t="inlineStr">
        <is>
          <t>3221856.00</t>
        </is>
      </c>
      <c r="K1901" t="inlineStr">
        <is>
          <t>135000</t>
        </is>
      </c>
      <c r="L1901" t="inlineStr">
        <is>
          <t>27.000000000000</t>
        </is>
      </c>
      <c r="M1901" t="inlineStr"/>
    </row>
    <row r="1902">
      <c r="A1902" t="inlineStr">
        <is>
          <t>06/25/2026</t>
        </is>
      </c>
      <c r="B1902" t="inlineStr">
        <is>
          <t>WR</t>
        </is>
      </c>
      <c r="C1902" s="1" t="inlineStr">
        <is>
          <t>AVAV</t>
        </is>
      </c>
      <c r="D1902" s="1" t="inlineStr">
        <is>
          <t>008073108</t>
        </is>
      </c>
      <c r="E1902" t="inlineStr">
        <is>
          <t>AeroVironment Inc</t>
        </is>
      </c>
      <c r="F1902" t="inlineStr">
        <is>
          <t>135.00000000</t>
        </is>
      </c>
      <c r="G1902" t="inlineStr">
        <is>
          <t>142.180000</t>
        </is>
      </c>
      <c r="H1902" t="inlineStr">
        <is>
          <t>19194.30</t>
        </is>
      </c>
      <c r="I1902" t="inlineStr">
        <is>
          <t>0.60%</t>
        </is>
      </c>
      <c r="J1902" t="inlineStr">
        <is>
          <t>3221856.00</t>
        </is>
      </c>
      <c r="K1902" t="inlineStr">
        <is>
          <t>135000</t>
        </is>
      </c>
      <c r="L1902" t="inlineStr">
        <is>
          <t>27.000000000000</t>
        </is>
      </c>
      <c r="M1902" t="inlineStr"/>
    </row>
    <row r="1903">
      <c r="A1903" t="inlineStr">
        <is>
          <t>06/25/2026</t>
        </is>
      </c>
      <c r="B1903" t="inlineStr">
        <is>
          <t>WR</t>
        </is>
      </c>
      <c r="C1903" s="1" t="inlineStr">
        <is>
          <t>BAH</t>
        </is>
      </c>
      <c r="D1903" s="1" t="inlineStr">
        <is>
          <t>099502106</t>
        </is>
      </c>
      <c r="E1903" t="inlineStr">
        <is>
          <t>Booz Allen Hamilton Holding Corp</t>
        </is>
      </c>
      <c r="F1903" t="inlineStr">
        <is>
          <t>378.00000000</t>
        </is>
      </c>
      <c r="G1903" t="inlineStr">
        <is>
          <t>62.680000</t>
        </is>
      </c>
      <c r="H1903" t="inlineStr">
        <is>
          <t>23693.04</t>
        </is>
      </c>
      <c r="I1903" t="inlineStr">
        <is>
          <t>0.74%</t>
        </is>
      </c>
      <c r="J1903" t="inlineStr">
        <is>
          <t>3221856.00</t>
        </is>
      </c>
      <c r="K1903" t="inlineStr">
        <is>
          <t>135000</t>
        </is>
      </c>
      <c r="L1903" t="inlineStr">
        <is>
          <t>27.000000000000</t>
        </is>
      </c>
      <c r="M1903" t="inlineStr"/>
    </row>
    <row r="1904">
      <c r="A1904" t="inlineStr">
        <is>
          <t>06/25/2026</t>
        </is>
      </c>
      <c r="B1904" t="inlineStr">
        <is>
          <t>WR</t>
        </is>
      </c>
      <c r="C1904" s="1" t="inlineStr">
        <is>
          <t>BKR</t>
        </is>
      </c>
      <c r="D1904" s="1" t="inlineStr">
        <is>
          <t>05722G100</t>
        </is>
      </c>
      <c r="E1904" t="inlineStr">
        <is>
          <t>Baker Hughes Co</t>
        </is>
      </c>
      <c r="F1904" t="inlineStr">
        <is>
          <t>1134.00000000</t>
        </is>
      </c>
      <c r="G1904" t="inlineStr">
        <is>
          <t>56.380000</t>
        </is>
      </c>
      <c r="H1904" t="inlineStr">
        <is>
          <t>63934.92</t>
        </is>
      </c>
      <c r="I1904" t="inlineStr">
        <is>
          <t>1.98%</t>
        </is>
      </c>
      <c r="J1904" t="inlineStr">
        <is>
          <t>3221856.00</t>
        </is>
      </c>
      <c r="K1904" t="inlineStr">
        <is>
          <t>135000</t>
        </is>
      </c>
      <c r="L1904" t="inlineStr">
        <is>
          <t>27.000000000000</t>
        </is>
      </c>
      <c r="M1904" t="inlineStr"/>
    </row>
    <row r="1905">
      <c r="A1905" t="inlineStr">
        <is>
          <t>06/25/2026</t>
        </is>
      </c>
      <c r="B1905" t="inlineStr">
        <is>
          <t>WR</t>
        </is>
      </c>
      <c r="C1905" s="1" t="inlineStr">
        <is>
          <t>BWXT</t>
        </is>
      </c>
      <c r="D1905" s="1" t="inlineStr">
        <is>
          <t>05605H100</t>
        </is>
      </c>
      <c r="E1905" t="inlineStr">
        <is>
          <t>BWX Technologies Inc</t>
        </is>
      </c>
      <c r="F1905" t="inlineStr">
        <is>
          <t>189.00000000</t>
        </is>
      </c>
      <c r="G1905" t="inlineStr">
        <is>
          <t>205.650000</t>
        </is>
      </c>
      <c r="H1905" t="inlineStr">
        <is>
          <t>38867.85</t>
        </is>
      </c>
      <c r="I1905" t="inlineStr">
        <is>
          <t>1.21%</t>
        </is>
      </c>
      <c r="J1905" t="inlineStr">
        <is>
          <t>3221856.00</t>
        </is>
      </c>
      <c r="K1905" t="inlineStr">
        <is>
          <t>135000</t>
        </is>
      </c>
      <c r="L1905" t="inlineStr">
        <is>
          <t>27.000000000000</t>
        </is>
      </c>
      <c r="M1905" t="inlineStr"/>
    </row>
    <row r="1906">
      <c r="A1906" t="inlineStr">
        <is>
          <t>06/25/2026</t>
        </is>
      </c>
      <c r="B1906" t="inlineStr">
        <is>
          <t>WR</t>
        </is>
      </c>
      <c r="C1906" s="1" t="inlineStr">
        <is>
          <t>CACI</t>
        </is>
      </c>
      <c r="D1906" s="1" t="inlineStr">
        <is>
          <t>127190304</t>
        </is>
      </c>
      <c r="E1906" t="inlineStr">
        <is>
          <t>CACI International Inc</t>
        </is>
      </c>
      <c r="F1906" t="inlineStr">
        <is>
          <t>54.00000000</t>
        </is>
      </c>
      <c r="G1906" t="inlineStr">
        <is>
          <t>462.040000</t>
        </is>
      </c>
      <c r="H1906" t="inlineStr">
        <is>
          <t>24950.16</t>
        </is>
      </c>
      <c r="I1906" t="inlineStr">
        <is>
          <t>0.77%</t>
        </is>
      </c>
      <c r="J1906" t="inlineStr">
        <is>
          <t>3221856.00</t>
        </is>
      </c>
      <c r="K1906" t="inlineStr">
        <is>
          <t>135000</t>
        </is>
      </c>
      <c r="L1906" t="inlineStr">
        <is>
          <t>27.000000000000</t>
        </is>
      </c>
      <c r="M1906" t="inlineStr"/>
    </row>
    <row r="1907">
      <c r="A1907" t="inlineStr">
        <is>
          <t>06/25/2026</t>
        </is>
      </c>
      <c r="B1907" t="inlineStr">
        <is>
          <t>WR</t>
        </is>
      </c>
      <c r="C1907" s="1" t="inlineStr">
        <is>
          <t>CDRE</t>
        </is>
      </c>
      <c r="D1907" s="1" t="inlineStr">
        <is>
          <t>12763L105</t>
        </is>
      </c>
      <c r="E1907" t="inlineStr">
        <is>
          <t>Cadre Holdings Inc</t>
        </is>
      </c>
      <c r="F1907" t="inlineStr">
        <is>
          <t>297.00000000</t>
        </is>
      </c>
      <c r="G1907" t="inlineStr">
        <is>
          <t>28.750000</t>
        </is>
      </c>
      <c r="H1907" t="inlineStr">
        <is>
          <t>8538.75</t>
        </is>
      </c>
      <c r="I1907" t="inlineStr">
        <is>
          <t>0.27%</t>
        </is>
      </c>
      <c r="J1907" t="inlineStr">
        <is>
          <t>3221856.00</t>
        </is>
      </c>
      <c r="K1907" t="inlineStr">
        <is>
          <t>135000</t>
        </is>
      </c>
      <c r="L1907" t="inlineStr">
        <is>
          <t>27.000000000000</t>
        </is>
      </c>
      <c r="M1907" t="inlineStr"/>
    </row>
    <row r="1908">
      <c r="A1908" t="inlineStr">
        <is>
          <t>06/25/2026</t>
        </is>
      </c>
      <c r="B1908" t="inlineStr">
        <is>
          <t>WR</t>
        </is>
      </c>
      <c r="C1908" s="1" t="inlineStr">
        <is>
          <t>COP</t>
        </is>
      </c>
      <c r="D1908" s="1" t="inlineStr">
        <is>
          <t>20825C104</t>
        </is>
      </c>
      <c r="E1908" t="inlineStr">
        <is>
          <t>ConocoPhillips</t>
        </is>
      </c>
      <c r="F1908" t="inlineStr">
        <is>
          <t>1080.00000000</t>
        </is>
      </c>
      <c r="G1908" t="inlineStr">
        <is>
          <t>106.920000</t>
        </is>
      </c>
      <c r="H1908" t="inlineStr">
        <is>
          <t>115473.60</t>
        </is>
      </c>
      <c r="I1908" t="inlineStr">
        <is>
          <t>3.58%</t>
        </is>
      </c>
      <c r="J1908" t="inlineStr">
        <is>
          <t>3221856.00</t>
        </is>
      </c>
      <c r="K1908" t="inlineStr">
        <is>
          <t>135000</t>
        </is>
      </c>
      <c r="L1908" t="inlineStr">
        <is>
          <t>27.000000000000</t>
        </is>
      </c>
      <c r="M1908" t="inlineStr"/>
    </row>
    <row r="1909">
      <c r="A1909" t="inlineStr">
        <is>
          <t>06/25/2026</t>
        </is>
      </c>
      <c r="B1909" t="inlineStr">
        <is>
          <t>WR</t>
        </is>
      </c>
      <c r="C1909" s="1" t="inlineStr">
        <is>
          <t>CVX</t>
        </is>
      </c>
      <c r="D1909" s="1" t="inlineStr">
        <is>
          <t>166764100</t>
        </is>
      </c>
      <c r="E1909" t="inlineStr">
        <is>
          <t>Chevron Corp</t>
        </is>
      </c>
      <c r="F1909" t="inlineStr">
        <is>
          <t>1107.00000000</t>
        </is>
      </c>
      <c r="G1909" t="inlineStr">
        <is>
          <t>171.450000</t>
        </is>
      </c>
      <c r="H1909" t="inlineStr">
        <is>
          <t>189795.15</t>
        </is>
      </c>
      <c r="I1909" t="inlineStr">
        <is>
          <t>5.89%</t>
        </is>
      </c>
      <c r="J1909" t="inlineStr">
        <is>
          <t>3221856.00</t>
        </is>
      </c>
      <c r="K1909" t="inlineStr">
        <is>
          <t>135000</t>
        </is>
      </c>
      <c r="L1909" t="inlineStr">
        <is>
          <t>27.000000000000</t>
        </is>
      </c>
      <c r="M1909" t="inlineStr"/>
    </row>
    <row r="1910">
      <c r="A1910" t="inlineStr">
        <is>
          <t>06/25/2026</t>
        </is>
      </c>
      <c r="B1910" t="inlineStr">
        <is>
          <t>WR</t>
        </is>
      </c>
      <c r="C1910" s="1" t="inlineStr">
        <is>
          <t>DRS</t>
        </is>
      </c>
      <c r="D1910" s="1" t="inlineStr">
        <is>
          <t>52661A108</t>
        </is>
      </c>
      <c r="E1910" t="inlineStr">
        <is>
          <t>Leonardo DRS Inc</t>
        </is>
      </c>
      <c r="F1910" t="inlineStr">
        <is>
          <t>432.00000000</t>
        </is>
      </c>
      <c r="G1910" t="inlineStr">
        <is>
          <t>44.690000</t>
        </is>
      </c>
      <c r="H1910" t="inlineStr">
        <is>
          <t>19306.08</t>
        </is>
      </c>
      <c r="I1910" t="inlineStr">
        <is>
          <t>0.60%</t>
        </is>
      </c>
      <c r="J1910" t="inlineStr">
        <is>
          <t>3221856.00</t>
        </is>
      </c>
      <c r="K1910" t="inlineStr">
        <is>
          <t>135000</t>
        </is>
      </c>
      <c r="L1910" t="inlineStr">
        <is>
          <t>27.000000000000</t>
        </is>
      </c>
      <c r="M1910" t="inlineStr"/>
    </row>
    <row r="1911">
      <c r="A1911" t="inlineStr">
        <is>
          <t>06/25/2026</t>
        </is>
      </c>
      <c r="B1911" t="inlineStr">
        <is>
          <t>WR</t>
        </is>
      </c>
      <c r="C1911" s="1" t="inlineStr">
        <is>
          <t>DVN</t>
        </is>
      </c>
      <c r="D1911" s="1" t="inlineStr">
        <is>
          <t>25179M103</t>
        </is>
      </c>
      <c r="E1911" t="inlineStr">
        <is>
          <t>Devon Energy Corp</t>
        </is>
      </c>
      <c r="F1911" t="inlineStr">
        <is>
          <t>1134.00000000</t>
        </is>
      </c>
      <c r="G1911" t="inlineStr">
        <is>
          <t>42.740000</t>
        </is>
      </c>
      <c r="H1911" t="inlineStr">
        <is>
          <t>48467.16</t>
        </is>
      </c>
      <c r="I1911" t="inlineStr">
        <is>
          <t>1.50%</t>
        </is>
      </c>
      <c r="J1911" t="inlineStr">
        <is>
          <t>3221856.00</t>
        </is>
      </c>
      <c r="K1911" t="inlineStr">
        <is>
          <t>135000</t>
        </is>
      </c>
      <c r="L1911" t="inlineStr">
        <is>
          <t>27.000000000000</t>
        </is>
      </c>
      <c r="M1911" t="inlineStr"/>
    </row>
    <row r="1912">
      <c r="A1912" t="inlineStr">
        <is>
          <t>06/25/2026</t>
        </is>
      </c>
      <c r="B1912" t="inlineStr">
        <is>
          <t>WR</t>
        </is>
      </c>
      <c r="C1912" s="1" t="inlineStr">
        <is>
          <t>EOG</t>
        </is>
      </c>
      <c r="D1912" s="1" t="inlineStr">
        <is>
          <t>26875P101</t>
        </is>
      </c>
      <c r="E1912" t="inlineStr">
        <is>
          <t>EOG Resources Inc</t>
        </is>
      </c>
      <c r="F1912" t="inlineStr">
        <is>
          <t>675.00000000</t>
        </is>
      </c>
      <c r="G1912" t="inlineStr">
        <is>
          <t>134.450000</t>
        </is>
      </c>
      <c r="H1912" t="inlineStr">
        <is>
          <t>90753.75</t>
        </is>
      </c>
      <c r="I1912" t="inlineStr">
        <is>
          <t>2.82%</t>
        </is>
      </c>
      <c r="J1912" t="inlineStr">
        <is>
          <t>3221856.00</t>
        </is>
      </c>
      <c r="K1912" t="inlineStr">
        <is>
          <t>135000</t>
        </is>
      </c>
      <c r="L1912" t="inlineStr">
        <is>
          <t>27.000000000000</t>
        </is>
      </c>
      <c r="M1912" t="inlineStr"/>
    </row>
    <row r="1913">
      <c r="A1913" t="inlineStr">
        <is>
          <t>06/25/2026</t>
        </is>
      </c>
      <c r="B1913" t="inlineStr">
        <is>
          <t>WR</t>
        </is>
      </c>
      <c r="C1913" s="1" t="inlineStr">
        <is>
          <t>EQT</t>
        </is>
      </c>
      <c r="D1913" s="1" t="inlineStr">
        <is>
          <t>26884L109</t>
        </is>
      </c>
      <c r="E1913" t="inlineStr">
        <is>
          <t>EQT Corp</t>
        </is>
      </c>
      <c r="F1913" t="inlineStr">
        <is>
          <t>1053.00000000</t>
        </is>
      </c>
      <c r="G1913" t="inlineStr">
        <is>
          <t>51.480000</t>
        </is>
      </c>
      <c r="H1913" t="inlineStr">
        <is>
          <t>54208.44</t>
        </is>
      </c>
      <c r="I1913" t="inlineStr">
        <is>
          <t>1.68%</t>
        </is>
      </c>
      <c r="J1913" t="inlineStr">
        <is>
          <t>3221856.00</t>
        </is>
      </c>
      <c r="K1913" t="inlineStr">
        <is>
          <t>135000</t>
        </is>
      </c>
      <c r="L1913" t="inlineStr">
        <is>
          <t>27.000000000000</t>
        </is>
      </c>
      <c r="M1913" t="inlineStr"/>
    </row>
    <row r="1914">
      <c r="A1914" t="inlineStr">
        <is>
          <t>06/25/2026</t>
        </is>
      </c>
      <c r="B1914" t="inlineStr">
        <is>
          <t>WR</t>
        </is>
      </c>
      <c r="C1914" s="1" t="inlineStr">
        <is>
          <t>FANG</t>
        </is>
      </c>
      <c r="D1914" s="1" t="inlineStr">
        <is>
          <t>25278X109</t>
        </is>
      </c>
      <c r="E1914" t="inlineStr">
        <is>
          <t>Diamondback Energy Inc</t>
        </is>
      </c>
      <c r="F1914" t="inlineStr">
        <is>
          <t>324.00000000</t>
        </is>
      </c>
      <c r="G1914" t="inlineStr">
        <is>
          <t>183.480000</t>
        </is>
      </c>
      <c r="H1914" t="inlineStr">
        <is>
          <t>59447.52</t>
        </is>
      </c>
      <c r="I1914" t="inlineStr">
        <is>
          <t>1.85%</t>
        </is>
      </c>
      <c r="J1914" t="inlineStr">
        <is>
          <t>3221856.00</t>
        </is>
      </c>
      <c r="K1914" t="inlineStr">
        <is>
          <t>135000</t>
        </is>
      </c>
      <c r="L1914" t="inlineStr">
        <is>
          <t>27.000000000000</t>
        </is>
      </c>
      <c r="M1914" t="inlineStr"/>
    </row>
    <row r="1915">
      <c r="A1915" t="inlineStr">
        <is>
          <t>06/25/2026</t>
        </is>
      </c>
      <c r="B1915" t="inlineStr">
        <is>
          <t>WR</t>
        </is>
      </c>
      <c r="C1915" s="1" t="inlineStr">
        <is>
          <t>FGXXX</t>
        </is>
      </c>
      <c r="D1915" s="1" t="inlineStr">
        <is>
          <t>31846V336</t>
        </is>
      </c>
      <c r="E1915" t="inlineStr">
        <is>
          <t>First American Government Obligations Fund 12/01/2031</t>
        </is>
      </c>
      <c r="F1915" t="inlineStr">
        <is>
          <t>59244.74000000</t>
        </is>
      </c>
      <c r="G1915" t="inlineStr">
        <is>
          <t>100.000000</t>
        </is>
      </c>
      <c r="H1915" t="inlineStr">
        <is>
          <t>59244.74</t>
        </is>
      </c>
      <c r="I1915" t="inlineStr">
        <is>
          <t>1.84%</t>
        </is>
      </c>
      <c r="J1915" t="inlineStr">
        <is>
          <t>3221856.00</t>
        </is>
      </c>
      <c r="K1915" t="inlineStr">
        <is>
          <t>135000</t>
        </is>
      </c>
      <c r="L1915" t="inlineStr">
        <is>
          <t>27.000000000000</t>
        </is>
      </c>
      <c r="M1915" t="inlineStr">
        <is>
          <t>Y</t>
        </is>
      </c>
    </row>
    <row r="1916">
      <c r="A1916" t="inlineStr">
        <is>
          <t>06/25/2026</t>
        </is>
      </c>
      <c r="B1916" t="inlineStr">
        <is>
          <t>WR</t>
        </is>
      </c>
      <c r="C1916" s="1" t="inlineStr">
        <is>
          <t>GD</t>
        </is>
      </c>
      <c r="D1916" s="1" t="inlineStr">
        <is>
          <t>369550108</t>
        </is>
      </c>
      <c r="E1916" t="inlineStr">
        <is>
          <t>General Dynamics Corp</t>
        </is>
      </c>
      <c r="F1916" t="inlineStr">
        <is>
          <t>297.00000000</t>
        </is>
      </c>
      <c r="G1916" t="inlineStr">
        <is>
          <t>344.320000</t>
        </is>
      </c>
      <c r="H1916" t="inlineStr">
        <is>
          <t>102263.04</t>
        </is>
      </c>
      <c r="I1916" t="inlineStr">
        <is>
          <t>3.17%</t>
        </is>
      </c>
      <c r="J1916" t="inlineStr">
        <is>
          <t>3221856.00</t>
        </is>
      </c>
      <c r="K1916" t="inlineStr">
        <is>
          <t>135000</t>
        </is>
      </c>
      <c r="L1916" t="inlineStr">
        <is>
          <t>27.000000000000</t>
        </is>
      </c>
      <c r="M1916" t="inlineStr"/>
    </row>
    <row r="1917">
      <c r="A1917" t="inlineStr">
        <is>
          <t>06/25/2026</t>
        </is>
      </c>
      <c r="B1917" t="inlineStr">
        <is>
          <t>WR</t>
        </is>
      </c>
      <c r="C1917" s="1" t="inlineStr">
        <is>
          <t>HAL</t>
        </is>
      </c>
      <c r="D1917" s="1" t="inlineStr">
        <is>
          <t>406216101</t>
        </is>
      </c>
      <c r="E1917" t="inlineStr">
        <is>
          <t>Halliburton Co</t>
        </is>
      </c>
      <c r="F1917" t="inlineStr">
        <is>
          <t>1323.00000000</t>
        </is>
      </c>
      <c r="G1917" t="inlineStr">
        <is>
          <t>33.900000</t>
        </is>
      </c>
      <c r="H1917" t="inlineStr">
        <is>
          <t>44849.70</t>
        </is>
      </c>
      <c r="I1917" t="inlineStr">
        <is>
          <t>1.39%</t>
        </is>
      </c>
      <c r="J1917" t="inlineStr">
        <is>
          <t>3221856.00</t>
        </is>
      </c>
      <c r="K1917" t="inlineStr">
        <is>
          <t>135000</t>
        </is>
      </c>
      <c r="L1917" t="inlineStr">
        <is>
          <t>27.000000000000</t>
        </is>
      </c>
      <c r="M1917" t="inlineStr"/>
    </row>
    <row r="1918">
      <c r="A1918" t="inlineStr">
        <is>
          <t>06/25/2026</t>
        </is>
      </c>
      <c r="B1918" t="inlineStr">
        <is>
          <t>WR</t>
        </is>
      </c>
      <c r="C1918" s="1" t="inlineStr">
        <is>
          <t>HII</t>
        </is>
      </c>
      <c r="D1918" s="1" t="inlineStr">
        <is>
          <t>446413106</t>
        </is>
      </c>
      <c r="E1918" t="inlineStr">
        <is>
          <t>Huntington Ingalls Industries Inc</t>
        </is>
      </c>
      <c r="F1918" t="inlineStr">
        <is>
          <t>108.00000000</t>
        </is>
      </c>
      <c r="G1918" t="inlineStr">
        <is>
          <t>279.620000</t>
        </is>
      </c>
      <c r="H1918" t="inlineStr">
        <is>
          <t>30198.96</t>
        </is>
      </c>
      <c r="I1918" t="inlineStr">
        <is>
          <t>0.94%</t>
        </is>
      </c>
      <c r="J1918" t="inlineStr">
        <is>
          <t>3221856.00</t>
        </is>
      </c>
      <c r="K1918" t="inlineStr">
        <is>
          <t>135000</t>
        </is>
      </c>
      <c r="L1918" t="inlineStr">
        <is>
          <t>27.000000000000</t>
        </is>
      </c>
      <c r="M1918" t="inlineStr"/>
    </row>
    <row r="1919">
      <c r="A1919" t="inlineStr">
        <is>
          <t>06/25/2026</t>
        </is>
      </c>
      <c r="B1919" t="inlineStr">
        <is>
          <t>WR</t>
        </is>
      </c>
      <c r="C1919" s="1" t="inlineStr">
        <is>
          <t>HP</t>
        </is>
      </c>
      <c r="D1919" s="1" t="inlineStr">
        <is>
          <t>423452101</t>
        </is>
      </c>
      <c r="E1919" t="inlineStr">
        <is>
          <t>Helmerich &amp; Payne Inc</t>
        </is>
      </c>
      <c r="F1919" t="inlineStr">
        <is>
          <t>432.00000000</t>
        </is>
      </c>
      <c r="G1919" t="inlineStr">
        <is>
          <t>32.760000</t>
        </is>
      </c>
      <c r="H1919" t="inlineStr">
        <is>
          <t>14152.32</t>
        </is>
      </c>
      <c r="I1919" t="inlineStr">
        <is>
          <t>0.44%</t>
        </is>
      </c>
      <c r="J1919" t="inlineStr">
        <is>
          <t>3221856.00</t>
        </is>
      </c>
      <c r="K1919" t="inlineStr">
        <is>
          <t>135000</t>
        </is>
      </c>
      <c r="L1919" t="inlineStr">
        <is>
          <t>27.000000000000</t>
        </is>
      </c>
      <c r="M1919" t="inlineStr"/>
    </row>
    <row r="1920">
      <c r="A1920" t="inlineStr">
        <is>
          <t>06/25/2026</t>
        </is>
      </c>
      <c r="B1920" t="inlineStr">
        <is>
          <t>WR</t>
        </is>
      </c>
      <c r="C1920" s="1" t="inlineStr">
        <is>
          <t>HWM</t>
        </is>
      </c>
      <c r="D1920" s="1" t="inlineStr">
        <is>
          <t>443201108</t>
        </is>
      </c>
      <c r="E1920" t="inlineStr">
        <is>
          <t>Howmet Aerospace Inc</t>
        </is>
      </c>
      <c r="F1920" t="inlineStr">
        <is>
          <t>405.00000000</t>
        </is>
      </c>
      <c r="G1920" t="inlineStr">
        <is>
          <t>276.060000</t>
        </is>
      </c>
      <c r="H1920" t="inlineStr">
        <is>
          <t>111804.30</t>
        </is>
      </c>
      <c r="I1920" t="inlineStr">
        <is>
          <t>3.47%</t>
        </is>
      </c>
      <c r="J1920" t="inlineStr">
        <is>
          <t>3221856.00</t>
        </is>
      </c>
      <c r="K1920" t="inlineStr">
        <is>
          <t>135000</t>
        </is>
      </c>
      <c r="L1920" t="inlineStr">
        <is>
          <t>27.000000000000</t>
        </is>
      </c>
      <c r="M1920" t="inlineStr"/>
    </row>
    <row r="1921">
      <c r="A1921" t="inlineStr">
        <is>
          <t>06/25/2026</t>
        </is>
      </c>
      <c r="B1921" t="inlineStr">
        <is>
          <t>WR</t>
        </is>
      </c>
      <c r="C1921" s="1" t="inlineStr">
        <is>
          <t>HXL</t>
        </is>
      </c>
      <c r="D1921" s="1" t="inlineStr">
        <is>
          <t>428291108</t>
        </is>
      </c>
      <c r="E1921" t="inlineStr">
        <is>
          <t>Hexcel Corp</t>
        </is>
      </c>
      <c r="F1921" t="inlineStr">
        <is>
          <t>270.00000000</t>
        </is>
      </c>
      <c r="G1921" t="inlineStr">
        <is>
          <t>95.480000</t>
        </is>
      </c>
      <c r="H1921" t="inlineStr">
        <is>
          <t>25779.60</t>
        </is>
      </c>
      <c r="I1921" t="inlineStr">
        <is>
          <t>0.80%</t>
        </is>
      </c>
      <c r="J1921" t="inlineStr">
        <is>
          <t>3221856.00</t>
        </is>
      </c>
      <c r="K1921" t="inlineStr">
        <is>
          <t>135000</t>
        </is>
      </c>
      <c r="L1921" t="inlineStr">
        <is>
          <t>27.000000000000</t>
        </is>
      </c>
      <c r="M1921" t="inlineStr"/>
    </row>
    <row r="1922">
      <c r="A1922" t="inlineStr">
        <is>
          <t>06/25/2026</t>
        </is>
      </c>
      <c r="B1922" t="inlineStr">
        <is>
          <t>WR</t>
        </is>
      </c>
      <c r="C1922" s="1" t="inlineStr">
        <is>
          <t>KMI</t>
        </is>
      </c>
      <c r="D1922" s="1" t="inlineStr">
        <is>
          <t>49456B101</t>
        </is>
      </c>
      <c r="E1922" t="inlineStr">
        <is>
          <t>Kinder Morgan Inc</t>
        </is>
      </c>
      <c r="F1922" t="inlineStr">
        <is>
          <t>2538.00000000</t>
        </is>
      </c>
      <c r="G1922" t="inlineStr">
        <is>
          <t>32.590000</t>
        </is>
      </c>
      <c r="H1922" t="inlineStr">
        <is>
          <t>82713.42</t>
        </is>
      </c>
      <c r="I1922" t="inlineStr">
        <is>
          <t>2.57%</t>
        </is>
      </c>
      <c r="J1922" t="inlineStr">
        <is>
          <t>3221856.00</t>
        </is>
      </c>
      <c r="K1922" t="inlineStr">
        <is>
          <t>135000</t>
        </is>
      </c>
      <c r="L1922" t="inlineStr">
        <is>
          <t>27.000000000000</t>
        </is>
      </c>
      <c r="M1922" t="inlineStr"/>
    </row>
    <row r="1923">
      <c r="A1923" t="inlineStr">
        <is>
          <t>06/25/2026</t>
        </is>
      </c>
      <c r="B1923" t="inlineStr">
        <is>
          <t>WR</t>
        </is>
      </c>
      <c r="C1923" s="1" t="inlineStr">
        <is>
          <t>KRMN</t>
        </is>
      </c>
      <c r="D1923" s="1" t="inlineStr">
        <is>
          <t>485924104</t>
        </is>
      </c>
      <c r="E1923" t="inlineStr">
        <is>
          <t>Karman Holdings Inc</t>
        </is>
      </c>
      <c r="F1923" t="inlineStr">
        <is>
          <t>405.00000000</t>
        </is>
      </c>
      <c r="G1923" t="inlineStr">
        <is>
          <t>44.840000</t>
        </is>
      </c>
      <c r="H1923" t="inlineStr">
        <is>
          <t>18160.20</t>
        </is>
      </c>
      <c r="I1923" t="inlineStr">
        <is>
          <t>0.56%</t>
        </is>
      </c>
      <c r="J1923" t="inlineStr">
        <is>
          <t>3221856.00</t>
        </is>
      </c>
      <c r="K1923" t="inlineStr">
        <is>
          <t>135000</t>
        </is>
      </c>
      <c r="L1923" t="inlineStr">
        <is>
          <t>27.000000000000</t>
        </is>
      </c>
      <c r="M1923" t="inlineStr"/>
    </row>
    <row r="1924">
      <c r="A1924" t="inlineStr">
        <is>
          <t>06/25/2026</t>
        </is>
      </c>
      <c r="B1924" t="inlineStr">
        <is>
          <t>WR</t>
        </is>
      </c>
      <c r="C1924" s="1" t="inlineStr">
        <is>
          <t>KTOS</t>
        </is>
      </c>
      <c r="D1924" s="1" t="inlineStr">
        <is>
          <t>50077B207</t>
        </is>
      </c>
      <c r="E1924" t="inlineStr">
        <is>
          <t>Kratos Defense &amp; Security Solutions Inc</t>
        </is>
      </c>
      <c r="F1924" t="inlineStr">
        <is>
          <t>567.00000000</t>
        </is>
      </c>
      <c r="G1924" t="inlineStr">
        <is>
          <t>47.950000</t>
        </is>
      </c>
      <c r="H1924" t="inlineStr">
        <is>
          <t>27187.65</t>
        </is>
      </c>
      <c r="I1924" t="inlineStr">
        <is>
          <t>0.84%</t>
        </is>
      </c>
      <c r="J1924" t="inlineStr">
        <is>
          <t>3221856.00</t>
        </is>
      </c>
      <c r="K1924" t="inlineStr">
        <is>
          <t>135000</t>
        </is>
      </c>
      <c r="L1924" t="inlineStr">
        <is>
          <t>27.000000000000</t>
        </is>
      </c>
      <c r="M1924" t="inlineStr"/>
    </row>
    <row r="1925">
      <c r="A1925" t="inlineStr">
        <is>
          <t>06/25/2026</t>
        </is>
      </c>
      <c r="B1925" t="inlineStr">
        <is>
          <t>WR</t>
        </is>
      </c>
      <c r="C1925" s="1" t="inlineStr">
        <is>
          <t>LBRT</t>
        </is>
      </c>
      <c r="D1925" s="1" t="inlineStr">
        <is>
          <t>53115L104</t>
        </is>
      </c>
      <c r="E1925" t="inlineStr">
        <is>
          <t>Liberty Energy Inc</t>
        </is>
      </c>
      <c r="F1925" t="inlineStr">
        <is>
          <t>621.00000000</t>
        </is>
      </c>
      <c r="G1925" t="inlineStr">
        <is>
          <t>26.210000</t>
        </is>
      </c>
      <c r="H1925" t="inlineStr">
        <is>
          <t>16276.41</t>
        </is>
      </c>
      <c r="I1925" t="inlineStr">
        <is>
          <t>0.51%</t>
        </is>
      </c>
      <c r="J1925" t="inlineStr">
        <is>
          <t>3221856.00</t>
        </is>
      </c>
      <c r="K1925" t="inlineStr">
        <is>
          <t>135000</t>
        </is>
      </c>
      <c r="L1925" t="inlineStr">
        <is>
          <t>27.000000000000</t>
        </is>
      </c>
      <c r="M1925" t="inlineStr"/>
    </row>
    <row r="1926">
      <c r="A1926" t="inlineStr">
        <is>
          <t>06/25/2026</t>
        </is>
      </c>
      <c r="B1926" t="inlineStr">
        <is>
          <t>WR</t>
        </is>
      </c>
      <c r="C1926" s="1" t="inlineStr">
        <is>
          <t>LDOS</t>
        </is>
      </c>
      <c r="D1926" s="1" t="inlineStr">
        <is>
          <t>525327102</t>
        </is>
      </c>
      <c r="E1926" t="inlineStr">
        <is>
          <t>Leidos Holdings Inc</t>
        </is>
      </c>
      <c r="F1926" t="inlineStr">
        <is>
          <t>297.00000000</t>
        </is>
      </c>
      <c r="G1926" t="inlineStr">
        <is>
          <t>104.320000</t>
        </is>
      </c>
      <c r="H1926" t="inlineStr">
        <is>
          <t>30983.04</t>
        </is>
      </c>
      <c r="I1926" t="inlineStr">
        <is>
          <t>0.96%</t>
        </is>
      </c>
      <c r="J1926" t="inlineStr">
        <is>
          <t>3221856.00</t>
        </is>
      </c>
      <c r="K1926" t="inlineStr">
        <is>
          <t>135000</t>
        </is>
      </c>
      <c r="L1926" t="inlineStr">
        <is>
          <t>27.000000000000</t>
        </is>
      </c>
      <c r="M1926" t="inlineStr"/>
    </row>
    <row r="1927">
      <c r="A1927" t="inlineStr">
        <is>
          <t>06/25/2026</t>
        </is>
      </c>
      <c r="B1927" t="inlineStr">
        <is>
          <t>WR</t>
        </is>
      </c>
      <c r="C1927" s="1" t="inlineStr">
        <is>
          <t>LMT</t>
        </is>
      </c>
      <c r="D1927" s="1" t="inlineStr">
        <is>
          <t>539830109</t>
        </is>
      </c>
      <c r="E1927" t="inlineStr">
        <is>
          <t>Lockheed Martin Corp</t>
        </is>
      </c>
      <c r="F1927" t="inlineStr">
        <is>
          <t>243.00000000</t>
        </is>
      </c>
      <c r="G1927" t="inlineStr">
        <is>
          <t>491.640000</t>
        </is>
      </c>
      <c r="H1927" t="inlineStr">
        <is>
          <t>119468.52</t>
        </is>
      </c>
      <c r="I1927" t="inlineStr">
        <is>
          <t>3.71%</t>
        </is>
      </c>
      <c r="J1927" t="inlineStr">
        <is>
          <t>3221856.00</t>
        </is>
      </c>
      <c r="K1927" t="inlineStr">
        <is>
          <t>135000</t>
        </is>
      </c>
      <c r="L1927" t="inlineStr">
        <is>
          <t>27.000000000000</t>
        </is>
      </c>
      <c r="M1927" t="inlineStr"/>
    </row>
    <row r="1928">
      <c r="A1928" t="inlineStr">
        <is>
          <t>06/25/2026</t>
        </is>
      </c>
      <c r="B1928" t="inlineStr">
        <is>
          <t>WR</t>
        </is>
      </c>
      <c r="C1928" s="1" t="inlineStr">
        <is>
          <t>LNG</t>
        </is>
      </c>
      <c r="D1928" s="1" t="inlineStr">
        <is>
          <t>16411R208</t>
        </is>
      </c>
      <c r="E1928" t="inlineStr">
        <is>
          <t>Cheniere Energy Inc</t>
        </is>
      </c>
      <c r="F1928" t="inlineStr">
        <is>
          <t>297.00000000</t>
        </is>
      </c>
      <c r="G1928" t="inlineStr">
        <is>
          <t>230.860000</t>
        </is>
      </c>
      <c r="H1928" t="inlineStr">
        <is>
          <t>68565.42</t>
        </is>
      </c>
      <c r="I1928" t="inlineStr">
        <is>
          <t>2.13%</t>
        </is>
      </c>
      <c r="J1928" t="inlineStr">
        <is>
          <t>3221856.00</t>
        </is>
      </c>
      <c r="K1928" t="inlineStr">
        <is>
          <t>135000</t>
        </is>
      </c>
      <c r="L1928" t="inlineStr">
        <is>
          <t>27.000000000000</t>
        </is>
      </c>
      <c r="M1928" t="inlineStr"/>
    </row>
    <row r="1929">
      <c r="A1929" t="inlineStr">
        <is>
          <t>06/25/2026</t>
        </is>
      </c>
      <c r="B1929" t="inlineStr">
        <is>
          <t>WR</t>
        </is>
      </c>
      <c r="C1929" s="1" t="inlineStr">
        <is>
          <t>LOAR</t>
        </is>
      </c>
      <c r="D1929" s="1" t="inlineStr">
        <is>
          <t>53947R105</t>
        </is>
      </c>
      <c r="E1929" t="inlineStr">
        <is>
          <t>Loar Holdings Inc</t>
        </is>
      </c>
      <c r="F1929" t="inlineStr">
        <is>
          <t>270.00000000</t>
        </is>
      </c>
      <c r="G1929" t="inlineStr">
        <is>
          <t>73.800000</t>
        </is>
      </c>
      <c r="H1929" t="inlineStr">
        <is>
          <t>19926.00</t>
        </is>
      </c>
      <c r="I1929" t="inlineStr">
        <is>
          <t>0.62%</t>
        </is>
      </c>
      <c r="J1929" t="inlineStr">
        <is>
          <t>3221856.00</t>
        </is>
      </c>
      <c r="K1929" t="inlineStr">
        <is>
          <t>135000</t>
        </is>
      </c>
      <c r="L1929" t="inlineStr">
        <is>
          <t>27.000000000000</t>
        </is>
      </c>
      <c r="M1929" t="inlineStr"/>
    </row>
    <row r="1930">
      <c r="A1930" t="inlineStr">
        <is>
          <t>06/25/2026</t>
        </is>
      </c>
      <c r="B1930" t="inlineStr">
        <is>
          <t>WR</t>
        </is>
      </c>
      <c r="C1930" s="1" t="inlineStr">
        <is>
          <t>MOG/A</t>
        </is>
      </c>
      <c r="D1930" s="1" t="inlineStr">
        <is>
          <t>615394202</t>
        </is>
      </c>
      <c r="E1930" t="inlineStr">
        <is>
          <t>Moog Inc</t>
        </is>
      </c>
      <c r="F1930" t="inlineStr">
        <is>
          <t>81.00000000</t>
        </is>
      </c>
      <c r="G1930" t="inlineStr">
        <is>
          <t>404.900000</t>
        </is>
      </c>
      <c r="H1930" t="inlineStr">
        <is>
          <t>32796.90</t>
        </is>
      </c>
      <c r="I1930" t="inlineStr">
        <is>
          <t>1.02%</t>
        </is>
      </c>
      <c r="J1930" t="inlineStr">
        <is>
          <t>3221856.00</t>
        </is>
      </c>
      <c r="K1930" t="inlineStr">
        <is>
          <t>135000</t>
        </is>
      </c>
      <c r="L1930" t="inlineStr">
        <is>
          <t>27.000000000000</t>
        </is>
      </c>
      <c r="M1930" t="inlineStr"/>
    </row>
    <row r="1931">
      <c r="A1931" t="inlineStr">
        <is>
          <t>06/25/2026</t>
        </is>
      </c>
      <c r="B1931" t="inlineStr">
        <is>
          <t>WR</t>
        </is>
      </c>
      <c r="C1931" s="1" t="inlineStr">
        <is>
          <t>MPC</t>
        </is>
      </c>
      <c r="D1931" s="1" t="inlineStr">
        <is>
          <t>56585A102</t>
        </is>
      </c>
      <c r="E1931" t="inlineStr">
        <is>
          <t>Marathon Petroleum Corp</t>
        </is>
      </c>
      <c r="F1931" t="inlineStr">
        <is>
          <t>378.00000000</t>
        </is>
      </c>
      <c r="G1931" t="inlineStr">
        <is>
          <t>246.510000</t>
        </is>
      </c>
      <c r="H1931" t="inlineStr">
        <is>
          <t>93180.78</t>
        </is>
      </c>
      <c r="I1931" t="inlineStr">
        <is>
          <t>2.89%</t>
        </is>
      </c>
      <c r="J1931" t="inlineStr">
        <is>
          <t>3221856.00</t>
        </is>
      </c>
      <c r="K1931" t="inlineStr">
        <is>
          <t>135000</t>
        </is>
      </c>
      <c r="L1931" t="inlineStr">
        <is>
          <t>27.000000000000</t>
        </is>
      </c>
      <c r="M1931" t="inlineStr"/>
    </row>
    <row r="1932">
      <c r="A1932" t="inlineStr">
        <is>
          <t>06/25/2026</t>
        </is>
      </c>
      <c r="B1932" t="inlineStr">
        <is>
          <t>WR</t>
        </is>
      </c>
      <c r="C1932" s="1" t="inlineStr">
        <is>
          <t>MRCY</t>
        </is>
      </c>
      <c r="D1932" s="1" t="inlineStr">
        <is>
          <t>589378108</t>
        </is>
      </c>
      <c r="E1932" t="inlineStr">
        <is>
          <t>Mercury Systems Inc</t>
        </is>
      </c>
      <c r="F1932" t="inlineStr">
        <is>
          <t>243.00000000</t>
        </is>
      </c>
      <c r="G1932" t="inlineStr">
        <is>
          <t>105.000000</t>
        </is>
      </c>
      <c r="H1932" t="inlineStr">
        <is>
          <t>25515.00</t>
        </is>
      </c>
      <c r="I1932" t="inlineStr">
        <is>
          <t>0.79%</t>
        </is>
      </c>
      <c r="J1932" t="inlineStr">
        <is>
          <t>3221856.00</t>
        </is>
      </c>
      <c r="K1932" t="inlineStr">
        <is>
          <t>135000</t>
        </is>
      </c>
      <c r="L1932" t="inlineStr">
        <is>
          <t>27.000000000000</t>
        </is>
      </c>
      <c r="M1932" t="inlineStr"/>
    </row>
    <row r="1933">
      <c r="A1933" t="inlineStr">
        <is>
          <t>06/25/2026</t>
        </is>
      </c>
      <c r="B1933" t="inlineStr">
        <is>
          <t>WR</t>
        </is>
      </c>
      <c r="C1933" s="1" t="inlineStr">
        <is>
          <t>MTDR</t>
        </is>
      </c>
      <c r="D1933" s="1" t="inlineStr">
        <is>
          <t>576485205</t>
        </is>
      </c>
      <c r="E1933" t="inlineStr">
        <is>
          <t>Matador Resources Co</t>
        </is>
      </c>
      <c r="F1933" t="inlineStr">
        <is>
          <t>432.00000000</t>
        </is>
      </c>
      <c r="G1933" t="inlineStr">
        <is>
          <t>50.090000</t>
        </is>
      </c>
      <c r="H1933" t="inlineStr">
        <is>
          <t>21638.88</t>
        </is>
      </c>
      <c r="I1933" t="inlineStr">
        <is>
          <t>0.67%</t>
        </is>
      </c>
      <c r="J1933" t="inlineStr">
        <is>
          <t>3221856.00</t>
        </is>
      </c>
      <c r="K1933" t="inlineStr">
        <is>
          <t>135000</t>
        </is>
      </c>
      <c r="L1933" t="inlineStr">
        <is>
          <t>27.000000000000</t>
        </is>
      </c>
      <c r="M1933" t="inlineStr"/>
    </row>
    <row r="1934">
      <c r="A1934" t="inlineStr">
        <is>
          <t>06/25/2026</t>
        </is>
      </c>
      <c r="B1934" t="inlineStr">
        <is>
          <t>WR</t>
        </is>
      </c>
      <c r="C1934" s="1" t="inlineStr">
        <is>
          <t>NPK</t>
        </is>
      </c>
      <c r="D1934" s="1" t="inlineStr">
        <is>
          <t>637215104</t>
        </is>
      </c>
      <c r="E1934" t="inlineStr">
        <is>
          <t>National Presto Industries Inc</t>
        </is>
      </c>
      <c r="F1934" t="inlineStr">
        <is>
          <t>54.00000000</t>
        </is>
      </c>
      <c r="G1934" t="inlineStr">
        <is>
          <t>125.990000</t>
        </is>
      </c>
      <c r="H1934" t="inlineStr">
        <is>
          <t>6803.46</t>
        </is>
      </c>
      <c r="I1934" t="inlineStr">
        <is>
          <t>0.21%</t>
        </is>
      </c>
      <c r="J1934" t="inlineStr">
        <is>
          <t>3221856.00</t>
        </is>
      </c>
      <c r="K1934" t="inlineStr">
        <is>
          <t>135000</t>
        </is>
      </c>
      <c r="L1934" t="inlineStr">
        <is>
          <t>27.000000000000</t>
        </is>
      </c>
      <c r="M1934" t="inlineStr"/>
    </row>
    <row r="1935">
      <c r="A1935" t="inlineStr">
        <is>
          <t>06/25/2026</t>
        </is>
      </c>
      <c r="B1935" t="inlineStr">
        <is>
          <t>WR</t>
        </is>
      </c>
      <c r="C1935" s="1" t="inlineStr">
        <is>
          <t>OKE</t>
        </is>
      </c>
      <c r="D1935" s="1" t="inlineStr">
        <is>
          <t>682680103</t>
        </is>
      </c>
      <c r="E1935" t="inlineStr">
        <is>
          <t>ONEOK Inc</t>
        </is>
      </c>
      <c r="F1935" t="inlineStr">
        <is>
          <t>864.00000000</t>
        </is>
      </c>
      <c r="G1935" t="inlineStr">
        <is>
          <t>87.310000</t>
        </is>
      </c>
      <c r="H1935" t="inlineStr">
        <is>
          <t>75435.84</t>
        </is>
      </c>
      <c r="I1935" t="inlineStr">
        <is>
          <t>2.34%</t>
        </is>
      </c>
      <c r="J1935" t="inlineStr">
        <is>
          <t>3221856.00</t>
        </is>
      </c>
      <c r="K1935" t="inlineStr">
        <is>
          <t>135000</t>
        </is>
      </c>
      <c r="L1935" t="inlineStr">
        <is>
          <t>27.000000000000</t>
        </is>
      </c>
      <c r="M1935" t="inlineStr"/>
    </row>
    <row r="1936">
      <c r="A1936" t="inlineStr">
        <is>
          <t>06/25/2026</t>
        </is>
      </c>
      <c r="B1936" t="inlineStr">
        <is>
          <t>WR</t>
        </is>
      </c>
      <c r="C1936" s="1" t="inlineStr">
        <is>
          <t>OLN</t>
        </is>
      </c>
      <c r="D1936" s="1" t="inlineStr">
        <is>
          <t>680665205</t>
        </is>
      </c>
      <c r="E1936" t="inlineStr">
        <is>
          <t>Olin Corp</t>
        </is>
      </c>
      <c r="F1936" t="inlineStr">
        <is>
          <t>648.00000000</t>
        </is>
      </c>
      <c r="G1936" t="inlineStr">
        <is>
          <t>20.990000</t>
        </is>
      </c>
      <c r="H1936" t="inlineStr">
        <is>
          <t>13601.52</t>
        </is>
      </c>
      <c r="I1936" t="inlineStr">
        <is>
          <t>0.42%</t>
        </is>
      </c>
      <c r="J1936" t="inlineStr">
        <is>
          <t>3221856.00</t>
        </is>
      </c>
      <c r="K1936" t="inlineStr">
        <is>
          <t>135000</t>
        </is>
      </c>
      <c r="L1936" t="inlineStr">
        <is>
          <t>27.000000000000</t>
        </is>
      </c>
      <c r="M1936" t="inlineStr"/>
    </row>
    <row r="1937">
      <c r="A1937" t="inlineStr">
        <is>
          <t>06/25/2026</t>
        </is>
      </c>
      <c r="B1937" t="inlineStr">
        <is>
          <t>WR</t>
        </is>
      </c>
      <c r="C1937" s="1" t="inlineStr">
        <is>
          <t>ONDS</t>
        </is>
      </c>
      <c r="D1937" s="1" t="inlineStr">
        <is>
          <t>68236H204</t>
        </is>
      </c>
      <c r="E1937" t="inlineStr">
        <is>
          <t>Ondas Inc</t>
        </is>
      </c>
      <c r="F1937" t="inlineStr">
        <is>
          <t>1836.00000000</t>
        </is>
      </c>
      <c r="G1937" t="inlineStr">
        <is>
          <t>7.680000</t>
        </is>
      </c>
      <c r="H1937" t="inlineStr">
        <is>
          <t>14100.48</t>
        </is>
      </c>
      <c r="I1937" t="inlineStr">
        <is>
          <t>0.44%</t>
        </is>
      </c>
      <c r="J1937" t="inlineStr">
        <is>
          <t>3221856.00</t>
        </is>
      </c>
      <c r="K1937" t="inlineStr">
        <is>
          <t>135000</t>
        </is>
      </c>
      <c r="L1937" t="inlineStr">
        <is>
          <t>27.000000000000</t>
        </is>
      </c>
      <c r="M1937" t="inlineStr"/>
    </row>
    <row r="1938">
      <c r="A1938" t="inlineStr">
        <is>
          <t>06/25/2026</t>
        </is>
      </c>
      <c r="B1938" t="inlineStr">
        <is>
          <t>WR</t>
        </is>
      </c>
      <c r="C1938" s="1" t="inlineStr">
        <is>
          <t>OXY</t>
        </is>
      </c>
      <c r="D1938" s="1" t="inlineStr">
        <is>
          <t>674599105</t>
        </is>
      </c>
      <c r="E1938" t="inlineStr">
        <is>
          <t>Occidental Petroleum Corp</t>
        </is>
      </c>
      <c r="F1938" t="inlineStr">
        <is>
          <t>1188.00000000</t>
        </is>
      </c>
      <c r="G1938" t="inlineStr">
        <is>
          <t>51.090000</t>
        </is>
      </c>
      <c r="H1938" t="inlineStr">
        <is>
          <t>60694.92</t>
        </is>
      </c>
      <c r="I1938" t="inlineStr">
        <is>
          <t>1.88%</t>
        </is>
      </c>
      <c r="J1938" t="inlineStr">
        <is>
          <t>3221856.00</t>
        </is>
      </c>
      <c r="K1938" t="inlineStr">
        <is>
          <t>135000</t>
        </is>
      </c>
      <c r="L1938" t="inlineStr">
        <is>
          <t>27.000000000000</t>
        </is>
      </c>
      <c r="M1938" t="inlineStr"/>
    </row>
    <row r="1939">
      <c r="A1939" t="inlineStr">
        <is>
          <t>06/25/2026</t>
        </is>
      </c>
      <c r="B1939" t="inlineStr">
        <is>
          <t>WR</t>
        </is>
      </c>
      <c r="C1939" s="1" t="inlineStr">
        <is>
          <t>PLTR</t>
        </is>
      </c>
      <c r="D1939" s="1" t="inlineStr">
        <is>
          <t>69608A108</t>
        </is>
      </c>
      <c r="E1939" t="inlineStr">
        <is>
          <t>Palantir Technologies Inc</t>
        </is>
      </c>
      <c r="F1939" t="inlineStr">
        <is>
          <t>1161.00000000</t>
        </is>
      </c>
      <c r="G1939" t="inlineStr">
        <is>
          <t>113.500000</t>
        </is>
      </c>
      <c r="H1939" t="inlineStr">
        <is>
          <t>131773.50</t>
        </is>
      </c>
      <c r="I1939" t="inlineStr">
        <is>
          <t>4.09%</t>
        </is>
      </c>
      <c r="J1939" t="inlineStr">
        <is>
          <t>3221856.00</t>
        </is>
      </c>
      <c r="K1939" t="inlineStr">
        <is>
          <t>135000</t>
        </is>
      </c>
      <c r="L1939" t="inlineStr">
        <is>
          <t>27.000000000000</t>
        </is>
      </c>
      <c r="M1939" t="inlineStr"/>
    </row>
    <row r="1940">
      <c r="A1940" t="inlineStr">
        <is>
          <t>06/25/2026</t>
        </is>
      </c>
      <c r="B1940" t="inlineStr">
        <is>
          <t>WR</t>
        </is>
      </c>
      <c r="C1940" s="1" t="inlineStr">
        <is>
          <t>PR</t>
        </is>
      </c>
      <c r="D1940" s="1" t="inlineStr">
        <is>
          <t>71424F105</t>
        </is>
      </c>
      <c r="E1940" t="inlineStr">
        <is>
          <t>Permian Resources Corp</t>
        </is>
      </c>
      <c r="F1940" t="inlineStr">
        <is>
          <t>1944.00000000</t>
        </is>
      </c>
      <c r="G1940" t="inlineStr">
        <is>
          <t>18.700000</t>
        </is>
      </c>
      <c r="H1940" t="inlineStr">
        <is>
          <t>36352.80</t>
        </is>
      </c>
      <c r="I1940" t="inlineStr">
        <is>
          <t>1.13%</t>
        </is>
      </c>
      <c r="J1940" t="inlineStr">
        <is>
          <t>3221856.00</t>
        </is>
      </c>
      <c r="K1940" t="inlineStr">
        <is>
          <t>135000</t>
        </is>
      </c>
      <c r="L1940" t="inlineStr">
        <is>
          <t>27.000000000000</t>
        </is>
      </c>
      <c r="M1940" t="inlineStr"/>
    </row>
    <row r="1941">
      <c r="A1941" t="inlineStr">
        <is>
          <t>06/25/2026</t>
        </is>
      </c>
      <c r="B1941" t="inlineStr">
        <is>
          <t>WR</t>
        </is>
      </c>
      <c r="C1941" s="1" t="inlineStr">
        <is>
          <t>PSX</t>
        </is>
      </c>
      <c r="D1941" s="1" t="inlineStr">
        <is>
          <t>718546104</t>
        </is>
      </c>
      <c r="E1941" t="inlineStr">
        <is>
          <t>Phillips 66</t>
        </is>
      </c>
      <c r="F1941" t="inlineStr">
        <is>
          <t>540.00000000</t>
        </is>
      </c>
      <c r="G1941" t="inlineStr">
        <is>
          <t>168.640000</t>
        </is>
      </c>
      <c r="H1941" t="inlineStr">
        <is>
          <t>91065.60</t>
        </is>
      </c>
      <c r="I1941" t="inlineStr">
        <is>
          <t>2.83%</t>
        </is>
      </c>
      <c r="J1941" t="inlineStr">
        <is>
          <t>3221856.00</t>
        </is>
      </c>
      <c r="K1941" t="inlineStr">
        <is>
          <t>135000</t>
        </is>
      </c>
      <c r="L1941" t="inlineStr">
        <is>
          <t>27.000000000000</t>
        </is>
      </c>
      <c r="M1941" t="inlineStr"/>
    </row>
    <row r="1942">
      <c r="A1942" t="inlineStr">
        <is>
          <t>06/25/2026</t>
        </is>
      </c>
      <c r="B1942" t="inlineStr">
        <is>
          <t>WR</t>
        </is>
      </c>
      <c r="C1942" s="1" t="inlineStr">
        <is>
          <t>PTEN</t>
        </is>
      </c>
      <c r="D1942" s="1" t="inlineStr">
        <is>
          <t>703481101</t>
        </is>
      </c>
      <c r="E1942" t="inlineStr">
        <is>
          <t>Patterson-UTI Energy Inc</t>
        </is>
      </c>
      <c r="F1942" t="inlineStr">
        <is>
          <t>1674.00000000</t>
        </is>
      </c>
      <c r="G1942" t="inlineStr">
        <is>
          <t>9.520000</t>
        </is>
      </c>
      <c r="H1942" t="inlineStr">
        <is>
          <t>15936.48</t>
        </is>
      </c>
      <c r="I1942" t="inlineStr">
        <is>
          <t>0.49%</t>
        </is>
      </c>
      <c r="J1942" t="inlineStr">
        <is>
          <t>3221856.00</t>
        </is>
      </c>
      <c r="K1942" t="inlineStr">
        <is>
          <t>135000</t>
        </is>
      </c>
      <c r="L1942" t="inlineStr">
        <is>
          <t>27.000000000000</t>
        </is>
      </c>
      <c r="M1942" t="inlineStr"/>
    </row>
    <row r="1943">
      <c r="A1943" t="inlineStr">
        <is>
          <t>06/25/2026</t>
        </is>
      </c>
      <c r="B1943" t="inlineStr">
        <is>
          <t>WR</t>
        </is>
      </c>
      <c r="C1943" s="1" t="inlineStr">
        <is>
          <t>RCAT</t>
        </is>
      </c>
      <c r="D1943" s="1" t="inlineStr">
        <is>
          <t>75644T100</t>
        </is>
      </c>
      <c r="E1943" t="inlineStr">
        <is>
          <t>Red Cat Holdings Inc</t>
        </is>
      </c>
      <c r="F1943" t="inlineStr">
        <is>
          <t>918.00000000</t>
        </is>
      </c>
      <c r="G1943" t="inlineStr">
        <is>
          <t>9.340000</t>
        </is>
      </c>
      <c r="H1943" t="inlineStr">
        <is>
          <t>8574.12</t>
        </is>
      </c>
      <c r="I1943" t="inlineStr">
        <is>
          <t>0.27%</t>
        </is>
      </c>
      <c r="J1943" t="inlineStr">
        <is>
          <t>3221856.00</t>
        </is>
      </c>
      <c r="K1943" t="inlineStr">
        <is>
          <t>135000</t>
        </is>
      </c>
      <c r="L1943" t="inlineStr">
        <is>
          <t>27.000000000000</t>
        </is>
      </c>
      <c r="M1943" t="inlineStr"/>
    </row>
    <row r="1944">
      <c r="A1944" t="inlineStr">
        <is>
          <t>06/25/2026</t>
        </is>
      </c>
      <c r="B1944" t="inlineStr">
        <is>
          <t>WR</t>
        </is>
      </c>
      <c r="C1944" s="1" t="inlineStr">
        <is>
          <t>RKLB</t>
        </is>
      </c>
      <c r="D1944" s="1" t="inlineStr">
        <is>
          <t>773121108</t>
        </is>
      </c>
      <c r="E1944" t="inlineStr">
        <is>
          <t>Rocket Lab Corp</t>
        </is>
      </c>
      <c r="F1944" t="inlineStr">
        <is>
          <t>756.00000000</t>
        </is>
      </c>
      <c r="G1944" t="inlineStr">
        <is>
          <t>85.410000</t>
        </is>
      </c>
      <c r="H1944" t="inlineStr">
        <is>
          <t>64569.96</t>
        </is>
      </c>
      <c r="I1944" t="inlineStr">
        <is>
          <t>2.00%</t>
        </is>
      </c>
      <c r="J1944" t="inlineStr">
        <is>
          <t>3221856.00</t>
        </is>
      </c>
      <c r="K1944" t="inlineStr">
        <is>
          <t>135000</t>
        </is>
      </c>
      <c r="L1944" t="inlineStr">
        <is>
          <t>27.000000000000</t>
        </is>
      </c>
      <c r="M1944" t="inlineStr"/>
    </row>
    <row r="1945">
      <c r="A1945" t="inlineStr">
        <is>
          <t>06/25/2026</t>
        </is>
      </c>
      <c r="B1945" t="inlineStr">
        <is>
          <t>WR</t>
        </is>
      </c>
      <c r="C1945" s="1" t="inlineStr">
        <is>
          <t>RTX</t>
        </is>
      </c>
      <c r="D1945" s="1" t="inlineStr">
        <is>
          <t>75513E101</t>
        </is>
      </c>
      <c r="E1945" t="inlineStr">
        <is>
          <t>RTX Corp</t>
        </is>
      </c>
      <c r="F1945" t="inlineStr">
        <is>
          <t>945.00000000</t>
        </is>
      </c>
      <c r="G1945" t="inlineStr">
        <is>
          <t>185.060000</t>
        </is>
      </c>
      <c r="H1945" t="inlineStr">
        <is>
          <t>174881.70</t>
        </is>
      </c>
      <c r="I1945" t="inlineStr">
        <is>
          <t>5.43%</t>
        </is>
      </c>
      <c r="J1945" t="inlineStr">
        <is>
          <t>3221856.00</t>
        </is>
      </c>
      <c r="K1945" t="inlineStr">
        <is>
          <t>135000</t>
        </is>
      </c>
      <c r="L1945" t="inlineStr">
        <is>
          <t>27.000000000000</t>
        </is>
      </c>
      <c r="M1945" t="inlineStr"/>
    </row>
    <row r="1946">
      <c r="A1946" t="inlineStr">
        <is>
          <t>06/25/2026</t>
        </is>
      </c>
      <c r="B1946" t="inlineStr">
        <is>
          <t>WR</t>
        </is>
      </c>
      <c r="C1946" s="1" t="inlineStr">
        <is>
          <t>SAIC</t>
        </is>
      </c>
      <c r="D1946" s="1" t="inlineStr">
        <is>
          <t>808625107</t>
        </is>
      </c>
      <c r="E1946" t="inlineStr">
        <is>
          <t>Science Applications International Corp</t>
        </is>
      </c>
      <c r="F1946" t="inlineStr">
        <is>
          <t>216.00000000</t>
        </is>
      </c>
      <c r="G1946" t="inlineStr">
        <is>
          <t>108.470000</t>
        </is>
      </c>
      <c r="H1946" t="inlineStr">
        <is>
          <t>23429.52</t>
        </is>
      </c>
      <c r="I1946" t="inlineStr">
        <is>
          <t>0.73%</t>
        </is>
      </c>
      <c r="J1946" t="inlineStr">
        <is>
          <t>3221856.00</t>
        </is>
      </c>
      <c r="K1946" t="inlineStr">
        <is>
          <t>135000</t>
        </is>
      </c>
      <c r="L1946" t="inlineStr">
        <is>
          <t>27.000000000000</t>
        </is>
      </c>
      <c r="M1946" t="inlineStr"/>
    </row>
    <row r="1947">
      <c r="A1947" t="inlineStr">
        <is>
          <t>06/25/2026</t>
        </is>
      </c>
      <c r="B1947" t="inlineStr">
        <is>
          <t>WR</t>
        </is>
      </c>
      <c r="C1947" s="1" t="inlineStr">
        <is>
          <t>SLB</t>
        </is>
      </c>
      <c r="D1947" s="1" t="inlineStr">
        <is>
          <t>806857108</t>
        </is>
      </c>
      <c r="E1947" t="inlineStr">
        <is>
          <t>SLB Ltd</t>
        </is>
      </c>
      <c r="F1947" t="inlineStr">
        <is>
          <t>1566.00000000</t>
        </is>
      </c>
      <c r="G1947" t="inlineStr">
        <is>
          <t>46.610000</t>
        </is>
      </c>
      <c r="H1947" t="inlineStr">
        <is>
          <t>72991.26</t>
        </is>
      </c>
      <c r="I1947" t="inlineStr">
        <is>
          <t>2.27%</t>
        </is>
      </c>
      <c r="J1947" t="inlineStr">
        <is>
          <t>3221856.00</t>
        </is>
      </c>
      <c r="K1947" t="inlineStr">
        <is>
          <t>135000</t>
        </is>
      </c>
      <c r="L1947" t="inlineStr">
        <is>
          <t>27.000000000000</t>
        </is>
      </c>
      <c r="M1947" t="inlineStr"/>
    </row>
    <row r="1948">
      <c r="A1948" t="inlineStr">
        <is>
          <t>06/25/2026</t>
        </is>
      </c>
      <c r="B1948" t="inlineStr">
        <is>
          <t>WR</t>
        </is>
      </c>
      <c r="C1948" s="1" t="inlineStr">
        <is>
          <t>SWBI</t>
        </is>
      </c>
      <c r="D1948" s="1" t="inlineStr">
        <is>
          <t>831754106</t>
        </is>
      </c>
      <c r="E1948" t="inlineStr">
        <is>
          <t>Smith &amp; Wesson Brands Inc</t>
        </is>
      </c>
      <c r="F1948" t="inlineStr">
        <is>
          <t>486.00000000</t>
        </is>
      </c>
      <c r="G1948" t="inlineStr">
        <is>
          <t>16.120000</t>
        </is>
      </c>
      <c r="H1948" t="inlineStr">
        <is>
          <t>7834.32</t>
        </is>
      </c>
      <c r="I1948" t="inlineStr">
        <is>
          <t>0.24%</t>
        </is>
      </c>
      <c r="J1948" t="inlineStr">
        <is>
          <t>3221856.00</t>
        </is>
      </c>
      <c r="K1948" t="inlineStr">
        <is>
          <t>135000</t>
        </is>
      </c>
      <c r="L1948" t="inlineStr">
        <is>
          <t>27.000000000000</t>
        </is>
      </c>
      <c r="M1948" t="inlineStr"/>
    </row>
    <row r="1949">
      <c r="A1949" t="inlineStr">
        <is>
          <t>06/25/2026</t>
        </is>
      </c>
      <c r="B1949" t="inlineStr">
        <is>
          <t>WR</t>
        </is>
      </c>
      <c r="C1949" s="1" t="inlineStr">
        <is>
          <t>TDG</t>
        </is>
      </c>
      <c r="D1949" s="1" t="inlineStr">
        <is>
          <t>893641100</t>
        </is>
      </c>
      <c r="E1949" t="inlineStr">
        <is>
          <t>TransDigm Group Inc</t>
        </is>
      </c>
      <c r="F1949" t="inlineStr">
        <is>
          <t>54.00000000</t>
        </is>
      </c>
      <c r="G1949" t="inlineStr">
        <is>
          <t>1322.670000</t>
        </is>
      </c>
      <c r="H1949" t="inlineStr">
        <is>
          <t>71424.18</t>
        </is>
      </c>
      <c r="I1949" t="inlineStr">
        <is>
          <t>2.22%</t>
        </is>
      </c>
      <c r="J1949" t="inlineStr">
        <is>
          <t>3221856.00</t>
        </is>
      </c>
      <c r="K1949" t="inlineStr">
        <is>
          <t>135000</t>
        </is>
      </c>
      <c r="L1949" t="inlineStr">
        <is>
          <t>27.000000000000</t>
        </is>
      </c>
      <c r="M1949" t="inlineStr"/>
    </row>
    <row r="1950">
      <c r="A1950" t="inlineStr">
        <is>
          <t>06/25/2026</t>
        </is>
      </c>
      <c r="B1950" t="inlineStr">
        <is>
          <t>WR</t>
        </is>
      </c>
      <c r="C1950" s="1" t="inlineStr">
        <is>
          <t>TRGP</t>
        </is>
      </c>
      <c r="D1950" s="1" t="inlineStr">
        <is>
          <t>87612G101</t>
        </is>
      </c>
      <c r="E1950" t="inlineStr">
        <is>
          <t>Targa Resources Corp</t>
        </is>
      </c>
      <c r="F1950" t="inlineStr">
        <is>
          <t>297.00000000</t>
        </is>
      </c>
      <c r="G1950" t="inlineStr">
        <is>
          <t>266.320000</t>
        </is>
      </c>
      <c r="H1950" t="inlineStr">
        <is>
          <t>79097.04</t>
        </is>
      </c>
      <c r="I1950" t="inlineStr">
        <is>
          <t>2.46%</t>
        </is>
      </c>
      <c r="J1950" t="inlineStr">
        <is>
          <t>3221856.00</t>
        </is>
      </c>
      <c r="K1950" t="inlineStr">
        <is>
          <t>135000</t>
        </is>
      </c>
      <c r="L1950" t="inlineStr">
        <is>
          <t>27.000000000000</t>
        </is>
      </c>
      <c r="M1950" t="inlineStr"/>
    </row>
    <row r="1951">
      <c r="A1951" t="inlineStr">
        <is>
          <t>06/25/2026</t>
        </is>
      </c>
      <c r="B1951" t="inlineStr">
        <is>
          <t>WR</t>
        </is>
      </c>
      <c r="C1951" s="1" t="inlineStr">
        <is>
          <t>VG</t>
        </is>
      </c>
      <c r="D1951" s="1" t="inlineStr">
        <is>
          <t>92333F101</t>
        </is>
      </c>
      <c r="E1951" t="inlineStr">
        <is>
          <t>Venture Global Inc</t>
        </is>
      </c>
      <c r="F1951" t="inlineStr">
        <is>
          <t>1134.00000000</t>
        </is>
      </c>
      <c r="G1951" t="inlineStr">
        <is>
          <t>10.510000</t>
        </is>
      </c>
      <c r="H1951" t="inlineStr">
        <is>
          <t>11918.34</t>
        </is>
      </c>
      <c r="I1951" t="inlineStr">
        <is>
          <t>0.37%</t>
        </is>
      </c>
      <c r="J1951" t="inlineStr">
        <is>
          <t>3221856.00</t>
        </is>
      </c>
      <c r="K1951" t="inlineStr">
        <is>
          <t>135000</t>
        </is>
      </c>
      <c r="L1951" t="inlineStr">
        <is>
          <t>27.000000000000</t>
        </is>
      </c>
      <c r="M1951" t="inlineStr"/>
    </row>
    <row r="1952">
      <c r="A1952" t="inlineStr">
        <is>
          <t>06/25/2026</t>
        </is>
      </c>
      <c r="B1952" t="inlineStr">
        <is>
          <t>WR</t>
        </is>
      </c>
      <c r="C1952" s="1" t="inlineStr">
        <is>
          <t>VLO</t>
        </is>
      </c>
      <c r="D1952" s="1" t="inlineStr">
        <is>
          <t>91913Y100</t>
        </is>
      </c>
      <c r="E1952" t="inlineStr">
        <is>
          <t>Valero Energy Corp</t>
        </is>
      </c>
      <c r="F1952" t="inlineStr">
        <is>
          <t>378.00000000</t>
        </is>
      </c>
      <c r="G1952" t="inlineStr">
        <is>
          <t>242.430000</t>
        </is>
      </c>
      <c r="H1952" t="inlineStr">
        <is>
          <t>91638.54</t>
        </is>
      </c>
      <c r="I1952" t="inlineStr">
        <is>
          <t>2.84%</t>
        </is>
      </c>
      <c r="J1952" t="inlineStr">
        <is>
          <t>3221856.00</t>
        </is>
      </c>
      <c r="K1952" t="inlineStr">
        <is>
          <t>135000</t>
        </is>
      </c>
      <c r="L1952" t="inlineStr">
        <is>
          <t>27.000000000000</t>
        </is>
      </c>
      <c r="M1952" t="inlineStr"/>
    </row>
    <row r="1953">
      <c r="A1953" t="inlineStr">
        <is>
          <t>06/25/2026</t>
        </is>
      </c>
      <c r="B1953" t="inlineStr">
        <is>
          <t>WR</t>
        </is>
      </c>
      <c r="C1953" s="1" t="inlineStr">
        <is>
          <t>VVX</t>
        </is>
      </c>
      <c r="D1953" s="1" t="inlineStr">
        <is>
          <t>92242T101</t>
        </is>
      </c>
      <c r="E1953" t="inlineStr">
        <is>
          <t>V2X Inc</t>
        </is>
      </c>
      <c r="F1953" t="inlineStr">
        <is>
          <t>216.00000000</t>
        </is>
      </c>
      <c r="G1953" t="inlineStr">
        <is>
          <t>76.030000</t>
        </is>
      </c>
      <c r="H1953" t="inlineStr">
        <is>
          <t>16422.48</t>
        </is>
      </c>
      <c r="I1953" t="inlineStr">
        <is>
          <t>0.51%</t>
        </is>
      </c>
      <c r="J1953" t="inlineStr">
        <is>
          <t>3221856.00</t>
        </is>
      </c>
      <c r="K1953" t="inlineStr">
        <is>
          <t>135000</t>
        </is>
      </c>
      <c r="L1953" t="inlineStr">
        <is>
          <t>27.000000000000</t>
        </is>
      </c>
      <c r="M1953" t="inlineStr"/>
    </row>
    <row r="1954">
      <c r="A1954" t="inlineStr">
        <is>
          <t>06/25/2026</t>
        </is>
      </c>
      <c r="B1954" t="inlineStr">
        <is>
          <t>WR</t>
        </is>
      </c>
      <c r="C1954" s="1" t="inlineStr">
        <is>
          <t>WFRD</t>
        </is>
      </c>
      <c r="D1954" s="1" t="inlineStr">
        <is>
          <t>G48833118</t>
        </is>
      </c>
      <c r="E1954" t="inlineStr">
        <is>
          <t>Weatherford International PLC</t>
        </is>
      </c>
      <c r="F1954" t="inlineStr">
        <is>
          <t>216.00000000</t>
        </is>
      </c>
      <c r="G1954" t="inlineStr">
        <is>
          <t>84.490000</t>
        </is>
      </c>
      <c r="H1954" t="inlineStr">
        <is>
          <t>18249.84</t>
        </is>
      </c>
      <c r="I1954" t="inlineStr">
        <is>
          <t>0.57%</t>
        </is>
      </c>
      <c r="J1954" t="inlineStr">
        <is>
          <t>3221856.00</t>
        </is>
      </c>
      <c r="K1954" t="inlineStr">
        <is>
          <t>135000</t>
        </is>
      </c>
      <c r="L1954" t="inlineStr">
        <is>
          <t>27.000000000000</t>
        </is>
      </c>
      <c r="M1954" t="inlineStr"/>
    </row>
    <row r="1955">
      <c r="A1955" t="inlineStr">
        <is>
          <t>06/25/2026</t>
        </is>
      </c>
      <c r="B1955" t="inlineStr">
        <is>
          <t>WR</t>
        </is>
      </c>
      <c r="C1955" s="1" t="inlineStr">
        <is>
          <t>WMB</t>
        </is>
      </c>
      <c r="D1955" s="1" t="inlineStr">
        <is>
          <t>969457100</t>
        </is>
      </c>
      <c r="E1955" t="inlineStr">
        <is>
          <t>Williams Cos Inc/The</t>
        </is>
      </c>
      <c r="F1955" t="inlineStr">
        <is>
          <t>1323.00000000</t>
        </is>
      </c>
      <c r="G1955" t="inlineStr">
        <is>
          <t>75.870000</t>
        </is>
      </c>
      <c r="H1955" t="inlineStr">
        <is>
          <t>100376.01</t>
        </is>
      </c>
      <c r="I1955" t="inlineStr">
        <is>
          <t>3.12%</t>
        </is>
      </c>
      <c r="J1955" t="inlineStr">
        <is>
          <t>3221856.00</t>
        </is>
      </c>
      <c r="K1955" t="inlineStr">
        <is>
          <t>135000</t>
        </is>
      </c>
      <c r="L1955" t="inlineStr">
        <is>
          <t>27.000000000000</t>
        </is>
      </c>
      <c r="M1955" t="inlineStr"/>
    </row>
    <row r="1956">
      <c r="A1956" t="inlineStr">
        <is>
          <t>06/25/2026</t>
        </is>
      </c>
      <c r="B1956" t="inlineStr">
        <is>
          <t>WR</t>
        </is>
      </c>
      <c r="C1956" s="1" t="inlineStr">
        <is>
          <t>XOM</t>
        </is>
      </c>
      <c r="D1956" s="1" t="inlineStr">
        <is>
          <t>30231G102</t>
        </is>
      </c>
      <c r="E1956" t="inlineStr">
        <is>
          <t>Exxon Mobil Corp</t>
        </is>
      </c>
      <c r="F1956" t="inlineStr">
        <is>
          <t>1917.00000000</t>
        </is>
      </c>
      <c r="G1956" t="inlineStr">
        <is>
          <t>136.900000</t>
        </is>
      </c>
      <c r="H1956" t="inlineStr">
        <is>
          <t>262437.30</t>
        </is>
      </c>
      <c r="I1956" t="inlineStr">
        <is>
          <t>8.15%</t>
        </is>
      </c>
      <c r="J1956" t="inlineStr">
        <is>
          <t>3221856.00</t>
        </is>
      </c>
      <c r="K1956" t="inlineStr">
        <is>
          <t>135000</t>
        </is>
      </c>
      <c r="L1956" t="inlineStr">
        <is>
          <t>27.000000000000</t>
        </is>
      </c>
      <c r="M1956" t="inlineStr"/>
    </row>
    <row r="1957">
      <c r="A1957" t="inlineStr">
        <is>
          <t>06/25/2026</t>
        </is>
      </c>
      <c r="B1957" t="inlineStr">
        <is>
          <t>WR</t>
        </is>
      </c>
      <c r="C1957" s="1" t="inlineStr">
        <is>
          <t>Cash&amp;Other</t>
        </is>
      </c>
      <c r="D1957" s="1" t="inlineStr">
        <is>
          <t>Cash&amp;Other</t>
        </is>
      </c>
      <c r="E1957" t="inlineStr">
        <is>
          <t>Cash &amp; Other</t>
        </is>
      </c>
      <c r="F1957" t="inlineStr">
        <is>
          <t>2679.86000000</t>
        </is>
      </c>
      <c r="G1957" t="inlineStr">
        <is>
          <t>1.000000</t>
        </is>
      </c>
      <c r="H1957" t="inlineStr">
        <is>
          <t>2679.86</t>
        </is>
      </c>
      <c r="I1957" t="inlineStr">
        <is>
          <t>0.08%</t>
        </is>
      </c>
      <c r="J1957" t="inlineStr">
        <is>
          <t>3221856.00</t>
        </is>
      </c>
      <c r="K1957" t="inlineStr">
        <is>
          <t>135000</t>
        </is>
      </c>
      <c r="L1957" t="inlineStr">
        <is>
          <t>27.000000000000</t>
        </is>
      </c>
      <c r="M1957" t="inlineStr">
        <is>
          <t>Y</t>
        </is>
      </c>
    </row>
    <row r="1958">
      <c r="A1958" t="inlineStr">
        <is>
          <t>06/25/2026</t>
        </is>
      </c>
      <c r="B1958" t="inlineStr">
        <is>
          <t>WX</t>
        </is>
      </c>
      <c r="C1958" s="1" t="inlineStr">
        <is>
          <t>922042742-TRS-07/07/27-L-CLST</t>
        </is>
      </c>
      <c r="D1958" s="1" t="inlineStr">
        <is>
          <t>922042742-TRS-07/07/27-L-CLST</t>
        </is>
      </c>
      <c r="E1958" t="inlineStr">
        <is>
          <t>VANGUARD TOTAL WORLD STOCK INDEX FUND ETF SHARES-SWAP-CLST-L</t>
        </is>
      </c>
      <c r="F1958" t="inlineStr">
        <is>
          <t>4545.00000000</t>
        </is>
      </c>
      <c r="G1958" t="inlineStr">
        <is>
          <t>154.260000</t>
        </is>
      </c>
      <c r="H1958" t="inlineStr">
        <is>
          <t>701111.70</t>
        </is>
      </c>
      <c r="I1958" t="inlineStr">
        <is>
          <t>199.71%</t>
        </is>
      </c>
      <c r="J1958" t="inlineStr">
        <is>
          <t>351069.00</t>
        </is>
      </c>
      <c r="K1958" t="inlineStr">
        <is>
          <t>15000</t>
        </is>
      </c>
      <c r="L1958" t="inlineStr">
        <is>
          <t>3.000000000000</t>
        </is>
      </c>
      <c r="M1958" t="inlineStr"/>
    </row>
    <row r="1959">
      <c r="A1959" t="inlineStr">
        <is>
          <t>06/25/2026</t>
        </is>
      </c>
      <c r="B1959" t="inlineStr">
        <is>
          <t>WX</t>
        </is>
      </c>
      <c r="C1959" s="1" t="inlineStr">
        <is>
          <t>FGXXX</t>
        </is>
      </c>
      <c r="D1959" s="1" t="inlineStr">
        <is>
          <t>31846V336</t>
        </is>
      </c>
      <c r="E1959" t="inlineStr">
        <is>
          <t>First American Government Obligations Fund 12/01/2031</t>
        </is>
      </c>
      <c r="F1959" t="inlineStr">
        <is>
          <t>231723.37000000</t>
        </is>
      </c>
      <c r="G1959" t="inlineStr">
        <is>
          <t>100.000000</t>
        </is>
      </c>
      <c r="H1959" t="inlineStr">
        <is>
          <t>231723.37</t>
        </is>
      </c>
      <c r="I1959" t="inlineStr">
        <is>
          <t>66.01%</t>
        </is>
      </c>
      <c r="J1959" t="inlineStr">
        <is>
          <t>351069.00</t>
        </is>
      </c>
      <c r="K1959" t="inlineStr">
        <is>
          <t>15000</t>
        </is>
      </c>
      <c r="L1959" t="inlineStr">
        <is>
          <t>3.000000000000</t>
        </is>
      </c>
      <c r="M1959" t="inlineStr">
        <is>
          <t>Y</t>
        </is>
      </c>
    </row>
    <row r="1960">
      <c r="A1960" t="inlineStr">
        <is>
          <t>06/25/2026</t>
        </is>
      </c>
      <c r="B1960" t="inlineStr">
        <is>
          <t>WX</t>
        </is>
      </c>
      <c r="C1960" s="1" t="inlineStr">
        <is>
          <t>Cash&amp;Other</t>
        </is>
      </c>
      <c r="D1960" s="1" t="inlineStr">
        <is>
          <t>Cash&amp;Other</t>
        </is>
      </c>
      <c r="E1960" t="inlineStr">
        <is>
          <t>Cash &amp; Other</t>
        </is>
      </c>
      <c r="F1960" t="inlineStr">
        <is>
          <t>-581708.90000000</t>
        </is>
      </c>
      <c r="G1960" t="inlineStr">
        <is>
          <t>1.000000</t>
        </is>
      </c>
      <c r="H1960" t="inlineStr">
        <is>
          <t>-581708.90</t>
        </is>
      </c>
      <c r="I1960" t="inlineStr">
        <is>
          <t>-165.70%</t>
        </is>
      </c>
      <c r="J1960" t="inlineStr">
        <is>
          <t>351069.00</t>
        </is>
      </c>
      <c r="K1960" t="inlineStr">
        <is>
          <t>15000</t>
        </is>
      </c>
      <c r="L1960" t="inlineStr">
        <is>
          <t>3.000000000000</t>
        </is>
      </c>
      <c r="M1960" t="inlineStr">
        <is>
          <t>Y</t>
        </is>
      </c>
    </row>
    <row r="1961">
      <c r="A1961" t="inlineStr">
        <is>
          <t>06/25/2026</t>
        </is>
      </c>
      <c r="B1961" t="inlineStr">
        <is>
          <t>XA</t>
        </is>
      </c>
      <c r="C1961" s="1" t="inlineStr">
        <is>
          <t>AKAM</t>
        </is>
      </c>
      <c r="D1961" s="1" t="inlineStr">
        <is>
          <t>00971T101</t>
        </is>
      </c>
      <c r="E1961" t="inlineStr">
        <is>
          <t>Akamai Technologies Inc</t>
        </is>
      </c>
      <c r="F1961" t="inlineStr">
        <is>
          <t>1008.00000000</t>
        </is>
      </c>
      <c r="G1961" t="inlineStr">
        <is>
          <t>119.480000</t>
        </is>
      </c>
      <c r="H1961" t="inlineStr">
        <is>
          <t>120435.84</t>
        </is>
      </c>
      <c r="I1961" t="inlineStr">
        <is>
          <t>4.59%</t>
        </is>
      </c>
      <c r="J1961" t="inlineStr">
        <is>
          <t>2626440.00</t>
        </is>
      </c>
      <c r="K1961" t="inlineStr">
        <is>
          <t>80000</t>
        </is>
      </c>
      <c r="L1961" t="inlineStr">
        <is>
          <t>16.000000000000</t>
        </is>
      </c>
      <c r="M1961" t="inlineStr"/>
    </row>
    <row r="1962">
      <c r="A1962" t="inlineStr">
        <is>
          <t>06/25/2026</t>
        </is>
      </c>
      <c r="B1962" t="inlineStr">
        <is>
          <t>XA</t>
        </is>
      </c>
      <c r="C1962" s="1" t="inlineStr">
        <is>
          <t>ARQQ</t>
        </is>
      </c>
      <c r="D1962" s="1" t="inlineStr">
        <is>
          <t>G0567U127</t>
        </is>
      </c>
      <c r="E1962" t="inlineStr">
        <is>
          <t>Arqit Quantum Inc</t>
        </is>
      </c>
      <c r="F1962" t="inlineStr">
        <is>
          <t>1712.00000000</t>
        </is>
      </c>
      <c r="G1962" t="inlineStr">
        <is>
          <t>28.640000</t>
        </is>
      </c>
      <c r="H1962" t="inlineStr">
        <is>
          <t>49031.68</t>
        </is>
      </c>
      <c r="I1962" t="inlineStr">
        <is>
          <t>1.87%</t>
        </is>
      </c>
      <c r="J1962" t="inlineStr">
        <is>
          <t>2626440.00</t>
        </is>
      </c>
      <c r="K1962" t="inlineStr">
        <is>
          <t>80000</t>
        </is>
      </c>
      <c r="L1962" t="inlineStr">
        <is>
          <t>16.000000000000</t>
        </is>
      </c>
      <c r="M1962" t="inlineStr"/>
    </row>
    <row r="1963">
      <c r="A1963" t="inlineStr">
        <is>
          <t>06/25/2026</t>
        </is>
      </c>
      <c r="B1963" t="inlineStr">
        <is>
          <t>XA</t>
        </is>
      </c>
      <c r="C1963" s="1" t="inlineStr">
        <is>
          <t>ATEN</t>
        </is>
      </c>
      <c r="D1963" s="1" t="inlineStr">
        <is>
          <t>002121101</t>
        </is>
      </c>
      <c r="E1963" t="inlineStr">
        <is>
          <t>A10 Networks Inc</t>
        </is>
      </c>
      <c r="F1963" t="inlineStr">
        <is>
          <t>1824.00000000</t>
        </is>
      </c>
      <c r="G1963" t="inlineStr">
        <is>
          <t>34.180000</t>
        </is>
      </c>
      <c r="H1963" t="inlineStr">
        <is>
          <t>62344.32</t>
        </is>
      </c>
      <c r="I1963" t="inlineStr">
        <is>
          <t>2.37%</t>
        </is>
      </c>
      <c r="J1963" t="inlineStr">
        <is>
          <t>2626440.00</t>
        </is>
      </c>
      <c r="K1963" t="inlineStr">
        <is>
          <t>80000</t>
        </is>
      </c>
      <c r="L1963" t="inlineStr">
        <is>
          <t>16.000000000000</t>
        </is>
      </c>
      <c r="M1963" t="inlineStr"/>
    </row>
    <row r="1964">
      <c r="A1964" t="inlineStr">
        <is>
          <t>06/25/2026</t>
        </is>
      </c>
      <c r="B1964" t="inlineStr">
        <is>
          <t>XA</t>
        </is>
      </c>
      <c r="C1964" s="1" t="inlineStr">
        <is>
          <t>CACI</t>
        </is>
      </c>
      <c r="D1964" s="1" t="inlineStr">
        <is>
          <t>127190304</t>
        </is>
      </c>
      <c r="E1964" t="inlineStr">
        <is>
          <t>CACI International Inc</t>
        </is>
      </c>
      <c r="F1964" t="inlineStr">
        <is>
          <t>192.00000000</t>
        </is>
      </c>
      <c r="G1964" t="inlineStr">
        <is>
          <t>462.040000</t>
        </is>
      </c>
      <c r="H1964" t="inlineStr">
        <is>
          <t>88711.68</t>
        </is>
      </c>
      <c r="I1964" t="inlineStr">
        <is>
          <t>3.38%</t>
        </is>
      </c>
      <c r="J1964" t="inlineStr">
        <is>
          <t>2626440.00</t>
        </is>
      </c>
      <c r="K1964" t="inlineStr">
        <is>
          <t>80000</t>
        </is>
      </c>
      <c r="L1964" t="inlineStr">
        <is>
          <t>16.000000000000</t>
        </is>
      </c>
      <c r="M1964" t="inlineStr"/>
    </row>
    <row r="1965">
      <c r="A1965" t="inlineStr">
        <is>
          <t>06/25/2026</t>
        </is>
      </c>
      <c r="B1965" t="inlineStr">
        <is>
          <t>XA</t>
        </is>
      </c>
      <c r="C1965" s="1" t="inlineStr">
        <is>
          <t>CHKP</t>
        </is>
      </c>
      <c r="D1965" s="1" t="inlineStr">
        <is>
          <t>M22465104</t>
        </is>
      </c>
      <c r="E1965" t="inlineStr">
        <is>
          <t>Check Point Software Technologies Ltd</t>
        </is>
      </c>
      <c r="F1965" t="inlineStr">
        <is>
          <t>672.00000000</t>
        </is>
      </c>
      <c r="G1965" t="inlineStr">
        <is>
          <t>124.680000</t>
        </is>
      </c>
      <c r="H1965" t="inlineStr">
        <is>
          <t>83784.96</t>
        </is>
      </c>
      <c r="I1965" t="inlineStr">
        <is>
          <t>3.19%</t>
        </is>
      </c>
      <c r="J1965" t="inlineStr">
        <is>
          <t>2626440.00</t>
        </is>
      </c>
      <c r="K1965" t="inlineStr">
        <is>
          <t>80000</t>
        </is>
      </c>
      <c r="L1965" t="inlineStr">
        <is>
          <t>16.000000000000</t>
        </is>
      </c>
      <c r="M1965" t="inlineStr"/>
    </row>
    <row r="1966">
      <c r="A1966" t="inlineStr">
        <is>
          <t>06/25/2026</t>
        </is>
      </c>
      <c r="B1966" t="inlineStr">
        <is>
          <t>XA</t>
        </is>
      </c>
      <c r="C1966" s="1" t="inlineStr">
        <is>
          <t>CRWD</t>
        </is>
      </c>
      <c r="D1966" s="1" t="inlineStr">
        <is>
          <t>22788C105</t>
        </is>
      </c>
      <c r="E1966" t="inlineStr">
        <is>
          <t>Crowdstrike Holdings Inc</t>
        </is>
      </c>
      <c r="F1966" t="inlineStr">
        <is>
          <t>416.00000000</t>
        </is>
      </c>
      <c r="G1966" t="inlineStr">
        <is>
          <t>673.020000</t>
        </is>
      </c>
      <c r="H1966" t="inlineStr">
        <is>
          <t>279976.32</t>
        </is>
      </c>
      <c r="I1966" t="inlineStr">
        <is>
          <t>10.66%</t>
        </is>
      </c>
      <c r="J1966" t="inlineStr">
        <is>
          <t>2626440.00</t>
        </is>
      </c>
      <c r="K1966" t="inlineStr">
        <is>
          <t>80000</t>
        </is>
      </c>
      <c r="L1966" t="inlineStr">
        <is>
          <t>16.000000000000</t>
        </is>
      </c>
      <c r="M1966" t="inlineStr"/>
    </row>
    <row r="1967">
      <c r="A1967" t="inlineStr">
        <is>
          <t>06/25/2026</t>
        </is>
      </c>
      <c r="B1967" t="inlineStr">
        <is>
          <t>XA</t>
        </is>
      </c>
      <c r="C1967" s="1" t="inlineStr">
        <is>
          <t>DDOG</t>
        </is>
      </c>
      <c r="D1967" s="1" t="inlineStr">
        <is>
          <t>23804L103</t>
        </is>
      </c>
      <c r="E1967" t="inlineStr">
        <is>
          <t>Datadog Inc</t>
        </is>
      </c>
      <c r="F1967" t="inlineStr">
        <is>
          <t>768.00000000</t>
        </is>
      </c>
      <c r="G1967" t="inlineStr">
        <is>
          <t>222.650000</t>
        </is>
      </c>
      <c r="H1967" t="inlineStr">
        <is>
          <t>170995.20</t>
        </is>
      </c>
      <c r="I1967" t="inlineStr">
        <is>
          <t>6.51%</t>
        </is>
      </c>
      <c r="J1967" t="inlineStr">
        <is>
          <t>2626440.00</t>
        </is>
      </c>
      <c r="K1967" t="inlineStr">
        <is>
          <t>80000</t>
        </is>
      </c>
      <c r="L1967" t="inlineStr">
        <is>
          <t>16.000000000000</t>
        </is>
      </c>
      <c r="M1967" t="inlineStr"/>
    </row>
    <row r="1968">
      <c r="A1968" t="inlineStr">
        <is>
          <t>06/25/2026</t>
        </is>
      </c>
      <c r="B1968" t="inlineStr">
        <is>
          <t>XA</t>
        </is>
      </c>
      <c r="C1968" s="1" t="inlineStr">
        <is>
          <t>ESTC</t>
        </is>
      </c>
      <c r="D1968" s="1" t="inlineStr">
        <is>
          <t>N14506104</t>
        </is>
      </c>
      <c r="E1968" t="inlineStr">
        <is>
          <t>Elastic NV</t>
        </is>
      </c>
      <c r="F1968" t="inlineStr">
        <is>
          <t>1504.00000000</t>
        </is>
      </c>
      <c r="G1968" t="inlineStr">
        <is>
          <t>58.710000</t>
        </is>
      </c>
      <c r="H1968" t="inlineStr">
        <is>
          <t>88299.84</t>
        </is>
      </c>
      <c r="I1968" t="inlineStr">
        <is>
          <t>3.36%</t>
        </is>
      </c>
      <c r="J1968" t="inlineStr">
        <is>
          <t>2626440.00</t>
        </is>
      </c>
      <c r="K1968" t="inlineStr">
        <is>
          <t>80000</t>
        </is>
      </c>
      <c r="L1968" t="inlineStr">
        <is>
          <t>16.000000000000</t>
        </is>
      </c>
      <c r="M1968" t="inlineStr"/>
    </row>
    <row r="1969">
      <c r="A1969" t="inlineStr">
        <is>
          <t>06/25/2026</t>
        </is>
      </c>
      <c r="B1969" t="inlineStr">
        <is>
          <t>XA</t>
        </is>
      </c>
      <c r="C1969" s="1" t="inlineStr">
        <is>
          <t>FFIV</t>
        </is>
      </c>
      <c r="D1969" s="1" t="inlineStr">
        <is>
          <t>315616102</t>
        </is>
      </c>
      <c r="E1969" t="inlineStr">
        <is>
          <t>F5 Inc</t>
        </is>
      </c>
      <c r="F1969" t="inlineStr">
        <is>
          <t>320.00000000</t>
        </is>
      </c>
      <c r="G1969" t="inlineStr">
        <is>
          <t>384.780000</t>
        </is>
      </c>
      <c r="H1969" t="inlineStr">
        <is>
          <t>123129.60</t>
        </is>
      </c>
      <c r="I1969" t="inlineStr">
        <is>
          <t>4.69%</t>
        </is>
      </c>
      <c r="J1969" t="inlineStr">
        <is>
          <t>2626440.00</t>
        </is>
      </c>
      <c r="K1969" t="inlineStr">
        <is>
          <t>80000</t>
        </is>
      </c>
      <c r="L1969" t="inlineStr">
        <is>
          <t>16.000000000000</t>
        </is>
      </c>
      <c r="M1969" t="inlineStr"/>
    </row>
    <row r="1970">
      <c r="A1970" t="inlineStr">
        <is>
          <t>06/25/2026</t>
        </is>
      </c>
      <c r="B1970" t="inlineStr">
        <is>
          <t>XA</t>
        </is>
      </c>
      <c r="C1970" s="1" t="inlineStr">
        <is>
          <t>FGXXX</t>
        </is>
      </c>
      <c r="D1970" s="1" t="inlineStr">
        <is>
          <t>31846V336</t>
        </is>
      </c>
      <c r="E1970" t="inlineStr">
        <is>
          <t>First American Government Obligations Fund 12/01/2031</t>
        </is>
      </c>
      <c r="F1970" t="inlineStr">
        <is>
          <t>31822.88000000</t>
        </is>
      </c>
      <c r="G1970" t="inlineStr">
        <is>
          <t>100.000000</t>
        </is>
      </c>
      <c r="H1970" t="inlineStr">
        <is>
          <t>31822.88</t>
        </is>
      </c>
      <c r="I1970" t="inlineStr">
        <is>
          <t>1.21%</t>
        </is>
      </c>
      <c r="J1970" t="inlineStr">
        <is>
          <t>2626440.00</t>
        </is>
      </c>
      <c r="K1970" t="inlineStr">
        <is>
          <t>80000</t>
        </is>
      </c>
      <c r="L1970" t="inlineStr">
        <is>
          <t>16.000000000000</t>
        </is>
      </c>
      <c r="M1970" t="inlineStr">
        <is>
          <t>Y</t>
        </is>
      </c>
    </row>
    <row r="1971">
      <c r="A1971" t="inlineStr">
        <is>
          <t>06/25/2026</t>
        </is>
      </c>
      <c r="B1971" t="inlineStr">
        <is>
          <t>XA</t>
        </is>
      </c>
      <c r="C1971" s="1" t="inlineStr">
        <is>
          <t>FTNT</t>
        </is>
      </c>
      <c r="D1971" s="1" t="inlineStr">
        <is>
          <t>34959E109</t>
        </is>
      </c>
      <c r="E1971" t="inlineStr">
        <is>
          <t>Fortinet Inc</t>
        </is>
      </c>
      <c r="F1971" t="inlineStr">
        <is>
          <t>1152.00000000</t>
        </is>
      </c>
      <c r="G1971" t="inlineStr">
        <is>
          <t>145.280000</t>
        </is>
      </c>
      <c r="H1971" t="inlineStr">
        <is>
          <t>167362.56</t>
        </is>
      </c>
      <c r="I1971" t="inlineStr">
        <is>
          <t>6.37%</t>
        </is>
      </c>
      <c r="J1971" t="inlineStr">
        <is>
          <t>2626440.00</t>
        </is>
      </c>
      <c r="K1971" t="inlineStr">
        <is>
          <t>80000</t>
        </is>
      </c>
      <c r="L1971" t="inlineStr">
        <is>
          <t>16.000000000000</t>
        </is>
      </c>
      <c r="M1971" t="inlineStr"/>
    </row>
    <row r="1972">
      <c r="A1972" t="inlineStr">
        <is>
          <t>06/25/2026</t>
        </is>
      </c>
      <c r="B1972" t="inlineStr">
        <is>
          <t>XA</t>
        </is>
      </c>
      <c r="C1972" s="1" t="inlineStr">
        <is>
          <t>GEN</t>
        </is>
      </c>
      <c r="D1972" s="1" t="inlineStr">
        <is>
          <t>668771108</t>
        </is>
      </c>
      <c r="E1972" t="inlineStr">
        <is>
          <t>GEN DIGITAL INC</t>
        </is>
      </c>
      <c r="F1972" t="inlineStr">
        <is>
          <t>4544.00000000</t>
        </is>
      </c>
      <c r="G1972" t="inlineStr">
        <is>
          <t>23.560000</t>
        </is>
      </c>
      <c r="H1972" t="inlineStr">
        <is>
          <t>107056.64</t>
        </is>
      </c>
      <c r="I1972" t="inlineStr">
        <is>
          <t>4.08%</t>
        </is>
      </c>
      <c r="J1972" t="inlineStr">
        <is>
          <t>2626440.00</t>
        </is>
      </c>
      <c r="K1972" t="inlineStr">
        <is>
          <t>80000</t>
        </is>
      </c>
      <c r="L1972" t="inlineStr">
        <is>
          <t>16.000000000000</t>
        </is>
      </c>
      <c r="M1972" t="inlineStr"/>
    </row>
    <row r="1973">
      <c r="A1973" t="inlineStr">
        <is>
          <t>06/25/2026</t>
        </is>
      </c>
      <c r="B1973" t="inlineStr">
        <is>
          <t>XA</t>
        </is>
      </c>
      <c r="C1973" s="1" t="inlineStr">
        <is>
          <t>NET</t>
        </is>
      </c>
      <c r="D1973" s="1" t="inlineStr">
        <is>
          <t>18915M107</t>
        </is>
      </c>
      <c r="E1973" t="inlineStr">
        <is>
          <t>Cloudflare Inc</t>
        </is>
      </c>
      <c r="F1973" t="inlineStr">
        <is>
          <t>480.00000000</t>
        </is>
      </c>
      <c r="G1973" t="inlineStr">
        <is>
          <t>223.480000</t>
        </is>
      </c>
      <c r="H1973" t="inlineStr">
        <is>
          <t>107270.40</t>
        </is>
      </c>
      <c r="I1973" t="inlineStr">
        <is>
          <t>4.08%</t>
        </is>
      </c>
      <c r="J1973" t="inlineStr">
        <is>
          <t>2626440.00</t>
        </is>
      </c>
      <c r="K1973" t="inlineStr">
        <is>
          <t>80000</t>
        </is>
      </c>
      <c r="L1973" t="inlineStr">
        <is>
          <t>16.000000000000</t>
        </is>
      </c>
      <c r="M1973" t="inlineStr"/>
    </row>
    <row r="1974">
      <c r="A1974" t="inlineStr">
        <is>
          <t>06/25/2026</t>
        </is>
      </c>
      <c r="B1974" t="inlineStr">
        <is>
          <t>XA</t>
        </is>
      </c>
      <c r="C1974" s="1" t="inlineStr">
        <is>
          <t>NTSK</t>
        </is>
      </c>
      <c r="D1974" s="1" t="inlineStr">
        <is>
          <t>64119N608</t>
        </is>
      </c>
      <c r="E1974" t="inlineStr">
        <is>
          <t>Netskope Inc</t>
        </is>
      </c>
      <c r="F1974" t="inlineStr">
        <is>
          <t>2272.00000000</t>
        </is>
      </c>
      <c r="G1974" t="inlineStr">
        <is>
          <t>9.500000</t>
        </is>
      </c>
      <c r="H1974" t="inlineStr">
        <is>
          <t>21584.00</t>
        </is>
      </c>
      <c r="I1974" t="inlineStr">
        <is>
          <t>0.82%</t>
        </is>
      </c>
      <c r="J1974" t="inlineStr">
        <is>
          <t>2626440.00</t>
        </is>
      </c>
      <c r="K1974" t="inlineStr">
        <is>
          <t>80000</t>
        </is>
      </c>
      <c r="L1974" t="inlineStr">
        <is>
          <t>16.000000000000</t>
        </is>
      </c>
      <c r="M1974" t="inlineStr"/>
    </row>
    <row r="1975">
      <c r="A1975" t="inlineStr">
        <is>
          <t>06/25/2026</t>
        </is>
      </c>
      <c r="B1975" t="inlineStr">
        <is>
          <t>XA</t>
        </is>
      </c>
      <c r="C1975" s="1" t="inlineStr">
        <is>
          <t>OKTA</t>
        </is>
      </c>
      <c r="D1975" s="1" t="inlineStr">
        <is>
          <t>679295105</t>
        </is>
      </c>
      <c r="E1975" t="inlineStr">
        <is>
          <t>Okta Inc</t>
        </is>
      </c>
      <c r="F1975" t="inlineStr">
        <is>
          <t>1264.00000000</t>
        </is>
      </c>
      <c r="G1975" t="inlineStr">
        <is>
          <t>118.580000</t>
        </is>
      </c>
      <c r="H1975" t="inlineStr">
        <is>
          <t>149885.12</t>
        </is>
      </c>
      <c r="I1975" t="inlineStr">
        <is>
          <t>5.71%</t>
        </is>
      </c>
      <c r="J1975" t="inlineStr">
        <is>
          <t>2626440.00</t>
        </is>
      </c>
      <c r="K1975" t="inlineStr">
        <is>
          <t>80000</t>
        </is>
      </c>
      <c r="L1975" t="inlineStr">
        <is>
          <t>16.000000000000</t>
        </is>
      </c>
      <c r="M1975" t="inlineStr"/>
    </row>
    <row r="1976">
      <c r="A1976" t="inlineStr">
        <is>
          <t>06/25/2026</t>
        </is>
      </c>
      <c r="B1976" t="inlineStr">
        <is>
          <t>XA</t>
        </is>
      </c>
      <c r="C1976" s="1" t="inlineStr">
        <is>
          <t>OSPN</t>
        </is>
      </c>
      <c r="D1976" s="1" t="inlineStr">
        <is>
          <t>68287N100</t>
        </is>
      </c>
      <c r="E1976" t="inlineStr">
        <is>
          <t>OneSpan Inc</t>
        </is>
      </c>
      <c r="F1976" t="inlineStr">
        <is>
          <t>2896.00000000</t>
        </is>
      </c>
      <c r="G1976" t="inlineStr">
        <is>
          <t>13.520000</t>
        </is>
      </c>
      <c r="H1976" t="inlineStr">
        <is>
          <t>39153.92</t>
        </is>
      </c>
      <c r="I1976" t="inlineStr">
        <is>
          <t>1.49%</t>
        </is>
      </c>
      <c r="J1976" t="inlineStr">
        <is>
          <t>2626440.00</t>
        </is>
      </c>
      <c r="K1976" t="inlineStr">
        <is>
          <t>80000</t>
        </is>
      </c>
      <c r="L1976" t="inlineStr">
        <is>
          <t>16.000000000000</t>
        </is>
      </c>
      <c r="M1976" t="inlineStr"/>
    </row>
    <row r="1977">
      <c r="A1977" t="inlineStr">
        <is>
          <t>06/25/2026</t>
        </is>
      </c>
      <c r="B1977" t="inlineStr">
        <is>
          <t>XA</t>
        </is>
      </c>
      <c r="C1977" s="1" t="inlineStr">
        <is>
          <t>PANW</t>
        </is>
      </c>
      <c r="D1977" s="1" t="inlineStr">
        <is>
          <t>697435105</t>
        </is>
      </c>
      <c r="E1977" t="inlineStr">
        <is>
          <t>Palo Alto Networks Inc</t>
        </is>
      </c>
      <c r="F1977" t="inlineStr">
        <is>
          <t>1184.00000000</t>
        </is>
      </c>
      <c r="G1977" t="inlineStr">
        <is>
          <t>285.260000</t>
        </is>
      </c>
      <c r="H1977" t="inlineStr">
        <is>
          <t>337747.84</t>
        </is>
      </c>
      <c r="I1977" t="inlineStr">
        <is>
          <t>12.86%</t>
        </is>
      </c>
      <c r="J1977" t="inlineStr">
        <is>
          <t>2626440.00</t>
        </is>
      </c>
      <c r="K1977" t="inlineStr">
        <is>
          <t>80000</t>
        </is>
      </c>
      <c r="L1977" t="inlineStr">
        <is>
          <t>16.000000000000</t>
        </is>
      </c>
      <c r="M1977" t="inlineStr"/>
    </row>
    <row r="1978">
      <c r="A1978" t="inlineStr">
        <is>
          <t>06/25/2026</t>
        </is>
      </c>
      <c r="B1978" t="inlineStr">
        <is>
          <t>XA</t>
        </is>
      </c>
      <c r="C1978" s="1" t="inlineStr">
        <is>
          <t>QLYS</t>
        </is>
      </c>
      <c r="D1978" s="1" t="inlineStr">
        <is>
          <t>74758T303</t>
        </is>
      </c>
      <c r="E1978" t="inlineStr">
        <is>
          <t>Qualys Inc</t>
        </is>
      </c>
      <c r="F1978" t="inlineStr">
        <is>
          <t>720.00000000</t>
        </is>
      </c>
      <c r="G1978" t="inlineStr">
        <is>
          <t>115.340000</t>
        </is>
      </c>
      <c r="H1978" t="inlineStr">
        <is>
          <t>83044.80</t>
        </is>
      </c>
      <c r="I1978" t="inlineStr">
        <is>
          <t>3.16%</t>
        </is>
      </c>
      <c r="J1978" t="inlineStr">
        <is>
          <t>2626440.00</t>
        </is>
      </c>
      <c r="K1978" t="inlineStr">
        <is>
          <t>80000</t>
        </is>
      </c>
      <c r="L1978" t="inlineStr">
        <is>
          <t>16.000000000000</t>
        </is>
      </c>
      <c r="M1978" t="inlineStr"/>
    </row>
    <row r="1979">
      <c r="A1979" t="inlineStr">
        <is>
          <t>06/25/2026</t>
        </is>
      </c>
      <c r="B1979" t="inlineStr">
        <is>
          <t>XA</t>
        </is>
      </c>
      <c r="C1979" s="1" t="inlineStr">
        <is>
          <t>RBRK</t>
        </is>
      </c>
      <c r="D1979" s="1" t="inlineStr">
        <is>
          <t>781154109</t>
        </is>
      </c>
      <c r="E1979" t="inlineStr">
        <is>
          <t>Rubrik Inc</t>
        </is>
      </c>
      <c r="F1979" t="inlineStr">
        <is>
          <t>1504.00000000</t>
        </is>
      </c>
      <c r="G1979" t="inlineStr">
        <is>
          <t>74.520000</t>
        </is>
      </c>
      <c r="H1979" t="inlineStr">
        <is>
          <t>112078.08</t>
        </is>
      </c>
      <c r="I1979" t="inlineStr">
        <is>
          <t>4.27%</t>
        </is>
      </c>
      <c r="J1979" t="inlineStr">
        <is>
          <t>2626440.00</t>
        </is>
      </c>
      <c r="K1979" t="inlineStr">
        <is>
          <t>80000</t>
        </is>
      </c>
      <c r="L1979" t="inlineStr">
        <is>
          <t>16.000000000000</t>
        </is>
      </c>
      <c r="M1979" t="inlineStr"/>
    </row>
    <row r="1980">
      <c r="A1980" t="inlineStr">
        <is>
          <t>06/25/2026</t>
        </is>
      </c>
      <c r="B1980" t="inlineStr">
        <is>
          <t>XA</t>
        </is>
      </c>
      <c r="C1980" s="1" t="inlineStr">
        <is>
          <t>RDWR</t>
        </is>
      </c>
      <c r="D1980" s="1" t="inlineStr">
        <is>
          <t>M81873107</t>
        </is>
      </c>
      <c r="E1980" t="inlineStr">
        <is>
          <t>Radware Ltd</t>
        </is>
      </c>
      <c r="F1980" t="inlineStr">
        <is>
          <t>1568.00000000</t>
        </is>
      </c>
      <c r="G1980" t="inlineStr">
        <is>
          <t>28.100000</t>
        </is>
      </c>
      <c r="H1980" t="inlineStr">
        <is>
          <t>44060.80</t>
        </is>
      </c>
      <c r="I1980" t="inlineStr">
        <is>
          <t>1.68%</t>
        </is>
      </c>
      <c r="J1980" t="inlineStr">
        <is>
          <t>2626440.00</t>
        </is>
      </c>
      <c r="K1980" t="inlineStr">
        <is>
          <t>80000</t>
        </is>
      </c>
      <c r="L1980" t="inlineStr">
        <is>
          <t>16.000000000000</t>
        </is>
      </c>
      <c r="M1980" t="inlineStr"/>
    </row>
    <row r="1981">
      <c r="A1981" t="inlineStr">
        <is>
          <t>06/25/2026</t>
        </is>
      </c>
      <c r="B1981" t="inlineStr">
        <is>
          <t>XA</t>
        </is>
      </c>
      <c r="C1981" s="1" t="inlineStr">
        <is>
          <t>RPD</t>
        </is>
      </c>
      <c r="D1981" s="1" t="inlineStr">
        <is>
          <t>753422104</t>
        </is>
      </c>
      <c r="E1981" t="inlineStr">
        <is>
          <t>Rapid7 Inc</t>
        </is>
      </c>
      <c r="F1981" t="inlineStr">
        <is>
          <t>5120.00000000</t>
        </is>
      </c>
      <c r="G1981" t="inlineStr">
        <is>
          <t>7.080000</t>
        </is>
      </c>
      <c r="H1981" t="inlineStr">
        <is>
          <t>36249.60</t>
        </is>
      </c>
      <c r="I1981" t="inlineStr">
        <is>
          <t>1.38%</t>
        </is>
      </c>
      <c r="J1981" t="inlineStr">
        <is>
          <t>2626440.00</t>
        </is>
      </c>
      <c r="K1981" t="inlineStr">
        <is>
          <t>80000</t>
        </is>
      </c>
      <c r="L1981" t="inlineStr">
        <is>
          <t>16.000000000000</t>
        </is>
      </c>
      <c r="M1981" t="inlineStr"/>
    </row>
    <row r="1982">
      <c r="A1982" t="inlineStr">
        <is>
          <t>06/25/2026</t>
        </is>
      </c>
      <c r="B1982" t="inlineStr">
        <is>
          <t>XA</t>
        </is>
      </c>
      <c r="C1982" s="1" t="inlineStr">
        <is>
          <t>SAIL</t>
        </is>
      </c>
      <c r="D1982" s="1" t="inlineStr">
        <is>
          <t>78781J109</t>
        </is>
      </c>
      <c r="E1982" t="inlineStr">
        <is>
          <t>SailPoint Inc</t>
        </is>
      </c>
      <c r="F1982" t="inlineStr">
        <is>
          <t>3520.00000000</t>
        </is>
      </c>
      <c r="G1982" t="inlineStr">
        <is>
          <t>12.570000</t>
        </is>
      </c>
      <c r="H1982" t="inlineStr">
        <is>
          <t>44246.40</t>
        </is>
      </c>
      <c r="I1982" t="inlineStr">
        <is>
          <t>1.68%</t>
        </is>
      </c>
      <c r="J1982" t="inlineStr">
        <is>
          <t>2626440.00</t>
        </is>
      </c>
      <c r="K1982" t="inlineStr">
        <is>
          <t>80000</t>
        </is>
      </c>
      <c r="L1982" t="inlineStr">
        <is>
          <t>16.000000000000</t>
        </is>
      </c>
      <c r="M1982" t="inlineStr"/>
    </row>
    <row r="1983">
      <c r="A1983" t="inlineStr">
        <is>
          <t>06/25/2026</t>
        </is>
      </c>
      <c r="B1983" t="inlineStr">
        <is>
          <t>XA</t>
        </is>
      </c>
      <c r="C1983" s="1" t="inlineStr">
        <is>
          <t>TENB</t>
        </is>
      </c>
      <c r="D1983" s="1" t="inlineStr">
        <is>
          <t>88025T102</t>
        </is>
      </c>
      <c r="E1983" t="inlineStr">
        <is>
          <t>Tenable Holdings Inc</t>
        </is>
      </c>
      <c r="F1983" t="inlineStr">
        <is>
          <t>2640.00000000</t>
        </is>
      </c>
      <c r="G1983" t="inlineStr">
        <is>
          <t>27.920000</t>
        </is>
      </c>
      <c r="H1983" t="inlineStr">
        <is>
          <t>73708.80</t>
        </is>
      </c>
      <c r="I1983" t="inlineStr">
        <is>
          <t>2.81%</t>
        </is>
      </c>
      <c r="J1983" t="inlineStr">
        <is>
          <t>2626440.00</t>
        </is>
      </c>
      <c r="K1983" t="inlineStr">
        <is>
          <t>80000</t>
        </is>
      </c>
      <c r="L1983" t="inlineStr">
        <is>
          <t>16.000000000000</t>
        </is>
      </c>
      <c r="M1983" t="inlineStr"/>
    </row>
    <row r="1984">
      <c r="A1984" t="inlineStr">
        <is>
          <t>06/25/2026</t>
        </is>
      </c>
      <c r="B1984" t="inlineStr">
        <is>
          <t>XA</t>
        </is>
      </c>
      <c r="C1984" s="1" t="inlineStr">
        <is>
          <t>TLS</t>
        </is>
      </c>
      <c r="D1984" s="1" t="inlineStr">
        <is>
          <t>87969B101</t>
        </is>
      </c>
      <c r="E1984" t="inlineStr">
        <is>
          <t>Telos Corp</t>
        </is>
      </c>
      <c r="F1984" t="inlineStr">
        <is>
          <t>6656.00000000</t>
        </is>
      </c>
      <c r="G1984" t="inlineStr">
        <is>
          <t>4.340000</t>
        </is>
      </c>
      <c r="H1984" t="inlineStr">
        <is>
          <t>28887.04</t>
        </is>
      </c>
      <c r="I1984" t="inlineStr">
        <is>
          <t>1.10%</t>
        </is>
      </c>
      <c r="J1984" t="inlineStr">
        <is>
          <t>2626440.00</t>
        </is>
      </c>
      <c r="K1984" t="inlineStr">
        <is>
          <t>80000</t>
        </is>
      </c>
      <c r="L1984" t="inlineStr">
        <is>
          <t>16.000000000000</t>
        </is>
      </c>
      <c r="M1984" t="inlineStr"/>
    </row>
    <row r="1985">
      <c r="A1985" t="inlineStr">
        <is>
          <t>06/25/2026</t>
        </is>
      </c>
      <c r="B1985" t="inlineStr">
        <is>
          <t>XA</t>
        </is>
      </c>
      <c r="C1985" s="1" t="inlineStr">
        <is>
          <t>VRNS</t>
        </is>
      </c>
      <c r="D1985" s="1" t="inlineStr">
        <is>
          <t>922280102</t>
        </is>
      </c>
      <c r="E1985" t="inlineStr">
        <is>
          <t>Varonis Systems Inc</t>
        </is>
      </c>
      <c r="F1985" t="inlineStr">
        <is>
          <t>2320.00000000</t>
        </is>
      </c>
      <c r="G1985" t="inlineStr">
        <is>
          <t>37.290000</t>
        </is>
      </c>
      <c r="H1985" t="inlineStr">
        <is>
          <t>86512.80</t>
        </is>
      </c>
      <c r="I1985" t="inlineStr">
        <is>
          <t>3.29%</t>
        </is>
      </c>
      <c r="J1985" t="inlineStr">
        <is>
          <t>2626440.00</t>
        </is>
      </c>
      <c r="K1985" t="inlineStr">
        <is>
          <t>80000</t>
        </is>
      </c>
      <c r="L1985" t="inlineStr">
        <is>
          <t>16.000000000000</t>
        </is>
      </c>
      <c r="M1985" t="inlineStr"/>
    </row>
    <row r="1986">
      <c r="A1986" t="inlineStr">
        <is>
          <t>06/25/2026</t>
        </is>
      </c>
      <c r="B1986" t="inlineStr">
        <is>
          <t>XA</t>
        </is>
      </c>
      <c r="C1986" s="1" t="inlineStr">
        <is>
          <t>ZS</t>
        </is>
      </c>
      <c r="D1986" s="1" t="inlineStr">
        <is>
          <t>98980G102</t>
        </is>
      </c>
      <c r="E1986" t="inlineStr">
        <is>
          <t>Zscaler Inc</t>
        </is>
      </c>
      <c r="F1986" t="inlineStr">
        <is>
          <t>704.00000000</t>
        </is>
      </c>
      <c r="G1986" t="inlineStr">
        <is>
          <t>127.270000</t>
        </is>
      </c>
      <c r="H1986" t="inlineStr">
        <is>
          <t>89598.08</t>
        </is>
      </c>
      <c r="I1986" t="inlineStr">
        <is>
          <t>3.41%</t>
        </is>
      </c>
      <c r="J1986" t="inlineStr">
        <is>
          <t>2626440.00</t>
        </is>
      </c>
      <c r="K1986" t="inlineStr">
        <is>
          <t>80000</t>
        </is>
      </c>
      <c r="L1986" t="inlineStr">
        <is>
          <t>16.000000000000</t>
        </is>
      </c>
      <c r="M1986" t="inlineStr"/>
    </row>
    <row r="1987">
      <c r="A1987" t="inlineStr">
        <is>
          <t>06/25/2026</t>
        </is>
      </c>
      <c r="B1987" t="inlineStr">
        <is>
          <t>XA</t>
        </is>
      </c>
      <c r="C1987" s="1" t="inlineStr">
        <is>
          <t>Cash&amp;Other</t>
        </is>
      </c>
      <c r="D1987" s="1" t="inlineStr">
        <is>
          <t>Cash&amp;Other</t>
        </is>
      </c>
      <c r="E1987" t="inlineStr">
        <is>
          <t>Cash &amp; Other</t>
        </is>
      </c>
      <c r="F1987" t="inlineStr">
        <is>
          <t>-561.23000000</t>
        </is>
      </c>
      <c r="G1987" t="inlineStr">
        <is>
          <t>1.000000</t>
        </is>
      </c>
      <c r="H1987" t="inlineStr">
        <is>
          <t>-561.23</t>
        </is>
      </c>
      <c r="I1987" t="inlineStr">
        <is>
          <t>-0.02%</t>
        </is>
      </c>
      <c r="J1987" t="inlineStr">
        <is>
          <t>2626440.00</t>
        </is>
      </c>
      <c r="K1987" t="inlineStr">
        <is>
          <t>80000</t>
        </is>
      </c>
      <c r="L1987" t="inlineStr">
        <is>
          <t>16.000000000000</t>
        </is>
      </c>
      <c r="M1987" t="inlineStr">
        <is>
          <t>Y</t>
        </is>
      </c>
    </row>
    <row r="1988">
      <c r="A1988" t="inlineStr">
        <is>
          <t>06/25/2026</t>
        </is>
      </c>
      <c r="B1988" t="inlineStr">
        <is>
          <t>XAGI</t>
        </is>
      </c>
      <c r="C1988" s="1" t="inlineStr">
        <is>
          <t>500767363-TRS-07/05/27-L-MREX</t>
        </is>
      </c>
      <c r="D1988" s="1" t="inlineStr">
        <is>
          <t>500767363-TRS-07/05/27-L-MREX</t>
        </is>
      </c>
      <c r="E1988" t="inlineStr">
        <is>
          <t>KRANESHARES ARTIFICIAL INTELLIGENCE AND TECHNOLOGY PUBLIC AND PRIVATE ETF-SWAP-MREX-L</t>
        </is>
      </c>
      <c r="F1988" t="inlineStr">
        <is>
          <t>18013.00000000</t>
        </is>
      </c>
      <c r="G1988" t="inlineStr">
        <is>
          <t>45.010000</t>
        </is>
      </c>
      <c r="H1988" t="inlineStr">
        <is>
          <t>810765.13</t>
        </is>
      </c>
      <c r="I1988" t="inlineStr">
        <is>
          <t>199.17%</t>
        </is>
      </c>
      <c r="J1988" t="inlineStr">
        <is>
          <t>407072.00</t>
        </is>
      </c>
      <c r="K1988" t="inlineStr">
        <is>
          <t>20000</t>
        </is>
      </c>
      <c r="L1988" t="inlineStr">
        <is>
          <t>4.000000000000</t>
        </is>
      </c>
      <c r="M1988" t="inlineStr"/>
    </row>
    <row r="1989">
      <c r="A1989" t="inlineStr">
        <is>
          <t>06/25/2026</t>
        </is>
      </c>
      <c r="B1989" t="inlineStr">
        <is>
          <t>XAGI</t>
        </is>
      </c>
      <c r="C1989" s="1" t="inlineStr">
        <is>
          <t>FGXXX</t>
        </is>
      </c>
      <c r="D1989" s="1" t="inlineStr">
        <is>
          <t>31846V336</t>
        </is>
      </c>
      <c r="E1989" t="inlineStr">
        <is>
          <t>First American Government Obligations Fund 12/01/2031</t>
        </is>
      </c>
      <c r="F1989" t="inlineStr">
        <is>
          <t>137885.38000000</t>
        </is>
      </c>
      <c r="G1989" t="inlineStr">
        <is>
          <t>100.000000</t>
        </is>
      </c>
      <c r="H1989" t="inlineStr">
        <is>
          <t>137885.38</t>
        </is>
      </c>
      <c r="I1989" t="inlineStr">
        <is>
          <t>33.87%</t>
        </is>
      </c>
      <c r="J1989" t="inlineStr">
        <is>
          <t>407072.00</t>
        </is>
      </c>
      <c r="K1989" t="inlineStr">
        <is>
          <t>20000</t>
        </is>
      </c>
      <c r="L1989" t="inlineStr">
        <is>
          <t>4.000000000000</t>
        </is>
      </c>
      <c r="M1989" t="inlineStr">
        <is>
          <t>Y</t>
        </is>
      </c>
    </row>
    <row r="1990">
      <c r="A1990" t="inlineStr">
        <is>
          <t>06/25/2026</t>
        </is>
      </c>
      <c r="B1990" t="inlineStr">
        <is>
          <t>XAGI</t>
        </is>
      </c>
      <c r="C1990" s="1" t="inlineStr">
        <is>
          <t>Cash&amp;Other</t>
        </is>
      </c>
      <c r="D1990" s="1" t="inlineStr">
        <is>
          <t>Cash&amp;Other</t>
        </is>
      </c>
      <c r="E1990" t="inlineStr">
        <is>
          <t>Cash &amp; Other</t>
        </is>
      </c>
      <c r="F1990" t="inlineStr">
        <is>
          <t>-541510.10000000</t>
        </is>
      </c>
      <c r="G1990" t="inlineStr">
        <is>
          <t>1.000000</t>
        </is>
      </c>
      <c r="H1990" t="inlineStr">
        <is>
          <t>-541510.10</t>
        </is>
      </c>
      <c r="I1990" t="inlineStr">
        <is>
          <t>-133.03%</t>
        </is>
      </c>
      <c r="J1990" t="inlineStr">
        <is>
          <t>407072.00</t>
        </is>
      </c>
      <c r="K1990" t="inlineStr">
        <is>
          <t>20000</t>
        </is>
      </c>
      <c r="L1990" t="inlineStr">
        <is>
          <t>4.000000000000</t>
        </is>
      </c>
      <c r="M1990" t="inlineStr">
        <is>
          <t>Y</t>
        </is>
      </c>
    </row>
    <row r="1991">
      <c r="A1991" t="inlineStr">
        <is>
          <t>06/25/2026</t>
        </is>
      </c>
      <c r="B1991" t="inlineStr">
        <is>
          <t>XBIX</t>
        </is>
      </c>
      <c r="C1991" s="1" t="inlineStr">
        <is>
          <t>78464A870-TRS-12/01/27-L-CANT</t>
        </is>
      </c>
      <c r="D1991" s="1" t="inlineStr">
        <is>
          <t>78464A870-TRS-12/01/27-L-CANT</t>
        </is>
      </c>
      <c r="E1991" t="inlineStr">
        <is>
          <t>STATE STREET SPDR S&amp;P BIOTECH ETF-SWAP-CANT-L</t>
        </is>
      </c>
      <c r="F1991" t="inlineStr">
        <is>
          <t>6787.00000000</t>
        </is>
      </c>
      <c r="G1991" t="inlineStr">
        <is>
          <t>149.710000</t>
        </is>
      </c>
      <c r="H1991" t="inlineStr">
        <is>
          <t>1016081.77</t>
        </is>
      </c>
      <c r="I1991" t="inlineStr">
        <is>
          <t>199.76%</t>
        </is>
      </c>
      <c r="J1991" t="inlineStr">
        <is>
          <t>508653.00</t>
        </is>
      </c>
      <c r="K1991" t="inlineStr">
        <is>
          <t>15000</t>
        </is>
      </c>
      <c r="L1991" t="inlineStr">
        <is>
          <t>3.000000000000</t>
        </is>
      </c>
      <c r="M1991" t="inlineStr"/>
    </row>
    <row r="1992">
      <c r="A1992" t="inlineStr">
        <is>
          <t>06/25/2026</t>
        </is>
      </c>
      <c r="B1992" t="inlineStr">
        <is>
          <t>XBIX</t>
        </is>
      </c>
      <c r="C1992" s="1" t="inlineStr">
        <is>
          <t>FGXXX</t>
        </is>
      </c>
      <c r="D1992" s="1" t="inlineStr">
        <is>
          <t>31846V336</t>
        </is>
      </c>
      <c r="E1992" t="inlineStr">
        <is>
          <t>First American Government Obligations Fund 12/01/2031</t>
        </is>
      </c>
      <c r="F1992" t="inlineStr">
        <is>
          <t>67931.63000000</t>
        </is>
      </c>
      <c r="G1992" t="inlineStr">
        <is>
          <t>100.000000</t>
        </is>
      </c>
      <c r="H1992" t="inlineStr">
        <is>
          <t>67931.63</t>
        </is>
      </c>
      <c r="I1992" t="inlineStr">
        <is>
          <t>13.36%</t>
        </is>
      </c>
      <c r="J1992" t="inlineStr">
        <is>
          <t>508653.00</t>
        </is>
      </c>
      <c r="K1992" t="inlineStr">
        <is>
          <t>15000</t>
        </is>
      </c>
      <c r="L1992" t="inlineStr">
        <is>
          <t>3.000000000000</t>
        </is>
      </c>
      <c r="M1992" t="inlineStr">
        <is>
          <t>Y</t>
        </is>
      </c>
    </row>
    <row r="1993">
      <c r="A1993" t="inlineStr">
        <is>
          <t>06/25/2026</t>
        </is>
      </c>
      <c r="B1993" t="inlineStr">
        <is>
          <t>XBIX</t>
        </is>
      </c>
      <c r="C1993" s="1" t="inlineStr">
        <is>
          <t>Cash&amp;Other</t>
        </is>
      </c>
      <c r="D1993" s="1" t="inlineStr">
        <is>
          <t>Cash&amp;Other</t>
        </is>
      </c>
      <c r="E1993" t="inlineStr">
        <is>
          <t>Cash &amp; Other</t>
        </is>
      </c>
      <c r="F1993" t="inlineStr">
        <is>
          <t>-575391.72000000</t>
        </is>
      </c>
      <c r="G1993" t="inlineStr">
        <is>
          <t>1.000000</t>
        </is>
      </c>
      <c r="H1993" t="inlineStr">
        <is>
          <t>-575391.72</t>
        </is>
      </c>
      <c r="I1993" t="inlineStr">
        <is>
          <t>-113.12%</t>
        </is>
      </c>
      <c r="J1993" t="inlineStr">
        <is>
          <t>508653.00</t>
        </is>
      </c>
      <c r="K1993" t="inlineStr">
        <is>
          <t>15000</t>
        </is>
      </c>
      <c r="L1993" t="inlineStr">
        <is>
          <t>3.000000000000</t>
        </is>
      </c>
      <c r="M1993" t="inlineStr">
        <is>
          <t>Y</t>
        </is>
      </c>
    </row>
    <row r="1994">
      <c r="A1994" t="inlineStr">
        <is>
          <t>06/25/2026</t>
        </is>
      </c>
      <c r="B1994" t="inlineStr">
        <is>
          <t>XCOM</t>
        </is>
      </c>
      <c r="C1994" s="1" t="inlineStr">
        <is>
          <t>46090F100-TRS-07/05/27-L-MREX</t>
        </is>
      </c>
      <c r="D1994" s="1" t="inlineStr">
        <is>
          <t>46090F100-TRS-07/05/27-L-MREX</t>
        </is>
      </c>
      <c r="E1994" t="inlineStr">
        <is>
          <t>INVESCO OPTIMUM YIELD DIVERSIFIED COMMODITY STRATEGY NO K-1 ETF-SWAP-MREX-L</t>
        </is>
      </c>
      <c r="F1994" t="inlineStr">
        <is>
          <t>48283.00000000</t>
        </is>
      </c>
      <c r="G1994" t="inlineStr">
        <is>
          <t>15.780000</t>
        </is>
      </c>
      <c r="H1994" t="inlineStr">
        <is>
          <t>761905.74</t>
        </is>
      </c>
      <c r="I1994" t="inlineStr">
        <is>
          <t>200.19%</t>
        </is>
      </c>
      <c r="J1994" t="inlineStr">
        <is>
          <t>380596.00</t>
        </is>
      </c>
      <c r="K1994" t="inlineStr">
        <is>
          <t>20000</t>
        </is>
      </c>
      <c r="L1994" t="inlineStr">
        <is>
          <t>4.000000000000</t>
        </is>
      </c>
      <c r="M1994" t="inlineStr"/>
    </row>
    <row r="1995">
      <c r="A1995" t="inlineStr">
        <is>
          <t>06/25/2026</t>
        </is>
      </c>
      <c r="B1995" t="inlineStr">
        <is>
          <t>XCOM</t>
        </is>
      </c>
      <c r="C1995" s="1" t="inlineStr">
        <is>
          <t>FGXXX</t>
        </is>
      </c>
      <c r="D1995" s="1" t="inlineStr">
        <is>
          <t>31846V336</t>
        </is>
      </c>
      <c r="E1995" t="inlineStr">
        <is>
          <t>First American Government Obligations Fund 12/01/2031</t>
        </is>
      </c>
      <c r="F1995" t="inlineStr">
        <is>
          <t>126871.41000000</t>
        </is>
      </c>
      <c r="G1995" t="inlineStr">
        <is>
          <t>100.000000</t>
        </is>
      </c>
      <c r="H1995" t="inlineStr">
        <is>
          <t>126871.41</t>
        </is>
      </c>
      <c r="I1995" t="inlineStr">
        <is>
          <t>33.33%</t>
        </is>
      </c>
      <c r="J1995" t="inlineStr">
        <is>
          <t>380596.00</t>
        </is>
      </c>
      <c r="K1995" t="inlineStr">
        <is>
          <t>20000</t>
        </is>
      </c>
      <c r="L1995" t="inlineStr">
        <is>
          <t>4.000000000000</t>
        </is>
      </c>
      <c r="M1995" t="inlineStr">
        <is>
          <t>Y</t>
        </is>
      </c>
    </row>
    <row r="1996">
      <c r="A1996" t="inlineStr">
        <is>
          <t>06/25/2026</t>
        </is>
      </c>
      <c r="B1996" t="inlineStr">
        <is>
          <t>XCOM</t>
        </is>
      </c>
      <c r="C1996" s="1" t="inlineStr">
        <is>
          <t>Cash&amp;Other</t>
        </is>
      </c>
      <c r="D1996" s="1" t="inlineStr">
        <is>
          <t>Cash&amp;Other</t>
        </is>
      </c>
      <c r="E1996" t="inlineStr">
        <is>
          <t>Cash &amp; Other</t>
        </is>
      </c>
      <c r="F1996" t="inlineStr">
        <is>
          <t>-508277.95000000</t>
        </is>
      </c>
      <c r="G1996" t="inlineStr">
        <is>
          <t>1.000000</t>
        </is>
      </c>
      <c r="H1996" t="inlineStr">
        <is>
          <t>-508277.95</t>
        </is>
      </c>
      <c r="I1996" t="inlineStr">
        <is>
          <t>-133.55%</t>
        </is>
      </c>
      <c r="J1996" t="inlineStr">
        <is>
          <t>380596.00</t>
        </is>
      </c>
      <c r="K1996" t="inlineStr">
        <is>
          <t>20000</t>
        </is>
      </c>
      <c r="L1996" t="inlineStr">
        <is>
          <t>4.000000000000</t>
        </is>
      </c>
      <c r="M1996" t="inlineStr">
        <is>
          <t>Y</t>
        </is>
      </c>
    </row>
    <row r="1997">
      <c r="A1997" t="inlineStr">
        <is>
          <t>06/25/2026</t>
        </is>
      </c>
      <c r="B1997" t="inlineStr">
        <is>
          <t>XEUR</t>
        </is>
      </c>
      <c r="C1997" s="1" t="inlineStr">
        <is>
          <t>922042874-TRS-07/05/27-L-MREX</t>
        </is>
      </c>
      <c r="D1997" s="1" t="inlineStr">
        <is>
          <t>922042874-TRS-07/05/27-L-MREX</t>
        </is>
      </c>
      <c r="E1997" t="inlineStr">
        <is>
          <t>VANGUARD FTSE EUROPE ETF-SWAP-MREX-L</t>
        </is>
      </c>
      <c r="F1997" t="inlineStr">
        <is>
          <t>11176.00000000</t>
        </is>
      </c>
      <c r="G1997" t="inlineStr">
        <is>
          <t>86.950000</t>
        </is>
      </c>
      <c r="H1997" t="inlineStr">
        <is>
          <t>971753.20</t>
        </is>
      </c>
      <c r="I1997" t="inlineStr">
        <is>
          <t>199.83%</t>
        </is>
      </c>
      <c r="J1997" t="inlineStr">
        <is>
          <t>486278.00</t>
        </is>
      </c>
      <c r="K1997" t="inlineStr">
        <is>
          <t>20000</t>
        </is>
      </c>
      <c r="L1997" t="inlineStr">
        <is>
          <t>4.000000000000</t>
        </is>
      </c>
      <c r="M1997" t="inlineStr"/>
    </row>
    <row r="1998">
      <c r="A1998" t="inlineStr">
        <is>
          <t>06/25/2026</t>
        </is>
      </c>
      <c r="B1998" t="inlineStr">
        <is>
          <t>XEUR</t>
        </is>
      </c>
      <c r="C1998" s="1" t="inlineStr">
        <is>
          <t>FGXXX</t>
        </is>
      </c>
      <c r="D1998" s="1" t="inlineStr">
        <is>
          <t>31846V336</t>
        </is>
      </c>
      <c r="E1998" t="inlineStr">
        <is>
          <t>First American Government Obligations Fund 12/01/2031</t>
        </is>
      </c>
      <c r="F1998" t="inlineStr">
        <is>
          <t>139719.17000000</t>
        </is>
      </c>
      <c r="G1998" t="inlineStr">
        <is>
          <t>100.000000</t>
        </is>
      </c>
      <c r="H1998" t="inlineStr">
        <is>
          <t>139719.17</t>
        </is>
      </c>
      <c r="I1998" t="inlineStr">
        <is>
          <t>28.73%</t>
        </is>
      </c>
      <c r="J1998" t="inlineStr">
        <is>
          <t>486278.00</t>
        </is>
      </c>
      <c r="K1998" t="inlineStr">
        <is>
          <t>20000</t>
        </is>
      </c>
      <c r="L1998" t="inlineStr">
        <is>
          <t>4.000000000000</t>
        </is>
      </c>
      <c r="M1998" t="inlineStr">
        <is>
          <t>Y</t>
        </is>
      </c>
    </row>
    <row r="1999">
      <c r="A1999" t="inlineStr">
        <is>
          <t>06/25/2026</t>
        </is>
      </c>
      <c r="B1999" t="inlineStr">
        <is>
          <t>XEUR</t>
        </is>
      </c>
      <c r="C1999" s="1" t="inlineStr">
        <is>
          <t>Cash&amp;Other</t>
        </is>
      </c>
      <c r="D1999" s="1" t="inlineStr">
        <is>
          <t>Cash&amp;Other</t>
        </is>
      </c>
      <c r="E1999" t="inlineStr">
        <is>
          <t>Cash &amp; Other</t>
        </is>
      </c>
      <c r="F1999" t="inlineStr">
        <is>
          <t>-625317.91000000</t>
        </is>
      </c>
      <c r="G1999" t="inlineStr">
        <is>
          <t>1.000000</t>
        </is>
      </c>
      <c r="H1999" t="inlineStr">
        <is>
          <t>-625317.91</t>
        </is>
      </c>
      <c r="I1999" t="inlineStr">
        <is>
          <t>-128.59%</t>
        </is>
      </c>
      <c r="J1999" t="inlineStr">
        <is>
          <t>486278.00</t>
        </is>
      </c>
      <c r="K1999" t="inlineStr">
        <is>
          <t>20000</t>
        </is>
      </c>
      <c r="L1999" t="inlineStr">
        <is>
          <t>4.000000000000</t>
        </is>
      </c>
      <c r="M1999" t="inlineStr">
        <is>
          <t>Y</t>
        </is>
      </c>
    </row>
    <row r="2000">
      <c r="A2000" t="inlineStr">
        <is>
          <t>06/25/2026</t>
        </is>
      </c>
      <c r="B2000" t="inlineStr">
        <is>
          <t>XHOA</t>
        </is>
      </c>
      <c r="C2000" s="1" t="inlineStr">
        <is>
          <t>81369Y860-TRS-07/05/27-L-MREX</t>
        </is>
      </c>
      <c r="D2000" s="1" t="inlineStr">
        <is>
          <t>81369Y860-TRS-07/05/27-L-MREX</t>
        </is>
      </c>
      <c r="E2000" t="inlineStr">
        <is>
          <t>STATE STREET REAL ESTATE SELECT SECTOR SPDR ETF-SWAP-MREX-L</t>
        </is>
      </c>
      <c r="F2000" t="inlineStr">
        <is>
          <t>11860.00000000</t>
        </is>
      </c>
      <c r="G2000" t="inlineStr">
        <is>
          <t>44.510000</t>
        </is>
      </c>
      <c r="H2000" t="inlineStr">
        <is>
          <t>527888.60</t>
        </is>
      </c>
      <c r="I2000" t="inlineStr">
        <is>
          <t>200.06%</t>
        </is>
      </c>
      <c r="J2000" t="inlineStr">
        <is>
          <t>263869.00</t>
        </is>
      </c>
      <c r="K2000" t="inlineStr">
        <is>
          <t>10000</t>
        </is>
      </c>
      <c r="L2000" t="inlineStr">
        <is>
          <t>2.000000000000</t>
        </is>
      </c>
      <c r="M2000" t="inlineStr"/>
    </row>
    <row r="2001">
      <c r="A2001" t="inlineStr">
        <is>
          <t>06/25/2026</t>
        </is>
      </c>
      <c r="B2001" t="inlineStr">
        <is>
          <t>XHOA</t>
        </is>
      </c>
      <c r="C2001" s="1" t="inlineStr">
        <is>
          <t>FGXXX</t>
        </is>
      </c>
      <c r="D2001" s="1" t="inlineStr">
        <is>
          <t>31846V336</t>
        </is>
      </c>
      <c r="E2001" t="inlineStr">
        <is>
          <t>First American Government Obligations Fund 12/01/2031</t>
        </is>
      </c>
      <c r="F2001" t="inlineStr">
        <is>
          <t>74688.62000000</t>
        </is>
      </c>
      <c r="G2001" t="inlineStr">
        <is>
          <t>100.000000</t>
        </is>
      </c>
      <c r="H2001" t="inlineStr">
        <is>
          <t>74688.62</t>
        </is>
      </c>
      <c r="I2001" t="inlineStr">
        <is>
          <t>28.31%</t>
        </is>
      </c>
      <c r="J2001" t="inlineStr">
        <is>
          <t>263869.00</t>
        </is>
      </c>
      <c r="K2001" t="inlineStr">
        <is>
          <t>10000</t>
        </is>
      </c>
      <c r="L2001" t="inlineStr">
        <is>
          <t>2.000000000000</t>
        </is>
      </c>
      <c r="M2001" t="inlineStr">
        <is>
          <t>Y</t>
        </is>
      </c>
    </row>
    <row r="2002">
      <c r="A2002" t="inlineStr">
        <is>
          <t>06/25/2026</t>
        </is>
      </c>
      <c r="B2002" t="inlineStr">
        <is>
          <t>XHOA</t>
        </is>
      </c>
      <c r="C2002" s="1" t="inlineStr">
        <is>
          <t>Cash&amp;Other</t>
        </is>
      </c>
      <c r="D2002" s="1" t="inlineStr">
        <is>
          <t>Cash&amp;Other</t>
        </is>
      </c>
      <c r="E2002" t="inlineStr">
        <is>
          <t>Cash &amp; Other</t>
        </is>
      </c>
      <c r="F2002" t="inlineStr">
        <is>
          <t>-338792.34000000</t>
        </is>
      </c>
      <c r="G2002" t="inlineStr">
        <is>
          <t>1.000000</t>
        </is>
      </c>
      <c r="H2002" t="inlineStr">
        <is>
          <t>-338792.34</t>
        </is>
      </c>
      <c r="I2002" t="inlineStr">
        <is>
          <t>-128.39%</t>
        </is>
      </c>
      <c r="J2002" t="inlineStr">
        <is>
          <t>263869.00</t>
        </is>
      </c>
      <c r="K2002" t="inlineStr">
        <is>
          <t>10000</t>
        </is>
      </c>
      <c r="L2002" t="inlineStr">
        <is>
          <t>2.000000000000</t>
        </is>
      </c>
      <c r="M2002" t="inlineStr">
        <is>
          <t>Y</t>
        </is>
      </c>
    </row>
    <row r="2003">
      <c r="A2003" t="inlineStr">
        <is>
          <t>06/25/2026</t>
        </is>
      </c>
      <c r="B2003" t="inlineStr">
        <is>
          <t>XIWC</t>
        </is>
      </c>
      <c r="C2003" s="1" t="inlineStr">
        <is>
          <t>464288869-TRS-07/05/27-L-MREX</t>
        </is>
      </c>
      <c r="D2003" s="1" t="inlineStr">
        <is>
          <t>464288869-TRS-07/05/27-L-MREX</t>
        </is>
      </c>
      <c r="E2003" t="inlineStr">
        <is>
          <t>ISHARES MICRO-CAP ETF-SWAP-MREX-L</t>
        </is>
      </c>
      <c r="F2003" t="inlineStr">
        <is>
          <t>3882.00000000</t>
        </is>
      </c>
      <c r="G2003" t="inlineStr">
        <is>
          <t>192.170000</t>
        </is>
      </c>
      <c r="H2003" t="inlineStr">
        <is>
          <t>746003.94</t>
        </is>
      </c>
      <c r="I2003" t="inlineStr">
        <is>
          <t>199.09%</t>
        </is>
      </c>
      <c r="J2003" t="inlineStr">
        <is>
          <t>374706.00</t>
        </is>
      </c>
      <c r="K2003" t="inlineStr">
        <is>
          <t>15000</t>
        </is>
      </c>
      <c r="L2003" t="inlineStr">
        <is>
          <t>3.000000000000</t>
        </is>
      </c>
      <c r="M2003" t="inlineStr"/>
    </row>
    <row r="2004">
      <c r="A2004" t="inlineStr">
        <is>
          <t>06/25/2026</t>
        </is>
      </c>
      <c r="B2004" t="inlineStr">
        <is>
          <t>XIWC</t>
        </is>
      </c>
      <c r="C2004" s="1" t="inlineStr">
        <is>
          <t>FGXXX</t>
        </is>
      </c>
      <c r="D2004" s="1" t="inlineStr">
        <is>
          <t>31846V336</t>
        </is>
      </c>
      <c r="E2004" t="inlineStr">
        <is>
          <t>First American Government Obligations Fund 12/01/2031</t>
        </is>
      </c>
      <c r="F2004" t="inlineStr">
        <is>
          <t>152173.60000000</t>
        </is>
      </c>
      <c r="G2004" t="inlineStr">
        <is>
          <t>100.000000</t>
        </is>
      </c>
      <c r="H2004" t="inlineStr">
        <is>
          <t>152173.60</t>
        </is>
      </c>
      <c r="I2004" t="inlineStr">
        <is>
          <t>40.61%</t>
        </is>
      </c>
      <c r="J2004" t="inlineStr">
        <is>
          <t>374706.00</t>
        </is>
      </c>
      <c r="K2004" t="inlineStr">
        <is>
          <t>15000</t>
        </is>
      </c>
      <c r="L2004" t="inlineStr">
        <is>
          <t>3.000000000000</t>
        </is>
      </c>
      <c r="M2004" t="inlineStr">
        <is>
          <t>Y</t>
        </is>
      </c>
    </row>
    <row r="2005">
      <c r="A2005" t="inlineStr">
        <is>
          <t>06/25/2026</t>
        </is>
      </c>
      <c r="B2005" t="inlineStr">
        <is>
          <t>XIWC</t>
        </is>
      </c>
      <c r="C2005" s="1" t="inlineStr">
        <is>
          <t>Cash&amp;Other</t>
        </is>
      </c>
      <c r="D2005" s="1" t="inlineStr">
        <is>
          <t>Cash&amp;Other</t>
        </is>
      </c>
      <c r="E2005" t="inlineStr">
        <is>
          <t>Cash &amp; Other</t>
        </is>
      </c>
      <c r="F2005" t="inlineStr">
        <is>
          <t>-523494.33000000</t>
        </is>
      </c>
      <c r="G2005" t="inlineStr">
        <is>
          <t>1.000000</t>
        </is>
      </c>
      <c r="H2005" t="inlineStr">
        <is>
          <t>-523494.33</t>
        </is>
      </c>
      <c r="I2005" t="inlineStr">
        <is>
          <t>-139.71%</t>
        </is>
      </c>
      <c r="J2005" t="inlineStr">
        <is>
          <t>374706.00</t>
        </is>
      </c>
      <c r="K2005" t="inlineStr">
        <is>
          <t>15000</t>
        </is>
      </c>
      <c r="L2005" t="inlineStr">
        <is>
          <t>3.000000000000</t>
        </is>
      </c>
      <c r="M2005" t="inlineStr">
        <is>
          <t>Y</t>
        </is>
      </c>
    </row>
    <row r="2006">
      <c r="A2006" t="inlineStr">
        <is>
          <t>06/25/2026</t>
        </is>
      </c>
      <c r="B2006" t="inlineStr">
        <is>
          <t>XKRE</t>
        </is>
      </c>
      <c r="C2006" s="1" t="inlineStr">
        <is>
          <t>78464A698-TRS-12/01/27-L-CANT</t>
        </is>
      </c>
      <c r="D2006" s="1" t="inlineStr">
        <is>
          <t>78464A698-TRS-12/01/27-L-CANT</t>
        </is>
      </c>
      <c r="E2006" t="inlineStr">
        <is>
          <t>STATE STREET SPDR S&amp;P REGIONAL BANKING ETF-SWAP-CANT-L</t>
        </is>
      </c>
      <c r="F2006" t="inlineStr">
        <is>
          <t>11496.00000000</t>
        </is>
      </c>
      <c r="G2006" t="inlineStr">
        <is>
          <t>73.970000</t>
        </is>
      </c>
      <c r="H2006" t="inlineStr">
        <is>
          <t>850359.12</t>
        </is>
      </c>
      <c r="I2006" t="inlineStr">
        <is>
          <t>200.08%</t>
        </is>
      </c>
      <c r="J2006" t="inlineStr">
        <is>
          <t>425013.00</t>
        </is>
      </c>
      <c r="K2006" t="inlineStr">
        <is>
          <t>15000</t>
        </is>
      </c>
      <c r="L2006" t="inlineStr">
        <is>
          <t>3.000000000000</t>
        </is>
      </c>
      <c r="M2006" t="inlineStr"/>
    </row>
    <row r="2007">
      <c r="A2007" t="inlineStr">
        <is>
          <t>06/25/2026</t>
        </is>
      </c>
      <c r="B2007" t="inlineStr">
        <is>
          <t>XKRE</t>
        </is>
      </c>
      <c r="C2007" s="1" t="inlineStr">
        <is>
          <t>FGXXX</t>
        </is>
      </c>
      <c r="D2007" s="1" t="inlineStr">
        <is>
          <t>31846V336</t>
        </is>
      </c>
      <c r="E2007" t="inlineStr">
        <is>
          <t>First American Government Obligations Fund 12/01/2031</t>
        </is>
      </c>
      <c r="F2007" t="inlineStr">
        <is>
          <t>62996.90000000</t>
        </is>
      </c>
      <c r="G2007" t="inlineStr">
        <is>
          <t>100.000000</t>
        </is>
      </c>
      <c r="H2007" t="inlineStr">
        <is>
          <t>62996.90</t>
        </is>
      </c>
      <c r="I2007" t="inlineStr">
        <is>
          <t>14.82%</t>
        </is>
      </c>
      <c r="J2007" t="inlineStr">
        <is>
          <t>425013.00</t>
        </is>
      </c>
      <c r="K2007" t="inlineStr">
        <is>
          <t>15000</t>
        </is>
      </c>
      <c r="L2007" t="inlineStr">
        <is>
          <t>3.000000000000</t>
        </is>
      </c>
      <c r="M2007" t="inlineStr">
        <is>
          <t>Y</t>
        </is>
      </c>
    </row>
    <row r="2008">
      <c r="A2008" t="inlineStr">
        <is>
          <t>06/25/2026</t>
        </is>
      </c>
      <c r="B2008" t="inlineStr">
        <is>
          <t>XKRE</t>
        </is>
      </c>
      <c r="C2008" s="1" t="inlineStr">
        <is>
          <t>Cash&amp;Other</t>
        </is>
      </c>
      <c r="D2008" s="1" t="inlineStr">
        <is>
          <t>Cash&amp;Other</t>
        </is>
      </c>
      <c r="E2008" t="inlineStr">
        <is>
          <t>Cash &amp; Other</t>
        </is>
      </c>
      <c r="F2008" t="inlineStr">
        <is>
          <t>-488377.78000000</t>
        </is>
      </c>
      <c r="G2008" t="inlineStr">
        <is>
          <t>1.000000</t>
        </is>
      </c>
      <c r="H2008" t="inlineStr">
        <is>
          <t>-488377.78</t>
        </is>
      </c>
      <c r="I2008" t="inlineStr">
        <is>
          <t>-114.91%</t>
        </is>
      </c>
      <c r="J2008" t="inlineStr">
        <is>
          <t>425013.00</t>
        </is>
      </c>
      <c r="K2008" t="inlineStr">
        <is>
          <t>15000</t>
        </is>
      </c>
      <c r="L2008" t="inlineStr">
        <is>
          <t>3.000000000000</t>
        </is>
      </c>
      <c r="M2008" t="inlineStr">
        <is>
          <t>Y</t>
        </is>
      </c>
    </row>
    <row r="2009">
      <c r="A2009" t="inlineStr">
        <is>
          <t>06/25/2026</t>
        </is>
      </c>
      <c r="B2009" t="inlineStr">
        <is>
          <t>XLBX</t>
        </is>
      </c>
      <c r="C2009" s="1" t="inlineStr">
        <is>
          <t>81369Y100-TRS-12/01/27-L-CANT</t>
        </is>
      </c>
      <c r="D2009" s="1" t="inlineStr">
        <is>
          <t>81369Y100-TRS-12/01/27-L-CANT</t>
        </is>
      </c>
      <c r="E2009" t="inlineStr">
        <is>
          <t>STATE STREET MATERIALS SELECT SECTOR SPDR ETF-SWAP-CANT-L</t>
        </is>
      </c>
      <c r="F2009" t="inlineStr">
        <is>
          <t>33664.00000000</t>
        </is>
      </c>
      <c r="G2009" t="inlineStr">
        <is>
          <t>51.160000</t>
        </is>
      </c>
      <c r="H2009" t="inlineStr">
        <is>
          <t>1722250.24</t>
        </is>
      </c>
      <c r="I2009" t="inlineStr">
        <is>
          <t>200.06%</t>
        </is>
      </c>
      <c r="J2009" t="inlineStr">
        <is>
          <t>860849.50</t>
        </is>
      </c>
      <c r="K2009" t="inlineStr">
        <is>
          <t>35000</t>
        </is>
      </c>
      <c r="L2009" t="inlineStr">
        <is>
          <t>7.000000000000</t>
        </is>
      </c>
      <c r="M2009" t="inlineStr"/>
    </row>
    <row r="2010">
      <c r="A2010" t="inlineStr">
        <is>
          <t>06/25/2026</t>
        </is>
      </c>
      <c r="B2010" t="inlineStr">
        <is>
          <t>XLBX</t>
        </is>
      </c>
      <c r="C2010" s="1" t="inlineStr">
        <is>
          <t>FGXXX</t>
        </is>
      </c>
      <c r="D2010" s="1" t="inlineStr">
        <is>
          <t>31846V336</t>
        </is>
      </c>
      <c r="E2010" t="inlineStr">
        <is>
          <t>First American Government Obligations Fund 12/01/2031</t>
        </is>
      </c>
      <c r="F2010" t="inlineStr">
        <is>
          <t>77720.17000000</t>
        </is>
      </c>
      <c r="G2010" t="inlineStr">
        <is>
          <t>100.000000</t>
        </is>
      </c>
      <c r="H2010" t="inlineStr">
        <is>
          <t>77720.17</t>
        </is>
      </c>
      <c r="I2010" t="inlineStr">
        <is>
          <t>9.03%</t>
        </is>
      </c>
      <c r="J2010" t="inlineStr">
        <is>
          <t>860849.50</t>
        </is>
      </c>
      <c r="K2010" t="inlineStr">
        <is>
          <t>35000</t>
        </is>
      </c>
      <c r="L2010" t="inlineStr">
        <is>
          <t>7.000000000000</t>
        </is>
      </c>
      <c r="M2010" t="inlineStr">
        <is>
          <t>Y</t>
        </is>
      </c>
    </row>
    <row r="2011">
      <c r="A2011" t="inlineStr">
        <is>
          <t>06/25/2026</t>
        </is>
      </c>
      <c r="B2011" t="inlineStr">
        <is>
          <t>XLBX</t>
        </is>
      </c>
      <c r="C2011" s="1" t="inlineStr">
        <is>
          <t>Cash&amp;Other</t>
        </is>
      </c>
      <c r="D2011" s="1" t="inlineStr">
        <is>
          <t>Cash&amp;Other</t>
        </is>
      </c>
      <c r="E2011" t="inlineStr">
        <is>
          <t>Cash &amp; Other</t>
        </is>
      </c>
      <c r="F2011" t="inlineStr">
        <is>
          <t>-939315.91000000</t>
        </is>
      </c>
      <c r="G2011" t="inlineStr">
        <is>
          <t>1.000000</t>
        </is>
      </c>
      <c r="H2011" t="inlineStr">
        <is>
          <t>-939315.91</t>
        </is>
      </c>
      <c r="I2011" t="inlineStr">
        <is>
          <t>-109.11%</t>
        </is>
      </c>
      <c r="J2011" t="inlineStr">
        <is>
          <t>860849.50</t>
        </is>
      </c>
      <c r="K2011" t="inlineStr">
        <is>
          <t>35000</t>
        </is>
      </c>
      <c r="L2011" t="inlineStr">
        <is>
          <t>7.000000000000</t>
        </is>
      </c>
      <c r="M2011" t="inlineStr">
        <is>
          <t>Y</t>
        </is>
      </c>
    </row>
    <row r="2012">
      <c r="A2012" t="inlineStr">
        <is>
          <t>06/25/2026</t>
        </is>
      </c>
      <c r="B2012" t="inlineStr">
        <is>
          <t>XLEX</t>
        </is>
      </c>
      <c r="C2012" s="1" t="inlineStr">
        <is>
          <t>81369Y506-TRS-12/01/27-L-CANT</t>
        </is>
      </c>
      <c r="D2012" s="1" t="inlineStr">
        <is>
          <t>81369Y506-TRS-12/01/27-L-CANT</t>
        </is>
      </c>
      <c r="E2012" t="inlineStr">
        <is>
          <t>STATE STREET ENERGY SELECT SECTOR SPDR ETF-SWAP-CANT-L</t>
        </is>
      </c>
      <c r="F2012" t="inlineStr">
        <is>
          <t>11992.00000000</t>
        </is>
      </c>
      <c r="G2012" t="inlineStr">
        <is>
          <t>53.570000</t>
        </is>
      </c>
      <c r="H2012" t="inlineStr">
        <is>
          <t>642411.44</t>
        </is>
      </c>
      <c r="I2012" t="inlineStr">
        <is>
          <t>199.92%</t>
        </is>
      </c>
      <c r="J2012" t="inlineStr">
        <is>
          <t>321328.50</t>
        </is>
      </c>
      <c r="K2012" t="inlineStr">
        <is>
          <t>15000</t>
        </is>
      </c>
      <c r="L2012" t="inlineStr">
        <is>
          <t>3.000000000000</t>
        </is>
      </c>
      <c r="M2012" t="inlineStr"/>
    </row>
    <row r="2013">
      <c r="A2013" t="inlineStr">
        <is>
          <t>06/25/2026</t>
        </is>
      </c>
      <c r="B2013" t="inlineStr">
        <is>
          <t>XLEX</t>
        </is>
      </c>
      <c r="C2013" s="1" t="inlineStr">
        <is>
          <t>FGXXX</t>
        </is>
      </c>
      <c r="D2013" s="1" t="inlineStr">
        <is>
          <t>31846V336</t>
        </is>
      </c>
      <c r="E2013" t="inlineStr">
        <is>
          <t>First American Government Obligations Fund 12/01/2031</t>
        </is>
      </c>
      <c r="F2013" t="inlineStr">
        <is>
          <t>47928.68000000</t>
        </is>
      </c>
      <c r="G2013" t="inlineStr">
        <is>
          <t>100.000000</t>
        </is>
      </c>
      <c r="H2013" t="inlineStr">
        <is>
          <t>47928.68</t>
        </is>
      </c>
      <c r="I2013" t="inlineStr">
        <is>
          <t>14.92%</t>
        </is>
      </c>
      <c r="J2013" t="inlineStr">
        <is>
          <t>321328.50</t>
        </is>
      </c>
      <c r="K2013" t="inlineStr">
        <is>
          <t>15000</t>
        </is>
      </c>
      <c r="L2013" t="inlineStr">
        <is>
          <t>3.000000000000</t>
        </is>
      </c>
      <c r="M2013" t="inlineStr">
        <is>
          <t>Y</t>
        </is>
      </c>
    </row>
    <row r="2014">
      <c r="A2014" t="inlineStr">
        <is>
          <t>06/25/2026</t>
        </is>
      </c>
      <c r="B2014" t="inlineStr">
        <is>
          <t>XLEX</t>
        </is>
      </c>
      <c r="C2014" s="1" t="inlineStr">
        <is>
          <t>Cash&amp;Other</t>
        </is>
      </c>
      <c r="D2014" s="1" t="inlineStr">
        <is>
          <t>Cash&amp;Other</t>
        </is>
      </c>
      <c r="E2014" t="inlineStr">
        <is>
          <t>Cash &amp; Other</t>
        </is>
      </c>
      <c r="F2014" t="inlineStr">
        <is>
          <t>-369071.71000000</t>
        </is>
      </c>
      <c r="G2014" t="inlineStr">
        <is>
          <t>1.000000</t>
        </is>
      </c>
      <c r="H2014" t="inlineStr">
        <is>
          <t>-369071.71</t>
        </is>
      </c>
      <c r="I2014" t="inlineStr">
        <is>
          <t>-114.86%</t>
        </is>
      </c>
      <c r="J2014" t="inlineStr">
        <is>
          <t>321328.50</t>
        </is>
      </c>
      <c r="K2014" t="inlineStr">
        <is>
          <t>15000</t>
        </is>
      </c>
      <c r="L2014" t="inlineStr">
        <is>
          <t>3.000000000000</t>
        </is>
      </c>
      <c r="M2014" t="inlineStr">
        <is>
          <t>Y</t>
        </is>
      </c>
    </row>
    <row r="2015">
      <c r="A2015" t="inlineStr">
        <is>
          <t>06/25/2026</t>
        </is>
      </c>
      <c r="B2015" t="inlineStr">
        <is>
          <t>XLFX</t>
        </is>
      </c>
      <c r="C2015" s="1" t="inlineStr">
        <is>
          <t>81369Y605-TRS-12/01/27-L-CANT</t>
        </is>
      </c>
      <c r="D2015" s="1" t="inlineStr">
        <is>
          <t>81369Y605-TRS-12/01/27-L-CANT</t>
        </is>
      </c>
      <c r="E2015" t="inlineStr">
        <is>
          <t>STATE STREET FINANCIAL SELECT SECTOR SPDR ETF-SWAP-CANT-L</t>
        </is>
      </c>
      <c r="F2015" t="inlineStr">
        <is>
          <t>25328.00000000</t>
        </is>
      </c>
      <c r="G2015" t="inlineStr">
        <is>
          <t>53.720000</t>
        </is>
      </c>
      <c r="H2015" t="inlineStr">
        <is>
          <t>1360620.16</t>
        </is>
      </c>
      <c r="I2015" t="inlineStr">
        <is>
          <t>199.99%</t>
        </is>
      </c>
      <c r="J2015" t="inlineStr">
        <is>
          <t>680337.50</t>
        </is>
      </c>
      <c r="K2015" t="inlineStr">
        <is>
          <t>25000</t>
        </is>
      </c>
      <c r="L2015" t="inlineStr">
        <is>
          <t>5.000000000000</t>
        </is>
      </c>
      <c r="M2015" t="inlineStr"/>
    </row>
    <row r="2016">
      <c r="A2016" t="inlineStr">
        <is>
          <t>06/25/2026</t>
        </is>
      </c>
      <c r="B2016" t="inlineStr">
        <is>
          <t>XLFX</t>
        </is>
      </c>
      <c r="C2016" s="1" t="inlineStr">
        <is>
          <t>FGXXX</t>
        </is>
      </c>
      <c r="D2016" s="1" t="inlineStr">
        <is>
          <t>31846V336</t>
        </is>
      </c>
      <c r="E2016" t="inlineStr">
        <is>
          <t>First American Government Obligations Fund 12/01/2031</t>
        </is>
      </c>
      <c r="F2016" t="inlineStr">
        <is>
          <t>63211.95000000</t>
        </is>
      </c>
      <c r="G2016" t="inlineStr">
        <is>
          <t>100.000000</t>
        </is>
      </c>
      <c r="H2016" t="inlineStr">
        <is>
          <t>63211.95</t>
        </is>
      </c>
      <c r="I2016" t="inlineStr">
        <is>
          <t>9.29%</t>
        </is>
      </c>
      <c r="J2016" t="inlineStr">
        <is>
          <t>680337.50</t>
        </is>
      </c>
      <c r="K2016" t="inlineStr">
        <is>
          <t>25000</t>
        </is>
      </c>
      <c r="L2016" t="inlineStr">
        <is>
          <t>5.000000000000</t>
        </is>
      </c>
      <c r="M2016" t="inlineStr">
        <is>
          <t>Y</t>
        </is>
      </c>
    </row>
    <row r="2017">
      <c r="A2017" t="inlineStr">
        <is>
          <t>06/25/2026</t>
        </is>
      </c>
      <c r="B2017" t="inlineStr">
        <is>
          <t>XLFX</t>
        </is>
      </c>
      <c r="C2017" s="1" t="inlineStr">
        <is>
          <t>Cash&amp;Other</t>
        </is>
      </c>
      <c r="D2017" s="1" t="inlineStr">
        <is>
          <t>Cash&amp;Other</t>
        </is>
      </c>
      <c r="E2017" t="inlineStr">
        <is>
          <t>Cash &amp; Other</t>
        </is>
      </c>
      <c r="F2017" t="inlineStr">
        <is>
          <t>-743702.66000000</t>
        </is>
      </c>
      <c r="G2017" t="inlineStr">
        <is>
          <t>1.000000</t>
        </is>
      </c>
      <c r="H2017" t="inlineStr">
        <is>
          <t>-743702.66</t>
        </is>
      </c>
      <c r="I2017" t="inlineStr">
        <is>
          <t>-109.31%</t>
        </is>
      </c>
      <c r="J2017" t="inlineStr">
        <is>
          <t>680337.50</t>
        </is>
      </c>
      <c r="K2017" t="inlineStr">
        <is>
          <t>25000</t>
        </is>
      </c>
      <c r="L2017" t="inlineStr">
        <is>
          <t>5.000000000000</t>
        </is>
      </c>
      <c r="M2017" t="inlineStr">
        <is>
          <t>Y</t>
        </is>
      </c>
    </row>
    <row r="2018">
      <c r="A2018" t="inlineStr">
        <is>
          <t>06/25/2026</t>
        </is>
      </c>
      <c r="B2018" t="inlineStr">
        <is>
          <t>XLIX</t>
        </is>
      </c>
      <c r="C2018" s="1" t="inlineStr">
        <is>
          <t>81369Y704-TRS-12/01/27-L-CANT</t>
        </is>
      </c>
      <c r="D2018" s="1" t="inlineStr">
        <is>
          <t>81369Y704-TRS-12/01/27-L-CANT</t>
        </is>
      </c>
      <c r="E2018" t="inlineStr">
        <is>
          <t>STATE STREET INDUSTRIAL SELECT SECTOR SPDR ETF-SWAP-CANT-L</t>
        </is>
      </c>
      <c r="F2018" t="inlineStr">
        <is>
          <t>4428.00000000</t>
        </is>
      </c>
      <c r="G2018" t="inlineStr">
        <is>
          <t>180.210000</t>
        </is>
      </c>
      <c r="H2018" t="inlineStr">
        <is>
          <t>797969.88</t>
        </is>
      </c>
      <c r="I2018" t="inlineStr">
        <is>
          <t>199.81%</t>
        </is>
      </c>
      <c r="J2018" t="inlineStr">
        <is>
          <t>399364.50</t>
        </is>
      </c>
      <c r="K2018" t="inlineStr">
        <is>
          <t>15000</t>
        </is>
      </c>
      <c r="L2018" t="inlineStr">
        <is>
          <t>3.000000000000</t>
        </is>
      </c>
      <c r="M2018" t="inlineStr"/>
    </row>
    <row r="2019">
      <c r="A2019" t="inlineStr">
        <is>
          <t>06/25/2026</t>
        </is>
      </c>
      <c r="B2019" t="inlineStr">
        <is>
          <t>XLIX</t>
        </is>
      </c>
      <c r="C2019" s="1" t="inlineStr">
        <is>
          <t>FGXXX</t>
        </is>
      </c>
      <c r="D2019" s="1" t="inlineStr">
        <is>
          <t>31846V336</t>
        </is>
      </c>
      <c r="E2019" t="inlineStr">
        <is>
          <t>First American Government Obligations Fund 12/01/2031</t>
        </is>
      </c>
      <c r="F2019" t="inlineStr">
        <is>
          <t>58577.51000000</t>
        </is>
      </c>
      <c r="G2019" t="inlineStr">
        <is>
          <t>100.000000</t>
        </is>
      </c>
      <c r="H2019" t="inlineStr">
        <is>
          <t>58577.51</t>
        </is>
      </c>
      <c r="I2019" t="inlineStr">
        <is>
          <t>14.67%</t>
        </is>
      </c>
      <c r="J2019" t="inlineStr">
        <is>
          <t>399364.50</t>
        </is>
      </c>
      <c r="K2019" t="inlineStr">
        <is>
          <t>15000</t>
        </is>
      </c>
      <c r="L2019" t="inlineStr">
        <is>
          <t>3.000000000000</t>
        </is>
      </c>
      <c r="M2019" t="inlineStr">
        <is>
          <t>Y</t>
        </is>
      </c>
    </row>
    <row r="2020">
      <c r="A2020" t="inlineStr">
        <is>
          <t>06/25/2026</t>
        </is>
      </c>
      <c r="B2020" t="inlineStr">
        <is>
          <t>XLIX</t>
        </is>
      </c>
      <c r="C2020" s="1" t="inlineStr">
        <is>
          <t>Cash&amp;Other</t>
        </is>
      </c>
      <c r="D2020" s="1" t="inlineStr">
        <is>
          <t>Cash&amp;Other</t>
        </is>
      </c>
      <c r="E2020" t="inlineStr">
        <is>
          <t>Cash &amp; Other</t>
        </is>
      </c>
      <c r="F2020" t="inlineStr">
        <is>
          <t>-457125.72000000</t>
        </is>
      </c>
      <c r="G2020" t="inlineStr">
        <is>
          <t>1.000000</t>
        </is>
      </c>
      <c r="H2020" t="inlineStr">
        <is>
          <t>-457125.72</t>
        </is>
      </c>
      <c r="I2020" t="inlineStr">
        <is>
          <t>-114.46%</t>
        </is>
      </c>
      <c r="J2020" t="inlineStr">
        <is>
          <t>399364.50</t>
        </is>
      </c>
      <c r="K2020" t="inlineStr">
        <is>
          <t>15000</t>
        </is>
      </c>
      <c r="L2020" t="inlineStr">
        <is>
          <t>3.000000000000</t>
        </is>
      </c>
      <c r="M2020" t="inlineStr">
        <is>
          <t>Y</t>
        </is>
      </c>
    </row>
    <row r="2021">
      <c r="A2021" t="inlineStr">
        <is>
          <t>06/25/2026</t>
        </is>
      </c>
      <c r="B2021" t="inlineStr">
        <is>
          <t>XLKX</t>
        </is>
      </c>
      <c r="C2021" s="1" t="inlineStr">
        <is>
          <t>81369Y803-TRS-07/07/27-L-CLST</t>
        </is>
      </c>
      <c r="D2021" s="1" t="inlineStr">
        <is>
          <t>81369Y803-TRS-07/07/27-L-CLST</t>
        </is>
      </c>
      <c r="E2021" t="inlineStr">
        <is>
          <t>STATE STREET TECHNOLOGY SELECT SECTOR SPDR ETF-SWAP-CLST-L</t>
        </is>
      </c>
      <c r="F2021" t="inlineStr">
        <is>
          <t>6861.00000000</t>
        </is>
      </c>
      <c r="G2021" t="inlineStr">
        <is>
          <t>183.050000</t>
        </is>
      </c>
      <c r="H2021" t="inlineStr">
        <is>
          <t>1255906.05</t>
        </is>
      </c>
      <c r="I2021" t="inlineStr">
        <is>
          <t>199.63%</t>
        </is>
      </c>
      <c r="J2021" t="inlineStr">
        <is>
          <t>629121.00</t>
        </is>
      </c>
      <c r="K2021" t="inlineStr">
        <is>
          <t>30000</t>
        </is>
      </c>
      <c r="L2021" t="inlineStr">
        <is>
          <t>6.000000000000</t>
        </is>
      </c>
      <c r="M2021" t="inlineStr"/>
    </row>
    <row r="2022">
      <c r="A2022" t="inlineStr">
        <is>
          <t>06/25/2026</t>
        </is>
      </c>
      <c r="B2022" t="inlineStr">
        <is>
          <t>XLKX</t>
        </is>
      </c>
      <c r="C2022" s="1" t="inlineStr">
        <is>
          <t>FGXXX</t>
        </is>
      </c>
      <c r="D2022" s="1" t="inlineStr">
        <is>
          <t>31846V336</t>
        </is>
      </c>
      <c r="E2022" t="inlineStr">
        <is>
          <t>First American Government Obligations Fund 12/01/2031</t>
        </is>
      </c>
      <c r="F2022" t="inlineStr">
        <is>
          <t>182940.52000000</t>
        </is>
      </c>
      <c r="G2022" t="inlineStr">
        <is>
          <t>100.000000</t>
        </is>
      </c>
      <c r="H2022" t="inlineStr">
        <is>
          <t>182940.52</t>
        </is>
      </c>
      <c r="I2022" t="inlineStr">
        <is>
          <t>29.08%</t>
        </is>
      </c>
      <c r="J2022" t="inlineStr">
        <is>
          <t>629121.00</t>
        </is>
      </c>
      <c r="K2022" t="inlineStr">
        <is>
          <t>30000</t>
        </is>
      </c>
      <c r="L2022" t="inlineStr">
        <is>
          <t>6.000000000000</t>
        </is>
      </c>
      <c r="M2022" t="inlineStr">
        <is>
          <t>Y</t>
        </is>
      </c>
    </row>
    <row r="2023">
      <c r="A2023" t="inlineStr">
        <is>
          <t>06/25/2026</t>
        </is>
      </c>
      <c r="B2023" t="inlineStr">
        <is>
          <t>XLKX</t>
        </is>
      </c>
      <c r="C2023" s="1" t="inlineStr">
        <is>
          <t>Cash&amp;Other</t>
        </is>
      </c>
      <c r="D2023" s="1" t="inlineStr">
        <is>
          <t>Cash&amp;Other</t>
        </is>
      </c>
      <c r="E2023" t="inlineStr">
        <is>
          <t>Cash &amp; Other</t>
        </is>
      </c>
      <c r="F2023" t="inlineStr">
        <is>
          <t>-809734.85000000</t>
        </is>
      </c>
      <c r="G2023" t="inlineStr">
        <is>
          <t>1.000000</t>
        </is>
      </c>
      <c r="H2023" t="inlineStr">
        <is>
          <t>-809734.85</t>
        </is>
      </c>
      <c r="I2023" t="inlineStr">
        <is>
          <t>-128.71%</t>
        </is>
      </c>
      <c r="J2023" t="inlineStr">
        <is>
          <t>629121.00</t>
        </is>
      </c>
      <c r="K2023" t="inlineStr">
        <is>
          <t>30000</t>
        </is>
      </c>
      <c r="L2023" t="inlineStr">
        <is>
          <t>6.000000000000</t>
        </is>
      </c>
      <c r="M2023" t="inlineStr">
        <is>
          <t>Y</t>
        </is>
      </c>
    </row>
    <row r="2024">
      <c r="A2024" t="inlineStr">
        <is>
          <t>06/25/2026</t>
        </is>
      </c>
      <c r="B2024" t="inlineStr">
        <is>
          <t>XLPX</t>
        </is>
      </c>
      <c r="C2024" s="1" t="inlineStr">
        <is>
          <t>81369Y308-TRS-07/07/27-L-CLST</t>
        </is>
      </c>
      <c r="D2024" s="1" t="inlineStr">
        <is>
          <t>81369Y308-TRS-07/07/27-L-CLST</t>
        </is>
      </c>
      <c r="E2024" t="inlineStr">
        <is>
          <t>STATE STREET CONSUMER STAPLES SELECT SECTOR SPDR ETF-SWAP-CLST-L</t>
        </is>
      </c>
      <c r="F2024" t="inlineStr">
        <is>
          <t>15855.00000000</t>
        </is>
      </c>
      <c r="G2024" t="inlineStr">
        <is>
          <t>84.440000</t>
        </is>
      </c>
      <c r="H2024" t="inlineStr">
        <is>
          <t>1338796.20</t>
        </is>
      </c>
      <c r="I2024" t="inlineStr">
        <is>
          <t>199.89%</t>
        </is>
      </c>
      <c r="J2024" t="inlineStr">
        <is>
          <t>669777.50</t>
        </is>
      </c>
      <c r="K2024" t="inlineStr">
        <is>
          <t>25000</t>
        </is>
      </c>
      <c r="L2024" t="inlineStr">
        <is>
          <t>5.000000000000</t>
        </is>
      </c>
      <c r="M2024" t="inlineStr"/>
    </row>
    <row r="2025">
      <c r="A2025" t="inlineStr">
        <is>
          <t>06/25/2026</t>
        </is>
      </c>
      <c r="B2025" t="inlineStr">
        <is>
          <t>XLPX</t>
        </is>
      </c>
      <c r="C2025" s="1" t="inlineStr">
        <is>
          <t>FGXXX</t>
        </is>
      </c>
      <c r="D2025" s="1" t="inlineStr">
        <is>
          <t>31846V336</t>
        </is>
      </c>
      <c r="E2025" t="inlineStr">
        <is>
          <t>First American Government Obligations Fund 12/01/2031</t>
        </is>
      </c>
      <c r="F2025" t="inlineStr">
        <is>
          <t>266145.24000000</t>
        </is>
      </c>
      <c r="G2025" t="inlineStr">
        <is>
          <t>100.000000</t>
        </is>
      </c>
      <c r="H2025" t="inlineStr">
        <is>
          <t>266145.24</t>
        </is>
      </c>
      <c r="I2025" t="inlineStr">
        <is>
          <t>39.74%</t>
        </is>
      </c>
      <c r="J2025" t="inlineStr">
        <is>
          <t>669777.50</t>
        </is>
      </c>
      <c r="K2025" t="inlineStr">
        <is>
          <t>25000</t>
        </is>
      </c>
      <c r="L2025" t="inlineStr">
        <is>
          <t>5.000000000000</t>
        </is>
      </c>
      <c r="M2025" t="inlineStr">
        <is>
          <t>Y</t>
        </is>
      </c>
    </row>
    <row r="2026">
      <c r="A2026" t="inlineStr">
        <is>
          <t>06/25/2026</t>
        </is>
      </c>
      <c r="B2026" t="inlineStr">
        <is>
          <t>XLPX</t>
        </is>
      </c>
      <c r="C2026" s="1" t="inlineStr">
        <is>
          <t>Cash&amp;Other</t>
        </is>
      </c>
      <c r="D2026" s="1" t="inlineStr">
        <is>
          <t>Cash&amp;Other</t>
        </is>
      </c>
      <c r="E2026" t="inlineStr">
        <is>
          <t>Cash &amp; Other</t>
        </is>
      </c>
      <c r="F2026" t="inlineStr">
        <is>
          <t>-935339.56000000</t>
        </is>
      </c>
      <c r="G2026" t="inlineStr">
        <is>
          <t>1.000000</t>
        </is>
      </c>
      <c r="H2026" t="inlineStr">
        <is>
          <t>-935339.56</t>
        </is>
      </c>
      <c r="I2026" t="inlineStr">
        <is>
          <t>-139.65%</t>
        </is>
      </c>
      <c r="J2026" t="inlineStr">
        <is>
          <t>669777.50</t>
        </is>
      </c>
      <c r="K2026" t="inlineStr">
        <is>
          <t>25000</t>
        </is>
      </c>
      <c r="L2026" t="inlineStr">
        <is>
          <t>5.000000000000</t>
        </is>
      </c>
      <c r="M2026" t="inlineStr">
        <is>
          <t>Y</t>
        </is>
      </c>
    </row>
    <row r="2027">
      <c r="A2027" t="inlineStr">
        <is>
          <t>06/25/2026</t>
        </is>
      </c>
      <c r="B2027" t="inlineStr">
        <is>
          <t>XLUX</t>
        </is>
      </c>
      <c r="C2027" s="1" t="inlineStr">
        <is>
          <t>81369Y886-TRS-07/07/27-L-CLST</t>
        </is>
      </c>
      <c r="D2027" s="1" t="inlineStr">
        <is>
          <t>81369Y886-TRS-07/07/27-L-CLST</t>
        </is>
      </c>
      <c r="E2027" t="inlineStr">
        <is>
          <t>STATE STREET UTILITIES SELECT SECTOR SPDR ETF-SWAP-CLST-L</t>
        </is>
      </c>
      <c r="F2027" t="inlineStr">
        <is>
          <t>23752.00000000</t>
        </is>
      </c>
      <c r="G2027" t="inlineStr">
        <is>
          <t>45.540000</t>
        </is>
      </c>
      <c r="H2027" t="inlineStr">
        <is>
          <t>1081666.08</t>
        </is>
      </c>
      <c r="I2027" t="inlineStr">
        <is>
          <t>199.86%</t>
        </is>
      </c>
      <c r="J2027" t="inlineStr">
        <is>
          <t>541204.00</t>
        </is>
      </c>
      <c r="K2027" t="inlineStr">
        <is>
          <t>20000</t>
        </is>
      </c>
      <c r="L2027" t="inlineStr">
        <is>
          <t>4.000000000000</t>
        </is>
      </c>
      <c r="M2027" t="inlineStr"/>
    </row>
    <row r="2028">
      <c r="A2028" t="inlineStr">
        <is>
          <t>06/25/2026</t>
        </is>
      </c>
      <c r="B2028" t="inlineStr">
        <is>
          <t>XLUX</t>
        </is>
      </c>
      <c r="C2028" s="1" t="inlineStr">
        <is>
          <t>FGXXX</t>
        </is>
      </c>
      <c r="D2028" s="1" t="inlineStr">
        <is>
          <t>31846V336</t>
        </is>
      </c>
      <c r="E2028" t="inlineStr">
        <is>
          <t>First American Government Obligations Fund 12/01/2031</t>
        </is>
      </c>
      <c r="F2028" t="inlineStr">
        <is>
          <t>201302.04000000</t>
        </is>
      </c>
      <c r="G2028" t="inlineStr">
        <is>
          <t>100.000000</t>
        </is>
      </c>
      <c r="H2028" t="inlineStr">
        <is>
          <t>201302.04</t>
        </is>
      </c>
      <c r="I2028" t="inlineStr">
        <is>
          <t>37.20%</t>
        </is>
      </c>
      <c r="J2028" t="inlineStr">
        <is>
          <t>541204.00</t>
        </is>
      </c>
      <c r="K2028" t="inlineStr">
        <is>
          <t>20000</t>
        </is>
      </c>
      <c r="L2028" t="inlineStr">
        <is>
          <t>4.000000000000</t>
        </is>
      </c>
      <c r="M2028" t="inlineStr">
        <is>
          <t>Y</t>
        </is>
      </c>
    </row>
    <row r="2029">
      <c r="A2029" t="inlineStr">
        <is>
          <t>06/25/2026</t>
        </is>
      </c>
      <c r="B2029" t="inlineStr">
        <is>
          <t>XLUX</t>
        </is>
      </c>
      <c r="C2029" s="1" t="inlineStr">
        <is>
          <t>Cash&amp;Other</t>
        </is>
      </c>
      <c r="D2029" s="1" t="inlineStr">
        <is>
          <t>Cash&amp;Other</t>
        </is>
      </c>
      <c r="E2029" t="inlineStr">
        <is>
          <t>Cash &amp; Other</t>
        </is>
      </c>
      <c r="F2029" t="inlineStr">
        <is>
          <t>-741901.57000000</t>
        </is>
      </c>
      <c r="G2029" t="inlineStr">
        <is>
          <t>1.000000</t>
        </is>
      </c>
      <c r="H2029" t="inlineStr">
        <is>
          <t>-741901.57</t>
        </is>
      </c>
      <c r="I2029" t="inlineStr">
        <is>
          <t>-137.08%</t>
        </is>
      </c>
      <c r="J2029" t="inlineStr">
        <is>
          <t>541204.00</t>
        </is>
      </c>
      <c r="K2029" t="inlineStr">
        <is>
          <t>20000</t>
        </is>
      </c>
      <c r="L2029" t="inlineStr">
        <is>
          <t>4.000000000000</t>
        </is>
      </c>
      <c r="M2029" t="inlineStr">
        <is>
          <t>Y</t>
        </is>
      </c>
    </row>
    <row r="2030">
      <c r="A2030" t="inlineStr">
        <is>
          <t>06/25/2026</t>
        </is>
      </c>
      <c r="B2030" t="inlineStr">
        <is>
          <t>XLVX</t>
        </is>
      </c>
      <c r="C2030" s="1" t="inlineStr">
        <is>
          <t>81369Y209-TRS-07/07/27-L-CLST</t>
        </is>
      </c>
      <c r="D2030" s="1" t="inlineStr">
        <is>
          <t>81369Y209-TRS-07/07/27-L-CLST</t>
        </is>
      </c>
      <c r="E2030" t="inlineStr">
        <is>
          <t>STATE STREET HEALTH CARE SELECT SECTOR SPDR ETF-SWAP-CLST-L</t>
        </is>
      </c>
      <c r="F2030" t="inlineStr">
        <is>
          <t>7154.00000000</t>
        </is>
      </c>
      <c r="G2030" t="inlineStr">
        <is>
          <t>153.350000</t>
        </is>
      </c>
      <c r="H2030" t="inlineStr">
        <is>
          <t>1097065.90</t>
        </is>
      </c>
      <c r="I2030" t="inlineStr">
        <is>
          <t>199.77%</t>
        </is>
      </c>
      <c r="J2030" t="inlineStr">
        <is>
          <t>549158.00</t>
        </is>
      </c>
      <c r="K2030" t="inlineStr">
        <is>
          <t>20000</t>
        </is>
      </c>
      <c r="L2030" t="inlineStr">
        <is>
          <t>4.000000000000</t>
        </is>
      </c>
      <c r="M2030" t="inlineStr"/>
    </row>
    <row r="2031">
      <c r="A2031" t="inlineStr">
        <is>
          <t>06/25/2026</t>
        </is>
      </c>
      <c r="B2031" t="inlineStr">
        <is>
          <t>XLVX</t>
        </is>
      </c>
      <c r="C2031" s="1" t="inlineStr">
        <is>
          <t>FGXXX</t>
        </is>
      </c>
      <c r="D2031" s="1" t="inlineStr">
        <is>
          <t>31846V336</t>
        </is>
      </c>
      <c r="E2031" t="inlineStr">
        <is>
          <t>First American Government Obligations Fund 12/01/2031</t>
        </is>
      </c>
      <c r="F2031" t="inlineStr">
        <is>
          <t>325983.43000000</t>
        </is>
      </c>
      <c r="G2031" t="inlineStr">
        <is>
          <t>100.000000</t>
        </is>
      </c>
      <c r="H2031" t="inlineStr">
        <is>
          <t>325983.43</t>
        </is>
      </c>
      <c r="I2031" t="inlineStr">
        <is>
          <t>59.36%</t>
        </is>
      </c>
      <c r="J2031" t="inlineStr">
        <is>
          <t>549158.00</t>
        </is>
      </c>
      <c r="K2031" t="inlineStr">
        <is>
          <t>20000</t>
        </is>
      </c>
      <c r="L2031" t="inlineStr">
        <is>
          <t>4.000000000000</t>
        </is>
      </c>
      <c r="M2031" t="inlineStr">
        <is>
          <t>Y</t>
        </is>
      </c>
    </row>
    <row r="2032">
      <c r="A2032" t="inlineStr">
        <is>
          <t>06/25/2026</t>
        </is>
      </c>
      <c r="B2032" t="inlineStr">
        <is>
          <t>XLVX</t>
        </is>
      </c>
      <c r="C2032" s="1" t="inlineStr">
        <is>
          <t>Cash&amp;Other</t>
        </is>
      </c>
      <c r="D2032" s="1" t="inlineStr">
        <is>
          <t>Cash&amp;Other</t>
        </is>
      </c>
      <c r="E2032" t="inlineStr">
        <is>
          <t>Cash &amp; Other</t>
        </is>
      </c>
      <c r="F2032" t="inlineStr">
        <is>
          <t>-873932.27000000</t>
        </is>
      </c>
      <c r="G2032" t="inlineStr">
        <is>
          <t>1.000000</t>
        </is>
      </c>
      <c r="H2032" t="inlineStr">
        <is>
          <t>-873932.27</t>
        </is>
      </c>
      <c r="I2032" t="inlineStr">
        <is>
          <t>-159.14%</t>
        </is>
      </c>
      <c r="J2032" t="inlineStr">
        <is>
          <t>549158.00</t>
        </is>
      </c>
      <c r="K2032" t="inlineStr">
        <is>
          <t>20000</t>
        </is>
      </c>
      <c r="L2032" t="inlineStr">
        <is>
          <t>4.000000000000</t>
        </is>
      </c>
      <c r="M2032" t="inlineStr">
        <is>
          <t>Y</t>
        </is>
      </c>
    </row>
    <row r="2033">
      <c r="A2033" t="inlineStr">
        <is>
          <t>06/25/2026</t>
        </is>
      </c>
      <c r="B2033" t="inlineStr">
        <is>
          <t>XLYX</t>
        </is>
      </c>
      <c r="C2033" s="1" t="inlineStr">
        <is>
          <t>81369Y407-TRS-07/07/27-L-CLST</t>
        </is>
      </c>
      <c r="D2033" s="1" t="inlineStr">
        <is>
          <t>81369Y407-TRS-07/07/27-L-CLST</t>
        </is>
      </c>
      <c r="E2033" t="inlineStr">
        <is>
          <t>STATE STREET CONSUMER DISCRETIONARY SELECT SECTOR SPDR ETF-SWAP-CLST-L</t>
        </is>
      </c>
      <c r="F2033" t="inlineStr">
        <is>
          <t>6206.00000000</t>
        </is>
      </c>
      <c r="G2033" t="inlineStr">
        <is>
          <t>115.070000</t>
        </is>
      </c>
      <c r="H2033" t="inlineStr">
        <is>
          <t>714124.42</t>
        </is>
      </c>
      <c r="I2033" t="inlineStr">
        <is>
          <t>199.83%</t>
        </is>
      </c>
      <c r="J2033" t="inlineStr">
        <is>
          <t>357364.50</t>
        </is>
      </c>
      <c r="K2033" t="inlineStr">
        <is>
          <t>15000</t>
        </is>
      </c>
      <c r="L2033" t="inlineStr">
        <is>
          <t>3.000000000000</t>
        </is>
      </c>
      <c r="M2033" t="inlineStr"/>
    </row>
    <row r="2034">
      <c r="A2034" t="inlineStr">
        <is>
          <t>06/25/2026</t>
        </is>
      </c>
      <c r="B2034" t="inlineStr">
        <is>
          <t>XLYX</t>
        </is>
      </c>
      <c r="C2034" s="1" t="inlineStr">
        <is>
          <t>FGXXX</t>
        </is>
      </c>
      <c r="D2034" s="1" t="inlineStr">
        <is>
          <t>31846V336</t>
        </is>
      </c>
      <c r="E2034" t="inlineStr">
        <is>
          <t>First American Government Obligations Fund 12/01/2031</t>
        </is>
      </c>
      <c r="F2034" t="inlineStr">
        <is>
          <t>100000.00000000</t>
        </is>
      </c>
      <c r="G2034" t="inlineStr">
        <is>
          <t>100.000000</t>
        </is>
      </c>
      <c r="H2034" t="inlineStr">
        <is>
          <t>100000.00</t>
        </is>
      </c>
      <c r="I2034" t="inlineStr">
        <is>
          <t>27.98%</t>
        </is>
      </c>
      <c r="J2034" t="inlineStr">
        <is>
          <t>357364.50</t>
        </is>
      </c>
      <c r="K2034" t="inlineStr">
        <is>
          <t>15000</t>
        </is>
      </c>
      <c r="L2034" t="inlineStr">
        <is>
          <t>3.000000000000</t>
        </is>
      </c>
      <c r="M2034" t="inlineStr">
        <is>
          <t>Y</t>
        </is>
      </c>
    </row>
    <row r="2035">
      <c r="A2035" t="inlineStr">
        <is>
          <t>06/25/2026</t>
        </is>
      </c>
      <c r="B2035" t="inlineStr">
        <is>
          <t>XLYX</t>
        </is>
      </c>
      <c r="C2035" s="1" t="inlineStr">
        <is>
          <t>Cash&amp;Other</t>
        </is>
      </c>
      <c r="D2035" s="1" t="inlineStr">
        <is>
          <t>Cash&amp;Other</t>
        </is>
      </c>
      <c r="E2035" t="inlineStr">
        <is>
          <t>Cash &amp; Other</t>
        </is>
      </c>
      <c r="F2035" t="inlineStr">
        <is>
          <t>-456748.76000000</t>
        </is>
      </c>
      <c r="G2035" t="inlineStr">
        <is>
          <t>1.000000</t>
        </is>
      </c>
      <c r="H2035" t="inlineStr">
        <is>
          <t>-456748.76</t>
        </is>
      </c>
      <c r="I2035" t="inlineStr">
        <is>
          <t>-127.81%</t>
        </is>
      </c>
      <c r="J2035" t="inlineStr">
        <is>
          <t>357364.50</t>
        </is>
      </c>
      <c r="K2035" t="inlineStr">
        <is>
          <t>15000</t>
        </is>
      </c>
      <c r="L2035" t="inlineStr">
        <is>
          <t>3.000000000000</t>
        </is>
      </c>
      <c r="M2035" t="inlineStr">
        <is>
          <t>Y</t>
        </is>
      </c>
    </row>
    <row r="2036">
      <c r="A2036" t="inlineStr">
        <is>
          <t>06/25/2026</t>
        </is>
      </c>
      <c r="B2036" t="inlineStr">
        <is>
          <t>XPAV</t>
        </is>
      </c>
      <c r="C2036" s="1" t="inlineStr">
        <is>
          <t>37954Y673-TRS-07/07/27-L-CLST</t>
        </is>
      </c>
      <c r="D2036" s="1" t="inlineStr">
        <is>
          <t>37954Y673-TRS-07/07/27-L-CLST</t>
        </is>
      </c>
      <c r="E2036" t="inlineStr">
        <is>
          <t>GLOBAL X U.S. INFRASTRUCTURE DEVELOPMENT ETF-SWAP-CLST-L</t>
        </is>
      </c>
      <c r="F2036" t="inlineStr">
        <is>
          <t>8927.00000000</t>
        </is>
      </c>
      <c r="G2036" t="inlineStr">
        <is>
          <t>58.410000</t>
        </is>
      </c>
      <c r="H2036" t="inlineStr">
        <is>
          <t>521426.07</t>
        </is>
      </c>
      <c r="I2036" t="inlineStr">
        <is>
          <t>199.77%</t>
        </is>
      </c>
      <c r="J2036" t="inlineStr">
        <is>
          <t>261018.00</t>
        </is>
      </c>
      <c r="K2036" t="inlineStr">
        <is>
          <t>10000</t>
        </is>
      </c>
      <c r="L2036" t="inlineStr">
        <is>
          <t>2.000000000000</t>
        </is>
      </c>
      <c r="M2036" t="inlineStr"/>
    </row>
    <row r="2037">
      <c r="A2037" t="inlineStr">
        <is>
          <t>06/25/2026</t>
        </is>
      </c>
      <c r="B2037" t="inlineStr">
        <is>
          <t>XPAV</t>
        </is>
      </c>
      <c r="C2037" s="1" t="inlineStr">
        <is>
          <t>FGXXX</t>
        </is>
      </c>
      <c r="D2037" s="1" t="inlineStr">
        <is>
          <t>31846V336</t>
        </is>
      </c>
      <c r="E2037" t="inlineStr">
        <is>
          <t>First American Government Obligations Fund 12/01/2031</t>
        </is>
      </c>
      <c r="F2037" t="inlineStr">
        <is>
          <t>70000.00000000</t>
        </is>
      </c>
      <c r="G2037" t="inlineStr">
        <is>
          <t>100.000000</t>
        </is>
      </c>
      <c r="H2037" t="inlineStr">
        <is>
          <t>70000.00</t>
        </is>
      </c>
      <c r="I2037" t="inlineStr">
        <is>
          <t>26.82%</t>
        </is>
      </c>
      <c r="J2037" t="inlineStr">
        <is>
          <t>261018.00</t>
        </is>
      </c>
      <c r="K2037" t="inlineStr">
        <is>
          <t>10000</t>
        </is>
      </c>
      <c r="L2037" t="inlineStr">
        <is>
          <t>2.000000000000</t>
        </is>
      </c>
      <c r="M2037" t="inlineStr">
        <is>
          <t>Y</t>
        </is>
      </c>
    </row>
    <row r="2038">
      <c r="A2038" t="inlineStr">
        <is>
          <t>06/25/2026</t>
        </is>
      </c>
      <c r="B2038" t="inlineStr">
        <is>
          <t>XPAV</t>
        </is>
      </c>
      <c r="C2038" s="1" t="inlineStr">
        <is>
          <t>Cash&amp;Other</t>
        </is>
      </c>
      <c r="D2038" s="1" t="inlineStr">
        <is>
          <t>Cash&amp;Other</t>
        </is>
      </c>
      <c r="E2038" t="inlineStr">
        <is>
          <t>Cash &amp; Other</t>
        </is>
      </c>
      <c r="F2038" t="inlineStr">
        <is>
          <t>-330445.59000000</t>
        </is>
      </c>
      <c r="G2038" t="inlineStr">
        <is>
          <t>1.000000</t>
        </is>
      </c>
      <c r="H2038" t="inlineStr">
        <is>
          <t>-330445.59</t>
        </is>
      </c>
      <c r="I2038" t="inlineStr">
        <is>
          <t>-126.60%</t>
        </is>
      </c>
      <c r="J2038" t="inlineStr">
        <is>
          <t>261018.00</t>
        </is>
      </c>
      <c r="K2038" t="inlineStr">
        <is>
          <t>10000</t>
        </is>
      </c>
      <c r="L2038" t="inlineStr">
        <is>
          <t>2.000000000000</t>
        </is>
      </c>
      <c r="M2038" t="inlineStr">
        <is>
          <t>Y</t>
        </is>
      </c>
    </row>
    <row r="2039">
      <c r="A2039" t="inlineStr">
        <is>
          <t>06/25/2026</t>
        </is>
      </c>
      <c r="B2039" t="inlineStr">
        <is>
          <t>XSEM</t>
        </is>
      </c>
      <c r="C2039" s="1" t="inlineStr">
        <is>
          <t>92189F676-TRS-07/07/27-L-CLST</t>
        </is>
      </c>
      <c r="D2039" s="1" t="inlineStr">
        <is>
          <t>92189F676-TRS-07/07/27-L-CLST</t>
        </is>
      </c>
      <c r="E2039" t="inlineStr">
        <is>
          <t>VANECK SEMICONDUCTOR ETF-SWAP-CLST-L</t>
        </is>
      </c>
      <c r="F2039" t="inlineStr">
        <is>
          <t>1861.00000000</t>
        </is>
      </c>
      <c r="G2039" t="inlineStr">
        <is>
          <t>618.920000</t>
        </is>
      </c>
      <c r="H2039" t="inlineStr">
        <is>
          <t>1151810.12</t>
        </is>
      </c>
      <c r="I2039" t="inlineStr">
        <is>
          <t>199.48%</t>
        </is>
      </c>
      <c r="J2039" t="inlineStr">
        <is>
          <t>577395.00</t>
        </is>
      </c>
      <c r="K2039" t="inlineStr">
        <is>
          <t>25000</t>
        </is>
      </c>
      <c r="L2039" t="inlineStr">
        <is>
          <t>5.000000000000</t>
        </is>
      </c>
      <c r="M2039" t="inlineStr"/>
    </row>
    <row r="2040">
      <c r="A2040" t="inlineStr">
        <is>
          <t>06/25/2026</t>
        </is>
      </c>
      <c r="B2040" t="inlineStr">
        <is>
          <t>XSEM</t>
        </is>
      </c>
      <c r="C2040" s="1" t="inlineStr">
        <is>
          <t>FGXXX</t>
        </is>
      </c>
      <c r="D2040" s="1" t="inlineStr">
        <is>
          <t>31846V336</t>
        </is>
      </c>
      <c r="E2040" t="inlineStr">
        <is>
          <t>First American Government Obligations Fund 12/01/2031</t>
        </is>
      </c>
      <c r="F2040" t="inlineStr">
        <is>
          <t>161828.49000000</t>
        </is>
      </c>
      <c r="G2040" t="inlineStr">
        <is>
          <t>100.000000</t>
        </is>
      </c>
      <c r="H2040" t="inlineStr">
        <is>
          <t>161828.49</t>
        </is>
      </c>
      <c r="I2040" t="inlineStr">
        <is>
          <t>28.03%</t>
        </is>
      </c>
      <c r="J2040" t="inlineStr">
        <is>
          <t>577395.00</t>
        </is>
      </c>
      <c r="K2040" t="inlineStr">
        <is>
          <t>25000</t>
        </is>
      </c>
      <c r="L2040" t="inlineStr">
        <is>
          <t>5.000000000000</t>
        </is>
      </c>
      <c r="M2040" t="inlineStr">
        <is>
          <t>Y</t>
        </is>
      </c>
    </row>
    <row r="2041">
      <c r="A2041" t="inlineStr">
        <is>
          <t>06/25/2026</t>
        </is>
      </c>
      <c r="B2041" t="inlineStr">
        <is>
          <t>XSEM</t>
        </is>
      </c>
      <c r="C2041" s="1" t="inlineStr">
        <is>
          <t>Cash&amp;Other</t>
        </is>
      </c>
      <c r="D2041" s="1" t="inlineStr">
        <is>
          <t>Cash&amp;Other</t>
        </is>
      </c>
      <c r="E2041" t="inlineStr">
        <is>
          <t>Cash &amp; Other</t>
        </is>
      </c>
      <c r="F2041" t="inlineStr">
        <is>
          <t>-736122.20000000</t>
        </is>
      </c>
      <c r="G2041" t="inlineStr">
        <is>
          <t>1.000000</t>
        </is>
      </c>
      <c r="H2041" t="inlineStr">
        <is>
          <t>-736122.20</t>
        </is>
      </c>
      <c r="I2041" t="inlineStr">
        <is>
          <t>-127.49%</t>
        </is>
      </c>
      <c r="J2041" t="inlineStr">
        <is>
          <t>577395.00</t>
        </is>
      </c>
      <c r="K2041" t="inlineStr">
        <is>
          <t>25000</t>
        </is>
      </c>
      <c r="L2041" t="inlineStr">
        <is>
          <t>5.000000000000</t>
        </is>
      </c>
      <c r="M2041" t="inlineStr">
        <is>
          <t>Y</t>
        </is>
      </c>
    </row>
    <row r="2042">
      <c r="A2042" t="inlineStr">
        <is>
          <t>06/25/2026</t>
        </is>
      </c>
      <c r="B2042" t="inlineStr">
        <is>
          <t>XTAI</t>
        </is>
      </c>
      <c r="C2042" s="1" t="inlineStr">
        <is>
          <t>46434G772-TRS-07/05/27-L-MREX</t>
        </is>
      </c>
      <c r="D2042" s="1" t="inlineStr">
        <is>
          <t>46434G772-TRS-07/05/27-L-MREX</t>
        </is>
      </c>
      <c r="E2042" t="inlineStr">
        <is>
          <t>ISHARES MSCI TAIWAN ETF-SWAP-MREX-L</t>
        </is>
      </c>
      <c r="F2042" t="inlineStr">
        <is>
          <t>11080.00000000</t>
        </is>
      </c>
      <c r="G2042" t="inlineStr">
        <is>
          <t>104.720000</t>
        </is>
      </c>
      <c r="H2042" t="inlineStr">
        <is>
          <t>1160297.60</t>
        </is>
      </c>
      <c r="I2042" t="inlineStr">
        <is>
          <t>199.30%</t>
        </is>
      </c>
      <c r="J2042" t="inlineStr">
        <is>
          <t>582175.00</t>
        </is>
      </c>
      <c r="K2042" t="inlineStr">
        <is>
          <t>25000</t>
        </is>
      </c>
      <c r="L2042" t="inlineStr">
        <is>
          <t>5.000000000000</t>
        </is>
      </c>
      <c r="M2042" t="inlineStr"/>
    </row>
    <row r="2043">
      <c r="A2043" t="inlineStr">
        <is>
          <t>06/25/2026</t>
        </is>
      </c>
      <c r="B2043" t="inlineStr">
        <is>
          <t>XTAI</t>
        </is>
      </c>
      <c r="C2043" s="1" t="inlineStr">
        <is>
          <t>FGXXX</t>
        </is>
      </c>
      <c r="D2043" s="1" t="inlineStr">
        <is>
          <t>31846V336</t>
        </is>
      </c>
      <c r="E2043" t="inlineStr">
        <is>
          <t>First American Government Obligations Fund 12/01/2031</t>
        </is>
      </c>
      <c r="F2043" t="inlineStr">
        <is>
          <t>135523.96000000</t>
        </is>
      </c>
      <c r="G2043" t="inlineStr">
        <is>
          <t>100.000000</t>
        </is>
      </c>
      <c r="H2043" t="inlineStr">
        <is>
          <t>135523.96</t>
        </is>
      </c>
      <c r="I2043" t="inlineStr">
        <is>
          <t>23.28%</t>
        </is>
      </c>
      <c r="J2043" t="inlineStr">
        <is>
          <t>582175.00</t>
        </is>
      </c>
      <c r="K2043" t="inlineStr">
        <is>
          <t>25000</t>
        </is>
      </c>
      <c r="L2043" t="inlineStr">
        <is>
          <t>5.000000000000</t>
        </is>
      </c>
      <c r="M2043" t="inlineStr">
        <is>
          <t>Y</t>
        </is>
      </c>
    </row>
    <row r="2044">
      <c r="A2044" t="inlineStr">
        <is>
          <t>06/25/2026</t>
        </is>
      </c>
      <c r="B2044" t="inlineStr">
        <is>
          <t>XTAI</t>
        </is>
      </c>
      <c r="C2044" s="1" t="inlineStr">
        <is>
          <t>Cash&amp;Other</t>
        </is>
      </c>
      <c r="D2044" s="1" t="inlineStr">
        <is>
          <t>Cash&amp;Other</t>
        </is>
      </c>
      <c r="E2044" t="inlineStr">
        <is>
          <t>Cash &amp; Other</t>
        </is>
      </c>
      <c r="F2044" t="inlineStr">
        <is>
          <t>-713547.62000000</t>
        </is>
      </c>
      <c r="G2044" t="inlineStr">
        <is>
          <t>1.000000</t>
        </is>
      </c>
      <c r="H2044" t="inlineStr">
        <is>
          <t>-713547.62</t>
        </is>
      </c>
      <c r="I2044" t="inlineStr">
        <is>
          <t>-122.57%</t>
        </is>
      </c>
      <c r="J2044" t="inlineStr">
        <is>
          <t>582175.00</t>
        </is>
      </c>
      <c r="K2044" t="inlineStr">
        <is>
          <t>25000</t>
        </is>
      </c>
      <c r="L2044" t="inlineStr">
        <is>
          <t>5.000000000000</t>
        </is>
      </c>
      <c r="M2044" t="inlineStr">
        <is>
          <t>Y</t>
        </is>
      </c>
    </row>
    <row r="2045">
      <c r="A2045" t="inlineStr">
        <is>
          <t>06/25/2026</t>
        </is>
      </c>
      <c r="B2045" t="inlineStr">
        <is>
          <t>XVO</t>
        </is>
      </c>
      <c r="C2045" s="1" t="inlineStr">
        <is>
          <t>922908629-TRS-07/07/27-L-CLST</t>
        </is>
      </c>
      <c r="D2045" s="1" t="inlineStr">
        <is>
          <t>922908629-TRS-07/07/27-L-CLST</t>
        </is>
      </c>
      <c r="E2045" t="inlineStr">
        <is>
          <t>VANGUARD MID-CAP INDEX FUND ETF SHARES-SWAP-CLST-L</t>
        </is>
      </c>
      <c r="F2045" t="inlineStr">
        <is>
          <t>12441.00000000</t>
        </is>
      </c>
      <c r="G2045" t="inlineStr">
        <is>
          <t>80.120000</t>
        </is>
      </c>
      <c r="H2045" t="inlineStr">
        <is>
          <t>996772.92</t>
        </is>
      </c>
      <c r="I2045" t="inlineStr">
        <is>
          <t>199.78%</t>
        </is>
      </c>
      <c r="J2045" t="inlineStr">
        <is>
          <t>498932.00</t>
        </is>
      </c>
      <c r="K2045" t="inlineStr">
        <is>
          <t>20000</t>
        </is>
      </c>
      <c r="L2045" t="inlineStr">
        <is>
          <t>4.000000000000</t>
        </is>
      </c>
      <c r="M2045" t="inlineStr"/>
    </row>
    <row r="2046">
      <c r="A2046" t="inlineStr">
        <is>
          <t>06/25/2026</t>
        </is>
      </c>
      <c r="B2046" t="inlineStr">
        <is>
          <t>XVO</t>
        </is>
      </c>
      <c r="C2046" s="1" t="inlineStr">
        <is>
          <t>FGXXX</t>
        </is>
      </c>
      <c r="D2046" s="1" t="inlineStr">
        <is>
          <t>31846V336</t>
        </is>
      </c>
      <c r="E2046" t="inlineStr">
        <is>
          <t>First American Government Obligations Fund 12/01/2031</t>
        </is>
      </c>
      <c r="F2046" t="inlineStr">
        <is>
          <t>143991.75000000</t>
        </is>
      </c>
      <c r="G2046" t="inlineStr">
        <is>
          <t>100.000000</t>
        </is>
      </c>
      <c r="H2046" t="inlineStr">
        <is>
          <t>143991.75</t>
        </is>
      </c>
      <c r="I2046" t="inlineStr">
        <is>
          <t>28.86%</t>
        </is>
      </c>
      <c r="J2046" t="inlineStr">
        <is>
          <t>498932.00</t>
        </is>
      </c>
      <c r="K2046" t="inlineStr">
        <is>
          <t>20000</t>
        </is>
      </c>
      <c r="L2046" t="inlineStr">
        <is>
          <t>4.000000000000</t>
        </is>
      </c>
      <c r="M2046" t="inlineStr">
        <is>
          <t>Y</t>
        </is>
      </c>
    </row>
    <row r="2047">
      <c r="A2047" t="inlineStr">
        <is>
          <t>06/25/2026</t>
        </is>
      </c>
      <c r="B2047" t="inlineStr">
        <is>
          <t>XVO</t>
        </is>
      </c>
      <c r="C2047" s="1" t="inlineStr">
        <is>
          <t>Cash&amp;Other</t>
        </is>
      </c>
      <c r="D2047" s="1" t="inlineStr">
        <is>
          <t>Cash&amp;Other</t>
        </is>
      </c>
      <c r="E2047" t="inlineStr">
        <is>
          <t>Cash &amp; Other</t>
        </is>
      </c>
      <c r="F2047" t="inlineStr">
        <is>
          <t>-641941.60000000</t>
        </is>
      </c>
      <c r="G2047" t="inlineStr">
        <is>
          <t>1.000000</t>
        </is>
      </c>
      <c r="H2047" t="inlineStr">
        <is>
          <t>-641941.60</t>
        </is>
      </c>
      <c r="I2047" t="inlineStr">
        <is>
          <t>-128.66%</t>
        </is>
      </c>
      <c r="J2047" t="inlineStr">
        <is>
          <t>498932.00</t>
        </is>
      </c>
      <c r="K2047" t="inlineStr">
        <is>
          <t>20000</t>
        </is>
      </c>
      <c r="L2047" t="inlineStr">
        <is>
          <t>4.000000000000</t>
        </is>
      </c>
      <c r="M2047" t="inlineStr">
        <is>
          <t>Y</t>
        </is>
      </c>
    </row>
    <row r="2048">
      <c r="A2048" t="inlineStr">
        <is>
          <t>06/25/2026</t>
        </is>
      </c>
      <c r="B2048" t="inlineStr">
        <is>
          <t>XVUG</t>
        </is>
      </c>
      <c r="C2048" s="1" t="inlineStr">
        <is>
          <t>922908736-TRS-07/07/27-L-CLST</t>
        </is>
      </c>
      <c r="D2048" s="1" t="inlineStr">
        <is>
          <t>922908736-TRS-07/07/27-L-CLST</t>
        </is>
      </c>
      <c r="E2048" t="inlineStr">
        <is>
          <t>VANGUARD GROWTH INDEX FUND ETF SHARES-SWAP-CLST-L</t>
        </is>
      </c>
      <c r="F2048" t="inlineStr">
        <is>
          <t>7665.00000000</t>
        </is>
      </c>
      <c r="G2048" t="inlineStr">
        <is>
          <t>83.830000</t>
        </is>
      </c>
      <c r="H2048" t="inlineStr">
        <is>
          <t>642556.95</t>
        </is>
      </c>
      <c r="I2048" t="inlineStr">
        <is>
          <t>199.61%</t>
        </is>
      </c>
      <c r="J2048" t="inlineStr">
        <is>
          <t>321898.50</t>
        </is>
      </c>
      <c r="K2048" t="inlineStr">
        <is>
          <t>15000</t>
        </is>
      </c>
      <c r="L2048" t="inlineStr">
        <is>
          <t>3.000000000000</t>
        </is>
      </c>
      <c r="M2048" t="inlineStr"/>
    </row>
    <row r="2049">
      <c r="A2049" t="inlineStr">
        <is>
          <t>06/25/2026</t>
        </is>
      </c>
      <c r="B2049" t="inlineStr">
        <is>
          <t>XVUG</t>
        </is>
      </c>
      <c r="C2049" s="1" t="inlineStr">
        <is>
          <t>FGXXX</t>
        </is>
      </c>
      <c r="D2049" s="1" t="inlineStr">
        <is>
          <t>31846V336</t>
        </is>
      </c>
      <c r="E2049" t="inlineStr">
        <is>
          <t>First American Government Obligations Fund 12/01/2031</t>
        </is>
      </c>
      <c r="F2049" t="inlineStr">
        <is>
          <t>222908.07000000</t>
        </is>
      </c>
      <c r="G2049" t="inlineStr">
        <is>
          <t>100.000000</t>
        </is>
      </c>
      <c r="H2049" t="inlineStr">
        <is>
          <t>222908.07</t>
        </is>
      </c>
      <c r="I2049" t="inlineStr">
        <is>
          <t>69.25%</t>
        </is>
      </c>
      <c r="J2049" t="inlineStr">
        <is>
          <t>321898.50</t>
        </is>
      </c>
      <c r="K2049" t="inlineStr">
        <is>
          <t>15000</t>
        </is>
      </c>
      <c r="L2049" t="inlineStr">
        <is>
          <t>3.000000000000</t>
        </is>
      </c>
      <c r="M2049" t="inlineStr">
        <is>
          <t>Y</t>
        </is>
      </c>
    </row>
    <row r="2050">
      <c r="A2050" t="inlineStr">
        <is>
          <t>06/25/2026</t>
        </is>
      </c>
      <c r="B2050" t="inlineStr">
        <is>
          <t>XVUG</t>
        </is>
      </c>
      <c r="C2050" s="1" t="inlineStr">
        <is>
          <t>Cash&amp;Other</t>
        </is>
      </c>
      <c r="D2050" s="1" t="inlineStr">
        <is>
          <t>Cash&amp;Other</t>
        </is>
      </c>
      <c r="E2050" t="inlineStr">
        <is>
          <t>Cash &amp; Other</t>
        </is>
      </c>
      <c r="F2050" t="inlineStr">
        <is>
          <t>-543521.34000000</t>
        </is>
      </c>
      <c r="G2050" t="inlineStr">
        <is>
          <t>1.000000</t>
        </is>
      </c>
      <c r="H2050" t="inlineStr">
        <is>
          <t>-543521.34</t>
        </is>
      </c>
      <c r="I2050" t="inlineStr">
        <is>
          <t>-168.85%</t>
        </is>
      </c>
      <c r="J2050" t="inlineStr">
        <is>
          <t>321898.50</t>
        </is>
      </c>
      <c r="K2050" t="inlineStr">
        <is>
          <t>15000</t>
        </is>
      </c>
      <c r="L2050" t="inlineStr">
        <is>
          <t>3.000000000000</t>
        </is>
      </c>
      <c r="M2050" t="inlineStr">
        <is>
          <t>Y</t>
        </is>
      </c>
    </row>
    <row r="2051">
      <c r="A2051" t="inlineStr">
        <is>
          <t>06/25/2026</t>
        </is>
      </c>
      <c r="B2051" t="inlineStr">
        <is>
          <t>XW</t>
        </is>
      </c>
      <c r="C2051" s="1" t="inlineStr">
        <is>
          <t>921909768-TRS-07/05/27-L-MREX</t>
        </is>
      </c>
      <c r="D2051" s="1" t="inlineStr">
        <is>
          <t>921909768-TRS-07/05/27-L-MREX</t>
        </is>
      </c>
      <c r="E2051" t="inlineStr">
        <is>
          <t>VANGUARD TOTAL INTERNATIONAL STOCK INDEX FUND ETF SHARES-SWAP-MREX-L</t>
        </is>
      </c>
      <c r="F2051" t="inlineStr">
        <is>
          <t>5555.00000000</t>
        </is>
      </c>
      <c r="G2051" t="inlineStr">
        <is>
          <t>84.340000</t>
        </is>
      </c>
      <c r="H2051" t="inlineStr">
        <is>
          <t>468508.70</t>
        </is>
      </c>
      <c r="I2051" t="inlineStr">
        <is>
          <t>199.78%</t>
        </is>
      </c>
      <c r="J2051" t="inlineStr">
        <is>
          <t>234513.00</t>
        </is>
      </c>
      <c r="K2051" t="inlineStr">
        <is>
          <t>10000</t>
        </is>
      </c>
      <c r="L2051" t="inlineStr">
        <is>
          <t>2.000000000000</t>
        </is>
      </c>
      <c r="M2051" t="inlineStr"/>
    </row>
    <row r="2052">
      <c r="A2052" t="inlineStr">
        <is>
          <t>06/25/2026</t>
        </is>
      </c>
      <c r="B2052" t="inlineStr">
        <is>
          <t>XW</t>
        </is>
      </c>
      <c r="C2052" s="1" t="inlineStr">
        <is>
          <t>FGXXX</t>
        </is>
      </c>
      <c r="D2052" s="1" t="inlineStr">
        <is>
          <t>31846V336</t>
        </is>
      </c>
      <c r="E2052" t="inlineStr">
        <is>
          <t>First American Government Obligations Fund 12/01/2031</t>
        </is>
      </c>
      <c r="F2052" t="inlineStr">
        <is>
          <t>49722.16000000</t>
        </is>
      </c>
      <c r="G2052" t="inlineStr">
        <is>
          <t>100.000000</t>
        </is>
      </c>
      <c r="H2052" t="inlineStr">
        <is>
          <t>49722.16</t>
        </is>
      </c>
      <c r="I2052" t="inlineStr">
        <is>
          <t>21.20%</t>
        </is>
      </c>
      <c r="J2052" t="inlineStr">
        <is>
          <t>234513.00</t>
        </is>
      </c>
      <c r="K2052" t="inlineStr">
        <is>
          <t>10000</t>
        </is>
      </c>
      <c r="L2052" t="inlineStr">
        <is>
          <t>2.000000000000</t>
        </is>
      </c>
      <c r="M2052" t="inlineStr">
        <is>
          <t>Y</t>
        </is>
      </c>
    </row>
    <row r="2053">
      <c r="A2053" t="inlineStr">
        <is>
          <t>06/25/2026</t>
        </is>
      </c>
      <c r="B2053" t="inlineStr">
        <is>
          <t>XW</t>
        </is>
      </c>
      <c r="C2053" s="1" t="inlineStr">
        <is>
          <t>Cash&amp;Other</t>
        </is>
      </c>
      <c r="D2053" s="1" t="inlineStr">
        <is>
          <t>Cash&amp;Other</t>
        </is>
      </c>
      <c r="E2053" t="inlineStr">
        <is>
          <t>Cash &amp; Other</t>
        </is>
      </c>
      <c r="F2053" t="inlineStr">
        <is>
          <t>-283747.19000000</t>
        </is>
      </c>
      <c r="G2053" t="inlineStr">
        <is>
          <t>1.000000</t>
        </is>
      </c>
      <c r="H2053" t="inlineStr">
        <is>
          <t>-283747.19</t>
        </is>
      </c>
      <c r="I2053" t="inlineStr">
        <is>
          <t>-120.99%</t>
        </is>
      </c>
      <c r="J2053" t="inlineStr">
        <is>
          <t>234513.00</t>
        </is>
      </c>
      <c r="K2053" t="inlineStr">
        <is>
          <t>10000</t>
        </is>
      </c>
      <c r="L2053" t="inlineStr">
        <is>
          <t>2.000000000000</t>
        </is>
      </c>
      <c r="M2053" t="inlineStr">
        <is>
          <t>Y</t>
        </is>
      </c>
    </row>
    <row r="2054">
      <c r="A2054" t="inlineStr">
        <is>
          <t>06/25/2026</t>
        </is>
      </c>
      <c r="B2054" t="inlineStr">
        <is>
          <t>YUNG</t>
        </is>
      </c>
      <c r="C2054" s="1" t="inlineStr">
        <is>
          <t>ADUS</t>
        </is>
      </c>
      <c r="D2054" s="1" t="inlineStr">
        <is>
          <t>006739106</t>
        </is>
      </c>
      <c r="E2054" t="inlineStr">
        <is>
          <t>Addus HomeCare Corp</t>
        </is>
      </c>
      <c r="F2054" t="inlineStr">
        <is>
          <t>121.00000000</t>
        </is>
      </c>
      <c r="G2054" t="inlineStr">
        <is>
          <t>97.200000</t>
        </is>
      </c>
      <c r="H2054" t="inlineStr">
        <is>
          <t>11761.20</t>
        </is>
      </c>
      <c r="I2054" t="inlineStr">
        <is>
          <t>0.76%</t>
        </is>
      </c>
      <c r="J2054" t="inlineStr">
        <is>
          <t>1552050.50</t>
        </is>
      </c>
      <c r="K2054" t="inlineStr">
        <is>
          <t>55000</t>
        </is>
      </c>
      <c r="L2054" t="inlineStr">
        <is>
          <t>11.000000000000</t>
        </is>
      </c>
      <c r="M2054" t="inlineStr"/>
    </row>
    <row r="2055">
      <c r="A2055" t="inlineStr">
        <is>
          <t>06/25/2026</t>
        </is>
      </c>
      <c r="B2055" t="inlineStr">
        <is>
          <t>YUNG</t>
        </is>
      </c>
      <c r="C2055" s="1" t="inlineStr">
        <is>
          <t>AHR</t>
        </is>
      </c>
      <c r="D2055" s="1" t="inlineStr">
        <is>
          <t>398182303</t>
        </is>
      </c>
      <c r="E2055" t="inlineStr">
        <is>
          <t>American Healthcare REIT Inc</t>
        </is>
      </c>
      <c r="F2055" t="inlineStr">
        <is>
          <t>462.00000000</t>
        </is>
      </c>
      <c r="G2055" t="inlineStr">
        <is>
          <t>50.100000</t>
        </is>
      </c>
      <c r="H2055" t="inlineStr">
        <is>
          <t>23146.20</t>
        </is>
      </c>
      <c r="I2055" t="inlineStr">
        <is>
          <t>1.49%</t>
        </is>
      </c>
      <c r="J2055" t="inlineStr">
        <is>
          <t>1552050.50</t>
        </is>
      </c>
      <c r="K2055" t="inlineStr">
        <is>
          <t>55000</t>
        </is>
      </c>
      <c r="L2055" t="inlineStr">
        <is>
          <t>11.000000000000</t>
        </is>
      </c>
      <c r="M2055" t="inlineStr"/>
    </row>
    <row r="2056">
      <c r="A2056" t="inlineStr">
        <is>
          <t>06/25/2026</t>
        </is>
      </c>
      <c r="B2056" t="inlineStr">
        <is>
          <t>YUNG</t>
        </is>
      </c>
      <c r="C2056" s="1" t="inlineStr">
        <is>
          <t>ALC</t>
        </is>
      </c>
      <c r="D2056" s="1" t="inlineStr">
        <is>
          <t>H01301128</t>
        </is>
      </c>
      <c r="E2056" t="inlineStr">
        <is>
          <t>Alcon AG</t>
        </is>
      </c>
      <c r="F2056" t="inlineStr">
        <is>
          <t>561.00000000</t>
        </is>
      </c>
      <c r="G2056" t="inlineStr">
        <is>
          <t>67.930000</t>
        </is>
      </c>
      <c r="H2056" t="inlineStr">
        <is>
          <t>38108.73</t>
        </is>
      </c>
      <c r="I2056" t="inlineStr">
        <is>
          <t>2.46%</t>
        </is>
      </c>
      <c r="J2056" t="inlineStr">
        <is>
          <t>1552050.50</t>
        </is>
      </c>
      <c r="K2056" t="inlineStr">
        <is>
          <t>55000</t>
        </is>
      </c>
      <c r="L2056" t="inlineStr">
        <is>
          <t>11.000000000000</t>
        </is>
      </c>
      <c r="M2056" t="inlineStr"/>
    </row>
    <row r="2057">
      <c r="A2057" t="inlineStr">
        <is>
          <t>06/25/2026</t>
        </is>
      </c>
      <c r="B2057" t="inlineStr">
        <is>
          <t>YUNG</t>
        </is>
      </c>
      <c r="C2057" s="1" t="inlineStr">
        <is>
          <t>BC</t>
        </is>
      </c>
      <c r="D2057" s="1" t="inlineStr">
        <is>
          <t>117043109</t>
        </is>
      </c>
      <c r="E2057" t="inlineStr">
        <is>
          <t>Brunswick Corp/DE</t>
        </is>
      </c>
      <c r="F2057" t="inlineStr">
        <is>
          <t>220.00000000</t>
        </is>
      </c>
      <c r="G2057" t="inlineStr">
        <is>
          <t>84.850000</t>
        </is>
      </c>
      <c r="H2057" t="inlineStr">
        <is>
          <t>18667.00</t>
        </is>
      </c>
      <c r="I2057" t="inlineStr">
        <is>
          <t>1.20%</t>
        </is>
      </c>
      <c r="J2057" t="inlineStr">
        <is>
          <t>1552050.50</t>
        </is>
      </c>
      <c r="K2057" t="inlineStr">
        <is>
          <t>55000</t>
        </is>
      </c>
      <c r="L2057" t="inlineStr">
        <is>
          <t>11.000000000000</t>
        </is>
      </c>
      <c r="M2057" t="inlineStr"/>
    </row>
    <row r="2058">
      <c r="A2058" t="inlineStr">
        <is>
          <t>06/25/2026</t>
        </is>
      </c>
      <c r="B2058" t="inlineStr">
        <is>
          <t>YUNG</t>
        </is>
      </c>
      <c r="C2058" s="1" t="inlineStr">
        <is>
          <t>BKD</t>
        </is>
      </c>
      <c r="D2058" s="1" t="inlineStr">
        <is>
          <t>112463104</t>
        </is>
      </c>
      <c r="E2058" t="inlineStr">
        <is>
          <t>Brookdale Senior Living Inc</t>
        </is>
      </c>
      <c r="F2058" t="inlineStr">
        <is>
          <t>1078.00000000</t>
        </is>
      </c>
      <c r="G2058" t="inlineStr">
        <is>
          <t>14.690000</t>
        </is>
      </c>
      <c r="H2058" t="inlineStr">
        <is>
          <t>15835.82</t>
        </is>
      </c>
      <c r="I2058" t="inlineStr">
        <is>
          <t>1.02%</t>
        </is>
      </c>
      <c r="J2058" t="inlineStr">
        <is>
          <t>1552050.50</t>
        </is>
      </c>
      <c r="K2058" t="inlineStr">
        <is>
          <t>55000</t>
        </is>
      </c>
      <c r="L2058" t="inlineStr">
        <is>
          <t>11.000000000000</t>
        </is>
      </c>
      <c r="M2058" t="inlineStr"/>
    </row>
    <row r="2059">
      <c r="A2059" t="inlineStr">
        <is>
          <t>06/25/2026</t>
        </is>
      </c>
      <c r="B2059" t="inlineStr">
        <is>
          <t>YUNG</t>
        </is>
      </c>
      <c r="C2059" s="1" t="inlineStr">
        <is>
          <t>BKNG</t>
        </is>
      </c>
      <c r="D2059" s="1" t="inlineStr">
        <is>
          <t>09857L108</t>
        </is>
      </c>
      <c r="E2059" t="inlineStr">
        <is>
          <t>Booking Holdings Inc</t>
        </is>
      </c>
      <c r="F2059" t="inlineStr">
        <is>
          <t>374.00000000</t>
        </is>
      </c>
      <c r="G2059" t="inlineStr">
        <is>
          <t>181.250000</t>
        </is>
      </c>
      <c r="H2059" t="inlineStr">
        <is>
          <t>67787.50</t>
        </is>
      </c>
      <c r="I2059" t="inlineStr">
        <is>
          <t>4.37%</t>
        </is>
      </c>
      <c r="J2059" t="inlineStr">
        <is>
          <t>1552050.50</t>
        </is>
      </c>
      <c r="K2059" t="inlineStr">
        <is>
          <t>55000</t>
        </is>
      </c>
      <c r="L2059" t="inlineStr">
        <is>
          <t>11.000000000000</t>
        </is>
      </c>
      <c r="M2059" t="inlineStr"/>
    </row>
    <row r="2060">
      <c r="A2060" t="inlineStr">
        <is>
          <t>06/25/2026</t>
        </is>
      </c>
      <c r="B2060" t="inlineStr">
        <is>
          <t>YUNG</t>
        </is>
      </c>
      <c r="C2060" s="1" t="inlineStr">
        <is>
          <t>BTSG</t>
        </is>
      </c>
      <c r="D2060" s="1" t="inlineStr">
        <is>
          <t>10950A106</t>
        </is>
      </c>
      <c r="E2060" t="inlineStr">
        <is>
          <t>BrightSpring Health Services Inc</t>
        </is>
      </c>
      <c r="F2060" t="inlineStr">
        <is>
          <t>418.00000000</t>
        </is>
      </c>
      <c r="G2060" t="inlineStr">
        <is>
          <t>67.610000</t>
        </is>
      </c>
      <c r="H2060" t="inlineStr">
        <is>
          <t>28260.98</t>
        </is>
      </c>
      <c r="I2060" t="inlineStr">
        <is>
          <t>1.82%</t>
        </is>
      </c>
      <c r="J2060" t="inlineStr">
        <is>
          <t>1552050.50</t>
        </is>
      </c>
      <c r="K2060" t="inlineStr">
        <is>
          <t>55000</t>
        </is>
      </c>
      <c r="L2060" t="inlineStr">
        <is>
          <t>11.000000000000</t>
        </is>
      </c>
      <c r="M2060" t="inlineStr"/>
    </row>
    <row r="2061">
      <c r="A2061" t="inlineStr">
        <is>
          <t>06/25/2026</t>
        </is>
      </c>
      <c r="B2061" t="inlineStr">
        <is>
          <t>YUNG</t>
        </is>
      </c>
      <c r="C2061" s="1" t="inlineStr">
        <is>
          <t>CALY</t>
        </is>
      </c>
      <c r="D2061" s="1" t="inlineStr">
        <is>
          <t>131193104</t>
        </is>
      </c>
      <c r="E2061" t="inlineStr">
        <is>
          <t>Callaway Golf Co</t>
        </is>
      </c>
      <c r="F2061" t="inlineStr">
        <is>
          <t>792.00000000</t>
        </is>
      </c>
      <c r="G2061" t="inlineStr">
        <is>
          <t>18.080000</t>
        </is>
      </c>
      <c r="H2061" t="inlineStr">
        <is>
          <t>14319.36</t>
        </is>
      </c>
      <c r="I2061" t="inlineStr">
        <is>
          <t>0.92%</t>
        </is>
      </c>
      <c r="J2061" t="inlineStr">
        <is>
          <t>1552050.50</t>
        </is>
      </c>
      <c r="K2061" t="inlineStr">
        <is>
          <t>55000</t>
        </is>
      </c>
      <c r="L2061" t="inlineStr">
        <is>
          <t>11.000000000000</t>
        </is>
      </c>
      <c r="M2061" t="inlineStr"/>
    </row>
    <row r="2062">
      <c r="A2062" t="inlineStr">
        <is>
          <t>06/25/2026</t>
        </is>
      </c>
      <c r="B2062" t="inlineStr">
        <is>
          <t>YUNG</t>
        </is>
      </c>
      <c r="C2062" s="1" t="inlineStr">
        <is>
          <t>CCL</t>
        </is>
      </c>
      <c r="D2062" s="1" t="inlineStr">
        <is>
          <t>G2004J103</t>
        </is>
      </c>
      <c r="E2062" t="inlineStr">
        <is>
          <t>Carnival Corp Ltd</t>
        </is>
      </c>
      <c r="F2062" t="inlineStr">
        <is>
          <t>1419.00000000</t>
        </is>
      </c>
      <c r="G2062" t="inlineStr">
        <is>
          <t>28.910000</t>
        </is>
      </c>
      <c r="H2062" t="inlineStr">
        <is>
          <t>41023.29</t>
        </is>
      </c>
      <c r="I2062" t="inlineStr">
        <is>
          <t>2.64%</t>
        </is>
      </c>
      <c r="J2062" t="inlineStr">
        <is>
          <t>1552050.50</t>
        </is>
      </c>
      <c r="K2062" t="inlineStr">
        <is>
          <t>55000</t>
        </is>
      </c>
      <c r="L2062" t="inlineStr">
        <is>
          <t>11.000000000000</t>
        </is>
      </c>
      <c r="M2062" t="inlineStr"/>
    </row>
    <row r="2063">
      <c r="A2063" t="inlineStr">
        <is>
          <t>06/25/2026</t>
        </is>
      </c>
      <c r="B2063" t="inlineStr">
        <is>
          <t>YUNG</t>
        </is>
      </c>
      <c r="C2063" s="1" t="inlineStr">
        <is>
          <t>COO</t>
        </is>
      </c>
      <c r="D2063" s="1" t="inlineStr">
        <is>
          <t>216648501</t>
        </is>
      </c>
      <c r="E2063" t="inlineStr">
        <is>
          <t>Cooper Cos Inc/The</t>
        </is>
      </c>
      <c r="F2063" t="inlineStr">
        <is>
          <t>429.00000000</t>
        </is>
      </c>
      <c r="G2063" t="inlineStr">
        <is>
          <t>68.830000</t>
        </is>
      </c>
      <c r="H2063" t="inlineStr">
        <is>
          <t>29528.07</t>
        </is>
      </c>
      <c r="I2063" t="inlineStr">
        <is>
          <t>1.90%</t>
        </is>
      </c>
      <c r="J2063" t="inlineStr">
        <is>
          <t>1552050.50</t>
        </is>
      </c>
      <c r="K2063" t="inlineStr">
        <is>
          <t>55000</t>
        </is>
      </c>
      <c r="L2063" t="inlineStr">
        <is>
          <t>11.000000000000</t>
        </is>
      </c>
      <c r="M2063" t="inlineStr"/>
    </row>
    <row r="2064">
      <c r="A2064" t="inlineStr">
        <is>
          <t>06/25/2026</t>
        </is>
      </c>
      <c r="B2064" t="inlineStr">
        <is>
          <t>YUNG</t>
        </is>
      </c>
      <c r="C2064" s="1" t="inlineStr">
        <is>
          <t>DAL</t>
        </is>
      </c>
      <c r="D2064" s="1" t="inlineStr">
        <is>
          <t>247361702</t>
        </is>
      </c>
      <c r="E2064" t="inlineStr">
        <is>
          <t>Delta Air Lines Inc</t>
        </is>
      </c>
      <c r="F2064" t="inlineStr">
        <is>
          <t>660.00000000</t>
        </is>
      </c>
      <c r="G2064" t="inlineStr">
        <is>
          <t>90.650000</t>
        </is>
      </c>
      <c r="H2064" t="inlineStr">
        <is>
          <t>59829.00</t>
        </is>
      </c>
      <c r="I2064" t="inlineStr">
        <is>
          <t>3.85%</t>
        </is>
      </c>
      <c r="J2064" t="inlineStr">
        <is>
          <t>1552050.50</t>
        </is>
      </c>
      <c r="K2064" t="inlineStr">
        <is>
          <t>55000</t>
        </is>
      </c>
      <c r="L2064" t="inlineStr">
        <is>
          <t>11.000000000000</t>
        </is>
      </c>
      <c r="M2064" t="inlineStr"/>
    </row>
    <row r="2065">
      <c r="A2065" t="inlineStr">
        <is>
          <t>06/25/2026</t>
        </is>
      </c>
      <c r="B2065" t="inlineStr">
        <is>
          <t>YUNG</t>
        </is>
      </c>
      <c r="C2065" s="1" t="inlineStr">
        <is>
          <t>DVA</t>
        </is>
      </c>
      <c r="D2065" s="1" t="inlineStr">
        <is>
          <t>23918K108</t>
        </is>
      </c>
      <c r="E2065" t="inlineStr">
        <is>
          <t>DAVITA INC</t>
        </is>
      </c>
      <c r="F2065" t="inlineStr">
        <is>
          <t>121.00000000</t>
        </is>
      </c>
      <c r="G2065" t="inlineStr">
        <is>
          <t>213.040000</t>
        </is>
      </c>
      <c r="H2065" t="inlineStr">
        <is>
          <t>25777.84</t>
        </is>
      </c>
      <c r="I2065" t="inlineStr">
        <is>
          <t>1.66%</t>
        </is>
      </c>
      <c r="J2065" t="inlineStr">
        <is>
          <t>1552050.50</t>
        </is>
      </c>
      <c r="K2065" t="inlineStr">
        <is>
          <t>55000</t>
        </is>
      </c>
      <c r="L2065" t="inlineStr">
        <is>
          <t>11.000000000000</t>
        </is>
      </c>
      <c r="M2065" t="inlineStr"/>
    </row>
    <row r="2066">
      <c r="A2066" t="inlineStr">
        <is>
          <t>06/25/2026</t>
        </is>
      </c>
      <c r="B2066" t="inlineStr">
        <is>
          <t>YUNG</t>
        </is>
      </c>
      <c r="C2066" s="1" t="inlineStr">
        <is>
          <t>EHC</t>
        </is>
      </c>
      <c r="D2066" s="1" t="inlineStr">
        <is>
          <t>29261A100</t>
        </is>
      </c>
      <c r="E2066" t="inlineStr">
        <is>
          <t>ENCOMPASS HEALTH CORP</t>
        </is>
      </c>
      <c r="F2066" t="inlineStr">
        <is>
          <t>231.00000000</t>
        </is>
      </c>
      <c r="G2066" t="inlineStr">
        <is>
          <t>102.250000</t>
        </is>
      </c>
      <c r="H2066" t="inlineStr">
        <is>
          <t>23619.75</t>
        </is>
      </c>
      <c r="I2066" t="inlineStr">
        <is>
          <t>1.52%</t>
        </is>
      </c>
      <c r="J2066" t="inlineStr">
        <is>
          <t>1552050.50</t>
        </is>
      </c>
      <c r="K2066" t="inlineStr">
        <is>
          <t>55000</t>
        </is>
      </c>
      <c r="L2066" t="inlineStr">
        <is>
          <t>11.000000000000</t>
        </is>
      </c>
      <c r="M2066" t="inlineStr"/>
    </row>
    <row r="2067">
      <c r="A2067" t="inlineStr">
        <is>
          <t>06/25/2026</t>
        </is>
      </c>
      <c r="B2067" t="inlineStr">
        <is>
          <t>YUNG</t>
        </is>
      </c>
      <c r="C2067" s="1" t="inlineStr">
        <is>
          <t>ENSG</t>
        </is>
      </c>
      <c r="D2067" s="1" t="inlineStr">
        <is>
          <t>29358P101</t>
        </is>
      </c>
      <c r="E2067" t="inlineStr">
        <is>
          <t>Ensign Group Inc/The</t>
        </is>
      </c>
      <c r="F2067" t="inlineStr">
        <is>
          <t>132.00000000</t>
        </is>
      </c>
      <c r="G2067" t="inlineStr">
        <is>
          <t>164.070000</t>
        </is>
      </c>
      <c r="H2067" t="inlineStr">
        <is>
          <t>21657.24</t>
        </is>
      </c>
      <c r="I2067" t="inlineStr">
        <is>
          <t>1.40%</t>
        </is>
      </c>
      <c r="J2067" t="inlineStr">
        <is>
          <t>1552050.50</t>
        </is>
      </c>
      <c r="K2067" t="inlineStr">
        <is>
          <t>55000</t>
        </is>
      </c>
      <c r="L2067" t="inlineStr">
        <is>
          <t>11.000000000000</t>
        </is>
      </c>
      <c r="M2067" t="inlineStr"/>
    </row>
    <row r="2068">
      <c r="A2068" t="inlineStr">
        <is>
          <t>06/25/2026</t>
        </is>
      </c>
      <c r="B2068" t="inlineStr">
        <is>
          <t>YUNG</t>
        </is>
      </c>
      <c r="C2068" s="1" t="inlineStr">
        <is>
          <t>EYE</t>
        </is>
      </c>
      <c r="D2068" s="1" t="inlineStr">
        <is>
          <t>63845R107</t>
        </is>
      </c>
      <c r="E2068" t="inlineStr">
        <is>
          <t>National Vision Holdings Inc</t>
        </is>
      </c>
      <c r="F2068" t="inlineStr">
        <is>
          <t>517.00000000</t>
        </is>
      </c>
      <c r="G2068" t="inlineStr">
        <is>
          <t>17.610000</t>
        </is>
      </c>
      <c r="H2068" t="inlineStr">
        <is>
          <t>9104.37</t>
        </is>
      </c>
      <c r="I2068" t="inlineStr">
        <is>
          <t>0.59%</t>
        </is>
      </c>
      <c r="J2068" t="inlineStr">
        <is>
          <t>1552050.50</t>
        </is>
      </c>
      <c r="K2068" t="inlineStr">
        <is>
          <t>55000</t>
        </is>
      </c>
      <c r="L2068" t="inlineStr">
        <is>
          <t>11.000000000000</t>
        </is>
      </c>
      <c r="M2068" t="inlineStr"/>
    </row>
    <row r="2069">
      <c r="A2069" t="inlineStr">
        <is>
          <t>06/25/2026</t>
        </is>
      </c>
      <c r="B2069" t="inlineStr">
        <is>
          <t>YUNG</t>
        </is>
      </c>
      <c r="C2069" s="1" t="inlineStr">
        <is>
          <t>FGXXX</t>
        </is>
      </c>
      <c r="D2069" s="1" t="inlineStr">
        <is>
          <t>31846V336</t>
        </is>
      </c>
      <c r="E2069" t="inlineStr">
        <is>
          <t>First American Government Obligations Fund 12/01/2031</t>
        </is>
      </c>
      <c r="F2069" t="inlineStr">
        <is>
          <t>44814.82000000</t>
        </is>
      </c>
      <c r="G2069" t="inlineStr">
        <is>
          <t>100.000000</t>
        </is>
      </c>
      <c r="H2069" t="inlineStr">
        <is>
          <t>44814.82</t>
        </is>
      </c>
      <c r="I2069" t="inlineStr">
        <is>
          <t>2.89%</t>
        </is>
      </c>
      <c r="J2069" t="inlineStr">
        <is>
          <t>1552050.50</t>
        </is>
      </c>
      <c r="K2069" t="inlineStr">
        <is>
          <t>55000</t>
        </is>
      </c>
      <c r="L2069" t="inlineStr">
        <is>
          <t>11.000000000000</t>
        </is>
      </c>
      <c r="M2069" t="inlineStr">
        <is>
          <t>Y</t>
        </is>
      </c>
    </row>
    <row r="2070">
      <c r="A2070" t="inlineStr">
        <is>
          <t>06/25/2026</t>
        </is>
      </c>
      <c r="B2070" t="inlineStr">
        <is>
          <t>YUNG</t>
        </is>
      </c>
      <c r="C2070" s="1" t="inlineStr">
        <is>
          <t>GOLF</t>
        </is>
      </c>
      <c r="D2070" s="1" t="inlineStr">
        <is>
          <t>005098108</t>
        </is>
      </c>
      <c r="E2070" t="inlineStr">
        <is>
          <t>Acushnet Holdings Corp</t>
        </is>
      </c>
      <c r="F2070" t="inlineStr">
        <is>
          <t>132.00000000</t>
        </is>
      </c>
      <c r="G2070" t="inlineStr">
        <is>
          <t>109.500000</t>
        </is>
      </c>
      <c r="H2070" t="inlineStr">
        <is>
          <t>14454.00</t>
        </is>
      </c>
      <c r="I2070" t="inlineStr">
        <is>
          <t>0.93%</t>
        </is>
      </c>
      <c r="J2070" t="inlineStr">
        <is>
          <t>1552050.50</t>
        </is>
      </c>
      <c r="K2070" t="inlineStr">
        <is>
          <t>55000</t>
        </is>
      </c>
      <c r="L2070" t="inlineStr">
        <is>
          <t>11.000000000000</t>
        </is>
      </c>
      <c r="M2070" t="inlineStr"/>
    </row>
    <row r="2071">
      <c r="A2071" t="inlineStr">
        <is>
          <t>06/25/2026</t>
        </is>
      </c>
      <c r="B2071" t="inlineStr">
        <is>
          <t>YUNG</t>
        </is>
      </c>
      <c r="C2071" s="1" t="inlineStr">
        <is>
          <t>HGV</t>
        </is>
      </c>
      <c r="D2071" s="1" t="inlineStr">
        <is>
          <t>43283X105</t>
        </is>
      </c>
      <c r="E2071" t="inlineStr">
        <is>
          <t>Hilton Grand Vacations Inc</t>
        </is>
      </c>
      <c r="F2071" t="inlineStr">
        <is>
          <t>286.00000000</t>
        </is>
      </c>
      <c r="G2071" t="inlineStr">
        <is>
          <t>54.670000</t>
        </is>
      </c>
      <c r="H2071" t="inlineStr">
        <is>
          <t>15635.62</t>
        </is>
      </c>
      <c r="I2071" t="inlineStr">
        <is>
          <t>1.01%</t>
        </is>
      </c>
      <c r="J2071" t="inlineStr">
        <is>
          <t>1552050.50</t>
        </is>
      </c>
      <c r="K2071" t="inlineStr">
        <is>
          <t>55000</t>
        </is>
      </c>
      <c r="L2071" t="inlineStr">
        <is>
          <t>11.000000000000</t>
        </is>
      </c>
      <c r="M2071" t="inlineStr"/>
    </row>
    <row r="2072">
      <c r="A2072" t="inlineStr">
        <is>
          <t>06/25/2026</t>
        </is>
      </c>
      <c r="B2072" t="inlineStr">
        <is>
          <t>YUNG</t>
        </is>
      </c>
      <c r="C2072" s="1" t="inlineStr">
        <is>
          <t>HIMS</t>
        </is>
      </c>
      <c r="D2072" s="1" t="inlineStr">
        <is>
          <t>433000106</t>
        </is>
      </c>
      <c r="E2072" t="inlineStr">
        <is>
          <t>Hims &amp; Hers Health Inc</t>
        </is>
      </c>
      <c r="F2072" t="inlineStr">
        <is>
          <t>550.00000000</t>
        </is>
      </c>
      <c r="G2072" t="inlineStr">
        <is>
          <t>32.700000</t>
        </is>
      </c>
      <c r="H2072" t="inlineStr">
        <is>
          <t>17985.00</t>
        </is>
      </c>
      <c r="I2072" t="inlineStr">
        <is>
          <t>1.16%</t>
        </is>
      </c>
      <c r="J2072" t="inlineStr">
        <is>
          <t>1552050.50</t>
        </is>
      </c>
      <c r="K2072" t="inlineStr">
        <is>
          <t>55000</t>
        </is>
      </c>
      <c r="L2072" t="inlineStr">
        <is>
          <t>11.000000000000</t>
        </is>
      </c>
      <c r="M2072" t="inlineStr"/>
    </row>
    <row r="2073">
      <c r="A2073" t="inlineStr">
        <is>
          <t>06/25/2026</t>
        </is>
      </c>
      <c r="B2073" t="inlineStr">
        <is>
          <t>YUNG</t>
        </is>
      </c>
      <c r="C2073" s="1" t="inlineStr">
        <is>
          <t>HLT</t>
        </is>
      </c>
      <c r="D2073" s="1" t="inlineStr">
        <is>
          <t>43300A203</t>
        </is>
      </c>
      <c r="E2073" t="inlineStr">
        <is>
          <t>Hilton Worldwide Holdings Inc</t>
        </is>
      </c>
      <c r="F2073" t="inlineStr">
        <is>
          <t>165.00000000</t>
        </is>
      </c>
      <c r="G2073" t="inlineStr">
        <is>
          <t>343.420000</t>
        </is>
      </c>
      <c r="H2073" t="inlineStr">
        <is>
          <t>56664.30</t>
        </is>
      </c>
      <c r="I2073" t="inlineStr">
        <is>
          <t>3.65%</t>
        </is>
      </c>
      <c r="J2073" t="inlineStr">
        <is>
          <t>1552050.50</t>
        </is>
      </c>
      <c r="K2073" t="inlineStr">
        <is>
          <t>55000</t>
        </is>
      </c>
      <c r="L2073" t="inlineStr">
        <is>
          <t>11.000000000000</t>
        </is>
      </c>
      <c r="M2073" t="inlineStr"/>
    </row>
    <row r="2074">
      <c r="A2074" t="inlineStr">
        <is>
          <t>06/25/2026</t>
        </is>
      </c>
      <c r="B2074" t="inlineStr">
        <is>
          <t>YUNG</t>
        </is>
      </c>
      <c r="C2074" s="1" t="inlineStr">
        <is>
          <t>HUM</t>
        </is>
      </c>
      <c r="D2074" s="1" t="inlineStr">
        <is>
          <t>444859102</t>
        </is>
      </c>
      <c r="E2074" t="inlineStr">
        <is>
          <t>Humana Inc</t>
        </is>
      </c>
      <c r="F2074" t="inlineStr">
        <is>
          <t>154.00000000</t>
        </is>
      </c>
      <c r="G2074" t="inlineStr">
        <is>
          <t>361.640000</t>
        </is>
      </c>
      <c r="H2074" t="inlineStr">
        <is>
          <t>55692.56</t>
        </is>
      </c>
      <c r="I2074" t="inlineStr">
        <is>
          <t>3.59%</t>
        </is>
      </c>
      <c r="J2074" t="inlineStr">
        <is>
          <t>1552050.50</t>
        </is>
      </c>
      <c r="K2074" t="inlineStr">
        <is>
          <t>55000</t>
        </is>
      </c>
      <c r="L2074" t="inlineStr">
        <is>
          <t>11.000000000000</t>
        </is>
      </c>
      <c r="M2074" t="inlineStr"/>
    </row>
    <row r="2075">
      <c r="A2075" t="inlineStr">
        <is>
          <t>06/25/2026</t>
        </is>
      </c>
      <c r="B2075" t="inlineStr">
        <is>
          <t>YUNG</t>
        </is>
      </c>
      <c r="C2075" s="1" t="inlineStr">
        <is>
          <t>LIND</t>
        </is>
      </c>
      <c r="D2075" s="1" t="inlineStr">
        <is>
          <t>535219109</t>
        </is>
      </c>
      <c r="E2075" t="inlineStr">
        <is>
          <t>Lindblad Expeditions Holdings Inc</t>
        </is>
      </c>
      <c r="F2075" t="inlineStr">
        <is>
          <t>462.00000000</t>
        </is>
      </c>
      <c r="G2075" t="inlineStr">
        <is>
          <t>26.980000</t>
        </is>
      </c>
      <c r="H2075" t="inlineStr">
        <is>
          <t>12464.76</t>
        </is>
      </c>
      <c r="I2075" t="inlineStr">
        <is>
          <t>0.80%</t>
        </is>
      </c>
      <c r="J2075" t="inlineStr">
        <is>
          <t>1552050.50</t>
        </is>
      </c>
      <c r="K2075" t="inlineStr">
        <is>
          <t>55000</t>
        </is>
      </c>
      <c r="L2075" t="inlineStr">
        <is>
          <t>11.000000000000</t>
        </is>
      </c>
      <c r="M2075" t="inlineStr"/>
    </row>
    <row r="2076">
      <c r="A2076" t="inlineStr">
        <is>
          <t>06/25/2026</t>
        </is>
      </c>
      <c r="B2076" t="inlineStr">
        <is>
          <t>YUNG</t>
        </is>
      </c>
      <c r="C2076" s="1" t="inlineStr">
        <is>
          <t>LLY</t>
        </is>
      </c>
      <c r="D2076" s="1" t="inlineStr">
        <is>
          <t>532457108</t>
        </is>
      </c>
      <c r="E2076" t="inlineStr">
        <is>
          <t>Eli Lilly &amp; Co</t>
        </is>
      </c>
      <c r="F2076" t="inlineStr">
        <is>
          <t>176.00000000</t>
        </is>
      </c>
      <c r="G2076" t="inlineStr">
        <is>
          <t>1117.260000</t>
        </is>
      </c>
      <c r="H2076" t="inlineStr">
        <is>
          <t>196637.76</t>
        </is>
      </c>
      <c r="I2076" t="inlineStr">
        <is>
          <t>12.67%</t>
        </is>
      </c>
      <c r="J2076" t="inlineStr">
        <is>
          <t>1552050.50</t>
        </is>
      </c>
      <c r="K2076" t="inlineStr">
        <is>
          <t>55000</t>
        </is>
      </c>
      <c r="L2076" t="inlineStr">
        <is>
          <t>11.000000000000</t>
        </is>
      </c>
      <c r="M2076" t="inlineStr"/>
    </row>
    <row r="2077">
      <c r="A2077" t="inlineStr">
        <is>
          <t>06/25/2026</t>
        </is>
      </c>
      <c r="B2077" t="inlineStr">
        <is>
          <t>YUNG</t>
        </is>
      </c>
      <c r="C2077" s="1" t="inlineStr">
        <is>
          <t>LTC</t>
        </is>
      </c>
      <c r="D2077" s="1" t="inlineStr">
        <is>
          <t>502175102</t>
        </is>
      </c>
      <c r="E2077" t="inlineStr">
        <is>
          <t>LTC Properties Inc</t>
        </is>
      </c>
      <c r="F2077" t="inlineStr">
        <is>
          <t>308.00000000</t>
        </is>
      </c>
      <c r="G2077" t="inlineStr">
        <is>
          <t>38.070000</t>
        </is>
      </c>
      <c r="H2077" t="inlineStr">
        <is>
          <t>11725.56</t>
        </is>
      </c>
      <c r="I2077" t="inlineStr">
        <is>
          <t>0.76%</t>
        </is>
      </c>
      <c r="J2077" t="inlineStr">
        <is>
          <t>1552050.50</t>
        </is>
      </c>
      <c r="K2077" t="inlineStr">
        <is>
          <t>55000</t>
        </is>
      </c>
      <c r="L2077" t="inlineStr">
        <is>
          <t>11.000000000000</t>
        </is>
      </c>
      <c r="M2077" t="inlineStr"/>
    </row>
    <row r="2078">
      <c r="A2078" t="inlineStr">
        <is>
          <t>06/25/2026</t>
        </is>
      </c>
      <c r="B2078" t="inlineStr">
        <is>
          <t>YUNG</t>
        </is>
      </c>
      <c r="C2078" s="1" t="inlineStr">
        <is>
          <t>LTH</t>
        </is>
      </c>
      <c r="D2078" s="1" t="inlineStr">
        <is>
          <t>53190C102</t>
        </is>
      </c>
      <c r="E2078" t="inlineStr">
        <is>
          <t>Life Time Group Holdings Inc</t>
        </is>
      </c>
      <c r="F2078" t="inlineStr">
        <is>
          <t>583.00000000</t>
        </is>
      </c>
      <c r="G2078" t="inlineStr">
        <is>
          <t>38.870000</t>
        </is>
      </c>
      <c r="H2078" t="inlineStr">
        <is>
          <t>22661.21</t>
        </is>
      </c>
      <c r="I2078" t="inlineStr">
        <is>
          <t>1.46%</t>
        </is>
      </c>
      <c r="J2078" t="inlineStr">
        <is>
          <t>1552050.50</t>
        </is>
      </c>
      <c r="K2078" t="inlineStr">
        <is>
          <t>55000</t>
        </is>
      </c>
      <c r="L2078" t="inlineStr">
        <is>
          <t>11.000000000000</t>
        </is>
      </c>
      <c r="M2078" t="inlineStr"/>
    </row>
    <row r="2079">
      <c r="A2079" t="inlineStr">
        <is>
          <t>06/25/2026</t>
        </is>
      </c>
      <c r="B2079" t="inlineStr">
        <is>
          <t>YUNG</t>
        </is>
      </c>
      <c r="C2079" s="1" t="inlineStr">
        <is>
          <t>LUV</t>
        </is>
      </c>
      <c r="D2079" s="1" t="inlineStr">
        <is>
          <t>844741108</t>
        </is>
      </c>
      <c r="E2079" t="inlineStr">
        <is>
          <t>Southwest Airlines Co</t>
        </is>
      </c>
      <c r="F2079" t="inlineStr">
        <is>
          <t>792.00000000</t>
        </is>
      </c>
      <c r="G2079" t="inlineStr">
        <is>
          <t>50.940000</t>
        </is>
      </c>
      <c r="H2079" t="inlineStr">
        <is>
          <t>40344.48</t>
        </is>
      </c>
      <c r="I2079" t="inlineStr">
        <is>
          <t>2.60%</t>
        </is>
      </c>
      <c r="J2079" t="inlineStr">
        <is>
          <t>1552050.50</t>
        </is>
      </c>
      <c r="K2079" t="inlineStr">
        <is>
          <t>55000</t>
        </is>
      </c>
      <c r="L2079" t="inlineStr">
        <is>
          <t>11.000000000000</t>
        </is>
      </c>
      <c r="M2079" t="inlineStr"/>
    </row>
    <row r="2080">
      <c r="A2080" t="inlineStr">
        <is>
          <t>06/25/2026</t>
        </is>
      </c>
      <c r="B2080" t="inlineStr">
        <is>
          <t>YUNG</t>
        </is>
      </c>
      <c r="C2080" s="1" t="inlineStr">
        <is>
          <t>MAR</t>
        </is>
      </c>
      <c r="D2080" s="1" t="inlineStr">
        <is>
          <t>571903202</t>
        </is>
      </c>
      <c r="E2080" t="inlineStr">
        <is>
          <t>Marriott International Inc/MD</t>
        </is>
      </c>
      <c r="F2080" t="inlineStr">
        <is>
          <t>154.00000000</t>
        </is>
      </c>
      <c r="G2080" t="inlineStr">
        <is>
          <t>383.560000</t>
        </is>
      </c>
      <c r="H2080" t="inlineStr">
        <is>
          <t>59068.24</t>
        </is>
      </c>
      <c r="I2080" t="inlineStr">
        <is>
          <t>3.81%</t>
        </is>
      </c>
      <c r="J2080" t="inlineStr">
        <is>
          <t>1552050.50</t>
        </is>
      </c>
      <c r="K2080" t="inlineStr">
        <is>
          <t>55000</t>
        </is>
      </c>
      <c r="L2080" t="inlineStr">
        <is>
          <t>11.000000000000</t>
        </is>
      </c>
      <c r="M2080" t="inlineStr"/>
    </row>
    <row r="2081">
      <c r="A2081" t="inlineStr">
        <is>
          <t>06/25/2026</t>
        </is>
      </c>
      <c r="B2081" t="inlineStr">
        <is>
          <t>YUNG</t>
        </is>
      </c>
      <c r="C2081" s="1" t="inlineStr">
        <is>
          <t>MDLN</t>
        </is>
      </c>
      <c r="D2081" s="1" t="inlineStr">
        <is>
          <t>58507V107</t>
        </is>
      </c>
      <c r="E2081" t="inlineStr">
        <is>
          <t>Medline Inc</t>
        </is>
      </c>
      <c r="F2081" t="inlineStr">
        <is>
          <t>451.00000000</t>
        </is>
      </c>
      <c r="G2081" t="inlineStr">
        <is>
          <t>36.050000</t>
        </is>
      </c>
      <c r="H2081" t="inlineStr">
        <is>
          <t>16258.55</t>
        </is>
      </c>
      <c r="I2081" t="inlineStr">
        <is>
          <t>1.05%</t>
        </is>
      </c>
      <c r="J2081" t="inlineStr">
        <is>
          <t>1552050.50</t>
        </is>
      </c>
      <c r="K2081" t="inlineStr">
        <is>
          <t>55000</t>
        </is>
      </c>
      <c r="L2081" t="inlineStr">
        <is>
          <t>11.000000000000</t>
        </is>
      </c>
      <c r="M2081" t="inlineStr"/>
    </row>
    <row r="2082">
      <c r="A2082" t="inlineStr">
        <is>
          <t>06/25/2026</t>
        </is>
      </c>
      <c r="B2082" t="inlineStr">
        <is>
          <t>YUNG</t>
        </is>
      </c>
      <c r="C2082" s="1" t="inlineStr">
        <is>
          <t>MDT</t>
        </is>
      </c>
      <c r="D2082" s="1" t="inlineStr">
        <is>
          <t>G5960L103</t>
        </is>
      </c>
      <c r="E2082" t="inlineStr">
        <is>
          <t>Medtronic PLC</t>
        </is>
      </c>
      <c r="F2082" t="inlineStr">
        <is>
          <t>814.00000000</t>
        </is>
      </c>
      <c r="G2082" t="inlineStr">
        <is>
          <t>80.130000</t>
        </is>
      </c>
      <c r="H2082" t="inlineStr">
        <is>
          <t>65225.82</t>
        </is>
      </c>
      <c r="I2082" t="inlineStr">
        <is>
          <t>4.20%</t>
        </is>
      </c>
      <c r="J2082" t="inlineStr">
        <is>
          <t>1552050.50</t>
        </is>
      </c>
      <c r="K2082" t="inlineStr">
        <is>
          <t>55000</t>
        </is>
      </c>
      <c r="L2082" t="inlineStr">
        <is>
          <t>11.000000000000</t>
        </is>
      </c>
      <c r="M2082" t="inlineStr"/>
    </row>
    <row r="2083">
      <c r="A2083" t="inlineStr">
        <is>
          <t>06/25/2026</t>
        </is>
      </c>
      <c r="B2083" t="inlineStr">
        <is>
          <t>YUNG</t>
        </is>
      </c>
      <c r="C2083" s="1" t="inlineStr">
        <is>
          <t>NATR</t>
        </is>
      </c>
      <c r="D2083" s="1" t="inlineStr">
        <is>
          <t>639027101</t>
        </is>
      </c>
      <c r="E2083" t="inlineStr">
        <is>
          <t>Nature's Sunshine Products Inc</t>
        </is>
      </c>
      <c r="F2083" t="inlineStr">
        <is>
          <t>209.00000000</t>
        </is>
      </c>
      <c r="G2083" t="inlineStr">
        <is>
          <t>20.860000</t>
        </is>
      </c>
      <c r="H2083" t="inlineStr">
        <is>
          <t>4359.74</t>
        </is>
      </c>
      <c r="I2083" t="inlineStr">
        <is>
          <t>0.28%</t>
        </is>
      </c>
      <c r="J2083" t="inlineStr">
        <is>
          <t>1552050.50</t>
        </is>
      </c>
      <c r="K2083" t="inlineStr">
        <is>
          <t>55000</t>
        </is>
      </c>
      <c r="L2083" t="inlineStr">
        <is>
          <t>11.000000000000</t>
        </is>
      </c>
      <c r="M2083" t="inlineStr"/>
    </row>
    <row r="2084">
      <c r="A2084" t="inlineStr">
        <is>
          <t>06/25/2026</t>
        </is>
      </c>
      <c r="B2084" t="inlineStr">
        <is>
          <t>YUNG</t>
        </is>
      </c>
      <c r="C2084" s="1" t="inlineStr">
        <is>
          <t>NCLH</t>
        </is>
      </c>
      <c r="D2084" s="1" t="inlineStr">
        <is>
          <t>G66721104</t>
        </is>
      </c>
      <c r="E2084" t="inlineStr">
        <is>
          <t>Norwegian Cruise Line Holdings Ltd</t>
        </is>
      </c>
      <c r="F2084" t="inlineStr">
        <is>
          <t>1221.00000000</t>
        </is>
      </c>
      <c r="G2084" t="inlineStr">
        <is>
          <t>21.010000</t>
        </is>
      </c>
      <c r="H2084" t="inlineStr">
        <is>
          <t>25653.21</t>
        </is>
      </c>
      <c r="I2084" t="inlineStr">
        <is>
          <t>1.65%</t>
        </is>
      </c>
      <c r="J2084" t="inlineStr">
        <is>
          <t>1552050.50</t>
        </is>
      </c>
      <c r="K2084" t="inlineStr">
        <is>
          <t>55000</t>
        </is>
      </c>
      <c r="L2084" t="inlineStr">
        <is>
          <t>11.000000000000</t>
        </is>
      </c>
      <c r="M2084" t="inlineStr"/>
    </row>
    <row r="2085">
      <c r="A2085" t="inlineStr">
        <is>
          <t>06/25/2026</t>
        </is>
      </c>
      <c r="B2085" t="inlineStr">
        <is>
          <t>YUNG</t>
        </is>
      </c>
      <c r="C2085" s="1" t="inlineStr">
        <is>
          <t>NHC</t>
        </is>
      </c>
      <c r="D2085" s="1" t="inlineStr">
        <is>
          <t>635906100</t>
        </is>
      </c>
      <c r="E2085" t="inlineStr">
        <is>
          <t>National HealthCare Corp</t>
        </is>
      </c>
      <c r="F2085" t="inlineStr">
        <is>
          <t>66.00000000</t>
        </is>
      </c>
      <c r="G2085" t="inlineStr">
        <is>
          <t>202.810000</t>
        </is>
      </c>
      <c r="H2085" t="inlineStr">
        <is>
          <t>13385.46</t>
        </is>
      </c>
      <c r="I2085" t="inlineStr">
        <is>
          <t>0.86%</t>
        </is>
      </c>
      <c r="J2085" t="inlineStr">
        <is>
          <t>1552050.50</t>
        </is>
      </c>
      <c r="K2085" t="inlineStr">
        <is>
          <t>55000</t>
        </is>
      </c>
      <c r="L2085" t="inlineStr">
        <is>
          <t>11.000000000000</t>
        </is>
      </c>
      <c r="M2085" t="inlineStr"/>
    </row>
    <row r="2086">
      <c r="A2086" t="inlineStr">
        <is>
          <t>06/25/2026</t>
        </is>
      </c>
      <c r="B2086" t="inlineStr">
        <is>
          <t>YUNG</t>
        </is>
      </c>
      <c r="C2086" s="1" t="inlineStr">
        <is>
          <t>NHI</t>
        </is>
      </c>
      <c r="D2086" s="1" t="inlineStr">
        <is>
          <t>63633D104</t>
        </is>
      </c>
      <c r="E2086" t="inlineStr">
        <is>
          <t>National Health Investors Inc</t>
        </is>
      </c>
      <c r="F2086" t="inlineStr">
        <is>
          <t>209.00000000</t>
        </is>
      </c>
      <c r="G2086" t="inlineStr">
        <is>
          <t>75.210000</t>
        </is>
      </c>
      <c r="H2086" t="inlineStr">
        <is>
          <t>15718.89</t>
        </is>
      </c>
      <c r="I2086" t="inlineStr">
        <is>
          <t>1.01%</t>
        </is>
      </c>
      <c r="J2086" t="inlineStr">
        <is>
          <t>1552050.50</t>
        </is>
      </c>
      <c r="K2086" t="inlineStr">
        <is>
          <t>55000</t>
        </is>
      </c>
      <c r="L2086" t="inlineStr">
        <is>
          <t>11.000000000000</t>
        </is>
      </c>
      <c r="M2086" t="inlineStr"/>
    </row>
    <row r="2087">
      <c r="A2087" t="inlineStr">
        <is>
          <t>06/25/2026</t>
        </is>
      </c>
      <c r="B2087" t="inlineStr">
        <is>
          <t>YUNG</t>
        </is>
      </c>
      <c r="C2087" s="1" t="inlineStr">
        <is>
          <t>NVST</t>
        </is>
      </c>
      <c r="D2087" s="1" t="inlineStr">
        <is>
          <t>29415F104</t>
        </is>
      </c>
      <c r="E2087" t="inlineStr">
        <is>
          <t>Envista Holdings Corp</t>
        </is>
      </c>
      <c r="F2087" t="inlineStr">
        <is>
          <t>616.00000000</t>
        </is>
      </c>
      <c r="G2087" t="inlineStr">
        <is>
          <t>26.040000</t>
        </is>
      </c>
      <c r="H2087" t="inlineStr">
        <is>
          <t>16040.64</t>
        </is>
      </c>
      <c r="I2087" t="inlineStr">
        <is>
          <t>1.03%</t>
        </is>
      </c>
      <c r="J2087" t="inlineStr">
        <is>
          <t>1552050.50</t>
        </is>
      </c>
      <c r="K2087" t="inlineStr">
        <is>
          <t>55000</t>
        </is>
      </c>
      <c r="L2087" t="inlineStr">
        <is>
          <t>11.000000000000</t>
        </is>
      </c>
      <c r="M2087" t="inlineStr"/>
    </row>
    <row r="2088">
      <c r="A2088" t="inlineStr">
        <is>
          <t>06/25/2026</t>
        </is>
      </c>
      <c r="B2088" t="inlineStr">
        <is>
          <t>YUNG</t>
        </is>
      </c>
      <c r="C2088" s="1" t="inlineStr">
        <is>
          <t>OHI</t>
        </is>
      </c>
      <c r="D2088" s="1" t="inlineStr">
        <is>
          <t>681936100</t>
        </is>
      </c>
      <c r="E2088" t="inlineStr">
        <is>
          <t>Omega Healthcare Investors Inc</t>
        </is>
      </c>
      <c r="F2088" t="inlineStr">
        <is>
          <t>583.00000000</t>
        </is>
      </c>
      <c r="G2088" t="inlineStr">
        <is>
          <t>47.380000</t>
        </is>
      </c>
      <c r="H2088" t="inlineStr">
        <is>
          <t>27622.54</t>
        </is>
      </c>
      <c r="I2088" t="inlineStr">
        <is>
          <t>1.78%</t>
        </is>
      </c>
      <c r="J2088" t="inlineStr">
        <is>
          <t>1552050.50</t>
        </is>
      </c>
      <c r="K2088" t="inlineStr">
        <is>
          <t>55000</t>
        </is>
      </c>
      <c r="L2088" t="inlineStr">
        <is>
          <t>11.000000000000</t>
        </is>
      </c>
      <c r="M2088" t="inlineStr"/>
    </row>
    <row r="2089">
      <c r="A2089" t="inlineStr">
        <is>
          <t>06/25/2026</t>
        </is>
      </c>
      <c r="B2089" t="inlineStr">
        <is>
          <t>YUNG</t>
        </is>
      </c>
      <c r="C2089" s="1" t="inlineStr">
        <is>
          <t>PNTG</t>
        </is>
      </c>
      <c r="D2089" s="1" t="inlineStr">
        <is>
          <t>70805E109</t>
        </is>
      </c>
      <c r="E2089" t="inlineStr">
        <is>
          <t>Pennant Group Inc/The</t>
        </is>
      </c>
      <c r="F2089" t="inlineStr">
        <is>
          <t>308.00000000</t>
        </is>
      </c>
      <c r="G2089" t="inlineStr">
        <is>
          <t>34.580000</t>
        </is>
      </c>
      <c r="H2089" t="inlineStr">
        <is>
          <t>10650.64</t>
        </is>
      </c>
      <c r="I2089" t="inlineStr">
        <is>
          <t>0.69%</t>
        </is>
      </c>
      <c r="J2089" t="inlineStr">
        <is>
          <t>1552050.50</t>
        </is>
      </c>
      <c r="K2089" t="inlineStr">
        <is>
          <t>55000</t>
        </is>
      </c>
      <c r="L2089" t="inlineStr">
        <is>
          <t>11.000000000000</t>
        </is>
      </c>
      <c r="M2089" t="inlineStr"/>
    </row>
    <row r="2090">
      <c r="A2090" t="inlineStr">
        <is>
          <t>06/25/2026</t>
        </is>
      </c>
      <c r="B2090" t="inlineStr">
        <is>
          <t>YUNG</t>
        </is>
      </c>
      <c r="C2090" s="1" t="inlineStr">
        <is>
          <t>PTON</t>
        </is>
      </c>
      <c r="D2090" s="1" t="inlineStr">
        <is>
          <t>70614W100</t>
        </is>
      </c>
      <c r="E2090" t="inlineStr">
        <is>
          <t>Peloton Interactive Inc</t>
        </is>
      </c>
      <c r="F2090" t="inlineStr">
        <is>
          <t>2222.00000000</t>
        </is>
      </c>
      <c r="G2090" t="inlineStr">
        <is>
          <t>5.730000</t>
        </is>
      </c>
      <c r="H2090" t="inlineStr">
        <is>
          <t>12732.06</t>
        </is>
      </c>
      <c r="I2090" t="inlineStr">
        <is>
          <t>0.82%</t>
        </is>
      </c>
      <c r="J2090" t="inlineStr">
        <is>
          <t>1552050.50</t>
        </is>
      </c>
      <c r="K2090" t="inlineStr">
        <is>
          <t>55000</t>
        </is>
      </c>
      <c r="L2090" t="inlineStr">
        <is>
          <t>11.000000000000</t>
        </is>
      </c>
      <c r="M2090" t="inlineStr"/>
    </row>
    <row r="2091">
      <c r="A2091" t="inlineStr">
        <is>
          <t>06/25/2026</t>
        </is>
      </c>
      <c r="B2091" t="inlineStr">
        <is>
          <t>YUNG</t>
        </is>
      </c>
      <c r="C2091" s="1" t="inlineStr">
        <is>
          <t>RCL</t>
        </is>
      </c>
      <c r="D2091" s="1" t="inlineStr">
        <is>
          <t>V7780T103</t>
        </is>
      </c>
      <c r="E2091" t="inlineStr">
        <is>
          <t>Royal Caribbean Cruises Ltd</t>
        </is>
      </c>
      <c r="F2091" t="inlineStr">
        <is>
          <t>198.00000000</t>
        </is>
      </c>
      <c r="G2091" t="inlineStr">
        <is>
          <t>320.950000</t>
        </is>
      </c>
      <c r="H2091" t="inlineStr">
        <is>
          <t>63548.10</t>
        </is>
      </c>
      <c r="I2091" t="inlineStr">
        <is>
          <t>4.09%</t>
        </is>
      </c>
      <c r="J2091" t="inlineStr">
        <is>
          <t>1552050.50</t>
        </is>
      </c>
      <c r="K2091" t="inlineStr">
        <is>
          <t>55000</t>
        </is>
      </c>
      <c r="L2091" t="inlineStr">
        <is>
          <t>11.000000000000</t>
        </is>
      </c>
      <c r="M2091" t="inlineStr"/>
    </row>
    <row r="2092">
      <c r="A2092" t="inlineStr">
        <is>
          <t>06/25/2026</t>
        </is>
      </c>
      <c r="B2092" t="inlineStr">
        <is>
          <t>YUNG</t>
        </is>
      </c>
      <c r="C2092" s="1" t="inlineStr">
        <is>
          <t>SCI</t>
        </is>
      </c>
      <c r="D2092" s="1" t="inlineStr">
        <is>
          <t>817565104</t>
        </is>
      </c>
      <c r="E2092" t="inlineStr">
        <is>
          <t>Service Corp International/US</t>
        </is>
      </c>
      <c r="F2092" t="inlineStr">
        <is>
          <t>286.00000000</t>
        </is>
      </c>
      <c r="G2092" t="inlineStr">
        <is>
          <t>74.040000</t>
        </is>
      </c>
      <c r="H2092" t="inlineStr">
        <is>
          <t>21175.44</t>
        </is>
      </c>
      <c r="I2092" t="inlineStr">
        <is>
          <t>1.36%</t>
        </is>
      </c>
      <c r="J2092" t="inlineStr">
        <is>
          <t>1552050.50</t>
        </is>
      </c>
      <c r="K2092" t="inlineStr">
        <is>
          <t>55000</t>
        </is>
      </c>
      <c r="L2092" t="inlineStr">
        <is>
          <t>11.000000000000</t>
        </is>
      </c>
      <c r="M2092" t="inlineStr"/>
    </row>
    <row r="2093">
      <c r="A2093" t="inlineStr">
        <is>
          <t>06/25/2026</t>
        </is>
      </c>
      <c r="B2093" t="inlineStr">
        <is>
          <t>YUNG</t>
        </is>
      </c>
      <c r="C2093" s="1" t="inlineStr">
        <is>
          <t>SNDA</t>
        </is>
      </c>
      <c r="D2093" s="1" t="inlineStr">
        <is>
          <t>140475203</t>
        </is>
      </c>
      <c r="E2093" t="inlineStr">
        <is>
          <t>Sonida Senior Living Inc</t>
        </is>
      </c>
      <c r="F2093" t="inlineStr">
        <is>
          <t>242.00000000</t>
        </is>
      </c>
      <c r="G2093" t="inlineStr">
        <is>
          <t>38.580000</t>
        </is>
      </c>
      <c r="H2093" t="inlineStr">
        <is>
          <t>9336.36</t>
        </is>
      </c>
      <c r="I2093" t="inlineStr">
        <is>
          <t>0.60%</t>
        </is>
      </c>
      <c r="J2093" t="inlineStr">
        <is>
          <t>1552050.50</t>
        </is>
      </c>
      <c r="K2093" t="inlineStr">
        <is>
          <t>55000</t>
        </is>
      </c>
      <c r="L2093" t="inlineStr">
        <is>
          <t>11.000000000000</t>
        </is>
      </c>
      <c r="M2093" t="inlineStr"/>
    </row>
    <row r="2094">
      <c r="A2094" t="inlineStr">
        <is>
          <t>06/25/2026</t>
        </is>
      </c>
      <c r="B2094" t="inlineStr">
        <is>
          <t>YUNG</t>
        </is>
      </c>
      <c r="C2094" s="1" t="inlineStr">
        <is>
          <t>TDOC</t>
        </is>
      </c>
      <c r="D2094" s="1" t="inlineStr">
        <is>
          <t>87918A105</t>
        </is>
      </c>
      <c r="E2094" t="inlineStr">
        <is>
          <t>Teladoc Health Inc</t>
        </is>
      </c>
      <c r="F2094" t="inlineStr">
        <is>
          <t>1562.00000000</t>
        </is>
      </c>
      <c r="G2094" t="inlineStr">
        <is>
          <t>7.810000</t>
        </is>
      </c>
      <c r="H2094" t="inlineStr">
        <is>
          <t>12199.22</t>
        </is>
      </c>
      <c r="I2094" t="inlineStr">
        <is>
          <t>0.79%</t>
        </is>
      </c>
      <c r="J2094" t="inlineStr">
        <is>
          <t>1552050.50</t>
        </is>
      </c>
      <c r="K2094" t="inlineStr">
        <is>
          <t>55000</t>
        </is>
      </c>
      <c r="L2094" t="inlineStr">
        <is>
          <t>11.000000000000</t>
        </is>
      </c>
      <c r="M2094" t="inlineStr"/>
    </row>
    <row r="2095">
      <c r="A2095" t="inlineStr">
        <is>
          <t>06/25/2026</t>
        </is>
      </c>
      <c r="B2095" t="inlineStr">
        <is>
          <t>YUNG</t>
        </is>
      </c>
      <c r="C2095" s="1" t="inlineStr">
        <is>
          <t>TNL</t>
        </is>
      </c>
      <c r="D2095" s="1" t="inlineStr">
        <is>
          <t>894164102</t>
        </is>
      </c>
      <c r="E2095" t="inlineStr">
        <is>
          <t>Travel + Leisure Co</t>
        </is>
      </c>
      <c r="F2095" t="inlineStr">
        <is>
          <t>242.00000000</t>
        </is>
      </c>
      <c r="G2095" t="inlineStr">
        <is>
          <t>76.680000</t>
        </is>
      </c>
      <c r="H2095" t="inlineStr">
        <is>
          <t>18556.56</t>
        </is>
      </c>
      <c r="I2095" t="inlineStr">
        <is>
          <t>1.20%</t>
        </is>
      </c>
      <c r="J2095" t="inlineStr">
        <is>
          <t>1552050.50</t>
        </is>
      </c>
      <c r="K2095" t="inlineStr">
        <is>
          <t>55000</t>
        </is>
      </c>
      <c r="L2095" t="inlineStr">
        <is>
          <t>11.000000000000</t>
        </is>
      </c>
      <c r="M2095" t="inlineStr"/>
    </row>
    <row r="2096">
      <c r="A2096" t="inlineStr">
        <is>
          <t>06/25/2026</t>
        </is>
      </c>
      <c r="B2096" t="inlineStr">
        <is>
          <t>YUNG</t>
        </is>
      </c>
      <c r="C2096" s="1" t="inlineStr">
        <is>
          <t>UAL</t>
        </is>
      </c>
      <c r="D2096" s="1" t="inlineStr">
        <is>
          <t>910047109</t>
        </is>
      </c>
      <c r="E2096" t="inlineStr">
        <is>
          <t>United Airlines Holdings Inc</t>
        </is>
      </c>
      <c r="F2096" t="inlineStr">
        <is>
          <t>418.00000000</t>
        </is>
      </c>
      <c r="G2096" t="inlineStr">
        <is>
          <t>130.540000</t>
        </is>
      </c>
      <c r="H2096" t="inlineStr">
        <is>
          <t>54565.72</t>
        </is>
      </c>
      <c r="I2096" t="inlineStr">
        <is>
          <t>3.52%</t>
        </is>
      </c>
      <c r="J2096" t="inlineStr">
        <is>
          <t>1552050.50</t>
        </is>
      </c>
      <c r="K2096" t="inlineStr">
        <is>
          <t>55000</t>
        </is>
      </c>
      <c r="L2096" t="inlineStr">
        <is>
          <t>11.000000000000</t>
        </is>
      </c>
      <c r="M2096" t="inlineStr"/>
    </row>
    <row r="2097">
      <c r="A2097" t="inlineStr">
        <is>
          <t>06/25/2026</t>
        </is>
      </c>
      <c r="B2097" t="inlineStr">
        <is>
          <t>YUNG</t>
        </is>
      </c>
      <c r="C2097" s="1" t="inlineStr">
        <is>
          <t>VIK</t>
        </is>
      </c>
      <c r="D2097" s="1" t="inlineStr">
        <is>
          <t>G93A5A101</t>
        </is>
      </c>
      <c r="E2097" t="inlineStr">
        <is>
          <t>Viking Holdings Ltd</t>
        </is>
      </c>
      <c r="F2097" t="inlineStr">
        <is>
          <t>341.00000000</t>
        </is>
      </c>
      <c r="G2097" t="inlineStr">
        <is>
          <t>103.050000</t>
        </is>
      </c>
      <c r="H2097" t="inlineStr">
        <is>
          <t>35140.05</t>
        </is>
      </c>
      <c r="I2097" t="inlineStr">
        <is>
          <t>2.26%</t>
        </is>
      </c>
      <c r="J2097" t="inlineStr">
        <is>
          <t>1552050.50</t>
        </is>
      </c>
      <c r="K2097" t="inlineStr">
        <is>
          <t>55000</t>
        </is>
      </c>
      <c r="L2097" t="inlineStr">
        <is>
          <t>11.000000000000</t>
        </is>
      </c>
      <c r="M2097" t="inlineStr"/>
    </row>
    <row r="2098">
      <c r="A2098" t="inlineStr">
        <is>
          <t>06/25/2026</t>
        </is>
      </c>
      <c r="B2098" t="inlineStr">
        <is>
          <t>YUNG</t>
        </is>
      </c>
      <c r="C2098" s="1" t="inlineStr">
        <is>
          <t>VKTX</t>
        </is>
      </c>
      <c r="D2098" s="1" t="inlineStr">
        <is>
          <t>92686J106</t>
        </is>
      </c>
      <c r="E2098" t="inlineStr">
        <is>
          <t>Viking Therapeutics Inc</t>
        </is>
      </c>
      <c r="F2098" t="inlineStr">
        <is>
          <t>484.00000000</t>
        </is>
      </c>
      <c r="G2098" t="inlineStr">
        <is>
          <t>37.870000</t>
        </is>
      </c>
      <c r="H2098" t="inlineStr">
        <is>
          <t>18329.08</t>
        </is>
      </c>
      <c r="I2098" t="inlineStr">
        <is>
          <t>1.18%</t>
        </is>
      </c>
      <c r="J2098" t="inlineStr">
        <is>
          <t>1552050.50</t>
        </is>
      </c>
      <c r="K2098" t="inlineStr">
        <is>
          <t>55000</t>
        </is>
      </c>
      <c r="L2098" t="inlineStr">
        <is>
          <t>11.000000000000</t>
        </is>
      </c>
      <c r="M2098" t="inlineStr"/>
    </row>
    <row r="2099">
      <c r="A2099" t="inlineStr">
        <is>
          <t>06/25/2026</t>
        </is>
      </c>
      <c r="B2099" t="inlineStr">
        <is>
          <t>YUNG</t>
        </is>
      </c>
      <c r="C2099" s="1" t="inlineStr">
        <is>
          <t>VTR</t>
        </is>
      </c>
      <c r="D2099" s="1" t="inlineStr">
        <is>
          <t>92276F100</t>
        </is>
      </c>
      <c r="E2099" t="inlineStr">
        <is>
          <t>Ventas Inc</t>
        </is>
      </c>
      <c r="F2099" t="inlineStr">
        <is>
          <t>517.00000000</t>
        </is>
      </c>
      <c r="G2099" t="inlineStr">
        <is>
          <t>86.570000</t>
        </is>
      </c>
      <c r="H2099" t="inlineStr">
        <is>
          <t>44756.69</t>
        </is>
      </c>
      <c r="I2099" t="inlineStr">
        <is>
          <t>2.88%</t>
        </is>
      </c>
      <c r="J2099" t="inlineStr">
        <is>
          <t>1552050.50</t>
        </is>
      </c>
      <c r="K2099" t="inlineStr">
        <is>
          <t>55000</t>
        </is>
      </c>
      <c r="L2099" t="inlineStr">
        <is>
          <t>11.000000000000</t>
        </is>
      </c>
      <c r="M2099" t="inlineStr"/>
    </row>
    <row r="2100">
      <c r="A2100" t="inlineStr">
        <is>
          <t>06/25/2026</t>
        </is>
      </c>
      <c r="B2100" t="inlineStr">
        <is>
          <t>YUNG</t>
        </is>
      </c>
      <c r="C2100" s="1" t="inlineStr">
        <is>
          <t>WELL</t>
        </is>
      </c>
      <c r="D2100" s="1" t="inlineStr">
        <is>
          <t>95040Q104</t>
        </is>
      </c>
      <c r="E2100" t="inlineStr">
        <is>
          <t>Welltower Inc</t>
        </is>
      </c>
      <c r="F2100" t="inlineStr">
        <is>
          <t>352.00000000</t>
        </is>
      </c>
      <c r="G2100" t="inlineStr">
        <is>
          <t>221.430000</t>
        </is>
      </c>
      <c r="H2100" t="inlineStr">
        <is>
          <t>77943.36</t>
        </is>
      </c>
      <c r="I2100" t="inlineStr">
        <is>
          <t>5.02%</t>
        </is>
      </c>
      <c r="J2100" t="inlineStr">
        <is>
          <t>1552050.50</t>
        </is>
      </c>
      <c r="K2100" t="inlineStr">
        <is>
          <t>55000</t>
        </is>
      </c>
      <c r="L2100" t="inlineStr">
        <is>
          <t>11.000000000000</t>
        </is>
      </c>
      <c r="M2100" t="inlineStr"/>
    </row>
    <row r="2101">
      <c r="A2101" t="inlineStr">
        <is>
          <t>06/25/2026</t>
        </is>
      </c>
      <c r="B2101" t="inlineStr">
        <is>
          <t>YUNG</t>
        </is>
      </c>
      <c r="C2101" s="1" t="inlineStr">
        <is>
          <t>XRAY</t>
        </is>
      </c>
      <c r="D2101" s="1" t="inlineStr">
        <is>
          <t>24906P109</t>
        </is>
      </c>
      <c r="E2101" t="inlineStr">
        <is>
          <t>DENTSPLY SIRONA Inc</t>
        </is>
      </c>
      <c r="F2101" t="inlineStr">
        <is>
          <t>1089.00000000</t>
        </is>
      </c>
      <c r="G2101" t="inlineStr">
        <is>
          <t>10.520000</t>
        </is>
      </c>
      <c r="H2101" t="inlineStr">
        <is>
          <t>11456.28</t>
        </is>
      </c>
      <c r="I2101" t="inlineStr">
        <is>
          <t>0.74%</t>
        </is>
      </c>
      <c r="J2101" t="inlineStr">
        <is>
          <t>1552050.50</t>
        </is>
      </c>
      <c r="K2101" t="inlineStr">
        <is>
          <t>55000</t>
        </is>
      </c>
      <c r="L2101" t="inlineStr">
        <is>
          <t>11.000000000000</t>
        </is>
      </c>
      <c r="M2101" t="inlineStr"/>
    </row>
    <row r="2102">
      <c r="A2102" t="inlineStr">
        <is>
          <t>06/25/2026</t>
        </is>
      </c>
      <c r="B2102" t="inlineStr">
        <is>
          <t>YUNG</t>
        </is>
      </c>
      <c r="C2102" s="1" t="inlineStr">
        <is>
          <t>Cash&amp;Other</t>
        </is>
      </c>
      <c r="D2102" s="1" t="inlineStr">
        <is>
          <t>Cash&amp;Other</t>
        </is>
      </c>
      <c r="E2102" t="inlineStr">
        <is>
          <t>Cash &amp; Other</t>
        </is>
      </c>
      <c r="F2102" t="inlineStr">
        <is>
          <t>810.94000000</t>
        </is>
      </c>
      <c r="G2102" t="inlineStr">
        <is>
          <t>1.000000</t>
        </is>
      </c>
      <c r="H2102" t="inlineStr">
        <is>
          <t>810.94</t>
        </is>
      </c>
      <c r="I2102" t="inlineStr">
        <is>
          <t>0.05%</t>
        </is>
      </c>
      <c r="J2102" t="inlineStr">
        <is>
          <t>1552050.50</t>
        </is>
      </c>
      <c r="K2102" t="inlineStr">
        <is>
          <t>55000</t>
        </is>
      </c>
      <c r="L2102" t="inlineStr">
        <is>
          <t>11.000000000000</t>
        </is>
      </c>
      <c r="M210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2026-08-04T20:10:32Z</dcterms:created>
  <dcterms:modified xmlns:dcterms="http://purl.org/dc/terms/" xmlns:xsi="http://www.w3.org/2001/XMLSchema-instance" xsi:type="dcterms:W3CDTF">2026-08-04T20:10:32Z</dcterms:modified>
</cp:coreProperties>
</file>