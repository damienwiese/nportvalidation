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mie\nportvalidation\data\master\"/>
    </mc:Choice>
  </mc:AlternateContent>
  <xr:revisionPtr revIDLastSave="0" documentId="13_ncr:1_{8045A1E7-10DD-4BDD-9460-9C8626DC9D35}" xr6:coauthVersionLast="47" xr6:coauthVersionMax="47" xr10:uidLastSave="{00000000-0000-0000-0000-000000000000}"/>
  <bookViews>
    <workbookView xWindow="4785" yWindow="375" windowWidth="27240" windowHeight="20505" xr2:uid="{00000000-000D-0000-FFFF-FFFF00000000}"/>
  </bookViews>
  <sheets>
    <sheet name="filing" sheetId="1" r:id="rId1"/>
    <sheet name="ris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" i="2" l="1"/>
  <c r="G350" i="2"/>
  <c r="H350" i="2"/>
  <c r="H142" i="2"/>
  <c r="G3" i="2"/>
  <c r="H64" i="2"/>
  <c r="F519" i="2"/>
  <c r="F113" i="2"/>
  <c r="G113" i="2"/>
  <c r="E263" i="2"/>
  <c r="H519" i="2"/>
  <c r="G142" i="2"/>
  <c r="E346" i="2"/>
  <c r="F3" i="2"/>
  <c r="G519" i="2"/>
  <c r="F66" i="2"/>
  <c r="F263" i="2"/>
  <c r="H66" i="2"/>
  <c r="H135" i="2"/>
  <c r="H346" i="2"/>
  <c r="E142" i="2"/>
  <c r="G135" i="2"/>
  <c r="E66" i="2"/>
  <c r="G346" i="2"/>
  <c r="E64" i="2"/>
  <c r="H113" i="2"/>
  <c r="H263" i="2"/>
  <c r="F142" i="2"/>
  <c r="G64" i="2"/>
  <c r="E519" i="2"/>
  <c r="F135" i="2"/>
  <c r="E113" i="2"/>
  <c r="G66" i="2"/>
  <c r="F346" i="2"/>
  <c r="H3" i="2"/>
  <c r="E350" i="2"/>
  <c r="F350" i="2"/>
  <c r="E135" i="2"/>
  <c r="E3" i="2"/>
  <c r="G263" i="2"/>
  <c r="H330" i="2"/>
  <c r="G551" i="2"/>
  <c r="H554" i="2"/>
  <c r="H543" i="2"/>
  <c r="E212" i="2"/>
  <c r="F561" i="2"/>
  <c r="E231" i="2"/>
  <c r="E11" i="2"/>
  <c r="G72" i="2"/>
  <c r="G330" i="2"/>
  <c r="H551" i="2"/>
  <c r="H212" i="2"/>
  <c r="F554" i="2"/>
  <c r="E62" i="2"/>
  <c r="G231" i="2"/>
  <c r="H72" i="2"/>
  <c r="F72" i="2"/>
  <c r="F330" i="2"/>
  <c r="H231" i="2"/>
  <c r="H561" i="2"/>
  <c r="E551" i="2"/>
  <c r="G554" i="2"/>
  <c r="G543" i="2"/>
  <c r="H11" i="2"/>
  <c r="F212" i="2"/>
  <c r="G561" i="2"/>
  <c r="F62" i="2"/>
  <c r="H62" i="2"/>
  <c r="E543" i="2"/>
  <c r="F11" i="2"/>
  <c r="E72" i="2"/>
  <c r="E554" i="2"/>
  <c r="F231" i="2"/>
  <c r="F543" i="2"/>
  <c r="G212" i="2"/>
  <c r="G11" i="2"/>
  <c r="F551" i="2"/>
  <c r="E561" i="2"/>
  <c r="G62" i="2"/>
  <c r="E330" i="2"/>
  <c r="G591" i="2"/>
  <c r="G93" i="2"/>
  <c r="G160" i="2"/>
  <c r="H591" i="2"/>
  <c r="F591" i="2"/>
  <c r="E117" i="2"/>
  <c r="E160" i="2"/>
  <c r="G117" i="2"/>
  <c r="H117" i="2"/>
  <c r="E591" i="2"/>
  <c r="H414" i="2"/>
  <c r="F414" i="2"/>
  <c r="G249" i="2"/>
  <c r="G78" i="2"/>
  <c r="H78" i="2"/>
  <c r="E249" i="2"/>
  <c r="F160" i="2"/>
  <c r="E93" i="2"/>
  <c r="H394" i="2"/>
  <c r="G394" i="2"/>
  <c r="F78" i="2"/>
  <c r="F249" i="2"/>
  <c r="F394" i="2"/>
  <c r="E78" i="2"/>
  <c r="F117" i="2"/>
  <c r="G414" i="2"/>
  <c r="H160" i="2"/>
  <c r="H93" i="2"/>
  <c r="E394" i="2"/>
  <c r="F93" i="2"/>
  <c r="H249" i="2"/>
  <c r="E414" i="2"/>
  <c r="G71" i="2"/>
  <c r="E515" i="2"/>
  <c r="E593" i="2"/>
  <c r="H471" i="2"/>
  <c r="H276" i="2"/>
  <c r="G471" i="2"/>
  <c r="F471" i="2"/>
  <c r="F361" i="2"/>
  <c r="F260" i="2"/>
  <c r="F180" i="2"/>
  <c r="E276" i="2"/>
  <c r="F408" i="2"/>
  <c r="H408" i="2"/>
  <c r="H36" i="2"/>
  <c r="E36" i="2"/>
  <c r="H260" i="2"/>
  <c r="F36" i="2"/>
  <c r="F276" i="2"/>
  <c r="G260" i="2"/>
  <c r="G361" i="2"/>
  <c r="H361" i="2"/>
  <c r="F71" i="2"/>
  <c r="H180" i="2"/>
  <c r="G593" i="2"/>
  <c r="E408" i="2"/>
  <c r="F515" i="2"/>
  <c r="H515" i="2"/>
  <c r="E71" i="2"/>
  <c r="G180" i="2"/>
  <c r="G276" i="2"/>
  <c r="E180" i="2"/>
  <c r="H593" i="2"/>
  <c r="E471" i="2"/>
  <c r="G36" i="2"/>
  <c r="E260" i="2"/>
  <c r="G515" i="2"/>
  <c r="H71" i="2"/>
  <c r="G408" i="2"/>
  <c r="E361" i="2"/>
  <c r="F593" i="2"/>
  <c r="F21" i="2"/>
  <c r="E496" i="2"/>
  <c r="H423" i="2"/>
  <c r="H537" i="2"/>
  <c r="G126" i="2"/>
  <c r="G496" i="2"/>
  <c r="H58" i="2"/>
  <c r="E537" i="2"/>
  <c r="H422" i="2"/>
  <c r="G423" i="2"/>
  <c r="F537" i="2"/>
  <c r="F422" i="2"/>
  <c r="E170" i="2"/>
  <c r="E422" i="2"/>
  <c r="E58" i="2"/>
  <c r="H82" i="2"/>
  <c r="F287" i="2"/>
  <c r="G58" i="2"/>
  <c r="F170" i="2"/>
  <c r="F126" i="2"/>
  <c r="G287" i="2"/>
  <c r="F496" i="2"/>
  <c r="E82" i="2"/>
  <c r="E21" i="2"/>
  <c r="F82" i="2"/>
  <c r="E287" i="2"/>
  <c r="H21" i="2"/>
  <c r="F423" i="2"/>
  <c r="E126" i="2"/>
  <c r="E423" i="2"/>
  <c r="G170" i="2"/>
  <c r="G422" i="2"/>
  <c r="G21" i="2"/>
  <c r="G537" i="2"/>
  <c r="H126" i="2"/>
  <c r="H496" i="2"/>
  <c r="F58" i="2"/>
  <c r="G82" i="2"/>
  <c r="H170" i="2"/>
  <c r="H287" i="2"/>
  <c r="G588" i="2"/>
  <c r="F319" i="2"/>
  <c r="H107" i="2"/>
  <c r="H165" i="2"/>
  <c r="F456" i="2"/>
  <c r="G590" i="2"/>
  <c r="H476" i="2"/>
  <c r="H198" i="2"/>
  <c r="F491" i="2"/>
  <c r="G50" i="2"/>
  <c r="F487" i="2"/>
  <c r="G616" i="2"/>
  <c r="H616" i="2"/>
  <c r="G476" i="2"/>
  <c r="F13" i="2"/>
  <c r="E425" i="2"/>
  <c r="F28" i="2"/>
  <c r="E59" i="2"/>
  <c r="F216" i="2"/>
  <c r="E128" i="2"/>
  <c r="H418" i="2"/>
  <c r="F245" i="2"/>
  <c r="E446" i="2"/>
  <c r="H424" i="2"/>
  <c r="F334" i="2"/>
  <c r="E613" i="2"/>
  <c r="H59" i="2"/>
  <c r="H446" i="2"/>
  <c r="G468" i="2"/>
  <c r="F616" i="2"/>
  <c r="F447" i="2"/>
  <c r="F108" i="2"/>
  <c r="E124" i="2"/>
  <c r="G124" i="2"/>
  <c r="G28" i="2"/>
  <c r="F53" i="2"/>
  <c r="F29" i="2"/>
  <c r="G613" i="2"/>
  <c r="F425" i="2"/>
  <c r="H415" i="2"/>
  <c r="F165" i="2"/>
  <c r="H425" i="2"/>
  <c r="H108" i="2"/>
  <c r="F468" i="2"/>
  <c r="E334" i="2"/>
  <c r="G446" i="2"/>
  <c r="G245" i="2"/>
  <c r="F418" i="2"/>
  <c r="G68" i="2"/>
  <c r="E28" i="2"/>
  <c r="H216" i="2"/>
  <c r="F128" i="2"/>
  <c r="E50" i="2"/>
  <c r="F613" i="2"/>
  <c r="E476" i="2"/>
  <c r="E597" i="2"/>
  <c r="E447" i="2"/>
  <c r="H68" i="2"/>
  <c r="H227" i="2"/>
  <c r="H245" i="2"/>
  <c r="E590" i="2"/>
  <c r="E468" i="2"/>
  <c r="F229" i="2"/>
  <c r="F590" i="2"/>
  <c r="G149" i="2"/>
  <c r="G597" i="2"/>
  <c r="E227" i="2"/>
  <c r="E415" i="2"/>
  <c r="H491" i="2"/>
  <c r="E491" i="2"/>
  <c r="F227" i="2"/>
  <c r="E229" i="2"/>
  <c r="G165" i="2"/>
  <c r="E216" i="2"/>
  <c r="E487" i="2"/>
  <c r="F149" i="2"/>
  <c r="H13" i="2"/>
  <c r="H229" i="2"/>
  <c r="G100" i="2"/>
  <c r="G297" i="2"/>
  <c r="E107" i="2"/>
  <c r="E424" i="2"/>
  <c r="E108" i="2"/>
  <c r="G53" i="2"/>
  <c r="G415" i="2"/>
  <c r="H297" i="2"/>
  <c r="H487" i="2"/>
  <c r="G319" i="2"/>
  <c r="G418" i="2"/>
  <c r="G424" i="2"/>
  <c r="H28" i="2"/>
  <c r="E616" i="2"/>
  <c r="G216" i="2"/>
  <c r="G107" i="2"/>
  <c r="H590" i="2"/>
  <c r="F476" i="2"/>
  <c r="G334" i="2"/>
  <c r="F424" i="2"/>
  <c r="G229" i="2"/>
  <c r="H50" i="2"/>
  <c r="F50" i="2"/>
  <c r="H613" i="2"/>
  <c r="F415" i="2"/>
  <c r="H334" i="2"/>
  <c r="H447" i="2"/>
  <c r="G138" i="2"/>
  <c r="G447" i="2"/>
  <c r="F107" i="2"/>
  <c r="G487" i="2"/>
  <c r="G13" i="2"/>
  <c r="G425" i="2"/>
  <c r="H100" i="2"/>
  <c r="H468" i="2"/>
  <c r="G108" i="2"/>
  <c r="F446" i="2"/>
  <c r="E13" i="2"/>
  <c r="E165" i="2"/>
  <c r="E198" i="2"/>
  <c r="E319" i="2"/>
  <c r="H597" i="2"/>
  <c r="G145" i="2"/>
  <c r="F297" i="2"/>
  <c r="G29" i="2"/>
  <c r="H145" i="2"/>
  <c r="F588" i="2"/>
  <c r="H53" i="2"/>
  <c r="F68" i="2"/>
  <c r="F198" i="2"/>
  <c r="F124" i="2"/>
  <c r="F59" i="2"/>
  <c r="E297" i="2"/>
  <c r="G198" i="2"/>
  <c r="H319" i="2"/>
  <c r="E149" i="2"/>
  <c r="G491" i="2"/>
  <c r="G227" i="2"/>
  <c r="F145" i="2"/>
  <c r="E418" i="2"/>
  <c r="E145" i="2"/>
  <c r="F597" i="2"/>
  <c r="G59" i="2"/>
  <c r="E53" i="2"/>
  <c r="E456" i="2"/>
  <c r="H588" i="2"/>
  <c r="E138" i="2"/>
  <c r="G128" i="2"/>
  <c r="F100" i="2"/>
  <c r="H29" i="2"/>
  <c r="H456" i="2"/>
  <c r="E29" i="2"/>
  <c r="H138" i="2"/>
  <c r="E245" i="2"/>
  <c r="E588" i="2"/>
  <c r="E68" i="2"/>
  <c r="E100" i="2"/>
  <c r="H149" i="2"/>
  <c r="H124" i="2"/>
  <c r="H128" i="2"/>
  <c r="G456" i="2"/>
  <c r="F138" i="2"/>
  <c r="G557" i="2"/>
  <c r="G256" i="2"/>
  <c r="F337" i="2"/>
  <c r="H572" i="2"/>
  <c r="E283" i="2"/>
  <c r="G572" i="2"/>
  <c r="G337" i="2"/>
  <c r="G283" i="2"/>
  <c r="H602" i="2"/>
  <c r="G535" i="2"/>
  <c r="F283" i="2"/>
  <c r="E602" i="2"/>
  <c r="F572" i="2"/>
  <c r="E285" i="2"/>
  <c r="H256" i="2"/>
  <c r="H503" i="2"/>
  <c r="F503" i="2"/>
  <c r="E176" i="2"/>
  <c r="F557" i="2"/>
  <c r="G285" i="2"/>
  <c r="G602" i="2"/>
  <c r="E337" i="2"/>
  <c r="F256" i="2"/>
  <c r="F176" i="2"/>
  <c r="H285" i="2"/>
  <c r="H176" i="2"/>
  <c r="G503" i="2"/>
  <c r="E535" i="2"/>
  <c r="F535" i="2"/>
  <c r="E557" i="2"/>
  <c r="H557" i="2"/>
  <c r="E572" i="2"/>
  <c r="F602" i="2"/>
  <c r="H283" i="2"/>
  <c r="F285" i="2"/>
  <c r="G176" i="2"/>
  <c r="H337" i="2"/>
  <c r="H535" i="2"/>
  <c r="E503" i="2"/>
  <c r="E256" i="2"/>
  <c r="F514" i="2"/>
  <c r="G206" i="2"/>
  <c r="G42" i="2"/>
  <c r="G524" i="2"/>
  <c r="F549" i="2"/>
  <c r="F6" i="2"/>
  <c r="E219" i="2"/>
  <c r="E239" i="2"/>
  <c r="E524" i="2"/>
  <c r="H213" i="2"/>
  <c r="H225" i="2"/>
  <c r="E514" i="2"/>
  <c r="H42" i="2"/>
  <c r="G41" i="2"/>
  <c r="H524" i="2"/>
  <c r="G562" i="2"/>
  <c r="E304" i="2"/>
  <c r="H181" i="2"/>
  <c r="F206" i="2"/>
  <c r="F213" i="2"/>
  <c r="F605" i="2"/>
  <c r="H144" i="2"/>
  <c r="E213" i="2"/>
  <c r="H219" i="2"/>
  <c r="F562" i="2"/>
  <c r="G181" i="2"/>
  <c r="G304" i="2"/>
  <c r="G77" i="2"/>
  <c r="H77" i="2"/>
  <c r="E549" i="2"/>
  <c r="F42" i="2"/>
  <c r="H206" i="2"/>
  <c r="F41" i="2"/>
  <c r="G549" i="2"/>
  <c r="G587" i="2"/>
  <c r="G514" i="2"/>
  <c r="F587" i="2"/>
  <c r="G6" i="2"/>
  <c r="E562" i="2"/>
  <c r="E41" i="2"/>
  <c r="F225" i="2"/>
  <c r="G239" i="2"/>
  <c r="E605" i="2"/>
  <c r="H6" i="2"/>
  <c r="F600" i="2"/>
  <c r="F181" i="2"/>
  <c r="H318" i="2"/>
  <c r="E318" i="2"/>
  <c r="H239" i="2"/>
  <c r="G605" i="2"/>
  <c r="E144" i="2"/>
  <c r="G600" i="2"/>
  <c r="G225" i="2"/>
  <c r="G144" i="2"/>
  <c r="G219" i="2"/>
  <c r="E206" i="2"/>
  <c r="H605" i="2"/>
  <c r="G213" i="2"/>
  <c r="F144" i="2"/>
  <c r="H41" i="2"/>
  <c r="H514" i="2"/>
  <c r="F77" i="2"/>
  <c r="F239" i="2"/>
  <c r="E6" i="2"/>
  <c r="F524" i="2"/>
  <c r="H562" i="2"/>
  <c r="F304" i="2"/>
  <c r="E181" i="2"/>
  <c r="E600" i="2"/>
  <c r="G318" i="2"/>
  <c r="H549" i="2"/>
  <c r="E42" i="2"/>
  <c r="H587" i="2"/>
  <c r="E587" i="2"/>
  <c r="E225" i="2"/>
  <c r="E77" i="2"/>
  <c r="H600" i="2"/>
  <c r="F219" i="2"/>
  <c r="F318" i="2"/>
  <c r="H304" i="2"/>
  <c r="E420" i="2"/>
  <c r="H453" i="2"/>
  <c r="G179" i="2"/>
  <c r="F194" i="2"/>
  <c r="G324" i="2"/>
  <c r="H390" i="2"/>
  <c r="G390" i="2"/>
  <c r="E453" i="2"/>
  <c r="F324" i="2"/>
  <c r="H293" i="2"/>
  <c r="H179" i="2"/>
  <c r="F453" i="2"/>
  <c r="E390" i="2"/>
  <c r="E179" i="2"/>
  <c r="G194" i="2"/>
  <c r="H342" i="2"/>
  <c r="G293" i="2"/>
  <c r="F327" i="2"/>
  <c r="F342" i="2"/>
  <c r="F164" i="2"/>
  <c r="F420" i="2"/>
  <c r="H420" i="2"/>
  <c r="E327" i="2"/>
  <c r="H324" i="2"/>
  <c r="H164" i="2"/>
  <c r="E164" i="2"/>
  <c r="E342" i="2"/>
  <c r="E194" i="2"/>
  <c r="F293" i="2"/>
  <c r="H327" i="2"/>
  <c r="F390" i="2"/>
  <c r="F179" i="2"/>
  <c r="H194" i="2"/>
  <c r="G420" i="2"/>
  <c r="G342" i="2"/>
  <c r="G453" i="2"/>
  <c r="E293" i="2"/>
  <c r="E324" i="2"/>
  <c r="G327" i="2"/>
  <c r="G164" i="2"/>
  <c r="H204" i="2"/>
  <c r="F638" i="2"/>
  <c r="F634" i="2"/>
  <c r="F630" i="2"/>
  <c r="F628" i="2"/>
  <c r="F626" i="2"/>
  <c r="F531" i="2"/>
  <c r="H259" i="2"/>
  <c r="F204" i="2"/>
  <c r="G430" i="2"/>
  <c r="F437" i="2"/>
  <c r="H277" i="2"/>
  <c r="G619" i="2"/>
  <c r="H102" i="2"/>
  <c r="G204" i="2"/>
  <c r="F619" i="2"/>
  <c r="H392" i="2"/>
  <c r="E259" i="2"/>
  <c r="H430" i="2"/>
  <c r="E437" i="2"/>
  <c r="F259" i="2"/>
  <c r="G278" i="2"/>
  <c r="F278" i="2"/>
  <c r="F392" i="2"/>
  <c r="E638" i="2"/>
  <c r="E634" i="2"/>
  <c r="E630" i="2"/>
  <c r="E628" i="2"/>
  <c r="E626" i="2"/>
  <c r="E531" i="2"/>
  <c r="G102" i="2"/>
  <c r="E102" i="2"/>
  <c r="G277" i="2"/>
  <c r="H619" i="2"/>
  <c r="E278" i="2"/>
  <c r="G392" i="2"/>
  <c r="E430" i="2"/>
  <c r="H437" i="2"/>
  <c r="G259" i="2"/>
  <c r="E204" i="2"/>
  <c r="E619" i="2"/>
  <c r="E277" i="2"/>
  <c r="F277" i="2"/>
  <c r="E392" i="2"/>
  <c r="G437" i="2"/>
  <c r="H638" i="2"/>
  <c r="H634" i="2"/>
  <c r="H630" i="2"/>
  <c r="H628" i="2"/>
  <c r="H626" i="2"/>
  <c r="H531" i="2"/>
  <c r="F430" i="2"/>
  <c r="H278" i="2"/>
  <c r="F102" i="2"/>
  <c r="G638" i="2"/>
  <c r="G634" i="2"/>
  <c r="G630" i="2"/>
  <c r="G628" i="2"/>
  <c r="G626" i="2"/>
  <c r="G531" i="2"/>
  <c r="H601" i="2"/>
  <c r="G85" i="2"/>
  <c r="E215" i="2"/>
  <c r="H488" i="2"/>
  <c r="G488" i="2"/>
  <c r="F333" i="2"/>
  <c r="H333" i="2"/>
  <c r="F523" i="2"/>
  <c r="F215" i="2"/>
  <c r="F85" i="2"/>
  <c r="E523" i="2"/>
  <c r="F274" i="2"/>
  <c r="H274" i="2"/>
  <c r="G385" i="2"/>
  <c r="E296" i="2"/>
  <c r="E333" i="2"/>
  <c r="H523" i="2"/>
  <c r="H85" i="2"/>
  <c r="E274" i="2"/>
  <c r="F601" i="2"/>
  <c r="E385" i="2"/>
  <c r="H296" i="2"/>
  <c r="G548" i="2"/>
  <c r="G296" i="2"/>
  <c r="G215" i="2"/>
  <c r="E601" i="2"/>
  <c r="F548" i="2"/>
  <c r="F385" i="2"/>
  <c r="E548" i="2"/>
  <c r="H215" i="2"/>
  <c r="G274" i="2"/>
  <c r="F488" i="2"/>
  <c r="E488" i="2"/>
  <c r="H548" i="2"/>
  <c r="G523" i="2"/>
  <c r="H385" i="2"/>
  <c r="G333" i="2"/>
  <c r="G601" i="2"/>
  <c r="F296" i="2"/>
  <c r="E85" i="2"/>
  <c r="F381" i="2"/>
  <c r="E585" i="2"/>
  <c r="G459" i="2"/>
  <c r="E381" i="2"/>
  <c r="H481" i="2"/>
  <c r="F459" i="2"/>
  <c r="E96" i="2"/>
  <c r="F585" i="2"/>
  <c r="E606" i="2"/>
  <c r="H96" i="2"/>
  <c r="F606" i="2"/>
  <c r="H606" i="2"/>
  <c r="F218" i="2"/>
  <c r="H585" i="2"/>
  <c r="F481" i="2"/>
  <c r="H459" i="2"/>
  <c r="G545" i="2"/>
  <c r="E218" i="2"/>
  <c r="G481" i="2"/>
  <c r="G207" i="2"/>
  <c r="F369" i="2"/>
  <c r="H207" i="2"/>
  <c r="G96" i="2"/>
  <c r="G369" i="2"/>
  <c r="H369" i="2"/>
  <c r="G218" i="2"/>
  <c r="F207" i="2"/>
  <c r="F545" i="2"/>
  <c r="E545" i="2"/>
  <c r="H381" i="2"/>
  <c r="E369" i="2"/>
  <c r="H545" i="2"/>
  <c r="F96" i="2"/>
  <c r="G381" i="2"/>
  <c r="G606" i="2"/>
  <c r="E459" i="2"/>
  <c r="E207" i="2"/>
  <c r="H218" i="2"/>
  <c r="G585" i="2"/>
  <c r="E481" i="2"/>
  <c r="G288" i="2"/>
  <c r="F460" i="2"/>
  <c r="E460" i="2"/>
  <c r="F168" i="2"/>
  <c r="E98" i="2"/>
  <c r="G233" i="2"/>
  <c r="H98" i="2"/>
  <c r="F247" i="2"/>
  <c r="F235" i="2"/>
  <c r="E233" i="2"/>
  <c r="F313" i="2"/>
  <c r="H313" i="2"/>
  <c r="E288" i="2"/>
  <c r="H97" i="2"/>
  <c r="E552" i="2"/>
  <c r="G97" i="2"/>
  <c r="G313" i="2"/>
  <c r="G168" i="2"/>
  <c r="H168" i="2"/>
  <c r="E97" i="2"/>
  <c r="H288" i="2"/>
  <c r="H247" i="2"/>
  <c r="G552" i="2"/>
  <c r="G247" i="2"/>
  <c r="H460" i="2"/>
  <c r="G98" i="2"/>
  <c r="F233" i="2"/>
  <c r="H235" i="2"/>
  <c r="H552" i="2"/>
  <c r="E247" i="2"/>
  <c r="F98" i="2"/>
  <c r="E168" i="2"/>
  <c r="F552" i="2"/>
  <c r="G235" i="2"/>
  <c r="E235" i="2"/>
  <c r="E313" i="2"/>
  <c r="G460" i="2"/>
  <c r="F97" i="2"/>
  <c r="H233" i="2"/>
  <c r="F288" i="2"/>
  <c r="E33" i="2"/>
  <c r="F280" i="2"/>
  <c r="G167" i="2"/>
  <c r="H167" i="2"/>
  <c r="E411" i="2"/>
  <c r="E90" i="2"/>
  <c r="E374" i="2"/>
  <c r="G516" i="2"/>
  <c r="H374" i="2"/>
  <c r="H444" i="2"/>
  <c r="E280" i="2"/>
  <c r="F432" i="2"/>
  <c r="F444" i="2"/>
  <c r="F411" i="2"/>
  <c r="G411" i="2"/>
  <c r="G432" i="2"/>
  <c r="F516" i="2"/>
  <c r="H516" i="2"/>
  <c r="H90" i="2"/>
  <c r="F90" i="2"/>
  <c r="F386" i="2"/>
  <c r="G386" i="2"/>
  <c r="G33" i="2"/>
  <c r="E386" i="2"/>
  <c r="F167" i="2"/>
  <c r="E432" i="2"/>
  <c r="F33" i="2"/>
  <c r="G280" i="2"/>
  <c r="G444" i="2"/>
  <c r="G374" i="2"/>
  <c r="H280" i="2"/>
  <c r="E167" i="2"/>
  <c r="H33" i="2"/>
  <c r="E516" i="2"/>
  <c r="G90" i="2"/>
  <c r="H386" i="2"/>
  <c r="H411" i="2"/>
  <c r="F374" i="2"/>
  <c r="H432" i="2"/>
  <c r="E444" i="2"/>
  <c r="E141" i="2"/>
  <c r="H583" i="2"/>
  <c r="G143" i="2"/>
  <c r="G429" i="2"/>
  <c r="H143" i="2"/>
  <c r="G27" i="2"/>
  <c r="G2" i="2"/>
  <c r="F122" i="2"/>
  <c r="H112" i="2"/>
  <c r="F202" i="2"/>
  <c r="H429" i="2"/>
  <c r="F27" i="2"/>
  <c r="F2" i="2"/>
  <c r="E295" i="2"/>
  <c r="F295" i="2"/>
  <c r="G583" i="2"/>
  <c r="G202" i="2"/>
  <c r="G141" i="2"/>
  <c r="E112" i="2"/>
  <c r="H27" i="2"/>
  <c r="H2" i="2"/>
  <c r="H141" i="2"/>
  <c r="G295" i="2"/>
  <c r="E499" i="2"/>
  <c r="F112" i="2"/>
  <c r="F143" i="2"/>
  <c r="E122" i="2"/>
  <c r="F583" i="2"/>
  <c r="H202" i="2"/>
  <c r="F499" i="2"/>
  <c r="G122" i="2"/>
  <c r="E429" i="2"/>
  <c r="H499" i="2"/>
  <c r="H295" i="2"/>
  <c r="E202" i="2"/>
  <c r="E27" i="2"/>
  <c r="E2" i="2"/>
  <c r="H122" i="2"/>
  <c r="G499" i="2"/>
  <c r="E583" i="2"/>
  <c r="F141" i="2"/>
  <c r="G112" i="2"/>
  <c r="F429" i="2"/>
  <c r="E143" i="2"/>
  <c r="H609" i="2"/>
  <c r="H162" i="2"/>
  <c r="E201" i="2"/>
  <c r="E463" i="2"/>
  <c r="G387" i="2"/>
  <c r="G435" i="2"/>
  <c r="E75" i="2"/>
  <c r="E636" i="2"/>
  <c r="E632" i="2"/>
  <c r="E529" i="2"/>
  <c r="F507" i="2"/>
  <c r="H636" i="2"/>
  <c r="H632" i="2"/>
  <c r="H529" i="2"/>
  <c r="F404" i="2"/>
  <c r="E507" i="2"/>
  <c r="H435" i="2"/>
  <c r="F162" i="2"/>
  <c r="E404" i="2"/>
  <c r="H387" i="2"/>
  <c r="G507" i="2"/>
  <c r="G162" i="2"/>
  <c r="G609" i="2"/>
  <c r="F609" i="2"/>
  <c r="G75" i="2"/>
  <c r="H404" i="2"/>
  <c r="F463" i="2"/>
  <c r="F201" i="2"/>
  <c r="H463" i="2"/>
  <c r="E435" i="2"/>
  <c r="G201" i="2"/>
  <c r="F387" i="2"/>
  <c r="F636" i="2"/>
  <c r="F632" i="2"/>
  <c r="F529" i="2"/>
  <c r="G404" i="2"/>
  <c r="E609" i="2"/>
  <c r="F75" i="2"/>
  <c r="F435" i="2"/>
  <c r="H507" i="2"/>
  <c r="E387" i="2"/>
  <c r="H75" i="2"/>
  <c r="H201" i="2"/>
  <c r="G463" i="2"/>
  <c r="E162" i="2"/>
  <c r="G636" i="2"/>
  <c r="G632" i="2"/>
  <c r="G529" i="2"/>
  <c r="H373" i="2"/>
  <c r="G462" i="2"/>
  <c r="F462" i="2"/>
  <c r="E462" i="2"/>
  <c r="E310" i="2"/>
  <c r="E592" i="2"/>
  <c r="F373" i="2"/>
  <c r="G475" i="2"/>
  <c r="G148" i="2"/>
  <c r="F475" i="2"/>
  <c r="F500" i="2"/>
  <c r="E475" i="2"/>
  <c r="E500" i="2"/>
  <c r="G373" i="2"/>
  <c r="H558" i="2"/>
  <c r="H148" i="2"/>
  <c r="E558" i="2"/>
  <c r="E466" i="2"/>
  <c r="F466" i="2"/>
  <c r="H592" i="2"/>
  <c r="F310" i="2"/>
  <c r="G622" i="2"/>
  <c r="G466" i="2"/>
  <c r="F622" i="2"/>
  <c r="F148" i="2"/>
  <c r="E622" i="2"/>
  <c r="G310" i="2"/>
  <c r="H500" i="2"/>
  <c r="F558" i="2"/>
  <c r="F592" i="2"/>
  <c r="H310" i="2"/>
  <c r="H622" i="2"/>
  <c r="H462" i="2"/>
  <c r="E148" i="2"/>
  <c r="E373" i="2"/>
  <c r="H475" i="2"/>
  <c r="H466" i="2"/>
  <c r="G592" i="2"/>
  <c r="G500" i="2"/>
  <c r="G558" i="2"/>
  <c r="E8" i="2"/>
  <c r="E242" i="2"/>
  <c r="F158" i="2"/>
  <c r="F483" i="2"/>
  <c r="H417" i="2"/>
  <c r="H34" i="2"/>
  <c r="H413" i="2"/>
  <c r="E309" i="2"/>
  <c r="E413" i="2"/>
  <c r="F7" i="2"/>
  <c r="E47" i="2"/>
  <c r="G8" i="2"/>
  <c r="E240" i="2"/>
  <c r="H184" i="2"/>
  <c r="G73" i="2"/>
  <c r="G376" i="2"/>
  <c r="F441" i="2"/>
  <c r="E158" i="2"/>
  <c r="G413" i="2"/>
  <c r="E417" i="2"/>
  <c r="F210" i="2"/>
  <c r="H7" i="2"/>
  <c r="F539" i="2"/>
  <c r="E163" i="2"/>
  <c r="F60" i="2"/>
  <c r="H230" i="2"/>
  <c r="F527" i="2"/>
  <c r="G309" i="2"/>
  <c r="F163" i="2"/>
  <c r="G158" i="2"/>
  <c r="H60" i="2"/>
  <c r="G34" i="2"/>
  <c r="H266" i="2"/>
  <c r="H199" i="2"/>
  <c r="H483" i="2"/>
  <c r="G266" i="2"/>
  <c r="G47" i="2"/>
  <c r="G240" i="2"/>
  <c r="E199" i="2"/>
  <c r="E54" i="2"/>
  <c r="H210" i="2"/>
  <c r="E210" i="2"/>
  <c r="G137" i="2"/>
  <c r="E305" i="2"/>
  <c r="H47" i="2"/>
  <c r="H376" i="2"/>
  <c r="F110" i="2"/>
  <c r="E399" i="2"/>
  <c r="H110" i="2"/>
  <c r="E7" i="2"/>
  <c r="F205" i="2"/>
  <c r="H309" i="2"/>
  <c r="E539" i="2"/>
  <c r="G54" i="2"/>
  <c r="F399" i="2"/>
  <c r="F73" i="2"/>
  <c r="G60" i="2"/>
  <c r="F54" i="2"/>
  <c r="H441" i="2"/>
  <c r="H137" i="2"/>
  <c r="G199" i="2"/>
  <c r="G485" i="2"/>
  <c r="H527" i="2"/>
  <c r="E266" i="2"/>
  <c r="H205" i="2"/>
  <c r="F242" i="2"/>
  <c r="H242" i="2"/>
  <c r="H399" i="2"/>
  <c r="F230" i="2"/>
  <c r="F376" i="2"/>
  <c r="E230" i="2"/>
  <c r="F8" i="2"/>
  <c r="G205" i="2"/>
  <c r="G110" i="2"/>
  <c r="E483" i="2"/>
  <c r="F305" i="2"/>
  <c r="E73" i="2"/>
  <c r="F240" i="2"/>
  <c r="F485" i="2"/>
  <c r="F137" i="2"/>
  <c r="G441" i="2"/>
  <c r="H539" i="2"/>
  <c r="G527" i="2"/>
  <c r="F184" i="2"/>
  <c r="G163" i="2"/>
  <c r="H485" i="2"/>
  <c r="H305" i="2"/>
  <c r="F34" i="2"/>
  <c r="F417" i="2"/>
  <c r="E110" i="2"/>
  <c r="E137" i="2"/>
  <c r="G230" i="2"/>
  <c r="G242" i="2"/>
  <c r="F413" i="2"/>
  <c r="E485" i="2"/>
  <c r="F199" i="2"/>
  <c r="F47" i="2"/>
  <c r="E34" i="2"/>
  <c r="G417" i="2"/>
  <c r="G7" i="2"/>
  <c r="H163" i="2"/>
  <c r="G210" i="2"/>
  <c r="E60" i="2"/>
  <c r="G483" i="2"/>
  <c r="H54" i="2"/>
  <c r="H158" i="2"/>
  <c r="E376" i="2"/>
  <c r="G539" i="2"/>
  <c r="E205" i="2"/>
  <c r="F309" i="2"/>
  <c r="G184" i="2"/>
  <c r="H240" i="2"/>
  <c r="H73" i="2"/>
  <c r="G305" i="2"/>
  <c r="E527" i="2"/>
  <c r="E184" i="2"/>
  <c r="G399" i="2"/>
  <c r="H8" i="2"/>
  <c r="F266" i="2"/>
  <c r="E441" i="2"/>
  <c r="F560" i="2"/>
  <c r="G621" i="2"/>
  <c r="E177" i="2"/>
  <c r="H464" i="2"/>
  <c r="G464" i="2"/>
  <c r="H114" i="2"/>
  <c r="F546" i="2"/>
  <c r="G177" i="2"/>
  <c r="H560" i="2"/>
  <c r="G579" i="2"/>
  <c r="H431" i="2"/>
  <c r="H621" i="2"/>
  <c r="F579" i="2"/>
  <c r="H546" i="2"/>
  <c r="E560" i="2"/>
  <c r="F621" i="2"/>
  <c r="F464" i="2"/>
  <c r="F431" i="2"/>
  <c r="F114" i="2"/>
  <c r="F177" i="2"/>
  <c r="G546" i="2"/>
  <c r="G136" i="2"/>
  <c r="H575" i="2"/>
  <c r="E114" i="2"/>
  <c r="E136" i="2"/>
  <c r="H579" i="2"/>
  <c r="H136" i="2"/>
  <c r="E431" i="2"/>
  <c r="E575" i="2"/>
  <c r="F575" i="2"/>
  <c r="G560" i="2"/>
  <c r="G114" i="2"/>
  <c r="H177" i="2"/>
  <c r="E579" i="2"/>
  <c r="F136" i="2"/>
  <c r="E546" i="2"/>
  <c r="E464" i="2"/>
  <c r="E621" i="2"/>
  <c r="G575" i="2"/>
  <c r="G431" i="2"/>
  <c r="E220" i="2"/>
  <c r="G520" i="2"/>
  <c r="H428" i="2"/>
  <c r="E236" i="2"/>
  <c r="E275" i="2"/>
  <c r="E473" i="2"/>
  <c r="G220" i="2"/>
  <c r="F275" i="2"/>
  <c r="G275" i="2"/>
  <c r="E382" i="2"/>
  <c r="E175" i="2"/>
  <c r="E520" i="2"/>
  <c r="H74" i="2"/>
  <c r="F520" i="2"/>
  <c r="H26" i="2"/>
  <c r="F428" i="2"/>
  <c r="G473" i="2"/>
  <c r="F236" i="2"/>
  <c r="F175" i="2"/>
  <c r="H175" i="2"/>
  <c r="F382" i="2"/>
  <c r="H473" i="2"/>
  <c r="G236" i="2"/>
  <c r="H220" i="2"/>
  <c r="G74" i="2"/>
  <c r="E428" i="2"/>
  <c r="G26" i="2"/>
  <c r="E74" i="2"/>
  <c r="F26" i="2"/>
  <c r="G382" i="2"/>
  <c r="F220" i="2"/>
  <c r="H382" i="2"/>
  <c r="F473" i="2"/>
  <c r="G175" i="2"/>
  <c r="H520" i="2"/>
  <c r="G428" i="2"/>
  <c r="F74" i="2"/>
  <c r="E26" i="2"/>
  <c r="H236" i="2"/>
  <c r="H275" i="2"/>
  <c r="F497" i="2"/>
  <c r="E470" i="2"/>
  <c r="H556" i="2"/>
  <c r="H182" i="2"/>
  <c r="H364" i="2"/>
  <c r="F182" i="2"/>
  <c r="H389" i="2"/>
  <c r="F556" i="2"/>
  <c r="G510" i="2"/>
  <c r="E497" i="2"/>
  <c r="G576" i="2"/>
  <c r="G556" i="2"/>
  <c r="F416" i="2"/>
  <c r="H497" i="2"/>
  <c r="G364" i="2"/>
  <c r="F470" i="2"/>
  <c r="F364" i="2"/>
  <c r="E182" i="2"/>
  <c r="H416" i="2"/>
  <c r="E416" i="2"/>
  <c r="E576" i="2"/>
  <c r="H510" i="2"/>
  <c r="E389" i="2"/>
  <c r="F389" i="2"/>
  <c r="E238" i="2"/>
  <c r="G238" i="2"/>
  <c r="F576" i="2"/>
  <c r="F238" i="2"/>
  <c r="F510" i="2"/>
  <c r="G470" i="2"/>
  <c r="H238" i="2"/>
  <c r="E364" i="2"/>
  <c r="E510" i="2"/>
  <c r="E556" i="2"/>
  <c r="H576" i="2"/>
  <c r="G182" i="2"/>
  <c r="G416" i="2"/>
  <c r="G497" i="2"/>
  <c r="H470" i="2"/>
  <c r="G389" i="2"/>
  <c r="H250" i="2"/>
  <c r="G345" i="2"/>
  <c r="E195" i="2"/>
  <c r="G191" i="2"/>
  <c r="G316" i="2"/>
  <c r="E191" i="2"/>
  <c r="E356" i="2"/>
  <c r="G232" i="2"/>
  <c r="E88" i="2"/>
  <c r="G211" i="2"/>
  <c r="H366" i="2"/>
  <c r="H4" i="2"/>
  <c r="H442" i="2"/>
  <c r="F211" i="2"/>
  <c r="H465" i="2"/>
  <c r="E252" i="2"/>
  <c r="E86" i="2"/>
  <c r="F17" i="2"/>
  <c r="F442" i="2"/>
  <c r="H504" i="2"/>
  <c r="E312" i="2"/>
  <c r="G477" i="2"/>
  <c r="F234" i="2"/>
  <c r="F195" i="2"/>
  <c r="G272" i="2"/>
  <c r="F465" i="2"/>
  <c r="H477" i="2"/>
  <c r="G362" i="2"/>
  <c r="F449" i="2"/>
  <c r="F366" i="2"/>
  <c r="H356" i="2"/>
  <c r="E504" i="2"/>
  <c r="H312" i="2"/>
  <c r="E398" i="2"/>
  <c r="H345" i="2"/>
  <c r="G187" i="2"/>
  <c r="G449" i="2"/>
  <c r="F362" i="2"/>
  <c r="G365" i="2"/>
  <c r="E17" i="2"/>
  <c r="H449" i="2"/>
  <c r="G234" i="2"/>
  <c r="H362" i="2"/>
  <c r="F191" i="2"/>
  <c r="G589" i="2"/>
  <c r="H86" i="2"/>
  <c r="H88" i="2"/>
  <c r="E345" i="2"/>
  <c r="F232" i="2"/>
  <c r="E366" i="2"/>
  <c r="F365" i="2"/>
  <c r="H195" i="2"/>
  <c r="E14" i="2"/>
  <c r="E4" i="2"/>
  <c r="E329" i="2"/>
  <c r="H234" i="2"/>
  <c r="G442" i="2"/>
  <c r="E477" i="2"/>
  <c r="H211" i="2"/>
  <c r="E316" i="2"/>
  <c r="H563" i="2"/>
  <c r="F589" i="2"/>
  <c r="G504" i="2"/>
  <c r="G250" i="2"/>
  <c r="F86" i="2"/>
  <c r="G398" i="2"/>
  <c r="F329" i="2"/>
  <c r="F398" i="2"/>
  <c r="E465" i="2"/>
  <c r="F187" i="2"/>
  <c r="H187" i="2"/>
  <c r="H365" i="2"/>
  <c r="F4" i="2"/>
  <c r="G356" i="2"/>
  <c r="H329" i="2"/>
  <c r="H17" i="2"/>
  <c r="H14" i="2"/>
  <c r="G14" i="2"/>
  <c r="G312" i="2"/>
  <c r="G88" i="2"/>
  <c r="E250" i="2"/>
  <c r="G563" i="2"/>
  <c r="H232" i="2"/>
  <c r="F316" i="2"/>
  <c r="E563" i="2"/>
  <c r="H589" i="2"/>
  <c r="F356" i="2"/>
  <c r="F563" i="2"/>
  <c r="E365" i="2"/>
  <c r="E442" i="2"/>
  <c r="G195" i="2"/>
  <c r="E187" i="2"/>
  <c r="E589" i="2"/>
  <c r="F272" i="2"/>
  <c r="G366" i="2"/>
  <c r="F477" i="2"/>
  <c r="E449" i="2"/>
  <c r="F252" i="2"/>
  <c r="G252" i="2"/>
  <c r="G329" i="2"/>
  <c r="F345" i="2"/>
  <c r="G86" i="2"/>
  <c r="E362" i="2"/>
  <c r="G465" i="2"/>
  <c r="G4" i="2"/>
  <c r="H272" i="2"/>
  <c r="G17" i="2"/>
  <c r="F250" i="2"/>
  <c r="H316" i="2"/>
  <c r="H398" i="2"/>
  <c r="H252" i="2"/>
  <c r="F14" i="2"/>
  <c r="H191" i="2"/>
  <c r="E211" i="2"/>
  <c r="F312" i="2"/>
  <c r="F88" i="2"/>
  <c r="F504" i="2"/>
  <c r="E272" i="2"/>
  <c r="E232" i="2"/>
  <c r="E234" i="2"/>
  <c r="G567" i="2"/>
  <c r="F208" i="2"/>
  <c r="E118" i="2"/>
  <c r="E307" i="2"/>
  <c r="G103" i="2"/>
  <c r="E208" i="2"/>
  <c r="E103" i="2"/>
  <c r="G171" i="2"/>
  <c r="F228" i="2"/>
  <c r="H307" i="2"/>
  <c r="F118" i="2"/>
  <c r="E388" i="2"/>
  <c r="F426" i="2"/>
  <c r="H567" i="2"/>
  <c r="F307" i="2"/>
  <c r="H388" i="2"/>
  <c r="E426" i="2"/>
  <c r="H426" i="2"/>
  <c r="E183" i="2"/>
  <c r="F567" i="2"/>
  <c r="E228" i="2"/>
  <c r="H183" i="2"/>
  <c r="G208" i="2"/>
  <c r="H118" i="2"/>
  <c r="G228" i="2"/>
  <c r="H171" i="2"/>
  <c r="F388" i="2"/>
  <c r="F171" i="2"/>
  <c r="H103" i="2"/>
  <c r="F183" i="2"/>
  <c r="G118" i="2"/>
  <c r="G426" i="2"/>
  <c r="H208" i="2"/>
  <c r="H228" i="2"/>
  <c r="G307" i="2"/>
  <c r="G388" i="2"/>
  <c r="E567" i="2"/>
  <c r="G183" i="2"/>
  <c r="F103" i="2"/>
  <c r="E171" i="2"/>
  <c r="G214" i="2"/>
  <c r="F620" i="2"/>
  <c r="G559" i="2"/>
  <c r="E173" i="2"/>
  <c r="F359" i="2"/>
  <c r="F173" i="2"/>
  <c r="E214" i="2"/>
  <c r="E359" i="2"/>
  <c r="E395" i="2"/>
  <c r="F573" i="2"/>
  <c r="H271" i="2"/>
  <c r="H611" i="2"/>
  <c r="H359" i="2"/>
  <c r="E559" i="2"/>
  <c r="H573" i="2"/>
  <c r="H214" i="2"/>
  <c r="F559" i="2"/>
  <c r="F125" i="2"/>
  <c r="G125" i="2"/>
  <c r="H620" i="2"/>
  <c r="H395" i="2"/>
  <c r="F611" i="2"/>
  <c r="G271" i="2"/>
  <c r="F395" i="2"/>
  <c r="H173" i="2"/>
  <c r="H125" i="2"/>
  <c r="G573" i="2"/>
  <c r="E611" i="2"/>
  <c r="E620" i="2"/>
  <c r="E271" i="2"/>
  <c r="F271" i="2"/>
  <c r="G395" i="2"/>
  <c r="G359" i="2"/>
  <c r="G173" i="2"/>
  <c r="E573" i="2"/>
  <c r="E125" i="2"/>
  <c r="F214" i="2"/>
  <c r="G620" i="2"/>
  <c r="H559" i="2"/>
  <c r="G611" i="2"/>
  <c r="F458" i="2"/>
  <c r="E284" i="2"/>
  <c r="H209" i="2"/>
  <c r="H15" i="2"/>
  <c r="G15" i="2"/>
  <c r="F264" i="2"/>
  <c r="H264" i="2"/>
  <c r="E264" i="2"/>
  <c r="G284" i="2"/>
  <c r="F166" i="2"/>
  <c r="E186" i="2"/>
  <c r="F502" i="2"/>
  <c r="F209" i="2"/>
  <c r="E564" i="2"/>
  <c r="G458" i="2"/>
  <c r="H458" i="2"/>
  <c r="G564" i="2"/>
  <c r="H502" i="2"/>
  <c r="E15" i="2"/>
  <c r="F564" i="2"/>
  <c r="G502" i="2"/>
  <c r="E166" i="2"/>
  <c r="F186" i="2"/>
  <c r="G315" i="2"/>
  <c r="H315" i="2"/>
  <c r="H186" i="2"/>
  <c r="F284" i="2"/>
  <c r="E315" i="2"/>
  <c r="G166" i="2"/>
  <c r="E209" i="2"/>
  <c r="E502" i="2"/>
  <c r="F315" i="2"/>
  <c r="G186" i="2"/>
  <c r="G264" i="2"/>
  <c r="H284" i="2"/>
  <c r="G209" i="2"/>
  <c r="H564" i="2"/>
  <c r="H166" i="2"/>
  <c r="E458" i="2"/>
  <c r="F15" i="2"/>
  <c r="F251" i="2"/>
  <c r="G578" i="2"/>
  <c r="E267" i="2"/>
  <c r="E355" i="2"/>
  <c r="H25" i="2"/>
  <c r="G155" i="2"/>
  <c r="E81" i="2"/>
  <c r="F81" i="2"/>
  <c r="E155" i="2"/>
  <c r="F25" i="2"/>
  <c r="H363" i="2"/>
  <c r="E223" i="2"/>
  <c r="H267" i="2"/>
  <c r="H578" i="2"/>
  <c r="G223" i="2"/>
  <c r="G267" i="2"/>
  <c r="F578" i="2"/>
  <c r="F257" i="2"/>
  <c r="G251" i="2"/>
  <c r="F223" i="2"/>
  <c r="G25" i="2"/>
  <c r="H355" i="2"/>
  <c r="G81" i="2"/>
  <c r="H257" i="2"/>
  <c r="H251" i="2"/>
  <c r="E363" i="2"/>
  <c r="F155" i="2"/>
  <c r="G257" i="2"/>
  <c r="G355" i="2"/>
  <c r="F363" i="2"/>
  <c r="E251" i="2"/>
  <c r="H81" i="2"/>
  <c r="E257" i="2"/>
  <c r="H155" i="2"/>
  <c r="E25" i="2"/>
  <c r="F355" i="2"/>
  <c r="F267" i="2"/>
  <c r="H223" i="2"/>
  <c r="G363" i="2"/>
  <c r="E578" i="2"/>
  <c r="G595" i="2"/>
  <c r="H67" i="2"/>
  <c r="H403" i="2"/>
  <c r="G67" i="2"/>
  <c r="H335" i="2"/>
  <c r="F5" i="2"/>
  <c r="F123" i="2"/>
  <c r="F133" i="2"/>
  <c r="F321" i="2"/>
  <c r="F595" i="2"/>
  <c r="H321" i="2"/>
  <c r="H300" i="2"/>
  <c r="F403" i="2"/>
  <c r="F299" i="2"/>
  <c r="H480" i="2"/>
  <c r="E133" i="2"/>
  <c r="E300" i="2"/>
  <c r="G12" i="2"/>
  <c r="G393" i="2"/>
  <c r="F308" i="2"/>
  <c r="F49" i="2"/>
  <c r="F317" i="2"/>
  <c r="G300" i="2"/>
  <c r="H393" i="2"/>
  <c r="E123" i="2"/>
  <c r="E317" i="2"/>
  <c r="H299" i="2"/>
  <c r="E12" i="2"/>
  <c r="H45" i="2"/>
  <c r="H18" i="2"/>
  <c r="E335" i="2"/>
  <c r="E595" i="2"/>
  <c r="H5" i="2"/>
  <c r="G49" i="2"/>
  <c r="H140" i="2"/>
  <c r="E393" i="2"/>
  <c r="G45" i="2"/>
  <c r="G18" i="2"/>
  <c r="E67" i="2"/>
  <c r="E308" i="2"/>
  <c r="E290" i="2"/>
  <c r="H317" i="2"/>
  <c r="E480" i="2"/>
  <c r="G480" i="2"/>
  <c r="G308" i="2"/>
  <c r="H49" i="2"/>
  <c r="G290" i="2"/>
  <c r="H123" i="2"/>
  <c r="F335" i="2"/>
  <c r="G140" i="2"/>
  <c r="E45" i="2"/>
  <c r="E18" i="2"/>
  <c r="F132" i="2"/>
  <c r="H290" i="2"/>
  <c r="E321" i="2"/>
  <c r="H12" i="2"/>
  <c r="G132" i="2"/>
  <c r="E140" i="2"/>
  <c r="G5" i="2"/>
  <c r="E132" i="2"/>
  <c r="E403" i="2"/>
  <c r="F393" i="2"/>
  <c r="E299" i="2"/>
  <c r="F45" i="2"/>
  <c r="F18" i="2"/>
  <c r="G335" i="2"/>
  <c r="H595" i="2"/>
  <c r="F12" i="2"/>
  <c r="F300" i="2"/>
  <c r="G403" i="2"/>
  <c r="F290" i="2"/>
  <c r="E5" i="2"/>
  <c r="G299" i="2"/>
  <c r="G133" i="2"/>
  <c r="F480" i="2"/>
  <c r="H132" i="2"/>
  <c r="F140" i="2"/>
  <c r="F67" i="2"/>
  <c r="G317" i="2"/>
  <c r="E49" i="2"/>
  <c r="H308" i="2"/>
  <c r="G123" i="2"/>
  <c r="G321" i="2"/>
  <c r="H133" i="2"/>
  <c r="F217" i="2"/>
  <c r="E83" i="2"/>
  <c r="H83" i="2"/>
  <c r="H51" i="2"/>
  <c r="G9" i="2"/>
  <c r="H637" i="2"/>
  <c r="H635" i="2"/>
  <c r="H633" i="2"/>
  <c r="H631" i="2"/>
  <c r="H629" i="2"/>
  <c r="H627" i="2"/>
  <c r="H625" i="2"/>
  <c r="H542" i="2"/>
  <c r="H530" i="2"/>
  <c r="H528" i="2"/>
  <c r="E410" i="2"/>
  <c r="H9" i="2"/>
  <c r="H410" i="2"/>
  <c r="H371" i="2"/>
  <c r="F9" i="2"/>
  <c r="E603" i="2"/>
  <c r="E637" i="2"/>
  <c r="E635" i="2"/>
  <c r="E633" i="2"/>
  <c r="E631" i="2"/>
  <c r="E629" i="2"/>
  <c r="E627" i="2"/>
  <c r="E625" i="2"/>
  <c r="E542" i="2"/>
  <c r="E530" i="2"/>
  <c r="E528" i="2"/>
  <c r="F433" i="2"/>
  <c r="G603" i="2"/>
  <c r="H268" i="2"/>
  <c r="F371" i="2"/>
  <c r="G637" i="2"/>
  <c r="G635" i="2"/>
  <c r="G633" i="2"/>
  <c r="G631" i="2"/>
  <c r="G629" i="2"/>
  <c r="G627" i="2"/>
  <c r="G625" i="2"/>
  <c r="G542" i="2"/>
  <c r="G530" i="2"/>
  <c r="G528" i="2"/>
  <c r="E51" i="2"/>
  <c r="E268" i="2"/>
  <c r="H433" i="2"/>
  <c r="E217" i="2"/>
  <c r="E433" i="2"/>
  <c r="G410" i="2"/>
  <c r="H603" i="2"/>
  <c r="F51" i="2"/>
  <c r="G371" i="2"/>
  <c r="G217" i="2"/>
  <c r="F83" i="2"/>
  <c r="F268" i="2"/>
  <c r="G433" i="2"/>
  <c r="H217" i="2"/>
  <c r="F410" i="2"/>
  <c r="G268" i="2"/>
  <c r="E9" i="2"/>
  <c r="E371" i="2"/>
  <c r="F637" i="2"/>
  <c r="F635" i="2"/>
  <c r="F633" i="2"/>
  <c r="F631" i="2"/>
  <c r="F629" i="2"/>
  <c r="F627" i="2"/>
  <c r="F625" i="2"/>
  <c r="F542" i="2"/>
  <c r="F530" i="2"/>
  <c r="F528" i="2"/>
  <c r="F603" i="2"/>
  <c r="G51" i="2"/>
  <c r="G83" i="2"/>
  <c r="H570" i="2"/>
  <c r="H193" i="2"/>
  <c r="G336" i="2"/>
  <c r="F193" i="2"/>
  <c r="G35" i="2"/>
  <c r="F349" i="2"/>
  <c r="E336" i="2"/>
  <c r="H44" i="2"/>
  <c r="E127" i="2"/>
  <c r="H533" i="2"/>
  <c r="H349" i="2"/>
  <c r="E35" i="2"/>
  <c r="E570" i="2"/>
  <c r="F518" i="2"/>
  <c r="E349" i="2"/>
  <c r="G570" i="2"/>
  <c r="G518" i="2"/>
  <c r="H127" i="2"/>
  <c r="G533" i="2"/>
  <c r="G193" i="2"/>
  <c r="F127" i="2"/>
  <c r="F533" i="2"/>
  <c r="F150" i="2"/>
  <c r="E150" i="2"/>
  <c r="H518" i="2"/>
  <c r="H150" i="2"/>
  <c r="G44" i="2"/>
  <c r="E44" i="2"/>
  <c r="H35" i="2"/>
  <c r="F336" i="2"/>
  <c r="F35" i="2"/>
  <c r="E533" i="2"/>
  <c r="G150" i="2"/>
  <c r="G127" i="2"/>
  <c r="G349" i="2"/>
  <c r="F570" i="2"/>
  <c r="E193" i="2"/>
  <c r="H336" i="2"/>
  <c r="F44" i="2"/>
  <c r="E518" i="2"/>
  <c r="H397" i="2"/>
  <c r="F584" i="2"/>
  <c r="H493" i="2"/>
  <c r="E89" i="2"/>
  <c r="E320" i="2"/>
  <c r="E614" i="2"/>
  <c r="F400" i="2"/>
  <c r="E493" i="2"/>
  <c r="G291" i="2"/>
  <c r="F320" i="2"/>
  <c r="G506" i="2"/>
  <c r="F534" i="2"/>
  <c r="G243" i="2"/>
  <c r="H534" i="2"/>
  <c r="G614" i="2"/>
  <c r="H19" i="2"/>
  <c r="E434" i="2"/>
  <c r="E101" i="2"/>
  <c r="F32" i="2"/>
  <c r="E291" i="2"/>
  <c r="G582" i="2"/>
  <c r="F101" i="2"/>
  <c r="E189" i="2"/>
  <c r="H455" i="2"/>
  <c r="E224" i="2"/>
  <c r="H506" i="2"/>
  <c r="F405" i="2"/>
  <c r="F397" i="2"/>
  <c r="H106" i="2"/>
  <c r="G197" i="2"/>
  <c r="G372" i="2"/>
  <c r="E584" i="2"/>
  <c r="E106" i="2"/>
  <c r="F16" i="2"/>
  <c r="F314" i="2"/>
  <c r="H401" i="2"/>
  <c r="H372" i="2"/>
  <c r="F55" i="2"/>
  <c r="G55" i="2"/>
  <c r="E455" i="2"/>
  <c r="H291" i="2"/>
  <c r="G101" i="2"/>
  <c r="H243" i="2"/>
  <c r="H538" i="2"/>
  <c r="F607" i="2"/>
  <c r="H203" i="2"/>
  <c r="F328" i="2"/>
  <c r="E607" i="2"/>
  <c r="H582" i="2"/>
  <c r="H492" i="2"/>
  <c r="H377" i="2"/>
  <c r="H95" i="2"/>
  <c r="G16" i="2"/>
  <c r="H614" i="2"/>
  <c r="G320" i="2"/>
  <c r="F538" i="2"/>
  <c r="G492" i="2"/>
  <c r="H197" i="2"/>
  <c r="F506" i="2"/>
  <c r="G405" i="2"/>
  <c r="G607" i="2"/>
  <c r="H452" i="2"/>
  <c r="G95" i="2"/>
  <c r="E582" i="2"/>
  <c r="G224" i="2"/>
  <c r="G452" i="2"/>
  <c r="E95" i="2"/>
  <c r="E405" i="2"/>
  <c r="G106" i="2"/>
  <c r="H328" i="2"/>
  <c r="F89" i="2"/>
  <c r="E328" i="2"/>
  <c r="E610" i="2"/>
  <c r="E46" i="2"/>
  <c r="E22" i="2"/>
  <c r="G46" i="2"/>
  <c r="G22" i="2"/>
  <c r="E32" i="2"/>
  <c r="H32" i="2"/>
  <c r="G377" i="2"/>
  <c r="F493" i="2"/>
  <c r="F455" i="2"/>
  <c r="E538" i="2"/>
  <c r="H192" i="2"/>
  <c r="G89" i="2"/>
  <c r="G19" i="2"/>
  <c r="F434" i="2"/>
  <c r="G79" i="2"/>
  <c r="F438" i="2"/>
  <c r="F46" i="2"/>
  <c r="F22" i="2"/>
  <c r="G534" i="2"/>
  <c r="H189" i="2"/>
  <c r="F79" i="2"/>
  <c r="E377" i="2"/>
  <c r="E192" i="2"/>
  <c r="E400" i="2"/>
  <c r="E492" i="2"/>
  <c r="E79" i="2"/>
  <c r="F452" i="2"/>
  <c r="E203" i="2"/>
  <c r="F243" i="2"/>
  <c r="F19" i="2"/>
  <c r="E438" i="2"/>
  <c r="F610" i="2"/>
  <c r="E16" i="2"/>
  <c r="H55" i="2"/>
  <c r="F192" i="2"/>
  <c r="G401" i="2"/>
  <c r="E372" i="2"/>
  <c r="G610" i="2"/>
  <c r="F197" i="2"/>
  <c r="F224" i="2"/>
  <c r="G314" i="2"/>
  <c r="G189" i="2"/>
  <c r="F203" i="2"/>
  <c r="H400" i="2"/>
  <c r="F291" i="2"/>
  <c r="H89" i="2"/>
  <c r="G538" i="2"/>
  <c r="F377" i="2"/>
  <c r="G397" i="2"/>
  <c r="H607" i="2"/>
  <c r="H101" i="2"/>
  <c r="H438" i="2"/>
  <c r="F95" i="2"/>
  <c r="E19" i="2"/>
  <c r="G328" i="2"/>
  <c r="H16" i="2"/>
  <c r="E506" i="2"/>
  <c r="E243" i="2"/>
  <c r="E397" i="2"/>
  <c r="H79" i="2"/>
  <c r="E197" i="2"/>
  <c r="F372" i="2"/>
  <c r="E452" i="2"/>
  <c r="E55" i="2"/>
  <c r="F189" i="2"/>
  <c r="H46" i="2"/>
  <c r="H22" i="2"/>
  <c r="H434" i="2"/>
  <c r="G584" i="2"/>
  <c r="H314" i="2"/>
  <c r="E401" i="2"/>
  <c r="G434" i="2"/>
  <c r="H584" i="2"/>
  <c r="H224" i="2"/>
  <c r="G438" i="2"/>
  <c r="E314" i="2"/>
  <c r="E534" i="2"/>
  <c r="F582" i="2"/>
  <c r="G192" i="2"/>
  <c r="F614" i="2"/>
  <c r="G32" i="2"/>
  <c r="H320" i="2"/>
  <c r="F492" i="2"/>
  <c r="G455" i="2"/>
  <c r="G203" i="2"/>
  <c r="G400" i="2"/>
  <c r="F401" i="2"/>
  <c r="F106" i="2"/>
  <c r="H610" i="2"/>
  <c r="H405" i="2"/>
  <c r="G493" i="2"/>
  <c r="G443" i="2"/>
  <c r="H352" i="2"/>
  <c r="G131" i="2"/>
  <c r="H43" i="2"/>
  <c r="H580" i="2"/>
  <c r="E286" i="2"/>
  <c r="G104" i="2"/>
  <c r="F43" i="2"/>
  <c r="H80" i="2"/>
  <c r="G159" i="2"/>
  <c r="G286" i="2"/>
  <c r="F580" i="2"/>
  <c r="G343" i="2"/>
  <c r="H347" i="2"/>
  <c r="H131" i="2"/>
  <c r="F541" i="2"/>
  <c r="H84" i="2"/>
  <c r="G344" i="2"/>
  <c r="F286" i="2"/>
  <c r="E618" i="2"/>
  <c r="H623" i="2"/>
  <c r="E623" i="2"/>
  <c r="H571" i="2"/>
  <c r="F553" i="2"/>
  <c r="E151" i="2"/>
  <c r="F246" i="2"/>
  <c r="F352" i="2"/>
  <c r="E38" i="2"/>
  <c r="G43" i="2"/>
  <c r="F159" i="2"/>
  <c r="E443" i="2"/>
  <c r="F343" i="2"/>
  <c r="H541" i="2"/>
  <c r="F384" i="2"/>
  <c r="G65" i="2"/>
  <c r="F380" i="2"/>
  <c r="G553" i="2"/>
  <c r="F443" i="2"/>
  <c r="F80" i="2"/>
  <c r="E571" i="2"/>
  <c r="G76" i="2"/>
  <c r="F131" i="2"/>
  <c r="G623" i="2"/>
  <c r="F344" i="2"/>
  <c r="H65" i="2"/>
  <c r="H618" i="2"/>
  <c r="F151" i="2"/>
  <c r="H380" i="2"/>
  <c r="G246" i="2"/>
  <c r="E104" i="2"/>
  <c r="E380" i="2"/>
  <c r="H76" i="2"/>
  <c r="E344" i="2"/>
  <c r="F84" i="2"/>
  <c r="E517" i="2"/>
  <c r="E347" i="2"/>
  <c r="F571" i="2"/>
  <c r="G378" i="2"/>
  <c r="E159" i="2"/>
  <c r="E511" i="2"/>
  <c r="G384" i="2"/>
  <c r="H151" i="2"/>
  <c r="H378" i="2"/>
  <c r="H553" i="2"/>
  <c r="E384" i="2"/>
  <c r="H511" i="2"/>
  <c r="H104" i="2"/>
  <c r="E352" i="2"/>
  <c r="G511" i="2"/>
  <c r="G568" i="2"/>
  <c r="F353" i="2"/>
  <c r="G347" i="2"/>
  <c r="F568" i="2"/>
  <c r="G38" i="2"/>
  <c r="G618" i="2"/>
  <c r="G353" i="2"/>
  <c r="H38" i="2"/>
  <c r="F517" i="2"/>
  <c r="E84" i="2"/>
  <c r="F65" i="2"/>
  <c r="E80" i="2"/>
  <c r="E580" i="2"/>
  <c r="E76" i="2"/>
  <c r="G541" i="2"/>
  <c r="F378" i="2"/>
  <c r="H517" i="2"/>
  <c r="E568" i="2"/>
  <c r="E343" i="2"/>
  <c r="H246" i="2"/>
  <c r="H353" i="2"/>
  <c r="H159" i="2"/>
  <c r="G352" i="2"/>
  <c r="F623" i="2"/>
  <c r="E131" i="2"/>
  <c r="E43" i="2"/>
  <c r="E541" i="2"/>
  <c r="H443" i="2"/>
  <c r="G380" i="2"/>
  <c r="H286" i="2"/>
  <c r="G80" i="2"/>
  <c r="E553" i="2"/>
  <c r="G151" i="2"/>
  <c r="E353" i="2"/>
  <c r="H343" i="2"/>
  <c r="H344" i="2"/>
  <c r="F511" i="2"/>
  <c r="G571" i="2"/>
  <c r="E246" i="2"/>
  <c r="G84" i="2"/>
  <c r="F38" i="2"/>
  <c r="H568" i="2"/>
  <c r="F347" i="2"/>
  <c r="F618" i="2"/>
  <c r="E65" i="2"/>
  <c r="F104" i="2"/>
  <c r="G580" i="2"/>
  <c r="F76" i="2"/>
  <c r="G517" i="2"/>
  <c r="E378" i="2"/>
  <c r="H384" i="2"/>
  <c r="H402" i="2"/>
  <c r="G402" i="2"/>
  <c r="G30" i="2"/>
  <c r="F391" i="2"/>
  <c r="F30" i="2"/>
  <c r="H569" i="2"/>
  <c r="E569" i="2"/>
  <c r="H615" i="2"/>
  <c r="E615" i="2"/>
  <c r="F402" i="2"/>
  <c r="E484" i="2"/>
  <c r="G569" i="2"/>
  <c r="E57" i="2"/>
  <c r="E501" i="2"/>
  <c r="F57" i="2"/>
  <c r="F594" i="2"/>
  <c r="F574" i="2"/>
  <c r="G501" i="2"/>
  <c r="G57" i="2"/>
  <c r="G594" i="2"/>
  <c r="F615" i="2"/>
  <c r="G484" i="2"/>
  <c r="G574" i="2"/>
  <c r="E574" i="2"/>
  <c r="F501" i="2"/>
  <c r="E30" i="2"/>
  <c r="E594" i="2"/>
  <c r="F484" i="2"/>
  <c r="E391" i="2"/>
  <c r="G391" i="2"/>
  <c r="H574" i="2"/>
  <c r="H594" i="2"/>
  <c r="F569" i="2"/>
  <c r="H30" i="2"/>
  <c r="E402" i="2"/>
  <c r="G615" i="2"/>
  <c r="H484" i="2"/>
  <c r="H57" i="2"/>
  <c r="H501" i="2"/>
  <c r="H391" i="2"/>
  <c r="F178" i="2"/>
  <c r="E332" i="2"/>
  <c r="G174" i="2"/>
  <c r="H495" i="2"/>
  <c r="G407" i="2"/>
  <c r="E599" i="2"/>
  <c r="H608" i="2"/>
  <c r="H581" i="2"/>
  <c r="H253" i="2"/>
  <c r="E412" i="2"/>
  <c r="G368" i="2"/>
  <c r="G157" i="2"/>
  <c r="H261" i="2"/>
  <c r="H120" i="2"/>
  <c r="E467" i="2"/>
  <c r="H326" i="2"/>
  <c r="H105" i="2"/>
  <c r="G536" i="2"/>
  <c r="E270" i="2"/>
  <c r="G412" i="2"/>
  <c r="H565" i="2"/>
  <c r="G332" i="2"/>
  <c r="G482" i="2"/>
  <c r="F467" i="2"/>
  <c r="F253" i="2"/>
  <c r="H624" i="2"/>
  <c r="H174" i="2"/>
  <c r="H279" i="2"/>
  <c r="G255" i="2"/>
  <c r="G154" i="2"/>
  <c r="G341" i="2"/>
  <c r="E61" i="2"/>
  <c r="F461" i="2"/>
  <c r="F39" i="2"/>
  <c r="F536" i="2"/>
  <c r="H536" i="2"/>
  <c r="F129" i="2"/>
  <c r="F454" i="2"/>
  <c r="G498" i="2"/>
  <c r="H505" i="2"/>
  <c r="E581" i="2"/>
  <c r="G178" i="2"/>
  <c r="G467" i="2"/>
  <c r="E461" i="2"/>
  <c r="G39" i="2"/>
  <c r="G261" i="2"/>
  <c r="F169" i="2"/>
  <c r="F412" i="2"/>
  <c r="G134" i="2"/>
  <c r="E407" i="2"/>
  <c r="E154" i="2"/>
  <c r="E505" i="2"/>
  <c r="H157" i="2"/>
  <c r="E120" i="2"/>
  <c r="E498" i="2"/>
  <c r="G421" i="2"/>
  <c r="G581" i="2"/>
  <c r="H354" i="2"/>
  <c r="E147" i="2"/>
  <c r="E482" i="2"/>
  <c r="E292" i="2"/>
  <c r="H282" i="2"/>
  <c r="G495" i="2"/>
  <c r="G282" i="2"/>
  <c r="H289" i="2"/>
  <c r="H169" i="2"/>
  <c r="G105" i="2"/>
  <c r="F61" i="2"/>
  <c r="E200" i="2"/>
  <c r="E253" i="2"/>
  <c r="H188" i="2"/>
  <c r="H599" i="2"/>
  <c r="E91" i="2"/>
  <c r="E105" i="2"/>
  <c r="F624" i="2"/>
  <c r="G169" i="2"/>
  <c r="G608" i="2"/>
  <c r="G624" i="2"/>
  <c r="G91" i="2"/>
  <c r="G322" i="2"/>
  <c r="G258" i="2"/>
  <c r="E174" i="2"/>
  <c r="H258" i="2"/>
  <c r="E52" i="2"/>
  <c r="E289" i="2"/>
  <c r="H368" i="2"/>
  <c r="F292" i="2"/>
  <c r="H341" i="2"/>
  <c r="F120" i="2"/>
  <c r="H129" i="2"/>
  <c r="F599" i="2"/>
  <c r="E421" i="2"/>
  <c r="E258" i="2"/>
  <c r="H270" i="2"/>
  <c r="E341" i="2"/>
  <c r="F188" i="2"/>
  <c r="H147" i="2"/>
  <c r="F354" i="2"/>
  <c r="G129" i="2"/>
  <c r="H379" i="2"/>
  <c r="H482" i="2"/>
  <c r="H292" i="2"/>
  <c r="F52" i="2"/>
  <c r="H52" i="2"/>
  <c r="F200" i="2"/>
  <c r="E279" i="2"/>
  <c r="H454" i="2"/>
  <c r="E178" i="2"/>
  <c r="F498" i="2"/>
  <c r="G200" i="2"/>
  <c r="E565" i="2"/>
  <c r="H421" i="2"/>
  <c r="G461" i="2"/>
  <c r="F154" i="2"/>
  <c r="E368" i="2"/>
  <c r="G472" i="2"/>
  <c r="E188" i="2"/>
  <c r="H521" i="2"/>
  <c r="G279" i="2"/>
  <c r="G505" i="2"/>
  <c r="G61" i="2"/>
  <c r="F407" i="2"/>
  <c r="E454" i="2"/>
  <c r="F472" i="2"/>
  <c r="E354" i="2"/>
  <c r="G565" i="2"/>
  <c r="F134" i="2"/>
  <c r="G379" i="2"/>
  <c r="E157" i="2"/>
  <c r="G521" i="2"/>
  <c r="E255" i="2"/>
  <c r="H91" i="2"/>
  <c r="H472" i="2"/>
  <c r="F282" i="2"/>
  <c r="E326" i="2"/>
  <c r="H154" i="2"/>
  <c r="H39" i="2"/>
  <c r="E624" i="2"/>
  <c r="F322" i="2"/>
  <c r="E169" i="2"/>
  <c r="H61" i="2"/>
  <c r="G253" i="2"/>
  <c r="G354" i="2"/>
  <c r="F368" i="2"/>
  <c r="H200" i="2"/>
  <c r="E472" i="2"/>
  <c r="G292" i="2"/>
  <c r="E495" i="2"/>
  <c r="E322" i="2"/>
  <c r="G147" i="2"/>
  <c r="E261" i="2"/>
  <c r="E134" i="2"/>
  <c r="E521" i="2"/>
  <c r="F289" i="2"/>
  <c r="F608" i="2"/>
  <c r="F147" i="2"/>
  <c r="H332" i="2"/>
  <c r="F581" i="2"/>
  <c r="H178" i="2"/>
  <c r="H134" i="2"/>
  <c r="F279" i="2"/>
  <c r="F565" i="2"/>
  <c r="G454" i="2"/>
  <c r="F270" i="2"/>
  <c r="F482" i="2"/>
  <c r="F495" i="2"/>
  <c r="G188" i="2"/>
  <c r="H255" i="2"/>
  <c r="F326" i="2"/>
  <c r="G599" i="2"/>
  <c r="F174" i="2"/>
  <c r="G289" i="2"/>
  <c r="G270" i="2"/>
  <c r="F505" i="2"/>
  <c r="H407" i="2"/>
  <c r="E129" i="2"/>
  <c r="F332" i="2"/>
  <c r="E39" i="2"/>
  <c r="F261" i="2"/>
  <c r="F91" i="2"/>
  <c r="E379" i="2"/>
  <c r="H322" i="2"/>
  <c r="F258" i="2"/>
  <c r="F105" i="2"/>
  <c r="G52" i="2"/>
  <c r="G326" i="2"/>
  <c r="E608" i="2"/>
  <c r="F521" i="2"/>
  <c r="H412" i="2"/>
  <c r="F421" i="2"/>
  <c r="E282" i="2"/>
  <c r="H467" i="2"/>
  <c r="F379" i="2"/>
  <c r="F157" i="2"/>
  <c r="F341" i="2"/>
  <c r="H461" i="2"/>
  <c r="F255" i="2"/>
  <c r="E536" i="2"/>
  <c r="G120" i="2"/>
  <c r="H498" i="2"/>
  <c r="F532" i="2"/>
  <c r="H31" i="2"/>
  <c r="G262" i="2"/>
  <c r="F31" i="2"/>
  <c r="E48" i="2"/>
  <c r="F509" i="2"/>
  <c r="H439" i="2"/>
  <c r="E262" i="2"/>
  <c r="F262" i="2"/>
  <c r="E509" i="2"/>
  <c r="F294" i="2"/>
  <c r="H509" i="2"/>
  <c r="H294" i="2"/>
  <c r="H23" i="2"/>
  <c r="H532" i="2"/>
  <c r="E383" i="2"/>
  <c r="G48" i="2"/>
  <c r="G439" i="2"/>
  <c r="F383" i="2"/>
  <c r="F23" i="2"/>
  <c r="E23" i="2"/>
  <c r="E294" i="2"/>
  <c r="F48" i="2"/>
  <c r="F396" i="2"/>
  <c r="H396" i="2"/>
  <c r="G396" i="2"/>
  <c r="G532" i="2"/>
  <c r="E31" i="2"/>
  <c r="H383" i="2"/>
  <c r="F439" i="2"/>
  <c r="G383" i="2"/>
  <c r="G294" i="2"/>
  <c r="E439" i="2"/>
  <c r="E532" i="2"/>
  <c r="H262" i="2"/>
  <c r="G23" i="2"/>
  <c r="H48" i="2"/>
  <c r="G31" i="2"/>
  <c r="E396" i="2"/>
  <c r="G509" i="2"/>
  <c r="F109" i="2"/>
  <c r="H109" i="2"/>
  <c r="G540" i="2"/>
  <c r="E540" i="2"/>
  <c r="G63" i="2"/>
  <c r="E598" i="2"/>
  <c r="F508" i="2"/>
  <c r="F598" i="2"/>
  <c r="G339" i="2"/>
  <c r="E109" i="2"/>
  <c r="G544" i="2"/>
  <c r="F63" i="2"/>
  <c r="E339" i="2"/>
  <c r="E185" i="2"/>
  <c r="E63" i="2"/>
  <c r="H427" i="2"/>
  <c r="E427" i="2"/>
  <c r="F544" i="2"/>
  <c r="G185" i="2"/>
  <c r="H69" i="2"/>
  <c r="F427" i="2"/>
  <c r="E508" i="2"/>
  <c r="G508" i="2"/>
  <c r="H544" i="2"/>
  <c r="H185" i="2"/>
  <c r="F69" i="2"/>
  <c r="F540" i="2"/>
  <c r="H598" i="2"/>
  <c r="E69" i="2"/>
  <c r="H339" i="2"/>
  <c r="G427" i="2"/>
  <c r="G109" i="2"/>
  <c r="G598" i="2"/>
  <c r="H508" i="2"/>
  <c r="G69" i="2"/>
  <c r="F185" i="2"/>
  <c r="E544" i="2"/>
  <c r="F339" i="2"/>
  <c r="H540" i="2"/>
  <c r="H63" i="2"/>
  <c r="F161" i="2"/>
  <c r="F116" i="2"/>
  <c r="G547" i="2"/>
  <c r="E340" i="2"/>
  <c r="G512" i="2"/>
  <c r="E451" i="2"/>
  <c r="E547" i="2"/>
  <c r="G161" i="2"/>
  <c r="G340" i="2"/>
  <c r="E512" i="2"/>
  <c r="E116" i="2"/>
  <c r="F512" i="2"/>
  <c r="F522" i="2"/>
  <c r="E146" i="2"/>
  <c r="G522" i="2"/>
  <c r="F596" i="2"/>
  <c r="H161" i="2"/>
  <c r="H596" i="2"/>
  <c r="E596" i="2"/>
  <c r="H451" i="2"/>
  <c r="G451" i="2"/>
  <c r="F146" i="2"/>
  <c r="E522" i="2"/>
  <c r="H340" i="2"/>
  <c r="H146" i="2"/>
  <c r="H116" i="2"/>
  <c r="H375" i="2"/>
  <c r="F375" i="2"/>
  <c r="H547" i="2"/>
  <c r="E375" i="2"/>
  <c r="E161" i="2"/>
  <c r="F547" i="2"/>
  <c r="G146" i="2"/>
  <c r="H522" i="2"/>
  <c r="G596" i="2"/>
  <c r="G375" i="2"/>
  <c r="G116" i="2"/>
  <c r="F451" i="2"/>
  <c r="F340" i="2"/>
  <c r="H512" i="2"/>
  <c r="E92" i="2"/>
  <c r="H513" i="2"/>
  <c r="H99" i="2"/>
  <c r="F338" i="2"/>
  <c r="G40" i="2"/>
  <c r="H367" i="2"/>
  <c r="F24" i="2"/>
  <c r="H37" i="2"/>
  <c r="G172" i="2"/>
  <c r="H24" i="2"/>
  <c r="E40" i="2"/>
  <c r="E172" i="2"/>
  <c r="E298" i="2"/>
  <c r="H325" i="2"/>
  <c r="H269" i="2"/>
  <c r="F357" i="2"/>
  <c r="H298" i="2"/>
  <c r="G269" i="2"/>
  <c r="H348" i="2"/>
  <c r="H358" i="2"/>
  <c r="G513" i="2"/>
  <c r="F348" i="2"/>
  <c r="H92" i="2"/>
  <c r="F358" i="2"/>
  <c r="F92" i="2"/>
  <c r="F87" i="2"/>
  <c r="F513" i="2"/>
  <c r="H357" i="2"/>
  <c r="F99" i="2"/>
  <c r="H254" i="2"/>
  <c r="E254" i="2"/>
  <c r="G358" i="2"/>
  <c r="G99" i="2"/>
  <c r="H338" i="2"/>
  <c r="F172" i="2"/>
  <c r="F221" i="2"/>
  <c r="F325" i="2"/>
  <c r="G298" i="2"/>
  <c r="E37" i="2"/>
  <c r="G87" i="2"/>
  <c r="F269" i="2"/>
  <c r="H87" i="2"/>
  <c r="E24" i="2"/>
  <c r="G367" i="2"/>
  <c r="G323" i="2"/>
  <c r="H40" i="2"/>
  <c r="G221" i="2"/>
  <c r="G254" i="2"/>
  <c r="E325" i="2"/>
  <c r="E367" i="2"/>
  <c r="E494" i="2"/>
  <c r="E323" i="2"/>
  <c r="H494" i="2"/>
  <c r="E338" i="2"/>
  <c r="G37" i="2"/>
  <c r="G494" i="2"/>
  <c r="E348" i="2"/>
  <c r="H323" i="2"/>
  <c r="G357" i="2"/>
  <c r="E358" i="2"/>
  <c r="G338" i="2"/>
  <c r="E269" i="2"/>
  <c r="E99" i="2"/>
  <c r="F298" i="2"/>
  <c r="F323" i="2"/>
  <c r="F37" i="2"/>
  <c r="F367" i="2"/>
  <c r="E513" i="2"/>
  <c r="H172" i="2"/>
  <c r="H221" i="2"/>
  <c r="F254" i="2"/>
  <c r="E357" i="2"/>
  <c r="G92" i="2"/>
  <c r="E221" i="2"/>
  <c r="G325" i="2"/>
  <c r="G348" i="2"/>
  <c r="G24" i="2"/>
  <c r="F494" i="2"/>
  <c r="E87" i="2"/>
  <c r="F40" i="2"/>
  <c r="E139" i="2"/>
  <c r="H301" i="2"/>
  <c r="E130" i="2"/>
  <c r="E550" i="2"/>
  <c r="F94" i="2"/>
  <c r="E370" i="2"/>
  <c r="H370" i="2"/>
  <c r="H130" i="2"/>
  <c r="H94" i="2"/>
  <c r="F478" i="2"/>
  <c r="G190" i="2"/>
  <c r="E301" i="2"/>
  <c r="G301" i="2"/>
  <c r="H190" i="2"/>
  <c r="H550" i="2"/>
  <c r="E244" i="2"/>
  <c r="H222" i="2"/>
  <c r="G139" i="2"/>
  <c r="G94" i="2"/>
  <c r="F130" i="2"/>
  <c r="F550" i="2"/>
  <c r="G370" i="2"/>
  <c r="F139" i="2"/>
  <c r="F190" i="2"/>
  <c r="G222" i="2"/>
  <c r="G244" i="2"/>
  <c r="F244" i="2"/>
  <c r="F222" i="2"/>
  <c r="H478" i="2"/>
  <c r="E478" i="2"/>
  <c r="E190" i="2"/>
  <c r="F370" i="2"/>
  <c r="E94" i="2"/>
  <c r="F301" i="2"/>
  <c r="H139" i="2"/>
  <c r="G550" i="2"/>
  <c r="G478" i="2"/>
  <c r="G130" i="2"/>
  <c r="H244" i="2"/>
  <c r="E222" i="2"/>
  <c r="G237" i="2"/>
  <c r="H331" i="2"/>
  <c r="F450" i="2"/>
  <c r="F331" i="2"/>
  <c r="F115" i="2"/>
  <c r="E226" i="2"/>
  <c r="G20" i="2"/>
  <c r="H445" i="2"/>
  <c r="H474" i="2"/>
  <c r="G469" i="2"/>
  <c r="G586" i="2"/>
  <c r="H489" i="2"/>
  <c r="F196" i="2"/>
  <c r="F489" i="2"/>
  <c r="H351" i="2"/>
  <c r="E445" i="2"/>
  <c r="H555" i="2"/>
  <c r="H20" i="2"/>
  <c r="E440" i="2"/>
  <c r="G489" i="2"/>
  <c r="G555" i="2"/>
  <c r="H586" i="2"/>
  <c r="F237" i="2"/>
  <c r="F226" i="2"/>
  <c r="H577" i="2"/>
  <c r="E115" i="2"/>
  <c r="H612" i="2"/>
  <c r="G440" i="2"/>
  <c r="E469" i="2"/>
  <c r="F555" i="2"/>
  <c r="F20" i="2"/>
  <c r="F469" i="2"/>
  <c r="E331" i="2"/>
  <c r="G577" i="2"/>
  <c r="H237" i="2"/>
  <c r="E612" i="2"/>
  <c r="H490" i="2"/>
  <c r="F445" i="2"/>
  <c r="F152" i="2"/>
  <c r="F586" i="2"/>
  <c r="F612" i="2"/>
  <c r="E490" i="2"/>
  <c r="E450" i="2"/>
  <c r="G121" i="2"/>
  <c r="H115" i="2"/>
  <c r="E121" i="2"/>
  <c r="H152" i="2"/>
  <c r="H440" i="2"/>
  <c r="H196" i="2"/>
  <c r="G474" i="2"/>
  <c r="E152" i="2"/>
  <c r="E474" i="2"/>
  <c r="F490" i="2"/>
  <c r="F351" i="2"/>
  <c r="E196" i="2"/>
  <c r="G351" i="2"/>
  <c r="F577" i="2"/>
  <c r="H226" i="2"/>
  <c r="H121" i="2"/>
  <c r="G445" i="2"/>
  <c r="H469" i="2"/>
  <c r="G612" i="2"/>
  <c r="G152" i="2"/>
  <c r="G490" i="2"/>
  <c r="E489" i="2"/>
  <c r="E577" i="2"/>
  <c r="E586" i="2"/>
  <c r="F121" i="2"/>
  <c r="G115" i="2"/>
  <c r="H450" i="2"/>
  <c r="F474" i="2"/>
  <c r="E555" i="2"/>
  <c r="G450" i="2"/>
  <c r="E237" i="2"/>
  <c r="G196" i="2"/>
  <c r="E20" i="2"/>
  <c r="G331" i="2"/>
  <c r="F440" i="2"/>
  <c r="G226" i="2"/>
  <c r="E351" i="2"/>
  <c r="G281" i="2"/>
  <c r="E70" i="2"/>
  <c r="G479" i="2"/>
  <c r="F409" i="2"/>
  <c r="E409" i="2"/>
  <c r="E10" i="2"/>
  <c r="G10" i="2"/>
  <c r="G241" i="2"/>
  <c r="F119" i="2"/>
  <c r="H265" i="2"/>
  <c r="F265" i="2"/>
  <c r="H479" i="2"/>
  <c r="H10" i="2"/>
  <c r="H525" i="2"/>
  <c r="H119" i="2"/>
  <c r="G119" i="2"/>
  <c r="F525" i="2"/>
  <c r="E56" i="2"/>
  <c r="F241" i="2"/>
  <c r="E281" i="2"/>
  <c r="F479" i="2"/>
  <c r="F56" i="2"/>
  <c r="F70" i="2"/>
  <c r="E265" i="2"/>
  <c r="H281" i="2"/>
  <c r="G409" i="2"/>
  <c r="G70" i="2"/>
  <c r="H56" i="2"/>
  <c r="G525" i="2"/>
  <c r="E525" i="2"/>
  <c r="G265" i="2"/>
  <c r="H70" i="2"/>
  <c r="E119" i="2"/>
  <c r="H409" i="2"/>
  <c r="E241" i="2"/>
  <c r="G56" i="2"/>
  <c r="F281" i="2"/>
  <c r="H241" i="2"/>
  <c r="F10" i="2"/>
  <c r="E479" i="2"/>
  <c r="H419" i="2"/>
  <c r="E303" i="2"/>
  <c r="E306" i="2"/>
  <c r="E153" i="2"/>
  <c r="G604" i="2"/>
  <c r="G153" i="2"/>
  <c r="F156" i="2"/>
  <c r="H306" i="2"/>
  <c r="E248" i="2"/>
  <c r="E436" i="2"/>
  <c r="H566" i="2"/>
  <c r="H311" i="2"/>
  <c r="H604" i="2"/>
  <c r="F153" i="2"/>
  <c r="G111" i="2"/>
  <c r="E419" i="2"/>
  <c r="F306" i="2"/>
  <c r="F111" i="2"/>
  <c r="F360" i="2"/>
  <c r="G302" i="2"/>
  <c r="E311" i="2"/>
  <c r="E457" i="2"/>
  <c r="E406" i="2"/>
  <c r="F303" i="2"/>
  <c r="H617" i="2"/>
  <c r="G273" i="2"/>
  <c r="H360" i="2"/>
  <c r="G448" i="2"/>
  <c r="F406" i="2"/>
  <c r="G303" i="2"/>
  <c r="F566" i="2"/>
  <c r="F436" i="2"/>
  <c r="G419" i="2"/>
  <c r="G406" i="2"/>
  <c r="H111" i="2"/>
  <c r="E486" i="2"/>
  <c r="F302" i="2"/>
  <c r="H273" i="2"/>
  <c r="G248" i="2"/>
  <c r="H526" i="2"/>
  <c r="F604" i="2"/>
  <c r="H156" i="2"/>
  <c r="H457" i="2"/>
  <c r="G156" i="2"/>
  <c r="G486" i="2"/>
  <c r="G526" i="2"/>
  <c r="E526" i="2"/>
  <c r="F448" i="2"/>
  <c r="E566" i="2"/>
  <c r="E360" i="2"/>
  <c r="H302" i="2"/>
  <c r="G436" i="2"/>
  <c r="G457" i="2"/>
  <c r="F617" i="2"/>
  <c r="H248" i="2"/>
  <c r="F311" i="2"/>
  <c r="H448" i="2"/>
  <c r="E273" i="2"/>
  <c r="G617" i="2"/>
  <c r="F486" i="2"/>
  <c r="E604" i="2"/>
  <c r="F457" i="2"/>
  <c r="E448" i="2"/>
  <c r="H436" i="2"/>
  <c r="E302" i="2"/>
  <c r="H486" i="2"/>
  <c r="F248" i="2"/>
  <c r="G311" i="2"/>
  <c r="H406" i="2"/>
  <c r="H153" i="2"/>
  <c r="E156" i="2"/>
  <c r="F273" i="2"/>
  <c r="H303" i="2"/>
  <c r="E617" i="2"/>
  <c r="G566" i="2"/>
  <c r="F526" i="2"/>
  <c r="E111" i="2"/>
  <c r="F419" i="2"/>
  <c r="G360" i="2"/>
  <c r="G306" i="2"/>
  <c r="Z29" i="1"/>
  <c r="Z81" i="1"/>
  <c r="Z13" i="1"/>
  <c r="Z32" i="1"/>
  <c r="Z12" i="1"/>
  <c r="AA102" i="1"/>
  <c r="AA64" i="1"/>
  <c r="AA52" i="1"/>
  <c r="AA87" i="1"/>
  <c r="AA63" i="1"/>
  <c r="AA18" i="1"/>
  <c r="AA91" i="1"/>
  <c r="AA74" i="1"/>
  <c r="AA76" i="1"/>
  <c r="AA85" i="1"/>
  <c r="Z30" i="1"/>
  <c r="Z88" i="1"/>
  <c r="Z44" i="1"/>
  <c r="Z52" i="1"/>
  <c r="Z34" i="1"/>
  <c r="Z76" i="1"/>
  <c r="Z4" i="1"/>
  <c r="Z104" i="1"/>
  <c r="Z64" i="1"/>
  <c r="Z39" i="1"/>
  <c r="AA12" i="1"/>
  <c r="AA25" i="1"/>
  <c r="AA20" i="1"/>
  <c r="AA51" i="1"/>
  <c r="AA2" i="1"/>
  <c r="AA59" i="1"/>
  <c r="AA4" i="1"/>
  <c r="AA21" i="1"/>
  <c r="AA68" i="1"/>
  <c r="AA35" i="1"/>
  <c r="AB63" i="1"/>
  <c r="AB40" i="1"/>
  <c r="AB47" i="1"/>
  <c r="AB98" i="1"/>
  <c r="AB44" i="1"/>
  <c r="AB53" i="1"/>
  <c r="AB3" i="1"/>
  <c r="AB37" i="1"/>
  <c r="AB28" i="1"/>
  <c r="AB61" i="1"/>
  <c r="AA36" i="1"/>
  <c r="AA71" i="1"/>
  <c r="AA88" i="1"/>
  <c r="AA37" i="1"/>
  <c r="AA33" i="1"/>
  <c r="AA78" i="1"/>
  <c r="AA22" i="1"/>
  <c r="AA79" i="1"/>
  <c r="AA58" i="1"/>
  <c r="AA92" i="1"/>
  <c r="Z27" i="1"/>
  <c r="Z6" i="1"/>
  <c r="Z65" i="1"/>
  <c r="Z80" i="1"/>
  <c r="Z78" i="1"/>
  <c r="Z71" i="1"/>
  <c r="Z20" i="1"/>
  <c r="Z48" i="1"/>
  <c r="Z53" i="1"/>
  <c r="Z85" i="1"/>
  <c r="AA98" i="1"/>
  <c r="AA100" i="1"/>
  <c r="AA62" i="1"/>
  <c r="AA96" i="1"/>
  <c r="AA19" i="1"/>
  <c r="AA101" i="1"/>
  <c r="AA26" i="1"/>
  <c r="AA48" i="1"/>
  <c r="Z16" i="1"/>
  <c r="AA81" i="1"/>
  <c r="Z50" i="1"/>
  <c r="AA55" i="1"/>
  <c r="Z59" i="1"/>
  <c r="Z63" i="1"/>
  <c r="Z37" i="1"/>
  <c r="Z94" i="1"/>
  <c r="Z66" i="1"/>
  <c r="Z45" i="1"/>
  <c r="Z96" i="1"/>
  <c r="Z70" i="1"/>
  <c r="AA57" i="1"/>
  <c r="AA6" i="1"/>
  <c r="AA103" i="1"/>
  <c r="AA3" i="1"/>
  <c r="AA53" i="1"/>
  <c r="AA70" i="1"/>
  <c r="AA104" i="1"/>
  <c r="AA44" i="1"/>
  <c r="AA56" i="1"/>
  <c r="AA86" i="1"/>
  <c r="AB85" i="1"/>
  <c r="AB54" i="1"/>
  <c r="AB76" i="1"/>
  <c r="AB11" i="1"/>
  <c r="AB46" i="1"/>
  <c r="AB69" i="1"/>
  <c r="AB68" i="1"/>
  <c r="AB29" i="1"/>
  <c r="AB93" i="1"/>
  <c r="AB59" i="1"/>
  <c r="AA72" i="1"/>
  <c r="AA41" i="1"/>
  <c r="AA69" i="1"/>
  <c r="AA42" i="1"/>
  <c r="AA94" i="1"/>
  <c r="AA15" i="1"/>
  <c r="AA66" i="1"/>
  <c r="AA7" i="1"/>
  <c r="AA29" i="1"/>
  <c r="AA5" i="1"/>
  <c r="Z19" i="1"/>
  <c r="Z58" i="1"/>
  <c r="Z2" i="1"/>
  <c r="Z68" i="1"/>
  <c r="Z33" i="1"/>
  <c r="Z98" i="1"/>
  <c r="Z7" i="1"/>
  <c r="Z90" i="1"/>
  <c r="Z14" i="1"/>
  <c r="Z15" i="1"/>
  <c r="AB77" i="1"/>
  <c r="AB106" i="1"/>
  <c r="AB14" i="1"/>
  <c r="AB66" i="1"/>
  <c r="AB16" i="1"/>
  <c r="AB102" i="1"/>
  <c r="AB30" i="1"/>
  <c r="AB52" i="1"/>
  <c r="AB39" i="1"/>
  <c r="AB72" i="1"/>
  <c r="AB5" i="1"/>
  <c r="AB99" i="1"/>
  <c r="AB23" i="1"/>
  <c r="AB103" i="1"/>
  <c r="AB2" i="1"/>
  <c r="AB78" i="1"/>
  <c r="AB50" i="1"/>
  <c r="AB51" i="1"/>
  <c r="AB19" i="1"/>
  <c r="AB62" i="1"/>
  <c r="AB100" i="1"/>
  <c r="AB65" i="1"/>
  <c r="AB8" i="1"/>
  <c r="AB36" i="1"/>
  <c r="AB55" i="1"/>
  <c r="AB48" i="1"/>
  <c r="AB35" i="1"/>
  <c r="AB42" i="1"/>
  <c r="AB7" i="1"/>
  <c r="AB79" i="1"/>
  <c r="AB25" i="1"/>
  <c r="AB18" i="1"/>
  <c r="AB57" i="1"/>
  <c r="AB90" i="1"/>
  <c r="AB104" i="1"/>
  <c r="AB70" i="1"/>
  <c r="AB74" i="1"/>
  <c r="AB67" i="1"/>
  <c r="AB49" i="1"/>
  <c r="AB27" i="1"/>
  <c r="AB83" i="1"/>
  <c r="AB88" i="1"/>
  <c r="AB33" i="1"/>
  <c r="AB38" i="1"/>
  <c r="AB71" i="1"/>
  <c r="AB89" i="1"/>
  <c r="AB82" i="1"/>
  <c r="AB24" i="1"/>
  <c r="AB73" i="1"/>
  <c r="AB75" i="1"/>
  <c r="AB17" i="1"/>
  <c r="AB101" i="1"/>
  <c r="AB4" i="1"/>
  <c r="AB91" i="1"/>
  <c r="AB58" i="1"/>
  <c r="AB6" i="1"/>
  <c r="AB31" i="1"/>
  <c r="AB15" i="1"/>
  <c r="AB22" i="1"/>
  <c r="AB95" i="1"/>
  <c r="AB21" i="1"/>
  <c r="AB80" i="1"/>
  <c r="AB56" i="1"/>
  <c r="AB41" i="1"/>
  <c r="AB34" i="1"/>
  <c r="AA43" i="1"/>
  <c r="AA84" i="1"/>
  <c r="AA32" i="1"/>
  <c r="AA10" i="1"/>
  <c r="AA45" i="1"/>
  <c r="AA93" i="1"/>
  <c r="AA16" i="1"/>
  <c r="AA24" i="1"/>
  <c r="Z23" i="1"/>
  <c r="AA105" i="1"/>
  <c r="Z101" i="1"/>
  <c r="AA27" i="1"/>
  <c r="Z87" i="1"/>
  <c r="Z10" i="1"/>
  <c r="Z105" i="1"/>
  <c r="Z103" i="1"/>
  <c r="Z28" i="1"/>
  <c r="Z91" i="1"/>
  <c r="Z3" i="1"/>
  <c r="Z84" i="1"/>
  <c r="Z40" i="1"/>
  <c r="Z67" i="1"/>
  <c r="Z22" i="1"/>
  <c r="Z95" i="1"/>
  <c r="Z100" i="1"/>
  <c r="Z38" i="1"/>
  <c r="Z92" i="1"/>
  <c r="Z26" i="1"/>
  <c r="Z106" i="1"/>
  <c r="Z99" i="1"/>
  <c r="AA31" i="1"/>
  <c r="AA82" i="1"/>
  <c r="AA49" i="1"/>
  <c r="AA38" i="1"/>
  <c r="AA30" i="1"/>
  <c r="AA60" i="1"/>
  <c r="AA17" i="1"/>
  <c r="AA67" i="1"/>
  <c r="AA34" i="1"/>
  <c r="Z54" i="1"/>
  <c r="AA46" i="1"/>
  <c r="Z75" i="1"/>
  <c r="Z21" i="1"/>
  <c r="Z31" i="1"/>
  <c r="Z35" i="1"/>
  <c r="Z51" i="1"/>
  <c r="Z61" i="1"/>
  <c r="Z9" i="1"/>
  <c r="Z97" i="1"/>
  <c r="Z83" i="1"/>
  <c r="AA8" i="1"/>
  <c r="AA90" i="1"/>
  <c r="AA39" i="1"/>
  <c r="Z60" i="1"/>
  <c r="AA75" i="1"/>
  <c r="AA14" i="1"/>
  <c r="AA65" i="1"/>
  <c r="AA50" i="1"/>
  <c r="Z72" i="1"/>
  <c r="AA54" i="1"/>
  <c r="Z49" i="1"/>
  <c r="AA80" i="1"/>
  <c r="Z24" i="1"/>
  <c r="Z47" i="1"/>
  <c r="AA89" i="1"/>
  <c r="Z43" i="1"/>
  <c r="Z18" i="1"/>
  <c r="Z77" i="1"/>
  <c r="Z73" i="1"/>
  <c r="Z69" i="1"/>
  <c r="AB12" i="1"/>
  <c r="AB9" i="1"/>
  <c r="AB20" i="1"/>
  <c r="AB92" i="1"/>
  <c r="AB10" i="1"/>
  <c r="AB81" i="1"/>
  <c r="AB43" i="1"/>
  <c r="AB86" i="1"/>
  <c r="AB84" i="1"/>
  <c r="AB32" i="1"/>
  <c r="AB64" i="1"/>
  <c r="AB97" i="1"/>
  <c r="AB87" i="1"/>
  <c r="AB105" i="1"/>
  <c r="AB45" i="1"/>
  <c r="AB60" i="1"/>
  <c r="AB13" i="1"/>
  <c r="AB26" i="1"/>
  <c r="AB96" i="1"/>
  <c r="AB94" i="1"/>
  <c r="Z11" i="1"/>
  <c r="Z46" i="1"/>
  <c r="Z79" i="1"/>
  <c r="Z55" i="1"/>
  <c r="Z36" i="1"/>
  <c r="Z17" i="1"/>
  <c r="Z82" i="1"/>
  <c r="Z102" i="1"/>
  <c r="Z25" i="1"/>
  <c r="Z56" i="1"/>
  <c r="AA11" i="1"/>
  <c r="AA97" i="1"/>
  <c r="AA9" i="1"/>
  <c r="AA73" i="1"/>
  <c r="AA28" i="1"/>
  <c r="AA83" i="1"/>
  <c r="Z41" i="1"/>
  <c r="AA95" i="1"/>
  <c r="AA77" i="1"/>
  <c r="AA23" i="1"/>
  <c r="Z74" i="1"/>
  <c r="Z57" i="1"/>
  <c r="Z93" i="1"/>
  <c r="Z89" i="1"/>
  <c r="Z5" i="1"/>
  <c r="AA106" i="1"/>
  <c r="AA13" i="1"/>
  <c r="Z62" i="1"/>
  <c r="Z86" i="1"/>
  <c r="AA40" i="1"/>
  <c r="AA61" i="1"/>
  <c r="AA99" i="1"/>
  <c r="Z8" i="1"/>
  <c r="Z42" i="1"/>
  <c r="AA47" i="1"/>
</calcChain>
</file>

<file path=xl/sharedStrings.xml><?xml version="1.0" encoding="utf-8"?>
<sst xmlns="http://schemas.openxmlformats.org/spreadsheetml/2006/main" count="7011" uniqueCount="2569">
  <si>
    <t>Account</t>
  </si>
  <si>
    <t>bbgid</t>
  </si>
  <si>
    <t>submissionType</t>
  </si>
  <si>
    <t>liveTestFlag</t>
  </si>
  <si>
    <t>repPdEnd</t>
  </si>
  <si>
    <t>repPdDate</t>
  </si>
  <si>
    <t>isFinalFiling</t>
  </si>
  <si>
    <t>dateSigned</t>
  </si>
  <si>
    <t>totAssets</t>
  </si>
  <si>
    <t>totLiabs</t>
  </si>
  <si>
    <t>netAssets</t>
  </si>
  <si>
    <t>assetsAttrMiscSec</t>
  </si>
  <si>
    <t>assetsInvested</t>
  </si>
  <si>
    <t>amtPayOneYrBanksBorr</t>
  </si>
  <si>
    <t>amtPayOneYrCtrldComp</t>
  </si>
  <si>
    <t>amtPayOneYrOthAffil</t>
  </si>
  <si>
    <t>amtPayOneYrOther</t>
  </si>
  <si>
    <t>amtPayAftOneYrBanksBorr</t>
  </si>
  <si>
    <t>amtPayAftOneYrCtrldComp</t>
  </si>
  <si>
    <t>amtPayAftOneYrOthAffil</t>
  </si>
  <si>
    <t>amtPayAftOneYrOther</t>
  </si>
  <si>
    <t>delayDeliv</t>
  </si>
  <si>
    <t>standByCommit</t>
  </si>
  <si>
    <t>liquidPref</t>
  </si>
  <si>
    <t>isNonCashCollateral</t>
  </si>
  <si>
    <t>rtn1</t>
  </si>
  <si>
    <t>rtn2</t>
  </si>
  <si>
    <t>rtn3</t>
  </si>
  <si>
    <t>netRealizedGainMon1</t>
  </si>
  <si>
    <t>netUnrealizedApprMon1</t>
  </si>
  <si>
    <t>netRealizedGainMon2</t>
  </si>
  <si>
    <t>netUnrealizedApprMon2</t>
  </si>
  <si>
    <t>netRealizedGainMon3</t>
  </si>
  <si>
    <t>netUnrealizedApprMon3</t>
  </si>
  <si>
    <t>mon1Sales</t>
  </si>
  <si>
    <t>mon1Redemption</t>
  </si>
  <si>
    <t>mon1Reinvestment</t>
  </si>
  <si>
    <t>mon2Sales</t>
  </si>
  <si>
    <t>mon2Redemption</t>
  </si>
  <si>
    <t>mon2Reinvestment</t>
  </si>
  <si>
    <t>mon3Sales</t>
  </si>
  <si>
    <t>mon3Redemption</t>
  </si>
  <si>
    <t>mon3Reinvestment</t>
  </si>
  <si>
    <t>nameDesignatedIndex</t>
  </si>
  <si>
    <t>indexIdentifier</t>
  </si>
  <si>
    <t>ACLZ</t>
  </si>
  <si>
    <t>ACLZ US Equity</t>
  </si>
  <si>
    <t>NPORT-P</t>
  </si>
  <si>
    <t>TEST</t>
  </si>
  <si>
    <t>2026-06-30</t>
  </si>
  <si>
    <t>N</t>
  </si>
  <si>
    <t>2026-07-31</t>
  </si>
  <si>
    <t>513289.03</t>
  </si>
  <si>
    <t>269435.03</t>
  </si>
  <si>
    <t>243854.00</t>
  </si>
  <si>
    <t>0</t>
  </si>
  <si>
    <t>N/A</t>
  </si>
  <si>
    <t>0.00</t>
  </si>
  <si>
    <t>250000.00</t>
  </si>
  <si>
    <t>S&amp;P 500 Index</t>
  </si>
  <si>
    <t>SPX</t>
  </si>
  <si>
    <t>ACMM</t>
  </si>
  <si>
    <t>ACMM US Equity</t>
  </si>
  <si>
    <t>769496.75</t>
  </si>
  <si>
    <t>506928.75</t>
  </si>
  <si>
    <t>262568.00</t>
  </si>
  <si>
    <t>AV</t>
  </si>
  <si>
    <t>AV US Equity</t>
  </si>
  <si>
    <t>1423815.00</t>
  </si>
  <si>
    <t>1299519.00</t>
  </si>
  <si>
    <t>BAY</t>
  </si>
  <si>
    <t>BAY US Equity</t>
  </si>
  <si>
    <t>1970766.00</t>
  </si>
  <si>
    <t>1847615.00</t>
  </si>
  <si>
    <t>BLCK</t>
  </si>
  <si>
    <t>BLCK US Equity</t>
  </si>
  <si>
    <t>1260375.00</t>
  </si>
  <si>
    <t>1389791.00</t>
  </si>
  <si>
    <t>BREW</t>
  </si>
  <si>
    <t>BREW US Equity</t>
  </si>
  <si>
    <t>1611138.00</t>
  </si>
  <si>
    <t>1530895.00</t>
  </si>
  <si>
    <t>BRZX</t>
  </si>
  <si>
    <t>BRZX US Equity</t>
  </si>
  <si>
    <t>722582.18</t>
  </si>
  <si>
    <t>383886.68</t>
  </si>
  <si>
    <t>338695.50</t>
  </si>
  <si>
    <t>581204.50</t>
  </si>
  <si>
    <t>229915.00</t>
  </si>
  <si>
    <t>MSCI ACWI Index</t>
  </si>
  <si>
    <t>MXWD</t>
  </si>
  <si>
    <t>BZZ</t>
  </si>
  <si>
    <t>BZZ US Equity</t>
  </si>
  <si>
    <t>4136685.00</t>
  </si>
  <si>
    <t>3103078.50</t>
  </si>
  <si>
    <t>1746666.00</t>
  </si>
  <si>
    <t>CAMC</t>
  </si>
  <si>
    <t>CAMC US Equity</t>
  </si>
  <si>
    <t>512807.36</t>
  </si>
  <si>
    <t>270024.36</t>
  </si>
  <si>
    <t>242783.00</t>
  </si>
  <si>
    <t>CARX</t>
  </si>
  <si>
    <t>CARX US Equity</t>
  </si>
  <si>
    <t>536777.93</t>
  </si>
  <si>
    <t>281170.93</t>
  </si>
  <si>
    <t>255607.00</t>
  </si>
  <si>
    <t>CBIL</t>
  </si>
  <si>
    <t>CBIL US Equity</t>
  </si>
  <si>
    <t>17030246.20</t>
  </si>
  <si>
    <t>326.20</t>
  </si>
  <si>
    <t>17029920.00</t>
  </si>
  <si>
    <t>17009188.00</t>
  </si>
  <si>
    <t>FTSE US Treasury Bill 3-12 Months Index</t>
  </si>
  <si>
    <t>CFIIBL3P</t>
  </si>
  <si>
    <t>CBOT</t>
  </si>
  <si>
    <t>CBOT US Equity</t>
  </si>
  <si>
    <t>3474203.48</t>
  </si>
  <si>
    <t>119.48</t>
  </si>
  <si>
    <t>3474084.00</t>
  </si>
  <si>
    <t>2529682.00</t>
  </si>
  <si>
    <t>1370925.00</t>
  </si>
  <si>
    <t>CCPX</t>
  </si>
  <si>
    <t>CCPX US Equity</t>
  </si>
  <si>
    <t>2714187.20</t>
  </si>
  <si>
    <t>1418028.70</t>
  </si>
  <si>
    <t>1296158.50</t>
  </si>
  <si>
    <t>1502423.00</t>
  </si>
  <si>
    <t>CGOV</t>
  </si>
  <si>
    <t>CGOV US Equity</t>
  </si>
  <si>
    <t>17536750.00</t>
  </si>
  <si>
    <t>17512385.00</t>
  </si>
  <si>
    <t>FTSE 3-Month US Treasury Bill Index</t>
  </si>
  <si>
    <t>SBMMTB3</t>
  </si>
  <si>
    <t>CHYG</t>
  </si>
  <si>
    <t>CHYG US Equity</t>
  </si>
  <si>
    <t>5506974.00</t>
  </si>
  <si>
    <t>5496632.00</t>
  </si>
  <si>
    <t>FTSE US High-Yield Market 0-5 Years 2% Capped Index</t>
  </si>
  <si>
    <t>CFIIH52C</t>
  </si>
  <si>
    <t>CIEI</t>
  </si>
  <si>
    <t>CIEI US Equity</t>
  </si>
  <si>
    <t>2258901.00</t>
  </si>
  <si>
    <t>2253220.00</t>
  </si>
  <si>
    <t>FTSE US Treasury 3-7 Years Index</t>
  </si>
  <si>
    <t>CFIIBD37</t>
  </si>
  <si>
    <t>CIVG</t>
  </si>
  <si>
    <t>CIVG US Equity</t>
  </si>
  <si>
    <t>4258415.00</t>
  </si>
  <si>
    <t>4253878.00</t>
  </si>
  <si>
    <t>FTSE US Broad Investment-Grade Corporate Bond 1-5 Years Index</t>
  </si>
  <si>
    <t>SBUSC15U</t>
  </si>
  <si>
    <t>CJUN</t>
  </si>
  <si>
    <t>CJUN US Equity</t>
  </si>
  <si>
    <t>1416808.14</t>
  </si>
  <si>
    <t>54469.14</t>
  </si>
  <si>
    <t>1362339.00</t>
  </si>
  <si>
    <t>1376042.50</t>
  </si>
  <si>
    <t>CMAG</t>
  </si>
  <si>
    <t>CMAG US Equity</t>
  </si>
  <si>
    <t>11879494.56</t>
  </si>
  <si>
    <t>3195524.06</t>
  </si>
  <si>
    <t>8683970.50</t>
  </si>
  <si>
    <t>2294757.00</t>
  </si>
  <si>
    <t>6815911.00</t>
  </si>
  <si>
    <t>CMAY</t>
  </si>
  <si>
    <t>CMAY US Equity</t>
  </si>
  <si>
    <t>5252199.90</t>
  </si>
  <si>
    <t>278958.90</t>
  </si>
  <si>
    <t>4973241.00</t>
  </si>
  <si>
    <t>1000000.00</t>
  </si>
  <si>
    <t>4273715.00</t>
  </si>
  <si>
    <t>256324.00</t>
  </si>
  <si>
    <t>642990.00</t>
  </si>
  <si>
    <t>S&amp;P 500 Total Return Index</t>
  </si>
  <si>
    <t>SPXT</t>
  </si>
  <si>
    <t>CQTM</t>
  </si>
  <si>
    <t>CQTM US Equity</t>
  </si>
  <si>
    <t>15845049.15</t>
  </si>
  <si>
    <t>2340.65</t>
  </si>
  <si>
    <t>15842708.50</t>
  </si>
  <si>
    <t>7884070.00</t>
  </si>
  <si>
    <t>7630580.00</t>
  </si>
  <si>
    <t>CRUC</t>
  </si>
  <si>
    <t>CRUC US Equity</t>
  </si>
  <si>
    <t>522974.35</t>
  </si>
  <si>
    <t>273250.35</t>
  </si>
  <si>
    <t>249724.00</t>
  </si>
  <si>
    <t>CTJN</t>
  </si>
  <si>
    <t>CTJN US Equity</t>
  </si>
  <si>
    <t>1009547.16</t>
  </si>
  <si>
    <t>20927.16</t>
  </si>
  <si>
    <t>988620.00</t>
  </si>
  <si>
    <t>CTMA</t>
  </si>
  <si>
    <t>CTMA US Equity</t>
  </si>
  <si>
    <t>4866016.69</t>
  </si>
  <si>
    <t>177691.19</t>
  </si>
  <si>
    <t>4688325.50</t>
  </si>
  <si>
    <t>5156498.50</t>
  </si>
  <si>
    <t>127986.50</t>
  </si>
  <si>
    <t>639952.50</t>
  </si>
  <si>
    <t>CUST</t>
  </si>
  <si>
    <t>CUST US Equity</t>
  </si>
  <si>
    <t>7509930.00</t>
  </si>
  <si>
    <t>7508946.00</t>
  </si>
  <si>
    <t>FTSE US Treasury 1-3 Years Index</t>
  </si>
  <si>
    <t>SBUST13U</t>
  </si>
  <si>
    <t>DIPR</t>
  </si>
  <si>
    <t>DIPR US Equity</t>
  </si>
  <si>
    <t>3356150.00</t>
  </si>
  <si>
    <t>3953025.00</t>
  </si>
  <si>
    <t>DOCK</t>
  </si>
  <si>
    <t>DOCK US Equity</t>
  </si>
  <si>
    <t>1591062.00</t>
  </si>
  <si>
    <t>1543757.50</t>
  </si>
  <si>
    <t>EMJN</t>
  </si>
  <si>
    <t>EMJN US Equity</t>
  </si>
  <si>
    <t>1599841.05</t>
  </si>
  <si>
    <t>146989.05</t>
  </si>
  <si>
    <t>1452852.00</t>
  </si>
  <si>
    <t>1478270.00</t>
  </si>
  <si>
    <t>MSCI Emerging Markets Index</t>
  </si>
  <si>
    <t>MXEF</t>
  </si>
  <si>
    <t>EMMY</t>
  </si>
  <si>
    <t>EMMY US Equity</t>
  </si>
  <si>
    <t>5697902.25</t>
  </si>
  <si>
    <t>529193.25</t>
  </si>
  <si>
    <t>5168709.00</t>
  </si>
  <si>
    <t>6290660.00</t>
  </si>
  <si>
    <t>1380931.00</t>
  </si>
  <si>
    <t>1492246.00</t>
  </si>
  <si>
    <t>1122700.50</t>
  </si>
  <si>
    <t>EMXX</t>
  </si>
  <si>
    <t>EMXX US Equity</t>
  </si>
  <si>
    <t>1103819.07</t>
  </si>
  <si>
    <t>643115.07</t>
  </si>
  <si>
    <t>460704.00</t>
  </si>
  <si>
    <t>482030.00</t>
  </si>
  <si>
    <t>EUV</t>
  </si>
  <si>
    <t>EUV US Equity</t>
  </si>
  <si>
    <t>382008474.00</t>
  </si>
  <si>
    <t>265532448.00</t>
  </si>
  <si>
    <t>66074182.50</t>
  </si>
  <si>
    <t>199372812.50</t>
  </si>
  <si>
    <t>29987946.00</t>
  </si>
  <si>
    <t>EUVX</t>
  </si>
  <si>
    <t>EUVX US Equity</t>
  </si>
  <si>
    <t>4014364.06</t>
  </si>
  <si>
    <t>2068280.56</t>
  </si>
  <si>
    <t>1946083.50</t>
  </si>
  <si>
    <t>1935838.00</t>
  </si>
  <si>
    <t>EYES</t>
  </si>
  <si>
    <t>EYES US Equity</t>
  </si>
  <si>
    <t>3046762.50</t>
  </si>
  <si>
    <t>3349803.50</t>
  </si>
  <si>
    <t>FDRS</t>
  </si>
  <si>
    <t>FDRS US Equity</t>
  </si>
  <si>
    <t>98461524.00</t>
  </si>
  <si>
    <t>53780344.00</t>
  </si>
  <si>
    <t>9102349.00</t>
  </si>
  <si>
    <t>1157510.00</t>
  </si>
  <si>
    <t>18541933.00</t>
  </si>
  <si>
    <t>5398231.00</t>
  </si>
  <si>
    <t>FDRX</t>
  </si>
  <si>
    <t>FDRX US Equity</t>
  </si>
  <si>
    <t>35284159.85</t>
  </si>
  <si>
    <t>18510769.85</t>
  </si>
  <si>
    <t>16773390.00</t>
  </si>
  <si>
    <t>8086283.00</t>
  </si>
  <si>
    <t>2047077.00</t>
  </si>
  <si>
    <t>642372.00</t>
  </si>
  <si>
    <t>GASZ</t>
  </si>
  <si>
    <t>GASZ US Equity</t>
  </si>
  <si>
    <t>11602762.83</t>
  </si>
  <si>
    <t>454.83</t>
  </si>
  <si>
    <t>11602308.00</t>
  </si>
  <si>
    <t>4335250.50</t>
  </si>
  <si>
    <t>6753702.00</t>
  </si>
  <si>
    <t>GLAM</t>
  </si>
  <si>
    <t>GLAM US Equity</t>
  </si>
  <si>
    <t>1480787.00</t>
  </si>
  <si>
    <t>1408622.50</t>
  </si>
  <si>
    <t>GNMX</t>
  </si>
  <si>
    <t>GNMX US Equity</t>
  </si>
  <si>
    <t>1605566.79</t>
  </si>
  <si>
    <t>182.79</t>
  </si>
  <si>
    <t>1605384.00</t>
  </si>
  <si>
    <t>1402266.00</t>
  </si>
  <si>
    <t>GPTZ</t>
  </si>
  <si>
    <t>GPTZ US Equity</t>
  </si>
  <si>
    <t>125000.00</t>
  </si>
  <si>
    <t>HJUN</t>
  </si>
  <si>
    <t>HJUN US Equity</t>
  </si>
  <si>
    <t>1410957.21</t>
  </si>
  <si>
    <t>39163.71</t>
  </si>
  <si>
    <t>1371793.50</t>
  </si>
  <si>
    <t>1374316.00</t>
  </si>
  <si>
    <t>HMAY</t>
  </si>
  <si>
    <t>HMAY US Equity</t>
  </si>
  <si>
    <t>5052411.70</t>
  </si>
  <si>
    <t>257058.70</t>
  </si>
  <si>
    <t>4795353.00</t>
  </si>
  <si>
    <t>5271380.50</t>
  </si>
  <si>
    <t>506546.00</t>
  </si>
  <si>
    <t>HULL</t>
  </si>
  <si>
    <t>HULL US Equity</t>
  </si>
  <si>
    <t>2392759.76</t>
  </si>
  <si>
    <t>4298.26</t>
  </si>
  <si>
    <t>2388461.50</t>
  </si>
  <si>
    <t>2827856.00</t>
  </si>
  <si>
    <t>382447.50</t>
  </si>
  <si>
    <t>IDJN</t>
  </si>
  <si>
    <t>IDJN US Equity</t>
  </si>
  <si>
    <t>1020025.28</t>
  </si>
  <si>
    <t>37305.28</t>
  </si>
  <si>
    <t>982720.00</t>
  </si>
  <si>
    <t>1491906.00</t>
  </si>
  <si>
    <t>497848.00</t>
  </si>
  <si>
    <t>MSCI EAFE Index</t>
  </si>
  <si>
    <t>MXEA</t>
  </si>
  <si>
    <t>IDMY</t>
  </si>
  <si>
    <t>IDMY US Equity</t>
  </si>
  <si>
    <t>4907668.10</t>
  </si>
  <si>
    <t>171025.10</t>
  </si>
  <si>
    <t>4736643.00</t>
  </si>
  <si>
    <t>5167504.00</t>
  </si>
  <si>
    <t>376906.50</t>
  </si>
  <si>
    <t>JOUL</t>
  </si>
  <si>
    <t>JOUL US Equity</t>
  </si>
  <si>
    <t>11759866.52</t>
  </si>
  <si>
    <t>1051.52</t>
  </si>
  <si>
    <t>11758815.00</t>
  </si>
  <si>
    <t>7211386.00</t>
  </si>
  <si>
    <t>4376043.00</t>
  </si>
  <si>
    <t>JUNC</t>
  </si>
  <si>
    <t>JUNC US Equity</t>
  </si>
  <si>
    <t>1283489.96</t>
  </si>
  <si>
    <t>51689.96</t>
  </si>
  <si>
    <t>1231800.00</t>
  </si>
  <si>
    <t>1246176.00</t>
  </si>
  <si>
    <t>KEYX</t>
  </si>
  <si>
    <t>KEYX US Equity</t>
  </si>
  <si>
    <t>522050.94</t>
  </si>
  <si>
    <t>273781.94</t>
  </si>
  <si>
    <t>248269.00</t>
  </si>
  <si>
    <t>KRWX</t>
  </si>
  <si>
    <t>KRWX US Equity</t>
  </si>
  <si>
    <t>2845473.03</t>
  </si>
  <si>
    <t>1473998.03</t>
  </si>
  <si>
    <t>1371475.00</t>
  </si>
  <si>
    <t>2356487.00</t>
  </si>
  <si>
    <t>1287098.00</t>
  </si>
  <si>
    <t>KYC</t>
  </si>
  <si>
    <t>KYC US Equity</t>
  </si>
  <si>
    <t>1412034.00</t>
  </si>
  <si>
    <t>1478468.00</t>
  </si>
  <si>
    <t>LASC</t>
  </si>
  <si>
    <t>LASC US Equity</t>
  </si>
  <si>
    <t>486206.86</t>
  </si>
  <si>
    <t>255888.86</t>
  </si>
  <si>
    <t>230318.00</t>
  </si>
  <si>
    <t>LATR</t>
  </si>
  <si>
    <t>LATR US Equity</t>
  </si>
  <si>
    <t>1568565.15</t>
  </si>
  <si>
    <t>129.15</t>
  </si>
  <si>
    <t>1568436.00</t>
  </si>
  <si>
    <t>1470328.00</t>
  </si>
  <si>
    <t>LRNX</t>
  </si>
  <si>
    <t>LRNX US Equity</t>
  </si>
  <si>
    <t>546807.62</t>
  </si>
  <si>
    <t>285685.62</t>
  </si>
  <si>
    <t>261122.00</t>
  </si>
  <si>
    <t>MAYC</t>
  </si>
  <si>
    <t>MAYC US Equity</t>
  </si>
  <si>
    <t>4983364.71</t>
  </si>
  <si>
    <t>253728.71</t>
  </si>
  <si>
    <t>4729636.00</t>
  </si>
  <si>
    <t>4275755.00</t>
  </si>
  <si>
    <t>646830.00</t>
  </si>
  <si>
    <t>MGKX</t>
  </si>
  <si>
    <t>MGKX US Equity</t>
  </si>
  <si>
    <t>864663.64</t>
  </si>
  <si>
    <t>545345.14</t>
  </si>
  <si>
    <t>319318.50</t>
  </si>
  <si>
    <t>582704.50</t>
  </si>
  <si>
    <t>214508.00</t>
  </si>
  <si>
    <t>MNSX</t>
  </si>
  <si>
    <t>MNSX US Equity</t>
  </si>
  <si>
    <t>535651.20</t>
  </si>
  <si>
    <t>280186.20</t>
  </si>
  <si>
    <t>255465.00</t>
  </si>
  <si>
    <t>MSIX</t>
  </si>
  <si>
    <t>MSIX US Equity</t>
  </si>
  <si>
    <t>557282.61</t>
  </si>
  <si>
    <t>292933.61</t>
  </si>
  <si>
    <t>264349.00</t>
  </si>
  <si>
    <t>NYNY</t>
  </si>
  <si>
    <t>NYNY US Equity</t>
  </si>
  <si>
    <t>1180160.73</t>
  </si>
  <si>
    <t>6799.23</t>
  </si>
  <si>
    <t>1173361.50</t>
  </si>
  <si>
    <t>1391559.50</t>
  </si>
  <si>
    <t>263369.00</t>
  </si>
  <si>
    <t>ODDZ</t>
  </si>
  <si>
    <t>ODDZ US Equity</t>
  </si>
  <si>
    <t>1169469.00</t>
  </si>
  <si>
    <t>1889217.00</t>
  </si>
  <si>
    <t>822912.00</t>
  </si>
  <si>
    <t>ONTX</t>
  </si>
  <si>
    <t>ONTX US Equity</t>
  </si>
  <si>
    <t>534174.44</t>
  </si>
  <si>
    <t>274038.44</t>
  </si>
  <si>
    <t>260136.00</t>
  </si>
  <si>
    <t>OWN</t>
  </si>
  <si>
    <t>OWN US Equity</t>
  </si>
  <si>
    <t>2448913.67</t>
  </si>
  <si>
    <t>84393.67</t>
  </si>
  <si>
    <t>2364520.00</t>
  </si>
  <si>
    <t>3383699.00</t>
  </si>
  <si>
    <t>947648.00</t>
  </si>
  <si>
    <t>PTNT</t>
  </si>
  <si>
    <t>PTNT US Equity</t>
  </si>
  <si>
    <t>1433861.00</t>
  </si>
  <si>
    <t>1397466.00</t>
  </si>
  <si>
    <t>QJN</t>
  </si>
  <si>
    <t>QJN US Equity</t>
  </si>
  <si>
    <t>1059854.97</t>
  </si>
  <si>
    <t>83522.97</t>
  </si>
  <si>
    <t>976332.00</t>
  </si>
  <si>
    <t>Nasdaq-100 Index</t>
  </si>
  <si>
    <t>NDX</t>
  </si>
  <si>
    <t>QMY</t>
  </si>
  <si>
    <t>QMY US Equity</t>
  </si>
  <si>
    <t>5136388.20</t>
  </si>
  <si>
    <t>402219.70</t>
  </si>
  <si>
    <t>4734168.50</t>
  </si>
  <si>
    <t>5181842.50</t>
  </si>
  <si>
    <t>131338.50</t>
  </si>
  <si>
    <t>657652.50</t>
  </si>
  <si>
    <t>QQJN</t>
  </si>
  <si>
    <t>QQJN US Equity</t>
  </si>
  <si>
    <t>1320451.68</t>
  </si>
  <si>
    <t>93811.68</t>
  </si>
  <si>
    <t>1226640.00</t>
  </si>
  <si>
    <t>1244876.00</t>
  </si>
  <si>
    <t>QQMY</t>
  </si>
  <si>
    <t>QQMY US Equity</t>
  </si>
  <si>
    <t>5962196.93</t>
  </si>
  <si>
    <t>587834.93</t>
  </si>
  <si>
    <t>5374362.00</t>
  </si>
  <si>
    <t>4402195.00</t>
  </si>
  <si>
    <t>514538.00</t>
  </si>
  <si>
    <t>651987.50</t>
  </si>
  <si>
    <t>RMBC</t>
  </si>
  <si>
    <t>RMBC US Equity</t>
  </si>
  <si>
    <t>497079.28</t>
  </si>
  <si>
    <t>261287.28</t>
  </si>
  <si>
    <t>235792.00</t>
  </si>
  <si>
    <t>SCJN</t>
  </si>
  <si>
    <t>SCJN US Equity</t>
  </si>
  <si>
    <t>1082986.52</t>
  </si>
  <si>
    <t>65666.52</t>
  </si>
  <si>
    <t>1017320.00</t>
  </si>
  <si>
    <t>Russell 2000 Index</t>
  </si>
  <si>
    <t>RTY</t>
  </si>
  <si>
    <t>SCMY</t>
  </si>
  <si>
    <t>SCMY US Equity</t>
  </si>
  <si>
    <t>5084725.39</t>
  </si>
  <si>
    <t>329022.89</t>
  </si>
  <si>
    <t>4755702.50</t>
  </si>
  <si>
    <t>5151994.00</t>
  </si>
  <si>
    <t>509398.00</t>
  </si>
  <si>
    <t>SIMX</t>
  </si>
  <si>
    <t>SIMX US Equity</t>
  </si>
  <si>
    <t>534472.42</t>
  </si>
  <si>
    <t>280229.42</t>
  </si>
  <si>
    <t>254243.00</t>
  </si>
  <si>
    <t>STYL</t>
  </si>
  <si>
    <t>STYL US Equity</t>
  </si>
  <si>
    <t>1196750.10</t>
  </si>
  <si>
    <t>8246.10</t>
  </si>
  <si>
    <t>1188504.00</t>
  </si>
  <si>
    <t>1414168.50</t>
  </si>
  <si>
    <t>258888.00</t>
  </si>
  <si>
    <t>TAJX</t>
  </si>
  <si>
    <t>TAJX US Equity</t>
  </si>
  <si>
    <t>1458965.04</t>
  </si>
  <si>
    <t>797585.04</t>
  </si>
  <si>
    <t>661380.00</t>
  </si>
  <si>
    <t>611272.00</t>
  </si>
  <si>
    <t>TPLX</t>
  </si>
  <si>
    <t>TPLX US Equity</t>
  </si>
  <si>
    <t>537465.29</t>
  </si>
  <si>
    <t>276929.29</t>
  </si>
  <si>
    <t>260536.00</t>
  </si>
  <si>
    <t>UMCX</t>
  </si>
  <si>
    <t>UMCX US Equity</t>
  </si>
  <si>
    <t>589030.81</t>
  </si>
  <si>
    <t>304655.81</t>
  </si>
  <si>
    <t>284375.00</t>
  </si>
  <si>
    <t>USX</t>
  </si>
  <si>
    <t>USX US Equity</t>
  </si>
  <si>
    <t>1122206.20</t>
  </si>
  <si>
    <t>653982.20</t>
  </si>
  <si>
    <t>468224.00</t>
  </si>
  <si>
    <t>485845.00</t>
  </si>
  <si>
    <t>VBX</t>
  </si>
  <si>
    <t>VBX US Equity</t>
  </si>
  <si>
    <t>1928991.99</t>
  </si>
  <si>
    <t>1051520.99</t>
  </si>
  <si>
    <t>877471.00</t>
  </si>
  <si>
    <t>874852.00</t>
  </si>
  <si>
    <t>VOOX</t>
  </si>
  <si>
    <t>VOOX US Equity</t>
  </si>
  <si>
    <t>1672831.61</t>
  </si>
  <si>
    <t>975667.61</t>
  </si>
  <si>
    <t>697164.00</t>
  </si>
  <si>
    <t>719642.00</t>
  </si>
  <si>
    <t>WATS</t>
  </si>
  <si>
    <t>WATS US Equity</t>
  </si>
  <si>
    <t>2066976.81</t>
  </si>
  <si>
    <t>104.81</t>
  </si>
  <si>
    <t>2066872.00</t>
  </si>
  <si>
    <t>1326920.00</t>
  </si>
  <si>
    <t>967200.00</t>
  </si>
  <si>
    <t>WEBX</t>
  </si>
  <si>
    <t>WEBX US Equity</t>
  </si>
  <si>
    <t>953041.65</t>
  </si>
  <si>
    <t>498579.15</t>
  </si>
  <si>
    <t>454462.50</t>
  </si>
  <si>
    <t>567329.50</t>
  </si>
  <si>
    <t>WNDR</t>
  </si>
  <si>
    <t>WNDR US Equity</t>
  </si>
  <si>
    <t>1554773.00</t>
  </si>
  <si>
    <t>1423514.00</t>
  </si>
  <si>
    <t>WR</t>
  </si>
  <si>
    <t>WR US Equity</t>
  </si>
  <si>
    <t>3221856.00</t>
  </si>
  <si>
    <t>3383425.00</t>
  </si>
  <si>
    <t>WX</t>
  </si>
  <si>
    <t>WX US Equity</t>
  </si>
  <si>
    <t>932777.90</t>
  </si>
  <si>
    <t>581708.90</t>
  </si>
  <si>
    <t>351069.00</t>
  </si>
  <si>
    <t>601372.00</t>
  </si>
  <si>
    <t>234321.00</t>
  </si>
  <si>
    <t>XA</t>
  </si>
  <si>
    <t>XA US Equity</t>
  </si>
  <si>
    <t>2627001.23</t>
  </si>
  <si>
    <t>561.23</t>
  </si>
  <si>
    <t>2626440.00</t>
  </si>
  <si>
    <t>2252314.00</t>
  </si>
  <si>
    <t>XAGI</t>
  </si>
  <si>
    <t>XAGI US Equity</t>
  </si>
  <si>
    <t>948582.10</t>
  </si>
  <si>
    <t>541510.10</t>
  </si>
  <si>
    <t>407072.00</t>
  </si>
  <si>
    <t>669752.00</t>
  </si>
  <si>
    <t>206822.00</t>
  </si>
  <si>
    <t>XBIX</t>
  </si>
  <si>
    <t>XBIX US Equity</t>
  </si>
  <si>
    <t>1084044.72</t>
  </si>
  <si>
    <t>575391.72</t>
  </si>
  <si>
    <t>508653.00</t>
  </si>
  <si>
    <t>644119.00</t>
  </si>
  <si>
    <t>327291.00</t>
  </si>
  <si>
    <t>XCOM</t>
  </si>
  <si>
    <t>XCOM US Equity</t>
  </si>
  <si>
    <t>888873.95</t>
  </si>
  <si>
    <t>508277.95</t>
  </si>
  <si>
    <t>380596.00</t>
  </si>
  <si>
    <t>728422.00</t>
  </si>
  <si>
    <t>200304.00</t>
  </si>
  <si>
    <t>XEUR</t>
  </si>
  <si>
    <t>XEUR US Equity</t>
  </si>
  <si>
    <t>1111595.91</t>
  </si>
  <si>
    <t>625317.91</t>
  </si>
  <si>
    <t>486278.00</t>
  </si>
  <si>
    <t>501574.00</t>
  </si>
  <si>
    <t>XHOA</t>
  </si>
  <si>
    <t>XHOA US Equity</t>
  </si>
  <si>
    <t>602661.34</t>
  </si>
  <si>
    <t>338792.34</t>
  </si>
  <si>
    <t>263869.00</t>
  </si>
  <si>
    <t>XIWC</t>
  </si>
  <si>
    <t>XIWC US Equity</t>
  </si>
  <si>
    <t>898200.33</t>
  </si>
  <si>
    <t>523494.33</t>
  </si>
  <si>
    <t>374706.00</t>
  </si>
  <si>
    <t>708478.00</t>
  </si>
  <si>
    <t>374892.00</t>
  </si>
  <si>
    <t>XKRE</t>
  </si>
  <si>
    <t>XKRE US Equity</t>
  </si>
  <si>
    <t>913390.78</t>
  </si>
  <si>
    <t>488377.78</t>
  </si>
  <si>
    <t>425013.00</t>
  </si>
  <si>
    <t>632485.00</t>
  </si>
  <si>
    <t>277003.00</t>
  </si>
  <si>
    <t>XLBX</t>
  </si>
  <si>
    <t>XLBX US Equity</t>
  </si>
  <si>
    <t>1800165.41</t>
  </si>
  <si>
    <t>939315.91</t>
  </si>
  <si>
    <t>860849.50</t>
  </si>
  <si>
    <t>854837.50</t>
  </si>
  <si>
    <t>XLEX</t>
  </si>
  <si>
    <t>XLEX US Equity</t>
  </si>
  <si>
    <t>690400.21</t>
  </si>
  <si>
    <t>369071.71</t>
  </si>
  <si>
    <t>321328.50</t>
  </si>
  <si>
    <t>616372.00</t>
  </si>
  <si>
    <t>221533.00</t>
  </si>
  <si>
    <t>XLFX</t>
  </si>
  <si>
    <t>XLFX US Equity</t>
  </si>
  <si>
    <t>1424040.16</t>
  </si>
  <si>
    <t>743702.66</t>
  </si>
  <si>
    <t>680337.50</t>
  </si>
  <si>
    <t>631349.50</t>
  </si>
  <si>
    <t>XLIX</t>
  </si>
  <si>
    <t>XLIX US Equity</t>
  </si>
  <si>
    <t>856490.22</t>
  </si>
  <si>
    <t>457125.72</t>
  </si>
  <si>
    <t>399364.50</t>
  </si>
  <si>
    <t>604258.00</t>
  </si>
  <si>
    <t>260304.00</t>
  </si>
  <si>
    <t>XLKX</t>
  </si>
  <si>
    <t>XLKX US Equity</t>
  </si>
  <si>
    <t>1438855.85</t>
  </si>
  <si>
    <t>809734.85</t>
  </si>
  <si>
    <t>629121.00</t>
  </si>
  <si>
    <t>672518.00</t>
  </si>
  <si>
    <t>XLPX</t>
  </si>
  <si>
    <t>XLPX US Equity</t>
  </si>
  <si>
    <t>1605117.06</t>
  </si>
  <si>
    <t>935339.56</t>
  </si>
  <si>
    <t>669777.50</t>
  </si>
  <si>
    <t>655739.50</t>
  </si>
  <si>
    <t>XLUX</t>
  </si>
  <si>
    <t>XLUX US Equity</t>
  </si>
  <si>
    <t>1283105.57</t>
  </si>
  <si>
    <t>741901.57</t>
  </si>
  <si>
    <t>541204.00</t>
  </si>
  <si>
    <t>511041.00</t>
  </si>
  <si>
    <t>XLVX</t>
  </si>
  <si>
    <t>XLVX US Equity</t>
  </si>
  <si>
    <t>1423090.27</t>
  </si>
  <si>
    <t>873932.27</t>
  </si>
  <si>
    <t>549158.00</t>
  </si>
  <si>
    <t>805428.00</t>
  </si>
  <si>
    <t>270494.00</t>
  </si>
  <si>
    <t>XLYX</t>
  </si>
  <si>
    <t>XLYX US Equity</t>
  </si>
  <si>
    <t>814113.26</t>
  </si>
  <si>
    <t>456748.76</t>
  </si>
  <si>
    <t>357364.50</t>
  </si>
  <si>
    <t>366456.00</t>
  </si>
  <si>
    <t>XPAV</t>
  </si>
  <si>
    <t>XPAV US Equity</t>
  </si>
  <si>
    <t>591463.59</t>
  </si>
  <si>
    <t>330445.59</t>
  </si>
  <si>
    <t>261018.00</t>
  </si>
  <si>
    <t>XSEM</t>
  </si>
  <si>
    <t>XSEM US Equity</t>
  </si>
  <si>
    <t>1313517.20</t>
  </si>
  <si>
    <t>736122.20</t>
  </si>
  <si>
    <t>577395.00</t>
  </si>
  <si>
    <t>591487.00</t>
  </si>
  <si>
    <t>XTAI</t>
  </si>
  <si>
    <t>XTAI US Equity</t>
  </si>
  <si>
    <t>1295722.62</t>
  </si>
  <si>
    <t>713547.62</t>
  </si>
  <si>
    <t>582175.00</t>
  </si>
  <si>
    <t>560497.00</t>
  </si>
  <si>
    <t>XVO</t>
  </si>
  <si>
    <t>XVO US Equity</t>
  </si>
  <si>
    <t>1140873.60</t>
  </si>
  <si>
    <t>641941.60</t>
  </si>
  <si>
    <t>498932.00</t>
  </si>
  <si>
    <t>493748.00</t>
  </si>
  <si>
    <t>XVUG</t>
  </si>
  <si>
    <t>XVUG US Equity</t>
  </si>
  <si>
    <t>865419.84</t>
  </si>
  <si>
    <t>543521.34</t>
  </si>
  <si>
    <t>321898.50</t>
  </si>
  <si>
    <t>592565.50</t>
  </si>
  <si>
    <t>215947.00</t>
  </si>
  <si>
    <t>XW</t>
  </si>
  <si>
    <t>XW US Equity</t>
  </si>
  <si>
    <t>518260.19</t>
  </si>
  <si>
    <t>283747.19</t>
  </si>
  <si>
    <t>234513.00</t>
  </si>
  <si>
    <t>YUNG</t>
  </si>
  <si>
    <t>YUNG US Equity</t>
  </si>
  <si>
    <t>1552050.50</t>
  </si>
  <si>
    <t>1403068.00</t>
  </si>
  <si>
    <t>cusip</t>
  </si>
  <si>
    <t>valUSD</t>
  </si>
  <si>
    <t>durAdj</t>
  </si>
  <si>
    <t>spreadDur</t>
  </si>
  <si>
    <t>maturity</t>
  </si>
  <si>
    <t>ratingSP</t>
  </si>
  <si>
    <t>912797RS8</t>
  </si>
  <si>
    <t>912797RS8 Govt</t>
  </si>
  <si>
    <t>1277822.08</t>
  </si>
  <si>
    <t>912797SA6</t>
  </si>
  <si>
    <t>912797SA6 Govt</t>
  </si>
  <si>
    <t>1258306.15</t>
  </si>
  <si>
    <t>912797SK4</t>
  </si>
  <si>
    <t>912797SK4 Govt</t>
  </si>
  <si>
    <t>1273056.89</t>
  </si>
  <si>
    <t>912797SU2</t>
  </si>
  <si>
    <t>912797SU2 Govt</t>
  </si>
  <si>
    <t>402361.05</t>
  </si>
  <si>
    <t>912797TC1</t>
  </si>
  <si>
    <t>912797TC1 Govt</t>
  </si>
  <si>
    <t>464869.97</t>
  </si>
  <si>
    <t>912797TM9</t>
  </si>
  <si>
    <t>912797TM9 Govt</t>
  </si>
  <si>
    <t>526393.40</t>
  </si>
  <si>
    <t>912797TV9</t>
  </si>
  <si>
    <t>912797TV9 Govt</t>
  </si>
  <si>
    <t>464238.03</t>
  </si>
  <si>
    <t>912797UD7</t>
  </si>
  <si>
    <t>912797UD7 Govt</t>
  </si>
  <si>
    <t>527019.33</t>
  </si>
  <si>
    <t>912797UE5</t>
  </si>
  <si>
    <t>912797UE5 Govt</t>
  </si>
  <si>
    <t>462287.99</t>
  </si>
  <si>
    <t>912797UF2</t>
  </si>
  <si>
    <t>912797UF2 Govt</t>
  </si>
  <si>
    <t>807592.92</t>
  </si>
  <si>
    <t>912797UG0</t>
  </si>
  <si>
    <t>912797UG0 Govt</t>
  </si>
  <si>
    <t>807992.36</t>
  </si>
  <si>
    <t>912797UH8</t>
  </si>
  <si>
    <t>912797UH8 Govt</t>
  </si>
  <si>
    <t>807392.94</t>
  </si>
  <si>
    <t>912797UJ4</t>
  </si>
  <si>
    <t>912797UJ4 Govt</t>
  </si>
  <si>
    <t>807248.74</t>
  </si>
  <si>
    <t>912797UK1</t>
  </si>
  <si>
    <t>912797UK1 Govt</t>
  </si>
  <si>
    <t>806599.32</t>
  </si>
  <si>
    <t>912797UL9</t>
  </si>
  <si>
    <t>912797UL9 Govt</t>
  </si>
  <si>
    <t>803970.33</t>
  </si>
  <si>
    <t>912797UM7</t>
  </si>
  <si>
    <t>912797UM7 Govt</t>
  </si>
  <si>
    <t>793834.01</t>
  </si>
  <si>
    <t>912797UW5</t>
  </si>
  <si>
    <t>912797UW5 Govt</t>
  </si>
  <si>
    <t>450891.64</t>
  </si>
  <si>
    <t>912797UX3</t>
  </si>
  <si>
    <t>912797UX3 Govt</t>
  </si>
  <si>
    <t>518937.69</t>
  </si>
  <si>
    <t>912797UY1</t>
  </si>
  <si>
    <t>912797UY1 Govt</t>
  </si>
  <si>
    <t>804084.13</t>
  </si>
  <si>
    <t>912797UZ8</t>
  </si>
  <si>
    <t>912797UZ8 Govt</t>
  </si>
  <si>
    <t>802539.67</t>
  </si>
  <si>
    <t>912797VB0</t>
  </si>
  <si>
    <t>912797VB0 Govt</t>
  </si>
  <si>
    <t>675800.28</t>
  </si>
  <si>
    <t>912797VC8</t>
  </si>
  <si>
    <t>912797VC8 Govt</t>
  </si>
  <si>
    <t>740809.94</t>
  </si>
  <si>
    <t>912797VD6</t>
  </si>
  <si>
    <t>912797VD6 Govt</t>
  </si>
  <si>
    <t>740259.36</t>
  </si>
  <si>
    <t>912797RF6</t>
  </si>
  <si>
    <t>912797RF6 Govt</t>
  </si>
  <si>
    <t>1134431.68</t>
  </si>
  <si>
    <t>912797RG4</t>
  </si>
  <si>
    <t>912797RG4 Govt</t>
  </si>
  <si>
    <t>834468.18</t>
  </si>
  <si>
    <t>578842.48</t>
  </si>
  <si>
    <t>912797TE7</t>
  </si>
  <si>
    <t>912797TE7 Govt</t>
  </si>
  <si>
    <t>975000.00</t>
  </si>
  <si>
    <t>912797TF4</t>
  </si>
  <si>
    <t>912797TF4 Govt</t>
  </si>
  <si>
    <t>1009310.68</t>
  </si>
  <si>
    <t>912797TN7</t>
  </si>
  <si>
    <t>912797TN7 Govt</t>
  </si>
  <si>
    <t>819305.35</t>
  </si>
  <si>
    <t>912797TP2</t>
  </si>
  <si>
    <t>912797TP2 Govt</t>
  </si>
  <si>
    <t>728982.20</t>
  </si>
  <si>
    <t>912797TQ0</t>
  </si>
  <si>
    <t>912797TQ0 Govt</t>
  </si>
  <si>
    <t>727459.19</t>
  </si>
  <si>
    <t>912797TW7</t>
  </si>
  <si>
    <t>912797TW7 Govt</t>
  </si>
  <si>
    <t>627888.02</t>
  </si>
  <si>
    <t>912797TX5</t>
  </si>
  <si>
    <t>912797TX5 Govt</t>
  </si>
  <si>
    <t>725880.77</t>
  </si>
  <si>
    <t>912797TY3</t>
  </si>
  <si>
    <t>912797TY3 Govt</t>
  </si>
  <si>
    <t>553427.54</t>
  </si>
  <si>
    <t>912797UC9</t>
  </si>
  <si>
    <t>912797UC9 Govt</t>
  </si>
  <si>
    <t>783618.07</t>
  </si>
  <si>
    <t>912797UN5</t>
  </si>
  <si>
    <t>912797UN5 Govt</t>
  </si>
  <si>
    <t>805048.25</t>
  </si>
  <si>
    <t>912797UP0</t>
  </si>
  <si>
    <t>912797UP0 Govt</t>
  </si>
  <si>
    <t>657767.90</t>
  </si>
  <si>
    <t>912797UQ8</t>
  </si>
  <si>
    <t>912797UQ8 Govt</t>
  </si>
  <si>
    <t>657305.64</t>
  </si>
  <si>
    <t>912797UR6</t>
  </si>
  <si>
    <t>912797UR6 Govt</t>
  </si>
  <si>
    <t>483411.17</t>
  </si>
  <si>
    <t>912797US4</t>
  </si>
  <si>
    <t>912797US4 Govt</t>
  </si>
  <si>
    <t>477077.97</t>
  </si>
  <si>
    <t>912797UT2</t>
  </si>
  <si>
    <t>912797UT2 Govt</t>
  </si>
  <si>
    <t>291609.51</t>
  </si>
  <si>
    <t>912797UU9</t>
  </si>
  <si>
    <t>912797UU9 Govt</t>
  </si>
  <si>
    <t>289407.87</t>
  </si>
  <si>
    <t>912797UV7</t>
  </si>
  <si>
    <t>912797UV7 Govt</t>
  </si>
  <si>
    <t>290203.96</t>
  </si>
  <si>
    <t>289007.64</t>
  </si>
  <si>
    <t>111144.83</t>
  </si>
  <si>
    <t>00081TAK4</t>
  </si>
  <si>
    <t>00081TAK4 Corp</t>
  </si>
  <si>
    <t>28695.06</t>
  </si>
  <si>
    <t>00109LAA1</t>
  </si>
  <si>
    <t>00109LAA1 Corp</t>
  </si>
  <si>
    <t>25896.69</t>
  </si>
  <si>
    <t>00253XAB7</t>
  </si>
  <si>
    <t>00253XAB7 Corp</t>
  </si>
  <si>
    <t>26027.77</t>
  </si>
  <si>
    <t>00489LAL7</t>
  </si>
  <si>
    <t>00489LAL7 Corp</t>
  </si>
  <si>
    <t>26032.22</t>
  </si>
  <si>
    <t>00653VAA9</t>
  </si>
  <si>
    <t>00653VAA9 Corp</t>
  </si>
  <si>
    <t>29075.54</t>
  </si>
  <si>
    <t>00751YAE6</t>
  </si>
  <si>
    <t>00751YAE6 Corp</t>
  </si>
  <si>
    <t>29947.62</t>
  </si>
  <si>
    <t>013092AG6</t>
  </si>
  <si>
    <t>013092AG6 Corp</t>
  </si>
  <si>
    <t>24728.64</t>
  </si>
  <si>
    <t>01330AAA4</t>
  </si>
  <si>
    <t>01330AAA4 Corp</t>
  </si>
  <si>
    <t>30040.46</t>
  </si>
  <si>
    <t>01883LAE3</t>
  </si>
  <si>
    <t>01883LAE3 Corp</t>
  </si>
  <si>
    <t>30241.27</t>
  </si>
  <si>
    <t>019576AD9</t>
  </si>
  <si>
    <t>019576AD9 Corp</t>
  </si>
  <si>
    <t>29219.01</t>
  </si>
  <si>
    <t>031921AC3</t>
  </si>
  <si>
    <t>031921AC3 Corp</t>
  </si>
  <si>
    <t>29246.82</t>
  </si>
  <si>
    <t>03772CAA1</t>
  </si>
  <si>
    <t>03772CAA1 Corp</t>
  </si>
  <si>
    <t>30219.66</t>
  </si>
  <si>
    <t>039853AA4</t>
  </si>
  <si>
    <t>039853AA4 Corp</t>
  </si>
  <si>
    <t>22312.07</t>
  </si>
  <si>
    <t>039959AA9</t>
  </si>
  <si>
    <t>039959AA9 Corp</t>
  </si>
  <si>
    <t>23568.05</t>
  </si>
  <si>
    <t>04288BAB6</t>
  </si>
  <si>
    <t>04288BAB6 Corp</t>
  </si>
  <si>
    <t>30253.84</t>
  </si>
  <si>
    <t>045086AP0</t>
  </si>
  <si>
    <t>045086AP0 Corp</t>
  </si>
  <si>
    <t>30435.52</t>
  </si>
  <si>
    <t>05352TAA7</t>
  </si>
  <si>
    <t>05352TAA7 Corp</t>
  </si>
  <si>
    <t>23758.28</t>
  </si>
  <si>
    <t>058498AW6</t>
  </si>
  <si>
    <t>058498AW6 Corp</t>
  </si>
  <si>
    <t>30057.23</t>
  </si>
  <si>
    <t>060335AB2</t>
  </si>
  <si>
    <t>060335AB2 Corp</t>
  </si>
  <si>
    <t>28749.78</t>
  </si>
  <si>
    <t>07831CAA1</t>
  </si>
  <si>
    <t>07831CAA1 Corp</t>
  </si>
  <si>
    <t>28913.61</t>
  </si>
  <si>
    <t>080782AA3</t>
  </si>
  <si>
    <t>080782AA3 Corp</t>
  </si>
  <si>
    <t>30195.48</t>
  </si>
  <si>
    <t>09216NAA8</t>
  </si>
  <si>
    <t>09216NAA8 Corp</t>
  </si>
  <si>
    <t>29441.12</t>
  </si>
  <si>
    <t>097751CA7</t>
  </si>
  <si>
    <t>097751CA7 Corp</t>
  </si>
  <si>
    <t>27551.13</t>
  </si>
  <si>
    <t>10637BAA3</t>
  </si>
  <si>
    <t>10637BAA3 Corp</t>
  </si>
  <si>
    <t>30637.43</t>
  </si>
  <si>
    <t>118230AU5</t>
  </si>
  <si>
    <t>118230AU5 Corp</t>
  </si>
  <si>
    <t>6934.73</t>
  </si>
  <si>
    <t>1248EPBX0</t>
  </si>
  <si>
    <t>1248EPBX0 Corp</t>
  </si>
  <si>
    <t>29578.61</t>
  </si>
  <si>
    <t>12543DBH2</t>
  </si>
  <si>
    <t>12543DBH2 Corp</t>
  </si>
  <si>
    <t>23804.76</t>
  </si>
  <si>
    <t>12662PAH1</t>
  </si>
  <si>
    <t>12662PAH1 Corp</t>
  </si>
  <si>
    <t>25930.47</t>
  </si>
  <si>
    <t>126650EH9</t>
  </si>
  <si>
    <t>126650EH9 Corp</t>
  </si>
  <si>
    <t>32167.34</t>
  </si>
  <si>
    <t>131477BA8</t>
  </si>
  <si>
    <t>131477BA8 Corp</t>
  </si>
  <si>
    <t>29606.86</t>
  </si>
  <si>
    <t>140944AA7</t>
  </si>
  <si>
    <t>140944AA7 Corp</t>
  </si>
  <si>
    <t>27716.94</t>
  </si>
  <si>
    <t>143658CB6</t>
  </si>
  <si>
    <t>143658CB6 Corp</t>
  </si>
  <si>
    <t>29929.03</t>
  </si>
  <si>
    <t>15089QAW4</t>
  </si>
  <si>
    <t>15089QAW4 Corp</t>
  </si>
  <si>
    <t>30177.98</t>
  </si>
  <si>
    <t>15135BAT8</t>
  </si>
  <si>
    <t>15135BAT8 Corp</t>
  </si>
  <si>
    <t>32024.98</t>
  </si>
  <si>
    <t>156686AM9</t>
  </si>
  <si>
    <t>156686AM9 Corp</t>
  </si>
  <si>
    <t>25223.88</t>
  </si>
  <si>
    <t>172441BF3</t>
  </si>
  <si>
    <t>172441BF3 Corp</t>
  </si>
  <si>
    <t>24956.34</t>
  </si>
  <si>
    <t>17302XAN6</t>
  </si>
  <si>
    <t>17302XAN6 Corp</t>
  </si>
  <si>
    <t>25752.18</t>
  </si>
  <si>
    <t>18064PAD1</t>
  </si>
  <si>
    <t>18064PAD1 Corp</t>
  </si>
  <si>
    <t>28078.88</t>
  </si>
  <si>
    <t>18453HAF3</t>
  </si>
  <si>
    <t>18453HAF3 Corp</t>
  </si>
  <si>
    <t>29343.66</t>
  </si>
  <si>
    <t>185899AN1</t>
  </si>
  <si>
    <t>185899AN1 Corp</t>
  </si>
  <si>
    <t>34838.55</t>
  </si>
  <si>
    <t>18912UAA0</t>
  </si>
  <si>
    <t>18912UAA0 Corp</t>
  </si>
  <si>
    <t>29258.40</t>
  </si>
  <si>
    <t>18972EAB1</t>
  </si>
  <si>
    <t>18972EAB1 Corp</t>
  </si>
  <si>
    <t>30479.72</t>
  </si>
  <si>
    <t>20752TAB0</t>
  </si>
  <si>
    <t>20752TAB0 Corp</t>
  </si>
  <si>
    <t>28457.01</t>
  </si>
  <si>
    <t>20753PAD3</t>
  </si>
  <si>
    <t>20753PAD3 Corp</t>
  </si>
  <si>
    <t>31977.47</t>
  </si>
  <si>
    <t>20848VAB1</t>
  </si>
  <si>
    <t>20848VAB1 Corp</t>
  </si>
  <si>
    <t>28944.67</t>
  </si>
  <si>
    <t>21873SAB4</t>
  </si>
  <si>
    <t>21873SAB4 Corp</t>
  </si>
  <si>
    <t>24390.65</t>
  </si>
  <si>
    <t>21874LAA0</t>
  </si>
  <si>
    <t>21874LAA0 Corp</t>
  </si>
  <si>
    <t>30536.07</t>
  </si>
  <si>
    <t>227046AA7</t>
  </si>
  <si>
    <t>227046AA7 Corp</t>
  </si>
  <si>
    <t>30073.76</t>
  </si>
  <si>
    <t>23292NAA6</t>
  </si>
  <si>
    <t>23292NAA6 Corp</t>
  </si>
  <si>
    <t>24030.04</t>
  </si>
  <si>
    <t>23918KAS7</t>
  </si>
  <si>
    <t>23918KAS7 Corp</t>
  </si>
  <si>
    <t>25162.68</t>
  </si>
  <si>
    <t>254032AD7</t>
  </si>
  <si>
    <t>254032AD7 Corp</t>
  </si>
  <si>
    <t>29080.00</t>
  </si>
  <si>
    <t>25461LAD4</t>
  </si>
  <si>
    <t>25461LAD4 Corp</t>
  </si>
  <si>
    <t>24859.27</t>
  </si>
  <si>
    <t>25470MAG4</t>
  </si>
  <si>
    <t>25470MAG4 Corp</t>
  </si>
  <si>
    <t>23656.85</t>
  </si>
  <si>
    <t>257867BJ9</t>
  </si>
  <si>
    <t>257867BJ9 Corp</t>
  </si>
  <si>
    <t>25907.38</t>
  </si>
  <si>
    <t>28414HAG8</t>
  </si>
  <si>
    <t>28414HAG8 Corp</t>
  </si>
  <si>
    <t>25738.63</t>
  </si>
  <si>
    <t>29089QAC9</t>
  </si>
  <si>
    <t>29089QAC9 Corp</t>
  </si>
  <si>
    <t>34416.29</t>
  </si>
  <si>
    <t>29103CAA6</t>
  </si>
  <si>
    <t>29103CAA6 Corp</t>
  </si>
  <si>
    <t>29516.20</t>
  </si>
  <si>
    <t>29163VAG8</t>
  </si>
  <si>
    <t>29163VAG8 Corp</t>
  </si>
  <si>
    <t>28785.76</t>
  </si>
  <si>
    <t>292052AF4</t>
  </si>
  <si>
    <t>292052AF4 Corp</t>
  </si>
  <si>
    <t>29045.62</t>
  </si>
  <si>
    <t>292554AS1</t>
  </si>
  <si>
    <t>292554AS1 Corp</t>
  </si>
  <si>
    <t>29297.57</t>
  </si>
  <si>
    <t>29605JAA4</t>
  </si>
  <si>
    <t>29605JAA4 Corp</t>
  </si>
  <si>
    <t>30531.69</t>
  </si>
  <si>
    <t>29882DAC7</t>
  </si>
  <si>
    <t>29882DAC7 Corp</t>
  </si>
  <si>
    <t>28867.92</t>
  </si>
  <si>
    <t>302635AN7</t>
  </si>
  <si>
    <t>302635AN7 Corp</t>
  </si>
  <si>
    <t>26038.98</t>
  </si>
  <si>
    <t>315292AU6</t>
  </si>
  <si>
    <t>315292AU6 Corp</t>
  </si>
  <si>
    <t>27445.86</t>
  </si>
  <si>
    <t>34960PAF8</t>
  </si>
  <si>
    <t>34960PAF8 Corp</t>
  </si>
  <si>
    <t>28996.52</t>
  </si>
  <si>
    <t>35641AAB4</t>
  </si>
  <si>
    <t>35641AAB4 Corp</t>
  </si>
  <si>
    <t>30028.80</t>
  </si>
  <si>
    <t>359694AB2</t>
  </si>
  <si>
    <t>359694AB2 Corp</t>
  </si>
  <si>
    <t>28808.07</t>
  </si>
  <si>
    <t>36168QAQ7</t>
  </si>
  <si>
    <t>36168QAQ7 Corp</t>
  </si>
  <si>
    <t>28866.75</t>
  </si>
  <si>
    <t>37185LAP7</t>
  </si>
  <si>
    <t>37185LAP7 Corp</t>
  </si>
  <si>
    <t>30011.14</t>
  </si>
  <si>
    <t>38016LAA3</t>
  </si>
  <si>
    <t>38016LAA3 Corp</t>
  </si>
  <si>
    <t>24997.73</t>
  </si>
  <si>
    <t>382550BN0</t>
  </si>
  <si>
    <t>382550BN0 Corp</t>
  </si>
  <si>
    <t>22932.79</t>
  </si>
  <si>
    <t>38869AAB3</t>
  </si>
  <si>
    <t>38869AAB3 Corp</t>
  </si>
  <si>
    <t>30132.22</t>
  </si>
  <si>
    <t>39807UAD8</t>
  </si>
  <si>
    <t>39807UAD8 Corp</t>
  </si>
  <si>
    <t>29194.28</t>
  </si>
  <si>
    <t>398905AN9</t>
  </si>
  <si>
    <t>398905AN9 Corp</t>
  </si>
  <si>
    <t>30156.25</t>
  </si>
  <si>
    <t>402635AT3</t>
  </si>
  <si>
    <t>402635AT3 Corp</t>
  </si>
  <si>
    <t>25457.10</t>
  </si>
  <si>
    <t>415858AC3</t>
  </si>
  <si>
    <t>415858AC3 Corp</t>
  </si>
  <si>
    <t>28637.98</t>
  </si>
  <si>
    <t>42704LAE4</t>
  </si>
  <si>
    <t>42704LAE4 Corp</t>
  </si>
  <si>
    <t>26584.87</t>
  </si>
  <si>
    <t>43118DAB6</t>
  </si>
  <si>
    <t>43118DAB6 Corp</t>
  </si>
  <si>
    <t>28106.38</t>
  </si>
  <si>
    <t>431318AU8</t>
  </si>
  <si>
    <t>431318AU8 Corp</t>
  </si>
  <si>
    <t>28835.15</t>
  </si>
  <si>
    <t>44287GAA4</t>
  </si>
  <si>
    <t>44287GAA4 Corp</t>
  </si>
  <si>
    <t>29354.84</t>
  </si>
  <si>
    <t>44332PAH4</t>
  </si>
  <si>
    <t>44332PAH4 Corp</t>
  </si>
  <si>
    <t>26706.84</t>
  </si>
  <si>
    <t>44701QBE1</t>
  </si>
  <si>
    <t>44701QBE1 Corp</t>
  </si>
  <si>
    <t>25578.32</t>
  </si>
  <si>
    <t>449691AC8</t>
  </si>
  <si>
    <t>449691AC8 Corp</t>
  </si>
  <si>
    <t>29163.36</t>
  </si>
  <si>
    <t>45074JAA2</t>
  </si>
  <si>
    <t>45074JAA2 Corp</t>
  </si>
  <si>
    <t>29742.03</t>
  </si>
  <si>
    <t>45174HBJ5</t>
  </si>
  <si>
    <t>45174HBJ5 Corp</t>
  </si>
  <si>
    <t>29124.90</t>
  </si>
  <si>
    <t>45258LAA5</t>
  </si>
  <si>
    <t>45258LAA5 Corp</t>
  </si>
  <si>
    <t>30399.50</t>
  </si>
  <si>
    <t>46284VAF8</t>
  </si>
  <si>
    <t>46284VAF8 Corp</t>
  </si>
  <si>
    <t>29357.94</t>
  </si>
  <si>
    <t>469815AK0</t>
  </si>
  <si>
    <t>469815AK0 Corp</t>
  </si>
  <si>
    <t>24563.81</t>
  </si>
  <si>
    <t>47077WAC2</t>
  </si>
  <si>
    <t>47077WAC2 Corp</t>
  </si>
  <si>
    <t>29972.78</t>
  </si>
  <si>
    <t>472481AC4</t>
  </si>
  <si>
    <t>472481AC4 Corp</t>
  </si>
  <si>
    <t>30565.62</t>
  </si>
  <si>
    <t>48020RAB1</t>
  </si>
  <si>
    <t>48020RAB1 Corp</t>
  </si>
  <si>
    <t>23540.52</t>
  </si>
  <si>
    <t>48250NAC9</t>
  </si>
  <si>
    <t>48250NAC9 Corp</t>
  </si>
  <si>
    <t>24975.69</t>
  </si>
  <si>
    <t>49461MAB6</t>
  </si>
  <si>
    <t>49461MAB6 Corp</t>
  </si>
  <si>
    <t>26457.37</t>
  </si>
  <si>
    <t>50067PAA7</t>
  </si>
  <si>
    <t>50067PAA7 Corp</t>
  </si>
  <si>
    <t>29923.32</t>
  </si>
  <si>
    <t>501797AN4</t>
  </si>
  <si>
    <t>501797AN4 Corp</t>
  </si>
  <si>
    <t>28964.16</t>
  </si>
  <si>
    <t>502160AN4</t>
  </si>
  <si>
    <t>502160AN4 Corp</t>
  </si>
  <si>
    <t>28967.83</t>
  </si>
  <si>
    <t>513075BZ3</t>
  </si>
  <si>
    <t>513075BZ3 Corp</t>
  </si>
  <si>
    <t>28886.83</t>
  </si>
  <si>
    <t>536797AJ2</t>
  </si>
  <si>
    <t>536797AJ2 Corp</t>
  </si>
  <si>
    <t>28624.49</t>
  </si>
  <si>
    <t>538034AV1</t>
  </si>
  <si>
    <t>538034AV1 Corp</t>
  </si>
  <si>
    <t>25002.86</t>
  </si>
  <si>
    <t>552953CF6</t>
  </si>
  <si>
    <t>552953CF6 Corp</t>
  </si>
  <si>
    <t>27045.93</t>
  </si>
  <si>
    <t>55342UAH7</t>
  </si>
  <si>
    <t>55342UAH7 Corp</t>
  </si>
  <si>
    <t>29059.95</t>
  </si>
  <si>
    <t>56085RAA8</t>
  </si>
  <si>
    <t>56085RAA8 Corp</t>
  </si>
  <si>
    <t>30308.93</t>
  </si>
  <si>
    <t>57665RAJ5</t>
  </si>
  <si>
    <t>57665RAJ5 Corp</t>
  </si>
  <si>
    <t>29906.59</t>
  </si>
  <si>
    <t>57763RAF4</t>
  </si>
  <si>
    <t>57763RAF4 Corp</t>
  </si>
  <si>
    <t>25584.50</t>
  </si>
  <si>
    <t>57779EAA6</t>
  </si>
  <si>
    <t>57779EAA6 Corp</t>
  </si>
  <si>
    <t>28097.93</t>
  </si>
  <si>
    <t>579063AB4</t>
  </si>
  <si>
    <t>579063AB4 Corp</t>
  </si>
  <si>
    <t>28926.72</t>
  </si>
  <si>
    <t>58502BAE6</t>
  </si>
  <si>
    <t>58502BAE6 Corp</t>
  </si>
  <si>
    <t>29665.05</t>
  </si>
  <si>
    <t>58990CAA1</t>
  </si>
  <si>
    <t>58990CAA1 Corp</t>
  </si>
  <si>
    <t>30138.34</t>
  </si>
  <si>
    <t>601137AA0</t>
  </si>
  <si>
    <t>601137AA0 Corp</t>
  </si>
  <si>
    <t>29387.24</t>
  </si>
  <si>
    <t>603051AF0</t>
  </si>
  <si>
    <t>603051AF0 Corp</t>
  </si>
  <si>
    <t>30075.11</t>
  </si>
  <si>
    <t>60337JAA4</t>
  </si>
  <si>
    <t>60337JAA4 Corp</t>
  </si>
  <si>
    <t>24984.74</t>
  </si>
  <si>
    <t>60832QAA8</t>
  </si>
  <si>
    <t>60832QAA8 Corp</t>
  </si>
  <si>
    <t>29183.74</t>
  </si>
  <si>
    <t>60855RAJ9</t>
  </si>
  <si>
    <t>60855RAJ9 Corp</t>
  </si>
  <si>
    <t>29513.83</t>
  </si>
  <si>
    <t>62482BAB8</t>
  </si>
  <si>
    <t>62482BAB8 Corp</t>
  </si>
  <si>
    <t>26815.43</t>
  </si>
  <si>
    <t>626738AE8</t>
  </si>
  <si>
    <t>626738AE8 Corp</t>
  </si>
  <si>
    <t>33506.71</t>
  </si>
  <si>
    <t>62844JAE8</t>
  </si>
  <si>
    <t>62844JAE8 Corp</t>
  </si>
  <si>
    <t>24603.53</t>
  </si>
  <si>
    <t>62886HBY6</t>
  </si>
  <si>
    <t>62886HBY6 Corp</t>
  </si>
  <si>
    <t>30143.89</t>
  </si>
  <si>
    <t>629377CH3</t>
  </si>
  <si>
    <t>629377CH3 Corp</t>
  </si>
  <si>
    <t>28864.13</t>
  </si>
  <si>
    <t>63938CAM0</t>
  </si>
  <si>
    <t>63938CAM0 Corp</t>
  </si>
  <si>
    <t>23923.96</t>
  </si>
  <si>
    <t>640695AC6</t>
  </si>
  <si>
    <t>640695AC6 Corp</t>
  </si>
  <si>
    <t>32232.41</t>
  </si>
  <si>
    <t>645370AG2</t>
  </si>
  <si>
    <t>645370AG2 Corp</t>
  </si>
  <si>
    <t>30455.70</t>
  </si>
  <si>
    <t>651229BG0</t>
  </si>
  <si>
    <t>651229BG0 Corp</t>
  </si>
  <si>
    <t>21983.22</t>
  </si>
  <si>
    <t>65336YAN3</t>
  </si>
  <si>
    <t>65336YAN3 Corp</t>
  </si>
  <si>
    <t>30361.56</t>
  </si>
  <si>
    <t>65342QAM4</t>
  </si>
  <si>
    <t>65342QAM4 Corp</t>
  </si>
  <si>
    <t>30043.80</t>
  </si>
  <si>
    <t>654744AC5</t>
  </si>
  <si>
    <t>654744AC5 Corp</t>
  </si>
  <si>
    <t>31545.66</t>
  </si>
  <si>
    <t>668771AK4</t>
  </si>
  <si>
    <t>668771AK4 Corp</t>
  </si>
  <si>
    <t>29187.11</t>
  </si>
  <si>
    <t>670001AE6</t>
  </si>
  <si>
    <t>670001AE6 Corp</t>
  </si>
  <si>
    <t>26093.92</t>
  </si>
  <si>
    <t>674215AQ1</t>
  </si>
  <si>
    <t>674215AQ1 Corp</t>
  </si>
  <si>
    <t>23972.08</t>
  </si>
  <si>
    <t>67740QAH9</t>
  </si>
  <si>
    <t>67740QAH9 Corp</t>
  </si>
  <si>
    <t>28997.01</t>
  </si>
  <si>
    <t>68245XAM1</t>
  </si>
  <si>
    <t>68245XAM1 Corp</t>
  </si>
  <si>
    <t>23628.61</t>
  </si>
  <si>
    <t>683720AA4</t>
  </si>
  <si>
    <t>683720AA4 Corp</t>
  </si>
  <si>
    <t>34728.07</t>
  </si>
  <si>
    <t>69331CAH1</t>
  </si>
  <si>
    <t>69331CAH1 Corp</t>
  </si>
  <si>
    <t>29856.38</t>
  </si>
  <si>
    <t>69354NAE6</t>
  </si>
  <si>
    <t>69354NAE6 Corp</t>
  </si>
  <si>
    <t>28451.22</t>
  </si>
  <si>
    <t>69393LAA1</t>
  </si>
  <si>
    <t>69393LAA1 Corp</t>
  </si>
  <si>
    <t>31033.75</t>
  </si>
  <si>
    <t>70082LAC1</t>
  </si>
  <si>
    <t>70082LAC1 Corp</t>
  </si>
  <si>
    <t>27140.72</t>
  </si>
  <si>
    <t>703343AD5</t>
  </si>
  <si>
    <t>703343AD5 Corp</t>
  </si>
  <si>
    <t>29486.70</t>
  </si>
  <si>
    <t>70452AAA1</t>
  </si>
  <si>
    <t>70452AAA1 Corp</t>
  </si>
  <si>
    <t>28765.88</t>
  </si>
  <si>
    <t>707569AY5</t>
  </si>
  <si>
    <t>707569AY5 Corp</t>
  </si>
  <si>
    <t>29067.43</t>
  </si>
  <si>
    <t>72815LAA5</t>
  </si>
  <si>
    <t>72815LAA5 Corp</t>
  </si>
  <si>
    <t>33932.67</t>
  </si>
  <si>
    <t>740212AM7</t>
  </si>
  <si>
    <t>740212AM7 Corp</t>
  </si>
  <si>
    <t>28156.49</t>
  </si>
  <si>
    <t>74112BAM7</t>
  </si>
  <si>
    <t>74112BAM7 Corp</t>
  </si>
  <si>
    <t>30286.18</t>
  </si>
  <si>
    <t>74165HAC2</t>
  </si>
  <si>
    <t>74165HAC2 Corp</t>
  </si>
  <si>
    <t>30372.40</t>
  </si>
  <si>
    <t>74841CAB7</t>
  </si>
  <si>
    <t>74841CAB7 Corp</t>
  </si>
  <si>
    <t>29810.99</t>
  </si>
  <si>
    <t>75102WAK4</t>
  </si>
  <si>
    <t>75102WAK4 Corp</t>
  </si>
  <si>
    <t>26112.99</t>
  </si>
  <si>
    <t>753272AA1</t>
  </si>
  <si>
    <t>753272AA1 Corp</t>
  </si>
  <si>
    <t>28955.81</t>
  </si>
  <si>
    <t>775109DG3</t>
  </si>
  <si>
    <t>775109DG3 Corp</t>
  </si>
  <si>
    <t>29689.39</t>
  </si>
  <si>
    <t>78410GAD6</t>
  </si>
  <si>
    <t>78410GAD6 Corp</t>
  </si>
  <si>
    <t>23836.79</t>
  </si>
  <si>
    <t>78412FAX2</t>
  </si>
  <si>
    <t>78412FAX2 Corp</t>
  </si>
  <si>
    <t>29710.79</t>
  </si>
  <si>
    <t>78454LAP5</t>
  </si>
  <si>
    <t>78454LAP5 Corp</t>
  </si>
  <si>
    <t>25050.35</t>
  </si>
  <si>
    <t>78488XAA2</t>
  </si>
  <si>
    <t>78488XAA2 Corp</t>
  </si>
  <si>
    <t>25754.87</t>
  </si>
  <si>
    <t>78573XAA8</t>
  </si>
  <si>
    <t>78573XAA8 Corp</t>
  </si>
  <si>
    <t>34642.15</t>
  </si>
  <si>
    <t>808625AA5</t>
  </si>
  <si>
    <t>808625AA5 Corp</t>
  </si>
  <si>
    <t>29876.03</t>
  </si>
  <si>
    <t>80874YBE9</t>
  </si>
  <si>
    <t>80874YBE9 Corp</t>
  </si>
  <si>
    <t>29577.83</t>
  </si>
  <si>
    <t>81721MAM1</t>
  </si>
  <si>
    <t>81721MAM1 Corp</t>
  </si>
  <si>
    <t>29336.51</t>
  </si>
  <si>
    <t>81761LAF9</t>
  </si>
  <si>
    <t>81761LAF9 Corp</t>
  </si>
  <si>
    <t>21402.05</t>
  </si>
  <si>
    <t>82967NBA5</t>
  </si>
  <si>
    <t>82967NBA5 Corp</t>
  </si>
  <si>
    <t>24925.46</t>
  </si>
  <si>
    <t>83001AAD4</t>
  </si>
  <si>
    <t>83001AAD4 Corp</t>
  </si>
  <si>
    <t>25058.30</t>
  </si>
  <si>
    <t>83419YAA4</t>
  </si>
  <si>
    <t>83419YAA4 Corp</t>
  </si>
  <si>
    <t>28295.01</t>
  </si>
  <si>
    <t>835898AJ6</t>
  </si>
  <si>
    <t>835898AJ6 Corp</t>
  </si>
  <si>
    <t>29429.28</t>
  </si>
  <si>
    <t>84779MAA2</t>
  </si>
  <si>
    <t>84779MAA2 Corp</t>
  </si>
  <si>
    <t>30767.85</t>
  </si>
  <si>
    <t>85172FAR0</t>
  </si>
  <si>
    <t>85172FAR0 Corp</t>
  </si>
  <si>
    <t>24514.80</t>
  </si>
  <si>
    <t>852234AT0</t>
  </si>
  <si>
    <t>852234AT0 Corp</t>
  </si>
  <si>
    <t>85236FAA1</t>
  </si>
  <si>
    <t>85236FAA1 Corp</t>
  </si>
  <si>
    <t>29052.91</t>
  </si>
  <si>
    <t>853496AG2</t>
  </si>
  <si>
    <t>853496AG2 Corp</t>
  </si>
  <si>
    <t>23697.76</t>
  </si>
  <si>
    <t>85571BBB0</t>
  </si>
  <si>
    <t>85571BBB0 Corp</t>
  </si>
  <si>
    <t>22799.22</t>
  </si>
  <si>
    <t>86177CAA7</t>
  </si>
  <si>
    <t>86177CAA7 Corp</t>
  </si>
  <si>
    <t>24035.83</t>
  </si>
  <si>
    <t>86184WAA4</t>
  </si>
  <si>
    <t>86184WAA4 Corp</t>
  </si>
  <si>
    <t>29540.88</t>
  </si>
  <si>
    <t>861896AA6</t>
  </si>
  <si>
    <t>861896AA6 Corp</t>
  </si>
  <si>
    <t>27257.26</t>
  </si>
  <si>
    <t>86614JAA3</t>
  </si>
  <si>
    <t>86614JAA3 Corp</t>
  </si>
  <si>
    <t>29198.20</t>
  </si>
  <si>
    <t>86765KAA7</t>
  </si>
  <si>
    <t>86765KAA7 Corp</t>
  </si>
  <si>
    <t>28585.14</t>
  </si>
  <si>
    <t>87165BAP8</t>
  </si>
  <si>
    <t>87165BAP8 Corp</t>
  </si>
  <si>
    <t>25016.12</t>
  </si>
  <si>
    <t>87256YAG8</t>
  </si>
  <si>
    <t>87256YAG8 Corp</t>
  </si>
  <si>
    <t>28522.37</t>
  </si>
  <si>
    <t>87265HAF6</t>
  </si>
  <si>
    <t>87265HAF6 Corp</t>
  </si>
  <si>
    <t>25010.17</t>
  </si>
  <si>
    <t>87422VAQ1</t>
  </si>
  <si>
    <t>87422VAQ1 Corp</t>
  </si>
  <si>
    <t>29951.76</t>
  </si>
  <si>
    <t>88023UAH4</t>
  </si>
  <si>
    <t>88023UAH4 Corp</t>
  </si>
  <si>
    <t>29844.80</t>
  </si>
  <si>
    <t>88033GDK3</t>
  </si>
  <si>
    <t>88033GDK3 Corp</t>
  </si>
  <si>
    <t>26113.16</t>
  </si>
  <si>
    <t>880349AU9</t>
  </si>
  <si>
    <t>880349AU9 Corp</t>
  </si>
  <si>
    <t>30131.55</t>
  </si>
  <si>
    <t>88642RAE9</t>
  </si>
  <si>
    <t>88642RAE9 Corp</t>
  </si>
  <si>
    <t>28976.45</t>
  </si>
  <si>
    <t>893647BU0</t>
  </si>
  <si>
    <t>893647BU0 Corp</t>
  </si>
  <si>
    <t>26434.64</t>
  </si>
  <si>
    <t>893830BY4</t>
  </si>
  <si>
    <t>893830BY4 Corp</t>
  </si>
  <si>
    <t>29949.14</t>
  </si>
  <si>
    <t>902104AC2</t>
  </si>
  <si>
    <t>902104AC2 Corp</t>
  </si>
  <si>
    <t>29581.68</t>
  </si>
  <si>
    <t>90279XAA0</t>
  </si>
  <si>
    <t>90279XAA0 Corp</t>
  </si>
  <si>
    <t>23300.12</t>
  </si>
  <si>
    <t>910047AM1</t>
  </si>
  <si>
    <t>910047AM1 Corp</t>
  </si>
  <si>
    <t>28773.72</t>
  </si>
  <si>
    <t>914906AX0</t>
  </si>
  <si>
    <t>914906AX0 Corp</t>
  </si>
  <si>
    <t>28038.25</t>
  </si>
  <si>
    <t>918204BC1</t>
  </si>
  <si>
    <t>918204BC1 Corp</t>
  </si>
  <si>
    <t>29201.47</t>
  </si>
  <si>
    <t>91911XAW4</t>
  </si>
  <si>
    <t>91911XAW4 Corp</t>
  </si>
  <si>
    <t>25987.65</t>
  </si>
  <si>
    <t>922966AE6</t>
  </si>
  <si>
    <t>922966AE6 Corp</t>
  </si>
  <si>
    <t>29685.27</t>
  </si>
  <si>
    <t>92769VAJ8</t>
  </si>
  <si>
    <t>92769VAJ8 Corp</t>
  </si>
  <si>
    <t>28410.65</t>
  </si>
  <si>
    <t>92840JAB5</t>
  </si>
  <si>
    <t>92840JAB5 Corp</t>
  </si>
  <si>
    <t>30477.12</t>
  </si>
  <si>
    <t>92874BAA3</t>
  </si>
  <si>
    <t>92874BAA3 Corp</t>
  </si>
  <si>
    <t>30081.21</t>
  </si>
  <si>
    <t>982911AA7</t>
  </si>
  <si>
    <t>982911AA7 Corp</t>
  </si>
  <si>
    <t>24217.46</t>
  </si>
  <si>
    <t>983133AC3</t>
  </si>
  <si>
    <t>983133AC3 Corp</t>
  </si>
  <si>
    <t>28604.15</t>
  </si>
  <si>
    <t>912810FM5</t>
  </si>
  <si>
    <t>912810FM5 Govt</t>
  </si>
  <si>
    <t>2148.59</t>
  </si>
  <si>
    <t>912810FP8</t>
  </si>
  <si>
    <t>912810FP8 Govt</t>
  </si>
  <si>
    <t>5256.25</t>
  </si>
  <si>
    <t>912828YB0</t>
  </si>
  <si>
    <t>912828YB0 Govt</t>
  </si>
  <si>
    <t>19461.50</t>
  </si>
  <si>
    <t>912828YS3</t>
  </si>
  <si>
    <t>912828YS3 Govt</t>
  </si>
  <si>
    <t>14800.62</t>
  </si>
  <si>
    <t>912828Z94</t>
  </si>
  <si>
    <t>912828Z94 Govt</t>
  </si>
  <si>
    <t>24600.59</t>
  </si>
  <si>
    <t>912828ZQ6</t>
  </si>
  <si>
    <t>912828ZQ6 Govt</t>
  </si>
  <si>
    <t>31462.73</t>
  </si>
  <si>
    <t>91282CAE1</t>
  </si>
  <si>
    <t>91282CAE1 Govt</t>
  </si>
  <si>
    <t>41587.50</t>
  </si>
  <si>
    <t>91282CAV3</t>
  </si>
  <si>
    <t>91282CAV3 Govt</t>
  </si>
  <si>
    <t>43445.31</t>
  </si>
  <si>
    <t>91282CBL4</t>
  </si>
  <si>
    <t>91282CBL4 Govt</t>
  </si>
  <si>
    <t>41900.63</t>
  </si>
  <si>
    <t>91282CCB5</t>
  </si>
  <si>
    <t>91282CCB5 Govt</t>
  </si>
  <si>
    <t>42606.56</t>
  </si>
  <si>
    <t>91282CCS8</t>
  </si>
  <si>
    <t>91282CCS8 Govt</t>
  </si>
  <si>
    <t>44964.77</t>
  </si>
  <si>
    <t>91282CDJ7</t>
  </si>
  <si>
    <t>91282CDJ7 Govt</t>
  </si>
  <si>
    <t>43216.80</t>
  </si>
  <si>
    <t>91282CDY4</t>
  </si>
  <si>
    <t>91282CDY4 Govt</t>
  </si>
  <si>
    <t>42384.37</t>
  </si>
  <si>
    <t>91282CEP2</t>
  </si>
  <si>
    <t>91282CEP2 Govt</t>
  </si>
  <si>
    <t>37184.38</t>
  </si>
  <si>
    <t>91282CES6</t>
  </si>
  <si>
    <t>91282CES6 Govt</t>
  </si>
  <si>
    <t>17310.59</t>
  </si>
  <si>
    <t>91282CEV9</t>
  </si>
  <si>
    <t>91282CEV9 Govt</t>
  </si>
  <si>
    <t>17544.73</t>
  </si>
  <si>
    <t>91282CFC0</t>
  </si>
  <si>
    <t>91282CFC0 Govt</t>
  </si>
  <si>
    <t>15296.25</t>
  </si>
  <si>
    <t>91282CFF3</t>
  </si>
  <si>
    <t>91282CFF3 Govt</t>
  </si>
  <si>
    <t>42302.03</t>
  </si>
  <si>
    <t>91282CFJ5</t>
  </si>
  <si>
    <t>91282CFJ5 Govt</t>
  </si>
  <si>
    <t>15511.88</t>
  </si>
  <si>
    <t>91282CFL0</t>
  </si>
  <si>
    <t>91282CFL0 Govt</t>
  </si>
  <si>
    <t>15863.75</t>
  </si>
  <si>
    <t>91282CFT3</t>
  </si>
  <si>
    <t>91282CFT3 Govt</t>
  </si>
  <si>
    <t>15919.38</t>
  </si>
  <si>
    <t>91282CFV8</t>
  </si>
  <si>
    <t>91282CFV8 Govt</t>
  </si>
  <si>
    <t>45663.98</t>
  </si>
  <si>
    <t>91282CFY2</t>
  </si>
  <si>
    <t>91282CFY2 Govt</t>
  </si>
  <si>
    <t>15855.00</t>
  </si>
  <si>
    <t>91282CGB1</t>
  </si>
  <si>
    <t>91282CGB1 Govt</t>
  </si>
  <si>
    <t>15851.25</t>
  </si>
  <si>
    <t>91282CGJ4</t>
  </si>
  <si>
    <t>91282CGJ4 Govt</t>
  </si>
  <si>
    <t>15648.75</t>
  </si>
  <si>
    <t>91282CGM7</t>
  </si>
  <si>
    <t>91282CGM7 Govt</t>
  </si>
  <si>
    <t>43962.34</t>
  </si>
  <si>
    <t>91282CGQ8</t>
  </si>
  <si>
    <t>91282CGQ8 Govt</t>
  </si>
  <si>
    <t>37789.96</t>
  </si>
  <si>
    <t>91282CGS4</t>
  </si>
  <si>
    <t>91282CGS4 Govt</t>
  </si>
  <si>
    <t>15700.62</t>
  </si>
  <si>
    <t>91282CGZ8</t>
  </si>
  <si>
    <t>91282CGZ8 Govt</t>
  </si>
  <si>
    <t>15622.19</t>
  </si>
  <si>
    <t>91282CHC8</t>
  </si>
  <si>
    <t>91282CHC8 Govt</t>
  </si>
  <si>
    <t>41629.84</t>
  </si>
  <si>
    <t>91282CHF1</t>
  </si>
  <si>
    <t>91282CHF1 Govt</t>
  </si>
  <si>
    <t>15758.44</t>
  </si>
  <si>
    <t>91282CHJ3</t>
  </si>
  <si>
    <t>91282CHJ3 Govt</t>
  </si>
  <si>
    <t>15750.94</t>
  </si>
  <si>
    <t>91282CHR5</t>
  </si>
  <si>
    <t>91282CHR5 Govt</t>
  </si>
  <si>
    <t>15895.94</t>
  </si>
  <si>
    <t>91282CHW4</t>
  </si>
  <si>
    <t>91282CHW4 Govt</t>
  </si>
  <si>
    <t>15965.94</t>
  </si>
  <si>
    <t>91282CHZ7</t>
  </si>
  <si>
    <t>91282CHZ7 Govt</t>
  </si>
  <si>
    <t>16277.50</t>
  </si>
  <si>
    <t>91282CJG7</t>
  </si>
  <si>
    <t>91282CJG7 Govt</t>
  </si>
  <si>
    <t>18492.19</t>
  </si>
  <si>
    <t>91282CJM4</t>
  </si>
  <si>
    <t>91282CJM4 Govt</t>
  </si>
  <si>
    <t>18139.57</t>
  </si>
  <si>
    <t>91282CJQ5</t>
  </si>
  <si>
    <t>91282CJQ5 Govt</t>
  </si>
  <si>
    <t>17681.13</t>
  </si>
  <si>
    <t>91282CJX0</t>
  </si>
  <si>
    <t>91282CJX0 Govt</t>
  </si>
  <si>
    <t>17861.84</t>
  </si>
  <si>
    <t>91282CKC4</t>
  </si>
  <si>
    <t>91282CKC4 Govt</t>
  </si>
  <si>
    <t>18049.57</t>
  </si>
  <si>
    <t>91282CKF7</t>
  </si>
  <si>
    <t>91282CKF7 Govt</t>
  </si>
  <si>
    <t>19946.48</t>
  </si>
  <si>
    <t>91282CKN0</t>
  </si>
  <si>
    <t>91282CKN0 Govt</t>
  </si>
  <si>
    <t>20379.69</t>
  </si>
  <si>
    <t>91282CKT7</t>
  </si>
  <si>
    <t>91282CKT7 Govt</t>
  </si>
  <si>
    <t>32300.62</t>
  </si>
  <si>
    <t>91282CKU4</t>
  </si>
  <si>
    <t>91282CKU4 Govt</t>
  </si>
  <si>
    <t>20382.42</t>
  </si>
  <si>
    <t>91282CKW0</t>
  </si>
  <si>
    <t>91282CKW0 Govt</t>
  </si>
  <si>
    <t>21053.32</t>
  </si>
  <si>
    <t>91282CKX8</t>
  </si>
  <si>
    <t>91282CKX8 Govt</t>
  </si>
  <si>
    <t>27070.14</t>
  </si>
  <si>
    <t>91282CLC3</t>
  </si>
  <si>
    <t>91282CLC3 Govt</t>
  </si>
  <si>
    <t>31856.87</t>
  </si>
  <si>
    <t>91282CLD1</t>
  </si>
  <si>
    <t>91282CLD1 Govt</t>
  </si>
  <si>
    <t>19935.55</t>
  </si>
  <si>
    <t>91282CLJ8</t>
  </si>
  <si>
    <t>91282CLJ8 Govt</t>
  </si>
  <si>
    <t>20560.31</t>
  </si>
  <si>
    <t>91282CLK5</t>
  </si>
  <si>
    <t>91282CLK5 Govt</t>
  </si>
  <si>
    <t>31496.87</t>
  </si>
  <si>
    <t>91282CLM1</t>
  </si>
  <si>
    <t>91282CLM1 Govt</t>
  </si>
  <si>
    <t>20433.16</t>
  </si>
  <si>
    <t>91282CLN9</t>
  </si>
  <si>
    <t>91282CLN9 Govt</t>
  </si>
  <si>
    <t>31363.75</t>
  </si>
  <si>
    <t>91282CLR0</t>
  </si>
  <si>
    <t>91282CLR0 Govt</t>
  </si>
  <si>
    <t>31963.75</t>
  </si>
  <si>
    <t>91282CLU3</t>
  </si>
  <si>
    <t>91282CLU3 Govt</t>
  </si>
  <si>
    <t>19921.48</t>
  </si>
  <si>
    <t>91282CLZ2</t>
  </si>
  <si>
    <t>91282CLZ2 Govt</t>
  </si>
  <si>
    <t>20913.87</t>
  </si>
  <si>
    <t>91282CMA6</t>
  </si>
  <si>
    <t>91282CMA6 Govt</t>
  </si>
  <si>
    <t>31965.00</t>
  </si>
  <si>
    <t>91282CMC2</t>
  </si>
  <si>
    <t>91282CMC2 Govt</t>
  </si>
  <si>
    <t>21295.72</t>
  </si>
  <si>
    <t>91282CMD0</t>
  </si>
  <si>
    <t>91282CMD0 Govt</t>
  </si>
  <si>
    <t>32222.50</t>
  </si>
  <si>
    <t>91282CMG3</t>
  </si>
  <si>
    <t>91282CMG3 Govt</t>
  </si>
  <si>
    <t>32085.62</t>
  </si>
  <si>
    <t>91282CMK4</t>
  </si>
  <si>
    <t>91282CMK4 Govt</t>
  </si>
  <si>
    <t>20153.13</t>
  </si>
  <si>
    <t>91282CMR9</t>
  </si>
  <si>
    <t>91282CMR9 Govt</t>
  </si>
  <si>
    <t>19903.91</t>
  </si>
  <si>
    <t>91282CMT5</t>
  </si>
  <si>
    <t>91282CMT5 Govt</t>
  </si>
  <si>
    <t>19898.83</t>
  </si>
  <si>
    <t>91282CMU2</t>
  </si>
  <si>
    <t>91282CMU2 Govt</t>
  </si>
  <si>
    <t>31816.87</t>
  </si>
  <si>
    <t>91282CMZ1</t>
  </si>
  <si>
    <t>91282CMZ1 Govt</t>
  </si>
  <si>
    <t>31669.38</t>
  </si>
  <si>
    <t>91282CNA5</t>
  </si>
  <si>
    <t>91282CNA5 Govt</t>
  </si>
  <si>
    <t>19762.89</t>
  </si>
  <si>
    <t>91282CNF4</t>
  </si>
  <si>
    <t>91282CNF4 Govt</t>
  </si>
  <si>
    <t>19886.33</t>
  </si>
  <si>
    <t>91282CNG2</t>
  </si>
  <si>
    <t>91282CNG2 Govt</t>
  </si>
  <si>
    <t>31804.38</t>
  </si>
  <si>
    <t>91282CNJ6</t>
  </si>
  <si>
    <t>91282CNJ6 Govt</t>
  </si>
  <si>
    <t>19751.56</t>
  </si>
  <si>
    <t>91282CNK3</t>
  </si>
  <si>
    <t>91282CNK3 Govt</t>
  </si>
  <si>
    <t>31650.00</t>
  </si>
  <si>
    <t>91282CNN7</t>
  </si>
  <si>
    <t>91282CNN7 Govt</t>
  </si>
  <si>
    <t>31645.00</t>
  </si>
  <si>
    <t>91282CNR8</t>
  </si>
  <si>
    <t>91282CNR8 Govt</t>
  </si>
  <si>
    <t>20727.25</t>
  </si>
  <si>
    <t>91282CNW7</t>
  </si>
  <si>
    <t>91282CNW7 Govt</t>
  </si>
  <si>
    <t>20578.36</t>
  </si>
  <si>
    <t>91282CNX5</t>
  </si>
  <si>
    <t>91282CNX5 Govt</t>
  </si>
  <si>
    <t>31325.62</t>
  </si>
  <si>
    <t>91282CNZ0</t>
  </si>
  <si>
    <t>91282CNZ0 Govt</t>
  </si>
  <si>
    <t>19589.84</t>
  </si>
  <si>
    <t>91282CPA3</t>
  </si>
  <si>
    <t>91282CPA3 Govt</t>
  </si>
  <si>
    <t>31318.75</t>
  </si>
  <si>
    <t>91282CPD7</t>
  </si>
  <si>
    <t>91282CPD7 Govt</t>
  </si>
  <si>
    <t>31301.25</t>
  </si>
  <si>
    <t>91282CPF2</t>
  </si>
  <si>
    <t>91282CPF2 Govt</t>
  </si>
  <si>
    <t>19441.41</t>
  </si>
  <si>
    <t>91282CPM7</t>
  </si>
  <si>
    <t>91282CPM7 Govt</t>
  </si>
  <si>
    <t>19432.42</t>
  </si>
  <si>
    <t>91282CPN5</t>
  </si>
  <si>
    <t>91282CPN5 Govt</t>
  </si>
  <si>
    <t>31129.38</t>
  </si>
  <si>
    <t>91282CPQ8</t>
  </si>
  <si>
    <t>91282CPQ8 Govt</t>
  </si>
  <si>
    <t>19562.89</t>
  </si>
  <si>
    <t>91282CPR6</t>
  </si>
  <si>
    <t>91282CPR6 Govt</t>
  </si>
  <si>
    <t>31275.00</t>
  </si>
  <si>
    <t>91282CPW5</t>
  </si>
  <si>
    <t>91282CPW5 Govt</t>
  </si>
  <si>
    <t>31424.38</t>
  </si>
  <si>
    <t>91282CPY1</t>
  </si>
  <si>
    <t>91282CPY1 Govt</t>
  </si>
  <si>
    <t>20680.90</t>
  </si>
  <si>
    <t>91282CQC8</t>
  </si>
  <si>
    <t>91282CQC8 Govt</t>
  </si>
  <si>
    <t>19403.91</t>
  </si>
  <si>
    <t>91282CQD6</t>
  </si>
  <si>
    <t>91282CQD6 Govt</t>
  </si>
  <si>
    <t>31087.50</t>
  </si>
  <si>
    <t>91282CQF1</t>
  </si>
  <si>
    <t>91282CQF1 Govt</t>
  </si>
  <si>
    <t>19971.88</t>
  </si>
  <si>
    <t>91282CQG9</t>
  </si>
  <si>
    <t>91282CQG9 Govt</t>
  </si>
  <si>
    <t>23683.13</t>
  </si>
  <si>
    <t>91282CQK0</t>
  </si>
  <si>
    <t>91282CQK0 Govt</t>
  </si>
  <si>
    <t>31570.00</t>
  </si>
  <si>
    <t>91282CQN4</t>
  </si>
  <si>
    <t>91282CQN4 Govt</t>
  </si>
  <si>
    <t>20806.41</t>
  </si>
  <si>
    <t>00206RKG6</t>
  </si>
  <si>
    <t>00206RKG6 Corp</t>
  </si>
  <si>
    <t>37283.35</t>
  </si>
  <si>
    <t>002824BS8</t>
  </si>
  <si>
    <t>002824BS8 Corp</t>
  </si>
  <si>
    <t>20475.51</t>
  </si>
  <si>
    <t>00287YBX6</t>
  </si>
  <si>
    <t>00287YBX6 Corp</t>
  </si>
  <si>
    <t>20115.13</t>
  </si>
  <si>
    <t>00724PAD1</t>
  </si>
  <si>
    <t>00724PAD1 Corp</t>
  </si>
  <si>
    <t>20327.92</t>
  </si>
  <si>
    <t>015271AU3</t>
  </si>
  <si>
    <t>015271AU3 Corp</t>
  </si>
  <si>
    <t>19984.42</t>
  </si>
  <si>
    <t>01609WAT9</t>
  </si>
  <si>
    <t>01609WAT9 Corp</t>
  </si>
  <si>
    <t>19751.29</t>
  </si>
  <si>
    <t>017175AE0</t>
  </si>
  <si>
    <t>017175AE0 Corp</t>
  </si>
  <si>
    <t>20334.05</t>
  </si>
  <si>
    <t>02079KBK2</t>
  </si>
  <si>
    <t>02079KBK2 Corp</t>
  </si>
  <si>
    <t>20648.88</t>
  </si>
  <si>
    <t>02209SBD4</t>
  </si>
  <si>
    <t>02209SBD4 Corp</t>
  </si>
  <si>
    <t>20073.99</t>
  </si>
  <si>
    <t>023135DD5</t>
  </si>
  <si>
    <t>023135DD5 Corp</t>
  </si>
  <si>
    <t>12816.08</t>
  </si>
  <si>
    <t>025816ED7</t>
  </si>
  <si>
    <t>025816ED7 Corp</t>
  </si>
  <si>
    <t>20053.17</t>
  </si>
  <si>
    <t>03040WAS4</t>
  </si>
  <si>
    <t>03040WAS4 Corp</t>
  </si>
  <si>
    <t>20677.49</t>
  </si>
  <si>
    <t>031162DP2</t>
  </si>
  <si>
    <t>031162DP2 Corp</t>
  </si>
  <si>
    <t>20198.78</t>
  </si>
  <si>
    <t>032095AT8</t>
  </si>
  <si>
    <t>032095AT8 Corp</t>
  </si>
  <si>
    <t>19980.37</t>
  </si>
  <si>
    <t>035240AV2</t>
  </si>
  <si>
    <t>035240AV2 Corp</t>
  </si>
  <si>
    <t>39581.91</t>
  </si>
  <si>
    <t>036752AP8</t>
  </si>
  <si>
    <t>036752AP8 Corp</t>
  </si>
  <si>
    <t>19977.87</t>
  </si>
  <si>
    <t>037833ED8</t>
  </si>
  <si>
    <t>037833ED8 Corp</t>
  </si>
  <si>
    <t>20450.75</t>
  </si>
  <si>
    <t>04010LBB8</t>
  </si>
  <si>
    <t>04010LBB8 Corp</t>
  </si>
  <si>
    <t>20092.26</t>
  </si>
  <si>
    <t>04010LBF9</t>
  </si>
  <si>
    <t>04010LBF9 Corp</t>
  </si>
  <si>
    <t>19142.72</t>
  </si>
  <si>
    <t>04636NAF0</t>
  </si>
  <si>
    <t>04636NAF0 Corp</t>
  </si>
  <si>
    <t>20181.13</t>
  </si>
  <si>
    <t>051473AD8</t>
  </si>
  <si>
    <t>051473AD8 Corp</t>
  </si>
  <si>
    <t>20865.79</t>
  </si>
  <si>
    <t>05351WAB9</t>
  </si>
  <si>
    <t>05351WAB9 Corp</t>
  </si>
  <si>
    <t>20419.96</t>
  </si>
  <si>
    <t>054989AA6</t>
  </si>
  <si>
    <t>054989AA6 Corp</t>
  </si>
  <si>
    <t>20086.39</t>
  </si>
  <si>
    <t>05555LAD3</t>
  </si>
  <si>
    <t>05555LAD3 Corp</t>
  </si>
  <si>
    <t>12246.94</t>
  </si>
  <si>
    <t>05946KAX9</t>
  </si>
  <si>
    <t>05946KAX9 Corp</t>
  </si>
  <si>
    <t>18981.15</t>
  </si>
  <si>
    <t>06051GHD4</t>
  </si>
  <si>
    <t>06051GHD4 Corp</t>
  </si>
  <si>
    <t>73787.43</t>
  </si>
  <si>
    <t>06051GJT7</t>
  </si>
  <si>
    <t>06051GJT7 Corp</t>
  </si>
  <si>
    <t>19056.70</t>
  </si>
  <si>
    <t>06368LGV2</t>
  </si>
  <si>
    <t>06368LGV2 Corp</t>
  </si>
  <si>
    <t>20222.37</t>
  </si>
  <si>
    <t>06406RCB1</t>
  </si>
  <si>
    <t>06406RCB1 Corp</t>
  </si>
  <si>
    <t>20195.51</t>
  </si>
  <si>
    <t>06418GAQ0</t>
  </si>
  <si>
    <t>06418GAQ0 Corp</t>
  </si>
  <si>
    <t>36428.54</t>
  </si>
  <si>
    <t>06738ECY9</t>
  </si>
  <si>
    <t>06738ECY9 Corp</t>
  </si>
  <si>
    <t>15236.83</t>
  </si>
  <si>
    <t>09247XAQ4</t>
  </si>
  <si>
    <t>09247XAQ4 Corp</t>
  </si>
  <si>
    <t>20391.90</t>
  </si>
  <si>
    <t>09261HCC9</t>
  </si>
  <si>
    <t>09261HCC9 Corp</t>
  </si>
  <si>
    <t>20710.91</t>
  </si>
  <si>
    <t>09261XAJ1</t>
  </si>
  <si>
    <t>09261XAJ1 Corp</t>
  </si>
  <si>
    <t>19928.14</t>
  </si>
  <si>
    <t>097023CY9</t>
  </si>
  <si>
    <t>097023CY9 Corp</t>
  </si>
  <si>
    <t>18242.90</t>
  </si>
  <si>
    <t>10112RBD5</t>
  </si>
  <si>
    <t>10112RBD5 Corp</t>
  </si>
  <si>
    <t>12995.16</t>
  </si>
  <si>
    <t>10373QAE0</t>
  </si>
  <si>
    <t>10373QAE0 Corp</t>
  </si>
  <si>
    <t>14908.11</t>
  </si>
  <si>
    <t>111021AE1</t>
  </si>
  <si>
    <t>111021AE1 Corp</t>
  </si>
  <si>
    <t>20141.43</t>
  </si>
  <si>
    <t>11120VAH6</t>
  </si>
  <si>
    <t>11120VAH6 Corp</t>
  </si>
  <si>
    <t>20703.09</t>
  </si>
  <si>
    <t>11135FCB5</t>
  </si>
  <si>
    <t>11135FCB5 Corp</t>
  </si>
  <si>
    <t>14864.95</t>
  </si>
  <si>
    <t>12541WAA8</t>
  </si>
  <si>
    <t>12541WAA8 Corp</t>
  </si>
  <si>
    <t>20844.31</t>
  </si>
  <si>
    <t>125523AH3</t>
  </si>
  <si>
    <t>125523AH3 Corp</t>
  </si>
  <si>
    <t>19918.94</t>
  </si>
  <si>
    <t>125896BU3</t>
  </si>
  <si>
    <t>125896BU3 Corp</t>
  </si>
  <si>
    <t>19536.49</t>
  </si>
  <si>
    <t>126650CX6</t>
  </si>
  <si>
    <t>126650CX6 Corp</t>
  </si>
  <si>
    <t>12935.30</t>
  </si>
  <si>
    <t>13607LNG4</t>
  </si>
  <si>
    <t>13607LNG4 Corp</t>
  </si>
  <si>
    <t>20186.31</t>
  </si>
  <si>
    <t>13607QWB4</t>
  </si>
  <si>
    <t>13607QWB4 Corp</t>
  </si>
  <si>
    <t>13846.54</t>
  </si>
  <si>
    <t>14040HCN3</t>
  </si>
  <si>
    <t>14040HCN3 Corp</t>
  </si>
  <si>
    <t>13479.53</t>
  </si>
  <si>
    <t>14040HCZ6</t>
  </si>
  <si>
    <t>14040HCZ6 Corp</t>
  </si>
  <si>
    <t>19542.78</t>
  </si>
  <si>
    <t>14149YBN7</t>
  </si>
  <si>
    <t>14149YBN7 Corp</t>
  </si>
  <si>
    <t>20241.39</t>
  </si>
  <si>
    <t>14913V2D9</t>
  </si>
  <si>
    <t>14913V2D9 Corp</t>
  </si>
  <si>
    <t>20904.01</t>
  </si>
  <si>
    <t>166764BY5</t>
  </si>
  <si>
    <t>166764BY5 Corp</t>
  </si>
  <si>
    <t>20262.24</t>
  </si>
  <si>
    <t>17275RBR2</t>
  </si>
  <si>
    <t>17275RBR2 Corp</t>
  </si>
  <si>
    <t>14165.83</t>
  </si>
  <si>
    <t>17275RBS0</t>
  </si>
  <si>
    <t>17275RBS0 Corp</t>
  </si>
  <si>
    <t>20362.18</t>
  </si>
  <si>
    <t>172967KA8</t>
  </si>
  <si>
    <t>172967KA8 Corp</t>
  </si>
  <si>
    <t>15987.13</t>
  </si>
  <si>
    <t>172967MP3</t>
  </si>
  <si>
    <t>172967MP3 Corp</t>
  </si>
  <si>
    <t>26668.54</t>
  </si>
  <si>
    <t>174610BF1</t>
  </si>
  <si>
    <t>174610BF1 Corp</t>
  </si>
  <si>
    <t>20497.50</t>
  </si>
  <si>
    <t>200340AT4</t>
  </si>
  <si>
    <t>200340AT4 Corp</t>
  </si>
  <si>
    <t>20611.40</t>
  </si>
  <si>
    <t>205887CC4</t>
  </si>
  <si>
    <t>205887CC4 Corp</t>
  </si>
  <si>
    <t>20012.21</t>
  </si>
  <si>
    <t>225401AP3</t>
  </si>
  <si>
    <t>225401AP3 Corp</t>
  </si>
  <si>
    <t>16609.58</t>
  </si>
  <si>
    <t>22822VAK7</t>
  </si>
  <si>
    <t>22822VAK7 Corp</t>
  </si>
  <si>
    <t>20740.18</t>
  </si>
  <si>
    <t>233331BK2</t>
  </si>
  <si>
    <t>233331BK2 Corp</t>
  </si>
  <si>
    <t>20241.12</t>
  </si>
  <si>
    <t>24422EWR6</t>
  </si>
  <si>
    <t>24422EWR6 Corp</t>
  </si>
  <si>
    <t>11082.75</t>
  </si>
  <si>
    <t>251526CU1</t>
  </si>
  <si>
    <t>251526CU1 Corp</t>
  </si>
  <si>
    <t>12557.16</t>
  </si>
  <si>
    <t>254687FX9</t>
  </si>
  <si>
    <t>254687FX9 Corp</t>
  </si>
  <si>
    <t>20342.87</t>
  </si>
  <si>
    <t>256677AG0</t>
  </si>
  <si>
    <t>256677AG0 Corp</t>
  </si>
  <si>
    <t>40126.25</t>
  </si>
  <si>
    <t>256746AH1</t>
  </si>
  <si>
    <t>256746AH1 Corp</t>
  </si>
  <si>
    <t>20849.28</t>
  </si>
  <si>
    <t>26442CAX2</t>
  </si>
  <si>
    <t>26442CAX2 Corp</t>
  </si>
  <si>
    <t>20769.47</t>
  </si>
  <si>
    <t>26884LBD0</t>
  </si>
  <si>
    <t>26884LBD0 Corp</t>
  </si>
  <si>
    <t>19834.09</t>
  </si>
  <si>
    <t>277432AZ3</t>
  </si>
  <si>
    <t>277432AZ3 Corp</t>
  </si>
  <si>
    <t>19118.48</t>
  </si>
  <si>
    <t>278058DW9</t>
  </si>
  <si>
    <t>278058DW9 Corp</t>
  </si>
  <si>
    <t>11832.23</t>
  </si>
  <si>
    <t>278642AW3</t>
  </si>
  <si>
    <t>278642AW3 Corp</t>
  </si>
  <si>
    <t>20446.85</t>
  </si>
  <si>
    <t>29249EAA7</t>
  </si>
  <si>
    <t>29249EAA7 Corp</t>
  </si>
  <si>
    <t>33989.05</t>
  </si>
  <si>
    <t>29278DAA3</t>
  </si>
  <si>
    <t>29278DAA3 Corp</t>
  </si>
  <si>
    <t>20091.27</t>
  </si>
  <si>
    <t>29278NAG8</t>
  </si>
  <si>
    <t>29278NAG8 Corp</t>
  </si>
  <si>
    <t>11159.31</t>
  </si>
  <si>
    <t>29379VBV4</t>
  </si>
  <si>
    <t>29379VBV4 Corp</t>
  </si>
  <si>
    <t>20136.72</t>
  </si>
  <si>
    <t>30040WAT5</t>
  </si>
  <si>
    <t>30040WAT5 Corp</t>
  </si>
  <si>
    <t>39459.73</t>
  </si>
  <si>
    <t>30225VAK3</t>
  </si>
  <si>
    <t>30225VAK3 Corp</t>
  </si>
  <si>
    <t>20499.44</t>
  </si>
  <si>
    <t>30231GBK7</t>
  </si>
  <si>
    <t>30231GBK7 Corp</t>
  </si>
  <si>
    <t>20337.55</t>
  </si>
  <si>
    <t>30303M8L9</t>
  </si>
  <si>
    <t>30303M8L9 Corp</t>
  </si>
  <si>
    <t>16088.67</t>
  </si>
  <si>
    <t>30303MAB8</t>
  </si>
  <si>
    <t>30303MAB8 Corp</t>
  </si>
  <si>
    <t>20682.19</t>
  </si>
  <si>
    <t>31488VAB3</t>
  </si>
  <si>
    <t>31488VAB3 Corp</t>
  </si>
  <si>
    <t>20653.57</t>
  </si>
  <si>
    <t>31620MCA2</t>
  </si>
  <si>
    <t>31620MCA2 Corp</t>
  </si>
  <si>
    <t>19929.36</t>
  </si>
  <si>
    <t>31620MCD6</t>
  </si>
  <si>
    <t>31620MCD6 Corp</t>
  </si>
  <si>
    <t>18853.58</t>
  </si>
  <si>
    <t>320517AE5</t>
  </si>
  <si>
    <t>320517AE5 Corp</t>
  </si>
  <si>
    <t>20263.38</t>
  </si>
  <si>
    <t>337738AU2</t>
  </si>
  <si>
    <t>337738AU2 Corp</t>
  </si>
  <si>
    <t>20146.04</t>
  </si>
  <si>
    <t>345397ZR7</t>
  </si>
  <si>
    <t>345397ZR7 Corp</t>
  </si>
  <si>
    <t>26810.23</t>
  </si>
  <si>
    <t>369604BZ5</t>
  </si>
  <si>
    <t>369604BZ5 Corp</t>
  </si>
  <si>
    <t>19846.31</t>
  </si>
  <si>
    <t>370334CG7</t>
  </si>
  <si>
    <t>370334CG7 Corp</t>
  </si>
  <si>
    <t>19869.24</t>
  </si>
  <si>
    <t>37045XEB8</t>
  </si>
  <si>
    <t>37045XEB8 Corp</t>
  </si>
  <si>
    <t>20384.71</t>
  </si>
  <si>
    <t>373334KY6</t>
  </si>
  <si>
    <t>373334KY6 Corp</t>
  </si>
  <si>
    <t>19973.97</t>
  </si>
  <si>
    <t>377372AN7</t>
  </si>
  <si>
    <t>377372AN7 Corp</t>
  </si>
  <si>
    <t>20843.49</t>
  </si>
  <si>
    <t>38141GA87</t>
  </si>
  <si>
    <t>38141GA87 Corp</t>
  </si>
  <si>
    <t>16402.33</t>
  </si>
  <si>
    <t>38145GAP5</t>
  </si>
  <si>
    <t>38145GAP5 Corp</t>
  </si>
  <si>
    <t>54525.84</t>
  </si>
  <si>
    <t>38152BAH4</t>
  </si>
  <si>
    <t>38152BAH4 Corp</t>
  </si>
  <si>
    <t>19746.34</t>
  </si>
  <si>
    <t>404119CA5</t>
  </si>
  <si>
    <t>404119CA5 Corp</t>
  </si>
  <si>
    <t>38930.25</t>
  </si>
  <si>
    <t>404280CC1</t>
  </si>
  <si>
    <t>404280CC1 Corp</t>
  </si>
  <si>
    <t>13675.00</t>
  </si>
  <si>
    <t>404280CL1</t>
  </si>
  <si>
    <t>404280CL1 Corp</t>
  </si>
  <si>
    <t>16466.11</t>
  </si>
  <si>
    <t>413875AW5</t>
  </si>
  <si>
    <t>413875AW5 Corp</t>
  </si>
  <si>
    <t>19933.84</t>
  </si>
  <si>
    <t>42824CBT5</t>
  </si>
  <si>
    <t>42824CBT5 Corp</t>
  </si>
  <si>
    <t>11945.48</t>
  </si>
  <si>
    <t>437076BY7</t>
  </si>
  <si>
    <t>437076BY7 Corp</t>
  </si>
  <si>
    <t>13439.99</t>
  </si>
  <si>
    <t>437076CF7</t>
  </si>
  <si>
    <t>437076CF7 Corp</t>
  </si>
  <si>
    <t>20788.25</t>
  </si>
  <si>
    <t>43849RAE5</t>
  </si>
  <si>
    <t>43849RAE5 Corp</t>
  </si>
  <si>
    <t>20676.20</t>
  </si>
  <si>
    <t>443201AB4</t>
  </si>
  <si>
    <t>443201AB4 Corp</t>
  </si>
  <si>
    <t>20223.08</t>
  </si>
  <si>
    <t>446150BC7</t>
  </si>
  <si>
    <t>446150BC7 Corp</t>
  </si>
  <si>
    <t>20602.03</t>
  </si>
  <si>
    <t>456837BU6</t>
  </si>
  <si>
    <t>456837BU6 Corp</t>
  </si>
  <si>
    <t>19890.69</t>
  </si>
  <si>
    <t>45866FAV6</t>
  </si>
  <si>
    <t>45866FAV6 Corp</t>
  </si>
  <si>
    <t>19859.58</t>
  </si>
  <si>
    <t>459200KA8</t>
  </si>
  <si>
    <t>459200KA8 Corp</t>
  </si>
  <si>
    <t>20404.26</t>
  </si>
  <si>
    <t>46647PDG8</t>
  </si>
  <si>
    <t>46647PDG8 Corp</t>
  </si>
  <si>
    <t>89284.12</t>
  </si>
  <si>
    <t>49271VAF7</t>
  </si>
  <si>
    <t>49271VAF7 Corp</t>
  </si>
  <si>
    <t>19994.35</t>
  </si>
  <si>
    <t>49271VAU4</t>
  </si>
  <si>
    <t>49271VAU4 Corp</t>
  </si>
  <si>
    <t>11126.23</t>
  </si>
  <si>
    <t>49326EEQ2</t>
  </si>
  <si>
    <t>49326EEQ2 Corp</t>
  </si>
  <si>
    <t>20163.53</t>
  </si>
  <si>
    <t>52532XAH8</t>
  </si>
  <si>
    <t>52532XAH8 Corp</t>
  </si>
  <si>
    <t>20506.13</t>
  </si>
  <si>
    <t>539439AQ2</t>
  </si>
  <si>
    <t>539439AQ2 Corp</t>
  </si>
  <si>
    <t>13818.83</t>
  </si>
  <si>
    <t>548661EA1</t>
  </si>
  <si>
    <t>548661EA1 Corp</t>
  </si>
  <si>
    <t>20076.96</t>
  </si>
  <si>
    <t>55261FAS3</t>
  </si>
  <si>
    <t>55261FAS3 Corp</t>
  </si>
  <si>
    <t>20118.97</t>
  </si>
  <si>
    <t>55261FAT1</t>
  </si>
  <si>
    <t>55261FAT1 Corp</t>
  </si>
  <si>
    <t>12529.37</t>
  </si>
  <si>
    <t>55336VCA6</t>
  </si>
  <si>
    <t>55336VCA6 Corp</t>
  </si>
  <si>
    <t>19957.31</t>
  </si>
  <si>
    <t>571748BG6</t>
  </si>
  <si>
    <t>571748BG6 Corp</t>
  </si>
  <si>
    <t>19936.56</t>
  </si>
  <si>
    <t>571903BE2</t>
  </si>
  <si>
    <t>571903BE2 Corp</t>
  </si>
  <si>
    <t>19977.41</t>
  </si>
  <si>
    <t>57636QAM6</t>
  </si>
  <si>
    <t>57636QAM6 Corp</t>
  </si>
  <si>
    <t>20206.01</t>
  </si>
  <si>
    <t>58933YAX3</t>
  </si>
  <si>
    <t>58933YAX3 Corp</t>
  </si>
  <si>
    <t>20496.74</t>
  </si>
  <si>
    <t>595017BE3</t>
  </si>
  <si>
    <t>595017BE3 Corp</t>
  </si>
  <si>
    <t>20182.43</t>
  </si>
  <si>
    <t>595620AT2</t>
  </si>
  <si>
    <t>595620AT2 Corp</t>
  </si>
  <si>
    <t>16631.45</t>
  </si>
  <si>
    <t>606822BM5</t>
  </si>
  <si>
    <t>606822BM5 Corp</t>
  </si>
  <si>
    <t>15326.27</t>
  </si>
  <si>
    <t>606822DW1</t>
  </si>
  <si>
    <t>606822DW1 Corp</t>
  </si>
  <si>
    <t>12954.50</t>
  </si>
  <si>
    <t>60687YCR8</t>
  </si>
  <si>
    <t>60687YCR8 Corp</t>
  </si>
  <si>
    <t>20673.33</t>
  </si>
  <si>
    <t>6174468G7</t>
  </si>
  <si>
    <t>6174468G7 Corp</t>
  </si>
  <si>
    <t>78302.19</t>
  </si>
  <si>
    <t>61744YAP3</t>
  </si>
  <si>
    <t>61744YAP3 Corp</t>
  </si>
  <si>
    <t>13812.17</t>
  </si>
  <si>
    <t>62954HBA5</t>
  </si>
  <si>
    <t>62954HBA5 Corp</t>
  </si>
  <si>
    <t>20662.63</t>
  </si>
  <si>
    <t>637432NP6</t>
  </si>
  <si>
    <t>637432NP6 Corp</t>
  </si>
  <si>
    <t>9842.47</t>
  </si>
  <si>
    <t>639057AK4</t>
  </si>
  <si>
    <t>639057AK4 Corp</t>
  </si>
  <si>
    <t>20435.14</t>
  </si>
  <si>
    <t>65339KBR0</t>
  </si>
  <si>
    <t>65339KBR0 Corp</t>
  </si>
  <si>
    <t>20071.56</t>
  </si>
  <si>
    <t>654106AK9</t>
  </si>
  <si>
    <t>654106AK9 Corp</t>
  </si>
  <si>
    <t>20757.40</t>
  </si>
  <si>
    <t>665859AU8</t>
  </si>
  <si>
    <t>665859AU8 Corp</t>
  </si>
  <si>
    <t>20341.62</t>
  </si>
  <si>
    <t>666807BN1</t>
  </si>
  <si>
    <t>666807BN1 Corp</t>
  </si>
  <si>
    <t>31451.89</t>
  </si>
  <si>
    <t>66989HBF4</t>
  </si>
  <si>
    <t>66989HBF4 Corp</t>
  </si>
  <si>
    <t>30775.87</t>
  </si>
  <si>
    <t>682680CB7</t>
  </si>
  <si>
    <t>682680CB7 Corp</t>
  </si>
  <si>
    <t>15951.84</t>
  </si>
  <si>
    <t>68389XCE3</t>
  </si>
  <si>
    <t>68389XCE3 Corp</t>
  </si>
  <si>
    <t>27757.65</t>
  </si>
  <si>
    <t>69121KAH7</t>
  </si>
  <si>
    <t>69121KAH7 Corp</t>
  </si>
  <si>
    <t>19997.36</t>
  </si>
  <si>
    <t>693475BX2</t>
  </si>
  <si>
    <t>693475BX2 Corp</t>
  </si>
  <si>
    <t>14306.98</t>
  </si>
  <si>
    <t>693475CD5</t>
  </si>
  <si>
    <t>693475CD5 Corp</t>
  </si>
  <si>
    <t>20136.42</t>
  </si>
  <si>
    <t>694308JM0</t>
  </si>
  <si>
    <t>694308JM0 Corp</t>
  </si>
  <si>
    <t>14783.96</t>
  </si>
  <si>
    <t>713448GA0</t>
  </si>
  <si>
    <t>713448GA0 Corp</t>
  </si>
  <si>
    <t>20061.63</t>
  </si>
  <si>
    <t>716973AD4</t>
  </si>
  <si>
    <t>716973AD4 Corp</t>
  </si>
  <si>
    <t>36155.00</t>
  </si>
  <si>
    <t>717081EW9</t>
  </si>
  <si>
    <t>717081EW9 Corp</t>
  </si>
  <si>
    <t>20575.47</t>
  </si>
  <si>
    <t>718172DA4</t>
  </si>
  <si>
    <t>718172DA4 Corp</t>
  </si>
  <si>
    <t>20306.05</t>
  </si>
  <si>
    <t>72348NAA7</t>
  </si>
  <si>
    <t>72348NAA7 Corp</t>
  </si>
  <si>
    <t>20079.05</t>
  </si>
  <si>
    <t>742718FH7</t>
  </si>
  <si>
    <t>742718FH7 Corp</t>
  </si>
  <si>
    <t>19991.47</t>
  </si>
  <si>
    <t>74340XBM2</t>
  </si>
  <si>
    <t>74340XBM2 Corp</t>
  </si>
  <si>
    <t>20221.01</t>
  </si>
  <si>
    <t>74949LAC6</t>
  </si>
  <si>
    <t>74949LAC6 Corp</t>
  </si>
  <si>
    <t>20675.02</t>
  </si>
  <si>
    <t>756109BR4</t>
  </si>
  <si>
    <t>756109BR4 Corp</t>
  </si>
  <si>
    <t>20128.55</t>
  </si>
  <si>
    <t>75886FAE7</t>
  </si>
  <si>
    <t>75886FAE7 Corp</t>
  </si>
  <si>
    <t>20365.61</t>
  </si>
  <si>
    <t>76720AAS5</t>
  </si>
  <si>
    <t>76720AAS5 Corp</t>
  </si>
  <si>
    <t>20189.46</t>
  </si>
  <si>
    <t>775109DE8</t>
  </si>
  <si>
    <t>775109DE8 Corp</t>
  </si>
  <si>
    <t>20136.45</t>
  </si>
  <si>
    <t>776743AF3</t>
  </si>
  <si>
    <t>776743AF3 Corp</t>
  </si>
  <si>
    <t>20833.54</t>
  </si>
  <si>
    <t>78017DAC2</t>
  </si>
  <si>
    <t>78017DAC2 Corp</t>
  </si>
  <si>
    <t>16211.82</t>
  </si>
  <si>
    <t>78017DAN8</t>
  </si>
  <si>
    <t>78017DAN8 Corp</t>
  </si>
  <si>
    <t>27821.95</t>
  </si>
  <si>
    <t>785592AX4</t>
  </si>
  <si>
    <t>785592AX4 Corp</t>
  </si>
  <si>
    <t>16849.41</t>
  </si>
  <si>
    <t>79466LAQ7</t>
  </si>
  <si>
    <t>79466LAQ7 Corp</t>
  </si>
  <si>
    <t>16983.43</t>
  </si>
  <si>
    <t>79466LAR5</t>
  </si>
  <si>
    <t>79466LAR5 Corp</t>
  </si>
  <si>
    <t>19996.88</t>
  </si>
  <si>
    <t>80282KBF2</t>
  </si>
  <si>
    <t>80282KBF2 Corp</t>
  </si>
  <si>
    <t>20523.13</t>
  </si>
  <si>
    <t>808513CJ2</t>
  </si>
  <si>
    <t>808513CJ2 Corp</t>
  </si>
  <si>
    <t>20696.84</t>
  </si>
  <si>
    <t>816851BG3</t>
  </si>
  <si>
    <t>816851BG3 Corp</t>
  </si>
  <si>
    <t>20612.56</t>
  </si>
  <si>
    <t>824348BJ4</t>
  </si>
  <si>
    <t>824348BJ4 Corp</t>
  </si>
  <si>
    <t>20002.61</t>
  </si>
  <si>
    <t>828807DF1</t>
  </si>
  <si>
    <t>828807DF1 Corp</t>
  </si>
  <si>
    <t>15927.77</t>
  </si>
  <si>
    <t>83444MAP6</t>
  </si>
  <si>
    <t>83444MAP6 Corp</t>
  </si>
  <si>
    <t>31541.57</t>
  </si>
  <si>
    <t>842400JC8</t>
  </si>
  <si>
    <t>842400JC8 Corp</t>
  </si>
  <si>
    <t>14141.08</t>
  </si>
  <si>
    <t>852060AD4</t>
  </si>
  <si>
    <t>852060AD4 Corp</t>
  </si>
  <si>
    <t>19926.89</t>
  </si>
  <si>
    <t>855244AZ2</t>
  </si>
  <si>
    <t>855244AZ2 Corp</t>
  </si>
  <si>
    <t>20172.87</t>
  </si>
  <si>
    <t>857477CU5</t>
  </si>
  <si>
    <t>857477CU5 Corp</t>
  </si>
  <si>
    <t>20081.60</t>
  </si>
  <si>
    <t>86562MCG3</t>
  </si>
  <si>
    <t>86562MCG3 Corp</t>
  </si>
  <si>
    <t>7548.71</t>
  </si>
  <si>
    <t>86562MED8</t>
  </si>
  <si>
    <t>86562MED8 Corp</t>
  </si>
  <si>
    <t>12792.37</t>
  </si>
  <si>
    <t>87264ABF1</t>
  </si>
  <si>
    <t>87264ABF1 Corp</t>
  </si>
  <si>
    <t>20380.49</t>
  </si>
  <si>
    <t>873923AC0</t>
  </si>
  <si>
    <t>873923AC0 Corp</t>
  </si>
  <si>
    <t>16866.07</t>
  </si>
  <si>
    <t>87612EBH8</t>
  </si>
  <si>
    <t>87612EBH8 Corp</t>
  </si>
  <si>
    <t>20468.64</t>
  </si>
  <si>
    <t>87612GAE1</t>
  </si>
  <si>
    <t>87612GAE1 Corp</t>
  </si>
  <si>
    <t>19679.48</t>
  </si>
  <si>
    <t>879360AD7</t>
  </si>
  <si>
    <t>879360AD7 Corp</t>
  </si>
  <si>
    <t>20181.75</t>
  </si>
  <si>
    <t>879385AD4</t>
  </si>
  <si>
    <t>879385AD4 Corp</t>
  </si>
  <si>
    <t>20256.47</t>
  </si>
  <si>
    <t>882508BG8</t>
  </si>
  <si>
    <t>882508BG8 Corp</t>
  </si>
  <si>
    <t>20591.26</t>
  </si>
  <si>
    <t>88339WAB2</t>
  </si>
  <si>
    <t>88339WAB2 Corp</t>
  </si>
  <si>
    <t>20126.45</t>
  </si>
  <si>
    <t>89115KAB6</t>
  </si>
  <si>
    <t>89115KAB6 Corp</t>
  </si>
  <si>
    <t>20125.29</t>
  </si>
  <si>
    <t>89153VAT6</t>
  </si>
  <si>
    <t>89153VAT6 Corp</t>
  </si>
  <si>
    <t>19842.59</t>
  </si>
  <si>
    <t>89236TLL7</t>
  </si>
  <si>
    <t>89236TLL7 Corp</t>
  </si>
  <si>
    <t>7036.32</t>
  </si>
  <si>
    <t>89352HAW9</t>
  </si>
  <si>
    <t>89352HAW9 Corp</t>
  </si>
  <si>
    <t>20868.69</t>
  </si>
  <si>
    <t>89788MAQ5</t>
  </si>
  <si>
    <t>89788MAQ5 Corp</t>
  </si>
  <si>
    <t>13697.63</t>
  </si>
  <si>
    <t>89788MAU6</t>
  </si>
  <si>
    <t>89788MAU6 Corp</t>
  </si>
  <si>
    <t>20214.04</t>
  </si>
  <si>
    <t>904764BC0</t>
  </si>
  <si>
    <t>904764BC0 Corp</t>
  </si>
  <si>
    <t>20738.98</t>
  </si>
  <si>
    <t>91159HJK7</t>
  </si>
  <si>
    <t>91159HJK7 Corp</t>
  </si>
  <si>
    <t>14012.06</t>
  </si>
  <si>
    <t>91159HJV3</t>
  </si>
  <si>
    <t>91159HJV3 Corp</t>
  </si>
  <si>
    <t>20247.88</t>
  </si>
  <si>
    <t>913017CY3</t>
  </si>
  <si>
    <t>913017CY3 Corp</t>
  </si>
  <si>
    <t>10920.06</t>
  </si>
  <si>
    <t>91324PEQ1</t>
  </si>
  <si>
    <t>91324PEQ1 Corp</t>
  </si>
  <si>
    <t>16386.54</t>
  </si>
  <si>
    <t>92277GAM9</t>
  </si>
  <si>
    <t>92277GAM9 Corp</t>
  </si>
  <si>
    <t>19803.79</t>
  </si>
  <si>
    <t>92343VGJ7</t>
  </si>
  <si>
    <t>92343VGJ7 Corp</t>
  </si>
  <si>
    <t>13630.77</t>
  </si>
  <si>
    <t>92826CAM4</t>
  </si>
  <si>
    <t>92826CAM4 Corp</t>
  </si>
  <si>
    <t>20227.41</t>
  </si>
  <si>
    <t>92840VBA9</t>
  </si>
  <si>
    <t>92840VBA9 Corp</t>
  </si>
  <si>
    <t>19854.02</t>
  </si>
  <si>
    <t>94106LCB3</t>
  </si>
  <si>
    <t>94106LCB3 Corp</t>
  </si>
  <si>
    <t>20057.71</t>
  </si>
  <si>
    <t>95000U3W1</t>
  </si>
  <si>
    <t>95000U3W1 Corp</t>
  </si>
  <si>
    <t>54662.98</t>
  </si>
  <si>
    <t>961214EF6</t>
  </si>
  <si>
    <t>961214EF6 Corp</t>
  </si>
  <si>
    <t>20470.47</t>
  </si>
  <si>
    <t>961214EW9</t>
  </si>
  <si>
    <t>961214EW9 Corp</t>
  </si>
  <si>
    <t>12290.61</t>
  </si>
  <si>
    <t>980236AT0</t>
  </si>
  <si>
    <t>980236AT0 Corp</t>
  </si>
  <si>
    <t>20365.64</t>
  </si>
  <si>
    <t>912828ZS2</t>
  </si>
  <si>
    <t>912828ZS2 Govt</t>
  </si>
  <si>
    <t>250597.77</t>
  </si>
  <si>
    <t>912828ZN3</t>
  </si>
  <si>
    <t>912828ZN3 Govt</t>
  </si>
  <si>
    <t>859096.07</t>
  </si>
  <si>
    <t>181901.08</t>
  </si>
  <si>
    <t>91282CMY4</t>
  </si>
  <si>
    <t>91282CMY4 Govt</t>
  </si>
  <si>
    <t>849940.26</t>
  </si>
  <si>
    <t>912810FB9</t>
  </si>
  <si>
    <t>912810FB9 Govt</t>
  </si>
  <si>
    <t>24658.13</t>
  </si>
  <si>
    <t>912810FF0</t>
  </si>
  <si>
    <t>912810FF0 Govt</t>
  </si>
  <si>
    <t>24605.63</t>
  </si>
  <si>
    <t>9128282R0</t>
  </si>
  <si>
    <t>9128282R0 Govt</t>
  </si>
  <si>
    <t>61694.47</t>
  </si>
  <si>
    <t>9128283F5</t>
  </si>
  <si>
    <t>9128283F5 Govt</t>
  </si>
  <si>
    <t>61402.85</t>
  </si>
  <si>
    <t>9128283W8</t>
  </si>
  <si>
    <t>9128283W8 Govt</t>
  </si>
  <si>
    <t>88013.67</t>
  </si>
  <si>
    <t>9128284N7</t>
  </si>
  <si>
    <t>9128284N7 Govt</t>
  </si>
  <si>
    <t>87931.05</t>
  </si>
  <si>
    <t>9128284V9</t>
  </si>
  <si>
    <t>9128284V9 Govt</t>
  </si>
  <si>
    <t>87665.63</t>
  </si>
  <si>
    <t>9128285M8</t>
  </si>
  <si>
    <t>9128285M8 Govt</t>
  </si>
  <si>
    <t>87916.99</t>
  </si>
  <si>
    <t>9128286B1</t>
  </si>
  <si>
    <t>9128286B1 Govt</t>
  </si>
  <si>
    <t>86586.33</t>
  </si>
  <si>
    <t>9128286T2</t>
  </si>
  <si>
    <t>9128286T2 Govt</t>
  </si>
  <si>
    <t>79993.59</t>
  </si>
  <si>
    <t>52248.18</t>
  </si>
  <si>
    <t>912828ZV5</t>
  </si>
  <si>
    <t>912828ZV5 Govt</t>
  </si>
  <si>
    <t>54991.75</t>
  </si>
  <si>
    <t>91282CAD3</t>
  </si>
  <si>
    <t>91282CAD3 Govt</t>
  </si>
  <si>
    <t>60486.15</t>
  </si>
  <si>
    <t>91282CAH4</t>
  </si>
  <si>
    <t>91282CAH4 Govt</t>
  </si>
  <si>
    <t>54639.84</t>
  </si>
  <si>
    <t>91282CAL5</t>
  </si>
  <si>
    <t>91282CAL5 Govt</t>
  </si>
  <si>
    <t>60115.78</t>
  </si>
  <si>
    <t>91282CAU5</t>
  </si>
  <si>
    <t>91282CAU5 Govt</t>
  </si>
  <si>
    <t>60017.34</t>
  </si>
  <si>
    <t>91282CAY7</t>
  </si>
  <si>
    <t>91282CAY7 Govt</t>
  </si>
  <si>
    <t>79934.53</t>
  </si>
  <si>
    <t>91282CBB6</t>
  </si>
  <si>
    <t>91282CBB6 Govt</t>
  </si>
  <si>
    <t>82541.25</t>
  </si>
  <si>
    <t>91282CBJ9</t>
  </si>
  <si>
    <t>91282CBJ9 Govt</t>
  </si>
  <si>
    <t>85308.40</t>
  </si>
  <si>
    <t>91282CBP5</t>
  </si>
  <si>
    <t>91282CBP5 Govt</t>
  </si>
  <si>
    <t>85619.53</t>
  </si>
  <si>
    <t>91282CBS9</t>
  </si>
  <si>
    <t>91282CBS9 Govt</t>
  </si>
  <si>
    <t>82740.06</t>
  </si>
  <si>
    <t>91282CBZ3</t>
  </si>
  <si>
    <t>91282CBZ3 Govt</t>
  </si>
  <si>
    <t>85399.80</t>
  </si>
  <si>
    <t>91282CCE9</t>
  </si>
  <si>
    <t>91282CCE9 Govt</t>
  </si>
  <si>
    <t>85192.38</t>
  </si>
  <si>
    <t>91282CCH2</t>
  </si>
  <si>
    <t>91282CCH2 Govt</t>
  </si>
  <si>
    <t>82165.72</t>
  </si>
  <si>
    <t>91282CCR0</t>
  </si>
  <si>
    <t>91282CCR0 Govt</t>
  </si>
  <si>
    <t>84352.15</t>
  </si>
  <si>
    <t>91282CCV1</t>
  </si>
  <si>
    <t>91282CCV1 Govt</t>
  </si>
  <si>
    <t>84364.45</t>
  </si>
  <si>
    <t>91282CCY5</t>
  </si>
  <si>
    <t>91282CCY5 Govt</t>
  </si>
  <si>
    <t>84399.61</t>
  </si>
  <si>
    <t>91282CDF5</t>
  </si>
  <si>
    <t>91282CDF5 Govt</t>
  </si>
  <si>
    <t>81633.87</t>
  </si>
  <si>
    <t>91282CDL2</t>
  </si>
  <si>
    <t>91282CDL2 Govt</t>
  </si>
  <si>
    <t>81710.33</t>
  </si>
  <si>
    <t>91282CDP3</t>
  </si>
  <si>
    <t>91282CDP3 Govt</t>
  </si>
  <si>
    <t>81278.73</t>
  </si>
  <si>
    <t>91282CDW8</t>
  </si>
  <si>
    <t>91282CDW8 Govt</t>
  </si>
  <si>
    <t>79061.72</t>
  </si>
  <si>
    <t>91282CEB3</t>
  </si>
  <si>
    <t>91282CEB3 Govt</t>
  </si>
  <si>
    <t>79191.33</t>
  </si>
  <si>
    <t>91282CEE7</t>
  </si>
  <si>
    <t>91282CEE7 Govt</t>
  </si>
  <si>
    <t>60101.02</t>
  </si>
  <si>
    <t>91282CEM9</t>
  </si>
  <si>
    <t>91282CEM9 Govt</t>
  </si>
  <si>
    <t>57960.94</t>
  </si>
  <si>
    <t>91282CET4</t>
  </si>
  <si>
    <t>91282CET4 Govt</t>
  </si>
  <si>
    <t>62173.36</t>
  </si>
  <si>
    <t>91282CEW7</t>
  </si>
  <si>
    <t>91282CEW7 Govt</t>
  </si>
  <si>
    <t>62482.59</t>
  </si>
  <si>
    <t>91282CFB2</t>
  </si>
  <si>
    <t>91282CFB2 Govt</t>
  </si>
  <si>
    <t>62077.15</t>
  </si>
  <si>
    <t>91282CFH9</t>
  </si>
  <si>
    <t>91282CFH9 Govt</t>
  </si>
  <si>
    <t>62278.95</t>
  </si>
  <si>
    <t>91282CFM8</t>
  </si>
  <si>
    <t>91282CFM8 Govt</t>
  </si>
  <si>
    <t>62997.54</t>
  </si>
  <si>
    <t>91282CFU0</t>
  </si>
  <si>
    <t>91282CFU0 Govt</t>
  </si>
  <si>
    <t>59976.56</t>
  </si>
  <si>
    <t>91282CFZ9</t>
  </si>
  <si>
    <t>91282CFZ9 Govt</t>
  </si>
  <si>
    <t>59775.00</t>
  </si>
  <si>
    <t>91282CGC9</t>
  </si>
  <si>
    <t>91282CGC9 Govt</t>
  </si>
  <si>
    <t>62753.91</t>
  </si>
  <si>
    <t>91282CGH8</t>
  </si>
  <si>
    <t>91282CGH8 Govt</t>
  </si>
  <si>
    <t>102955.94</t>
  </si>
  <si>
    <t>91282CGP0</t>
  </si>
  <si>
    <t>91282CGP0 Govt</t>
  </si>
  <si>
    <t>59855.86</t>
  </si>
  <si>
    <t>91282CGT2</t>
  </si>
  <si>
    <t>91282CGT2 Govt</t>
  </si>
  <si>
    <t>62437.68</t>
  </si>
  <si>
    <t>91282CHA2</t>
  </si>
  <si>
    <t>91282CHA2 Govt</t>
  </si>
  <si>
    <t>62272.79</t>
  </si>
  <si>
    <t>91282CHE4</t>
  </si>
  <si>
    <t>91282CHE4 Govt</t>
  </si>
  <si>
    <t>59421.09</t>
  </si>
  <si>
    <t>91282CHK0</t>
  </si>
  <si>
    <t>91282CHK0 Govt</t>
  </si>
  <si>
    <t>62820.35</t>
  </si>
  <si>
    <t>91282CHQ7</t>
  </si>
  <si>
    <t>91282CHQ7 Govt</t>
  </si>
  <si>
    <t>62963.09</t>
  </si>
  <si>
    <t>91282CHX2</t>
  </si>
  <si>
    <t>91282CHX2 Govt</t>
  </si>
  <si>
    <t>63280.55</t>
  </si>
  <si>
    <t>91282CJA0</t>
  </si>
  <si>
    <t>91282CJA0 Govt</t>
  </si>
  <si>
    <t>84838.36</t>
  </si>
  <si>
    <t>91282CJF9</t>
  </si>
  <si>
    <t>91282CJF9 Govt</t>
  </si>
  <si>
    <t>85323.98</t>
  </si>
  <si>
    <t>91282CJN2</t>
  </si>
  <si>
    <t>91282CJN2 Govt</t>
  </si>
  <si>
    <t>87431.60</t>
  </si>
  <si>
    <t>91282CJR3</t>
  </si>
  <si>
    <t>91282CJR3 Govt</t>
  </si>
  <si>
    <t>78230.06</t>
  </si>
  <si>
    <t>91282CJW2</t>
  </si>
  <si>
    <t>91282CJW2 Govt</t>
  </si>
  <si>
    <t>89648.44</t>
  </si>
  <si>
    <t>91282CKD2</t>
  </si>
  <si>
    <t>91282CKD2 Govt</t>
  </si>
  <si>
    <t>93223.42</t>
  </si>
  <si>
    <t>91282CKG5</t>
  </si>
  <si>
    <t>91282CKG5 Govt</t>
  </si>
  <si>
    <t>92923.71</t>
  </si>
  <si>
    <t>91282CKP5</t>
  </si>
  <si>
    <t>91282CKP5 Govt</t>
  </si>
  <si>
    <t>100237.50</t>
  </si>
  <si>
    <t>91282CKV2</t>
  </si>
  <si>
    <t>91282CKV2 Govt</t>
  </si>
  <si>
    <t>90473.30</t>
  </si>
  <si>
    <t>91282CKZ3</t>
  </si>
  <si>
    <t>91282CKZ3 Govt</t>
  </si>
  <si>
    <t>87245.12</t>
  </si>
  <si>
    <t>91282CLG4</t>
  </si>
  <si>
    <t>91282CLG4 Govt</t>
  </si>
  <si>
    <t>86643.16</t>
  </si>
  <si>
    <t>91282CLL3</t>
  </si>
  <si>
    <t>91282CLL3 Govt</t>
  </si>
  <si>
    <t>89198.44</t>
  </si>
  <si>
    <t>91282CLQ2</t>
  </si>
  <si>
    <t>91282CLQ2 Govt</t>
  </si>
  <si>
    <t>86712.83</t>
  </si>
  <si>
    <t>91282CLX7</t>
  </si>
  <si>
    <t>91282CLX7 Govt</t>
  </si>
  <si>
    <t>86979.61</t>
  </si>
  <si>
    <t>91282CMB4</t>
  </si>
  <si>
    <t>91282CMB4 Govt</t>
  </si>
  <si>
    <t>89817.19</t>
  </si>
  <si>
    <t>91282CMF5</t>
  </si>
  <si>
    <t>91282CMF5 Govt</t>
  </si>
  <si>
    <t>90130.08</t>
  </si>
  <si>
    <t>91282CMN8</t>
  </si>
  <si>
    <t>91282CMN8 Govt</t>
  </si>
  <si>
    <t>87125.74</t>
  </si>
  <si>
    <t>91282CMS7</t>
  </si>
  <si>
    <t>91282CMS7 Govt</t>
  </si>
  <si>
    <t>89590.43</t>
  </si>
  <si>
    <t>91282CMW8</t>
  </si>
  <si>
    <t>91282CMW8 Govt</t>
  </si>
  <si>
    <t>89377.73</t>
  </si>
  <si>
    <t>91282CND9</t>
  </si>
  <si>
    <t>91282CND9 Govt</t>
  </si>
  <si>
    <t>89346.09</t>
  </si>
  <si>
    <t>91282CNE7</t>
  </si>
  <si>
    <t>91282CNE7 Govt</t>
  </si>
  <si>
    <t>89829.98</t>
  </si>
  <si>
    <t>91282CNH0</t>
  </si>
  <si>
    <t>91282CNH0 Govt</t>
  </si>
  <si>
    <t>89530.66</t>
  </si>
  <si>
    <t>91282CNL1</t>
  </si>
  <si>
    <t>91282CNL1 Govt</t>
  </si>
  <si>
    <t>102660.06</t>
  </si>
  <si>
    <t>91282CNM9</t>
  </si>
  <si>
    <t>91282CNM9 Govt</t>
  </si>
  <si>
    <t>89493.75</t>
  </si>
  <si>
    <t>91282CNP2</t>
  </si>
  <si>
    <t>91282CNP2 Govt</t>
  </si>
  <si>
    <t>104721.09</t>
  </si>
  <si>
    <t>91282CNU1</t>
  </si>
  <si>
    <t>91282CNU1 Govt</t>
  </si>
  <si>
    <t>78142.11</t>
  </si>
  <si>
    <t>91282CNV9</t>
  </si>
  <si>
    <t>91282CNV9 Govt</t>
  </si>
  <si>
    <t>92465.98</t>
  </si>
  <si>
    <t>91282CNY3</t>
  </si>
  <si>
    <t>91282CNY3 Govt</t>
  </si>
  <si>
    <t>88512.89</t>
  </si>
  <si>
    <t>91282CPB1</t>
  </si>
  <si>
    <t>91282CPB1 Govt</t>
  </si>
  <si>
    <t>102207.38</t>
  </si>
  <si>
    <t>91282CPC9</t>
  </si>
  <si>
    <t>91282CPC9 Govt</t>
  </si>
  <si>
    <t>88699.22</t>
  </si>
  <si>
    <t>91282CPE5</t>
  </si>
  <si>
    <t>91282CPE5 Govt</t>
  </si>
  <si>
    <t>113029.22</t>
  </si>
  <si>
    <t>91282CPK1</t>
  </si>
  <si>
    <t>91282CPK1 Govt</t>
  </si>
  <si>
    <t>77827.34</t>
  </si>
  <si>
    <t>91282CPL9</t>
  </si>
  <si>
    <t>91282CPL9 Govt</t>
  </si>
  <si>
    <t>101909.65</t>
  </si>
  <si>
    <t>91282CPP0</t>
  </si>
  <si>
    <t>91282CPP0 Govt</t>
  </si>
  <si>
    <t>88627.15</t>
  </si>
  <si>
    <t>91282CPS4</t>
  </si>
  <si>
    <t>91282CPS4 Govt</t>
  </si>
  <si>
    <t>112710.82</t>
  </si>
  <si>
    <t>91282CPT2</t>
  </si>
  <si>
    <t>91282CPT2 Govt</t>
  </si>
  <si>
    <t>88572.66</t>
  </si>
  <si>
    <t>91282CQA2</t>
  </si>
  <si>
    <t>91282CQA2 Govt</t>
  </si>
  <si>
    <t>88533.98</t>
  </si>
  <si>
    <t>91282CQB0</t>
  </si>
  <si>
    <t>91282CQB0 Govt</t>
  </si>
  <si>
    <t>112590.59</t>
  </si>
  <si>
    <t>91282CQE4</t>
  </si>
  <si>
    <t>91282CQE4 Govt</t>
  </si>
  <si>
    <t>91282CQH7</t>
  </si>
  <si>
    <t>91282CQH7 Govt</t>
  </si>
  <si>
    <t>102519.20</t>
  </si>
  <si>
    <t>91282CQJ3</t>
  </si>
  <si>
    <t>91282CQJ3 Govt</t>
  </si>
  <si>
    <t>89349.61</t>
  </si>
  <si>
    <t>91282CQL8</t>
  </si>
  <si>
    <t>91282CQL8 Govt</t>
  </si>
  <si>
    <t>88377.70</t>
  </si>
  <si>
    <t>91282CQR5</t>
  </si>
  <si>
    <t>91282CQR5 Govt</t>
  </si>
  <si>
    <t>89342.58</t>
  </si>
  <si>
    <t>247695.09</t>
  </si>
  <si>
    <t>724244.87</t>
  </si>
  <si>
    <t>182868.64</t>
  </si>
  <si>
    <t>831983.78</t>
  </si>
  <si>
    <t>172225.49</t>
  </si>
  <si>
    <t>733223.12</t>
  </si>
  <si>
    <t>222538.56</t>
  </si>
  <si>
    <t>862008.26</t>
  </si>
  <si>
    <t>875877.41</t>
  </si>
  <si>
    <t>183836.20</t>
  </si>
  <si>
    <t>902778.92</t>
  </si>
  <si>
    <t>180933.52</t>
  </si>
  <si>
    <t>854928.18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</si>
</sst>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Data...2203437667</v>
        <stp/>
        <stp>BDP|10638741581756933338</stp>
        <tr r="AA60" s="1"/>
      </tp>
      <tp t="s">
        <v>#N/A Requesting Data...3570404819</v>
        <stp/>
        <stp>BDP|14064611409939728161</stp>
        <tr r="E50" s="2"/>
      </tp>
      <tp t="s">
        <v>#N/A Requesting Data...2524859765</v>
        <stp/>
        <stp>BDP|12882568086974356121</stp>
        <tr r="H199" s="2"/>
      </tp>
      <tp t="s">
        <v>#N/A Requesting Data...2312539597</v>
        <stp/>
        <stp>BDP|18065904499121109310</stp>
        <tr r="G281" s="2"/>
      </tp>
      <tp t="s">
        <v>#N/A Requesting Data...3144803359</v>
        <stp/>
        <stp>BDP|10271980835784324453</stp>
        <tr r="H618" s="2"/>
      </tp>
      <tp t="s">
        <v>#N/A Requesting Data...4078098999</v>
        <stp/>
        <stp>BDP|15368589326321653929</stp>
        <tr r="F193" s="2"/>
      </tp>
      <tp t="s">
        <v>#N/A Requesting Data...2750791457</v>
        <stp/>
        <stp>BDP|14367555086286828516</stp>
        <tr r="AA74" s="1"/>
      </tp>
      <tp t="s">
        <v>#N/A Requesting Data...4106671700</v>
        <stp/>
        <stp>BDP|15349544586830918202</stp>
        <tr r="H80" s="2"/>
      </tp>
      <tp t="s">
        <v>#N/A Requesting Data...3419031791</v>
        <stp/>
        <stp>BDP|15495933013622859545</stp>
        <tr r="H519" s="2"/>
      </tp>
      <tp t="s">
        <v>#N/A Requesting Data...3475522599</v>
        <stp/>
        <stp>BDP|10697395296811399113</stp>
        <tr r="G545" s="2"/>
      </tp>
      <tp t="s">
        <v>#N/A Requesting Data...3190040957</v>
        <stp/>
        <stp>BDP|17108087003308917581</stp>
        <tr r="H428" s="2"/>
      </tp>
      <tp t="s">
        <v>#N/A Requesting Data...2616560256</v>
        <stp/>
        <stp>BDP|15750896117712763448</stp>
        <tr r="AB75" s="1"/>
      </tp>
      <tp t="s">
        <v>#N/A Requesting Data...3594171558</v>
        <stp/>
        <stp>BDP|14836957962269181841</stp>
        <tr r="G68" s="2"/>
      </tp>
      <tp t="s">
        <v>#N/A Requesting Data...2537234894</v>
        <stp/>
        <stp>BDP|16857958060610477332</stp>
        <tr r="F260" s="2"/>
      </tp>
      <tp t="s">
        <v>#N/A Requesting Data...3588778436</v>
        <stp/>
        <stp>BDP|17671186233907121864</stp>
        <tr r="F450" s="2"/>
      </tp>
      <tp t="s">
        <v>#N/A Requesting Data...2199422166</v>
        <stp/>
        <stp>BDP|17644315898735455211</stp>
        <tr r="G232" s="2"/>
      </tp>
      <tp t="s">
        <v>#N/A Requesting Data...2826549953</v>
        <stp/>
        <stp>BDP|18132631576347734490</stp>
        <tr r="AB33" s="1"/>
      </tp>
      <tp t="s">
        <v>#N/A Requesting Data...3078011639</v>
        <stp/>
        <stp>BDP|11560439584810145791</stp>
        <tr r="F431" s="2"/>
      </tp>
      <tp t="s">
        <v>#N/A Requesting Data...4178915256</v>
        <stp/>
        <stp>BDP|18057286508681904135</stp>
        <tr r="E220" s="2"/>
      </tp>
      <tp t="s">
        <v>#N/A Requesting Data...4256034492</v>
        <stp/>
        <stp>BDP|11839329907290957895</stp>
        <tr r="G278" s="2"/>
      </tp>
      <tp t="s">
        <v>#N/A Requesting Data...2165234315</v>
        <stp/>
        <stp>BDP|13665473737646891834</stp>
        <tr r="E497" s="2"/>
      </tp>
      <tp t="s">
        <v>#N/A Requesting Data...3523591842</v>
        <stp/>
        <stp>BDP|11263219841014840976</stp>
        <tr r="F294" s="2"/>
      </tp>
      <tp t="s">
        <v>#N/A Requesting Data...3058431698</v>
        <stp/>
        <stp>BDP|11385293046714104901</stp>
        <tr r="E107" s="2"/>
      </tp>
      <tp t="s">
        <v>#N/A Requesting Data...2135578326</v>
        <stp/>
        <stp>BDP|17715961809815530113</stp>
        <tr r="E381" s="2"/>
      </tp>
      <tp t="s">
        <v>#N/A Requesting Data...2290594287</v>
        <stp/>
        <stp>BDP|17975067255208457022</stp>
        <tr r="F531" s="2"/>
        <tr r="F626" s="2"/>
        <tr r="F628" s="2"/>
        <tr r="F630" s="2"/>
        <tr r="F634" s="2"/>
        <tr r="F638" s="2"/>
      </tp>
      <tp t="s">
        <v>#N/A Requesting Data...3521312098</v>
        <stp/>
        <stp>BDP|11858260567496559900</stp>
        <tr r="F380" s="2"/>
      </tp>
      <tp t="s">
        <v>#N/A Requesting Data...2961668849</v>
        <stp/>
        <stp>BDP|16762481013550863980</stp>
        <tr r="G469" s="2"/>
      </tp>
      <tp t="s">
        <v>#N/A Requesting Data...3421524785</v>
        <stp/>
        <stp>BDP|17023618770329818567</stp>
        <tr r="E128" s="2"/>
      </tp>
      <tp t="s">
        <v>#N/A Requesting Data...3997380834</v>
        <stp/>
        <stp>BDP|10812127990697396568</stp>
        <tr r="G273" s="2"/>
      </tp>
      <tp t="s">
        <v>#N/A Requesting Data...3175924739</v>
        <stp/>
        <stp>BDP|12170235202128920261</stp>
        <tr r="E484" s="2"/>
      </tp>
      <tp t="s">
        <v>#N/A Requesting Data...2686638252</v>
        <stp/>
        <stp>BDP|15971423788586453583</stp>
        <tr r="G536" s="2"/>
      </tp>
      <tp t="s">
        <v>#N/A Requesting Data...3573840320</v>
        <stp/>
        <stp>BDP|17980977617505556024</stp>
        <tr r="G85" s="2"/>
      </tp>
      <tp t="s">
        <v>#N/A Requesting Data...3431191140</v>
        <stp/>
        <stp>BDP|13486292417669104356</stp>
        <tr r="F509" s="2"/>
      </tp>
      <tp t="s">
        <v>#N/A Requesting Data...2845144377</v>
        <stp/>
        <stp>BDP|10689298583634783456</stp>
        <tr r="E66" s="2"/>
      </tp>
      <tp t="s">
        <v>#N/A Requesting Data...2313996351</v>
        <stp/>
        <stp>BDP|14954440181746747455</stp>
        <tr r="F313" s="2"/>
      </tp>
      <tp t="s">
        <v>#N/A Requesting Data...3170525606</v>
        <stp/>
        <stp>BDP|16529057900279918571</stp>
        <tr r="Z7" s="1"/>
      </tp>
      <tp t="s">
        <v>#N/A Requesting Data...2767698332</v>
        <stp/>
        <stp>BDP|16872276296980007780</stp>
        <tr r="E463" s="2"/>
      </tp>
      <tp t="s">
        <v>#N/A Requesting Data...3966350493</v>
        <stp/>
        <stp>BDP|10867898916114649706</stp>
        <tr r="E531" s="2"/>
        <tr r="E626" s="2"/>
        <tr r="E628" s="2"/>
        <tr r="E630" s="2"/>
        <tr r="E634" s="2"/>
        <tr r="E638" s="2"/>
      </tp>
      <tp t="s">
        <v>#N/A Requesting Data...2246134254</v>
        <stp/>
        <stp>BDP|18394368625525929685</stp>
        <tr r="AA11" s="1"/>
      </tp>
      <tp t="s">
        <v>#N/A Requesting Data...3765749289</v>
        <stp/>
        <stp>BDP|17719501184750041022</stp>
        <tr r="AB87" s="1"/>
      </tp>
      <tp t="s">
        <v>#N/A Requesting Data...2126027388</v>
        <stp/>
        <stp>BDP|13757517745259301110</stp>
        <tr r="E106" s="2"/>
      </tp>
      <tp t="s">
        <v>#N/A Requesting Data...2891946749</v>
        <stp/>
        <stp>BDP|11071063173064276863</stp>
        <tr r="H357" s="2"/>
      </tp>
      <tp t="s">
        <v>#N/A Requesting Data...4277658275</v>
        <stp/>
        <stp>BDP|10014379012451428909</stp>
        <tr r="E253" s="2"/>
      </tp>
      <tp t="s">
        <v>#N/A Requesting Data...2154363121</v>
        <stp/>
        <stp>BDP|11107800605163136045</stp>
        <tr r="E366" s="2"/>
      </tp>
      <tp t="s">
        <v>#N/A Requesting Data...2354194267</v>
        <stp/>
        <stp>BDP|13265363612552292947</stp>
        <tr r="F306" s="2"/>
      </tp>
      <tp t="s">
        <v>#N/A Requesting Data...2697350768</v>
        <stp/>
        <stp>BDP|11991783085853585718</stp>
        <tr r="E505" s="2"/>
      </tp>
      <tp t="s">
        <v>#N/A Requesting Data...3486601274</v>
        <stp/>
        <stp>BDP|12785203236260261906</stp>
        <tr r="F81" s="2"/>
      </tp>
      <tp t="s">
        <v>#N/A Requesting Data...2310228818</v>
        <stp/>
        <stp>BDP|18245413660949561955</stp>
        <tr r="H165" s="2"/>
      </tp>
      <tp t="s">
        <v>#N/A Requesting Data...3726035002</v>
        <stp/>
        <stp>BDP|12392330737529267167</stp>
        <tr r="F164" s="2"/>
      </tp>
      <tp t="s">
        <v>#N/A Requesting Data...3935107346</v>
        <stp/>
        <stp>BDP|10476831472225570031</stp>
        <tr r="E500" s="2"/>
      </tp>
      <tp t="s">
        <v>#N/A Requesting Data...4035933703</v>
        <stp/>
        <stp>BDP|16497134182277514225</stp>
        <tr r="H109" s="2"/>
      </tp>
      <tp t="s">
        <v>#N/A Requesting Data...3031199577</v>
        <stp/>
        <stp>BDP|18417416964763419376</stp>
        <tr r="F560" s="2"/>
      </tp>
      <tp t="s">
        <v>#N/A Requesting Data...4287387902</v>
        <stp/>
        <stp>BDP|15020863133852147669</stp>
        <tr r="E334" s="2"/>
      </tp>
      <tp t="s">
        <v>#N/A Requesting Data...2891144299</v>
        <stp/>
        <stp>BDP|16791025293475410071</stp>
        <tr r="E446" s="2"/>
      </tp>
      <tp t="s">
        <v>#N/A Requesting Data...3852633994</v>
        <stp/>
        <stp>BDP|10754662711788062559</stp>
        <tr r="AB53" s="1"/>
      </tp>
      <tp t="s">
        <v>#N/A Requesting Data...3890182308</v>
        <stp/>
        <stp>BDP|16288704945099571675</stp>
        <tr r="AB94" s="1"/>
      </tp>
      <tp t="s">
        <v>#N/A Requesting Data...2986687360</v>
        <stp/>
        <stp>BDP|15343703243339200573</stp>
        <tr r="H108" s="2"/>
      </tp>
      <tp t="s">
        <v>#N/A Requesting Data...3871867718</v>
        <stp/>
        <stp>BDP|14823092705739236732</stp>
        <tr r="E390" s="2"/>
      </tp>
      <tp t="s">
        <v>#N/A Requesting Data...2502787402</v>
        <stp/>
        <stp>BDP|17678352286537183100</stp>
        <tr r="E599" s="2"/>
      </tp>
      <tp t="s">
        <v>#N/A Requesting Data...2986618294</v>
        <stp/>
        <stp>BDP|12217513016799626571</stp>
        <tr r="AA50" s="1"/>
      </tp>
      <tp t="s">
        <v>#N/A Requesting Data...2388955595</v>
        <stp/>
        <stp>BDP|15589097988181008635</stp>
        <tr r="F247" s="2"/>
      </tp>
      <tp t="s">
        <v>#N/A Requesting Data...2597524752</v>
        <stp/>
        <stp>BDP|14777844566885527576</stp>
        <tr r="F276" s="2"/>
      </tp>
      <tp t="s">
        <v>#N/A Requesting Data...2273603868</v>
        <stp/>
        <stp>BDP|15507320534588597712</stp>
        <tr r="F467" s="2"/>
      </tp>
      <tp t="s">
        <v>#N/A Requesting Data...2931622089</v>
        <stp/>
        <stp>BDP|11618062186217726460</stp>
        <tr r="H47" s="2"/>
      </tp>
      <tp t="s">
        <v>#N/A Requesting Data...3626425688</v>
        <stp/>
        <stp>BDP|13415194372269013687</stp>
        <tr r="Z73" s="1"/>
      </tp>
      <tp t="s">
        <v>#N/A Requesting Data...3019949648</v>
        <stp/>
        <stp>BDP|10854443313296890916</stp>
        <tr r="Z89" s="1"/>
      </tp>
      <tp t="s">
        <v>#N/A Requesting Data...3234430223</v>
        <stp/>
        <stp>BDP|18090916574274742847</stp>
        <tr r="E460" s="2"/>
      </tp>
      <tp t="s">
        <v>#N/A Requesting Data...2630454849</v>
        <stp/>
        <stp>BDP|12803230720781576982</stp>
        <tr r="F265" s="2"/>
      </tp>
      <tp t="s">
        <v>#N/A Requesting Data...2702320824</v>
        <stp/>
        <stp>BDP|10858596892571737722</stp>
        <tr r="H141" s="2"/>
      </tp>
      <tp t="s">
        <v>#N/A Requesting Data...4104663030</v>
        <stp/>
        <stp>BDP|10668118499001138265</stp>
        <tr r="AB3" s="1"/>
      </tp>
      <tp t="s">
        <v>#N/A Requesting Data...2725129467</v>
        <stp/>
        <stp>BDP|16471294606898169726</stp>
        <tr r="AB26" s="1"/>
      </tp>
      <tp t="s">
        <v>#N/A Requesting Data...2805334705</v>
        <stp/>
        <stp>BDP|10201299818758802033</stp>
        <tr r="E254" s="2"/>
      </tp>
      <tp t="s">
        <v>#N/A Requesting Data...2966035138</v>
        <stp/>
        <stp>BDP|18328370388099462107</stp>
        <tr r="Z29" s="1"/>
      </tp>
      <tp t="s">
        <v>#N/A Requesting Data...3864856506</v>
        <stp/>
        <stp>BDP|15028148465381879818</stp>
        <tr r="G142" s="2"/>
      </tp>
      <tp t="s">
        <v>#N/A Requesting Data...3944245212</v>
        <stp/>
        <stp>BDP|13860910228356149585</stp>
        <tr r="G231" s="2"/>
      </tp>
      <tp t="s">
        <v>#N/A Requesting Data...2449026777</v>
        <stp/>
        <stp>BDP|13578948469890067732</stp>
        <tr r="E447" s="2"/>
      </tp>
      <tp t="s">
        <v>#N/A Requesting Data...3965838684</v>
        <stp/>
        <stp>BDP|13243199705091790835</stp>
        <tr r="G187" s="2"/>
      </tp>
      <tp t="s">
        <v>#N/A Requesting Data...3875402156</v>
        <stp/>
        <stp>BDP|12917895626577850445</stp>
        <tr r="H342" s="2"/>
      </tp>
      <tp t="s">
        <v>#N/A Requesting Data...2775130214</v>
        <stp/>
        <stp>BDP|11863326749418164585</stp>
        <tr r="F607" s="2"/>
      </tp>
      <tp t="s">
        <v>#N/A Requesting Data...3657325381</v>
        <stp/>
        <stp>BDP|15906018934364154901</stp>
        <tr r="E189" s="2"/>
      </tp>
      <tp t="s">
        <v>#N/A Requesting Data...3932043863</v>
        <stp/>
        <stp>BDP|13446742109318769737</stp>
        <tr r="H623" s="2"/>
      </tp>
      <tp t="s">
        <v>#N/A Requesting Data...3801094491</v>
        <stp/>
        <stp>BDP|13408174238088444239</stp>
        <tr r="H393" s="2"/>
      </tp>
      <tp t="s">
        <v>#N/A Requesting Data...3426987277</v>
        <stp/>
        <stp>BDP|16606163194815999010</stp>
        <tr r="H193" s="2"/>
      </tp>
      <tp t="s">
        <v>#N/A Requesting Data...3808848467</v>
        <stp/>
        <stp>BDP|10279746911569819434</stp>
        <tr r="F399" s="2"/>
      </tp>
      <tp t="s">
        <v>#N/A Requesting Data...4077719782</v>
        <stp/>
        <stp>BDP|12183296905089730253</stp>
        <tr r="F162" s="2"/>
      </tp>
      <tp t="s">
        <v>#N/A Requesting Data...2651800687</v>
        <stp/>
        <stp>BDP|15497300638608364604</stp>
        <tr r="G516" s="2"/>
      </tp>
      <tp t="s">
        <v>#N/A Requesting Data...4265807994</v>
        <stp/>
        <stp>BDP|11123177654026872853</stp>
        <tr r="G605" s="2"/>
      </tp>
      <tp t="s">
        <v>#N/A Requesting Data...2680499066</v>
        <stp/>
        <stp>BDP|12787688191753409551</stp>
        <tr r="F327" s="2"/>
      </tp>
      <tp t="s">
        <v>#N/A Requesting Data...3343813861</v>
        <stp/>
        <stp>BDP|17139087133979639638</stp>
        <tr r="H142" s="2"/>
      </tp>
      <tp t="s">
        <v>#N/A Requesting Data...3052819608</v>
        <stp/>
        <stp>BDP|10799096886681016260</stp>
        <tr r="H214" s="2"/>
      </tp>
      <tp t="s">
        <v>#N/A Requesting Data...4156892309</v>
        <stp/>
        <stp>BDP|14308954079831732062</stp>
        <tr r="G362" s="2"/>
      </tp>
      <tp t="s">
        <v>#N/A Requesting Data...3930926838</v>
        <stp/>
        <stp>BDP|14821219402834283978</stp>
        <tr r="E304" s="2"/>
      </tp>
      <tp t="s">
        <v>#N/A Requesting Data...2326477230</v>
        <stp/>
        <stp>BDP|16684358529015137952</stp>
        <tr r="G604" s="2"/>
      </tp>
      <tp t="s">
        <v>#N/A Requesting Data...3032453501</v>
        <stp/>
        <stp>BDP|11367492492307658005</stp>
        <tr r="E386" s="2"/>
      </tp>
      <tp t="s">
        <v>#N/A Requesting Data...3231377442</v>
        <stp/>
        <stp>BDP|10605206127802960993</stp>
        <tr r="H169" s="2"/>
      </tp>
      <tp t="s">
        <v>#N/A Requesting Data...3310705465</v>
        <stp/>
        <stp>BDP|17461732609858955365</stp>
        <tr r="G256" s="2"/>
      </tp>
      <tp t="s">
        <v>#N/A Requesting Data...3443562071</v>
        <stp/>
        <stp>BDP|15496980641811826245</stp>
        <tr r="E514" s="2"/>
      </tp>
      <tp t="s">
        <v>#N/A Requesting Data...2592587634</v>
        <stp/>
        <stp>BDP|10693973211147178408</stp>
        <tr r="G408" s="2"/>
      </tp>
      <tp t="s">
        <v>#N/A Requesting Data...3297367261</v>
        <stp/>
        <stp>BDP|13271374847707607850</stp>
        <tr r="E175" s="2"/>
      </tp>
      <tp t="s">
        <v>#N/A Requesting Data...2697396588</v>
        <stp/>
        <stp>BDP|17207398092025877311</stp>
        <tr r="G520" s="2"/>
      </tp>
      <tp t="s">
        <v>#N/A Requesting Data...2310418906</v>
        <stp/>
        <stp>BDP|17127916047053589221</stp>
        <tr r="G117" s="2"/>
      </tp>
      <tp t="s">
        <v>#N/A Requesting Data...3657645118</v>
        <stp/>
        <stp>BDP|10566340639728009381</stp>
        <tr r="G320" s="2"/>
      </tp>
      <tp t="s">
        <v>#N/A Requesting Data...3152246125</v>
        <stp/>
        <stp>BDP|17078450387663012327</stp>
        <tr r="E412" s="2"/>
      </tp>
      <tp t="s">
        <v>#N/A Requesting Data...3470580731</v>
        <stp/>
        <stp>BDP|15369375430446102853</stp>
        <tr r="AB58" s="1"/>
      </tp>
      <tp t="s">
        <v>#N/A Requesting Data...3312878475</v>
        <stp/>
        <stp>BDP|12879044393129982950</stp>
        <tr r="G414" s="2"/>
      </tp>
      <tp t="s">
        <v>#N/A Requesting Data...2374218623</v>
        <stp/>
        <stp>BDP|16543738601602157857</stp>
        <tr r="AA101" s="1"/>
      </tp>
      <tp t="s">
        <v>#N/A Requesting Data...2266587710</v>
        <stp/>
        <stp>BDP|17656852434810126753</stp>
        <tr r="E356" s="2"/>
      </tp>
      <tp t="s">
        <v>#N/A Requesting Data...3204950319</v>
        <stp/>
        <stp>BDP|13814945747544956119</stp>
        <tr r="H312" s="2"/>
      </tp>
      <tp t="s">
        <v>#N/A Requesting Data...3818807361</v>
        <stp/>
        <stp>BDP|15697192023324775982</stp>
        <tr r="H389" s="2"/>
      </tp>
      <tp t="s">
        <v>#N/A Requesting Data...3911064847</v>
        <stp/>
        <stp>BDP|11898933315612422092</stp>
        <tr r="E335" s="2"/>
      </tp>
      <tp t="s">
        <v>#N/A Requesting Data...2719408371</v>
        <stp/>
        <stp>BDP|11145344027032167904</stp>
        <tr r="G49" s="2"/>
      </tp>
      <tp t="s">
        <v>#N/A Requesting Data...2679659542</v>
        <stp/>
        <stp>BDP|12795962882250403848</stp>
        <tr r="E615" s="2"/>
      </tp>
      <tp t="s">
        <v>#N/A Requesting Data...2869988353</v>
        <stp/>
        <stp>BDP|15916377799680644422</stp>
        <tr r="E248" s="2"/>
      </tp>
      <tp t="s">
        <v>#N/A Requesting Data...3593976082</v>
        <stp/>
        <stp>BDP|13023354503889539211</stp>
        <tr r="F573" s="2"/>
      </tp>
      <tp t="s">
        <v>#N/A Requesting Data...3529474514</v>
        <stp/>
        <stp>BDP|18001442706376947197</stp>
        <tr r="H402" s="2"/>
      </tp>
      <tp t="s">
        <v>#N/A Requesting Data...4101266755</v>
        <stp/>
        <stp>BDP|12791477406994458978</stp>
        <tr r="G293" s="2"/>
      </tp>
      <tp t="s">
        <v>#N/A Requesting Data...2739081541</v>
        <stp/>
        <stp>BDP|10282035866775177834</stp>
        <tr r="G295" s="2"/>
      </tp>
      <tp t="s">
        <v>#N/A Requesting Data...2198726139</v>
        <stp/>
        <stp>BDP|10142768681817246319</stp>
        <tr r="H558" s="2"/>
      </tp>
      <tp t="s">
        <v>#N/A Requesting Data...3716400338</v>
        <stp/>
        <stp>BDP|18342170986949577333</stp>
        <tr r="H107" s="2"/>
      </tp>
      <tp t="s">
        <v>#N/A Requesting Data...3189422141</v>
        <stp/>
        <stp>BDP|16704279082742060561</stp>
        <tr r="H182" s="2"/>
      </tp>
      <tp t="s">
        <v>#N/A Requesting Data...2870776688</v>
        <stp/>
        <stp>BDP|11397464902166452874</stp>
        <tr r="H239" s="2"/>
      </tp>
      <tp t="s">
        <v>#N/A Requesting Data...2382174014</v>
        <stp/>
        <stp>BDP|12541124287531674122</stp>
        <tr r="E455" s="2"/>
      </tp>
      <tp t="s">
        <v>#N/A Requesting Data...3110011368</v>
        <stp/>
        <stp>BDP|13591798847292872974</stp>
        <tr r="F527" s="2"/>
      </tp>
      <tp t="s">
        <v>#N/A Requesting Data...2968193348</v>
        <stp/>
        <stp>BDP|13425198292042983226</stp>
        <tr r="G158" s="2"/>
      </tp>
      <tp t="s">
        <v>#N/A Requesting Data...4016345387</v>
        <stp/>
        <stp>BDP|10903126849666398863</stp>
        <tr r="E7" s="2"/>
      </tp>
      <tp t="s">
        <v>#N/A Requesting Data...3910917082</v>
        <stp/>
        <stp>BDP|11284951230513979392</stp>
        <tr r="AA82" s="1"/>
      </tp>
      <tp t="s">
        <v>#N/A Requesting Data...3837252107</v>
        <stp/>
        <stp>BDP|10698718552708110135</stp>
        <tr r="G18" s="2"/>
        <tr r="G45" s="2"/>
      </tp>
      <tp t="s">
        <v>#N/A Requesting Data...2854284876</v>
        <stp/>
        <stp>BDP|18070557442410533255</stp>
        <tr r="H495" s="2"/>
      </tp>
      <tp t="s">
        <v>#N/A Requesting Data...3483102933</v>
        <stp/>
        <stp>BDP|11561465554928584353</stp>
        <tr r="H459" s="2"/>
      </tp>
      <tp t="s">
        <v>#N/A Requesting Data...2789396888</v>
        <stp/>
        <stp>BDP|11648288388142982281</stp>
        <tr r="E142" s="2"/>
      </tp>
      <tp t="s">
        <v>#N/A Requesting Data...2876080791</v>
        <stp/>
        <stp>BDP|14558295275928710282</stp>
        <tr r="H477" s="2"/>
      </tp>
      <tp t="s">
        <v>#N/A Requesting Data...2927644427</v>
        <stp/>
        <stp>BDP|12062499800475918863</stp>
        <tr r="G148" s="2"/>
      </tp>
      <tp t="s">
        <v>#N/A Requesting Data...3010276468</v>
        <stp/>
        <stp>BDP|16872119748529779101</stp>
        <tr r="H556" s="2"/>
      </tp>
      <tp t="s">
        <v>#N/A Requesting Data...2864763808</v>
        <stp/>
        <stp>BDP|11435956113400203263</stp>
        <tr r="H420" s="2"/>
      </tp>
      <tp t="s">
        <v>#N/A Requesting Data...2409959196</v>
        <stp/>
        <stp>BDP|13895956608820718146</stp>
        <tr r="E382" s="2"/>
      </tp>
      <tp t="s">
        <v>#N/A Requesting Data...3218963832</v>
        <stp/>
        <stp>BDP|14437470748598949745</stp>
        <tr r="AA91" s="1"/>
      </tp>
      <tp t="s">
        <v>#N/A Requesting Data...3622917781</v>
        <stp/>
        <stp>BDP|16503503332349732265</stp>
        <tr r="F462" s="2"/>
      </tp>
      <tp t="s">
        <v>#N/A Requesting Data...2273359746</v>
        <stp/>
        <stp>BDP|12473761021349336560</stp>
        <tr r="G489" s="2"/>
      </tp>
      <tp t="s">
        <v>#N/A Requesting Data...2641760793</v>
        <stp/>
        <stp>BDP|12677494396676090107</stp>
        <tr r="G467" s="2"/>
      </tp>
      <tp t="s">
        <v>#N/A Requesting Data...2908008038</v>
        <stp/>
        <stp>BDP|10532406926078945633</stp>
        <tr r="F538" s="2"/>
      </tp>
      <tp t="s">
        <v>#N/A Requesting Data...2837607823</v>
        <stp/>
        <stp>BDP|12380641988990076465</stp>
        <tr r="H479" s="2"/>
      </tp>
      <tp t="s">
        <v>#N/A Requesting Data...2798470786</v>
        <stp/>
        <stp>BDP|16812922313746118012</stp>
        <tr r="H261" s="2"/>
      </tp>
      <tp t="s">
        <v>#N/A Requesting Data...3722287278</v>
        <stp/>
        <stp>BDP|13135913833540865126</stp>
        <tr r="Z74" s="1"/>
      </tp>
      <tp t="s">
        <v>#N/A Requesting Data...3328852520</v>
        <stp/>
        <stp>BDP|13066768908355238942</stp>
        <tr r="G576" s="2"/>
      </tp>
      <tp t="s">
        <v>#N/A Requesting Data...3540139610</v>
        <stp/>
        <stp>BDP|14657099293821091470</stp>
        <tr r="H506" s="2"/>
      </tp>
      <tp t="s">
        <v>#N/A Requesting Data...3041123752</v>
        <stp/>
        <stp>BDP|12983029888181056389</stp>
        <tr r="E170" s="2"/>
      </tp>
      <tp t="s">
        <v>#N/A Requesting Data...2291899093</v>
        <stp/>
        <stp>BDP|13992829501587153403</stp>
        <tr r="H621" s="2"/>
      </tp>
      <tp t="s">
        <v>#N/A Requesting Data...3011138991</v>
        <stp/>
        <stp>BDP|15109610007042976955</stp>
        <tr r="F195" s="2"/>
      </tp>
      <tp t="s">
        <v>#N/A Requesting Data...3817109207</v>
        <stp/>
        <stp>BDP|15244412263398379782</stp>
        <tr r="G477" s="2"/>
      </tp>
      <tp t="s">
        <v>#N/A Requesting Data...2337508335</v>
        <stp/>
        <stp>BDP|13588338385209994903</stp>
        <tr r="F394" s="2"/>
      </tp>
      <tp t="s">
        <v>#N/A Requesting Data...3411920304</v>
        <stp/>
        <stp>BDP|12026308746698861544</stp>
        <tr r="H267" s="2"/>
      </tp>
      <tp t="s">
        <v>#N/A Requesting Data...2616265152</v>
        <stp/>
        <stp>BDP|12683048445789835755</stp>
        <tr r="H533" s="2"/>
      </tp>
      <tp t="s">
        <v>#N/A Requesting Data...2859481214</v>
        <stp/>
        <stp>BDP|11883847389450737989</stp>
        <tr r="E109" s="2"/>
      </tp>
      <tp t="s">
        <v>#N/A Requesting Data...2350522292</v>
        <stp/>
        <stp>BDP|17443963275115993449</stp>
        <tr r="G324" s="2"/>
      </tp>
      <tp t="s">
        <v>#N/A Requesting Data...3212934236</v>
        <stp/>
        <stp>BDP|17935715626969745346</stp>
        <tr r="H423" s="2"/>
      </tp>
      <tp t="s">
        <v>#N/A Requesting Data...4113725350</v>
        <stp/>
        <stp>BDP|10759926548080579558</stp>
        <tr r="H289" s="2"/>
      </tp>
      <tp t="s">
        <v>#N/A Requesting Data...3260630641</v>
        <stp/>
        <stp>BDP|10356927718617780726</stp>
        <tr r="G144" s="2"/>
      </tp>
      <tp t="s">
        <v>#N/A Requesting Data...3006910725</v>
        <stp/>
        <stp>BDP|17802505574899078405</stp>
        <tr r="H301" s="2"/>
      </tp>
      <tp t="s">
        <v>#N/A Requesting Data...2951850272</v>
        <stp/>
        <stp>BDP|14711555177179926709</stp>
        <tr r="F206" s="2"/>
      </tp>
      <tp t="s">
        <v>#N/A Requesting Data...3825207313</v>
        <stp/>
        <stp>BDP|15532674757636903803</stp>
        <tr r="F160" s="2"/>
      </tp>
      <tp t="s">
        <v>#N/A Requesting Data...3601691384</v>
        <stp/>
        <stp>BDP|17344325463133660987</stp>
        <tr r="E173" s="2"/>
      </tp>
      <tp t="s">
        <v>#N/A Requesting Data...4143871787</v>
        <stp/>
        <stp>BDP|14911917819546420294</stp>
        <tr r="AA87" s="1"/>
      </tp>
      <tp t="s">
        <v>#N/A Requesting Data...3029325560</v>
        <stp/>
        <stp>BDP|16772179884572372583</stp>
        <tr r="H572" s="2"/>
      </tp>
      <tp t="s">
        <v>#N/A Requesting Data...3138320883</v>
        <stp/>
        <stp>BDP|16115854252362805114</stp>
        <tr r="H481" s="2"/>
      </tp>
      <tp t="s">
        <v>#N/A Requesting Data...3711464730</v>
        <stp/>
        <stp>BDP|15808218025955317801</stp>
        <tr r="H321" s="2"/>
      </tp>
      <tp t="s">
        <v>#N/A Requesting Data...3510438796</v>
        <stp/>
        <stp>BDP|11551891163434570357</stp>
        <tr r="AA89" s="1"/>
      </tp>
      <tp t="s">
        <v>#N/A Requesting Data...2451905630</v>
        <stp/>
        <stp>BDP|14877340385680113776</stp>
        <tr r="F418" s="2"/>
      </tp>
      <tp t="s">
        <v>#N/A Requesting Data...3018539195</v>
        <stp/>
        <stp>BDP|10936718789766648195</stp>
        <tr r="E164" s="2"/>
      </tp>
      <tp t="s">
        <v>#N/A Requesting Data...3080342714</v>
        <stp/>
        <stp>BDP|11661010388391025015</stp>
        <tr r="G553" s="2"/>
      </tp>
      <tp t="s">
        <v>#N/A Requesting Data...2574175787</v>
        <stp/>
        <stp>BDP|12620151587334359793</stp>
        <tr r="G583" s="2"/>
      </tp>
      <tp t="s">
        <v>#N/A Requesting Data...3000145594</v>
        <stp/>
        <stp>BDP|15340838738430255649</stp>
        <tr r="E233" s="2"/>
      </tp>
      <tp t="s">
        <v>#N/A Requesting Data...4052022340</v>
        <stp/>
        <stp>BDP|16841630599584610559</stp>
        <tr r="G390" s="2"/>
      </tp>
      <tp t="s">
        <v>#N/A Requesting Data...3158441259</v>
        <stp/>
        <stp>BDP|17358221885824406114</stp>
        <tr r="H537" s="2"/>
      </tp>
      <tp t="s">
        <v>#N/A Requesting Data...3133454353</v>
        <stp/>
        <stp>BDP|12893242633323714895</stp>
        <tr r="H392" s="2"/>
      </tp>
      <tp t="s">
        <v>#N/A Requesting Data...2983753565</v>
        <stp/>
        <stp>BDP|16249441641097548930</stp>
        <tr r="F546" s="2"/>
      </tp>
      <tp t="s">
        <v>#N/A Requesting Data...3012785107</v>
        <stp/>
        <stp>BDP|17152425120039799058</stp>
        <tr r="G471" s="2"/>
      </tp>
      <tp t="s">
        <v>#N/A Requesting Data...3598147774</v>
        <stp/>
        <stp>BDP|15237518796487289666</stp>
        <tr r="H25" s="2"/>
      </tp>
      <tp t="s">
        <v>#N/A Requesting Data...2609490533</v>
        <stp/>
        <stp>BDP|14381956795055554962</stp>
        <tr r="F78" s="2"/>
      </tp>
      <tp t="s">
        <v>#N/A Requesting Data...3745587928</v>
        <stp/>
        <stp>BDP|14444914662613052071</stp>
        <tr r="G579" s="2"/>
      </tp>
      <tp t="s">
        <v>#N/A Requesting Data...3214956045</v>
        <stp/>
        <stp>BDP|17097101540193590950</stp>
        <tr r="E201" s="2"/>
      </tp>
      <tp t="s">
        <v>#N/A Requesting Data...3382434985</v>
        <stp/>
        <stp>BDP|16617134799401847742</stp>
        <tr r="E467" s="2"/>
      </tp>
      <tp t="s">
        <v>#N/A Requesting Data...3817783952</v>
        <stp/>
        <stp>BDP|16712729930192433821</stp>
        <tr r="G614" s="2"/>
      </tp>
      <tp t="s">
        <v>#N/A Requesting Data...2616214645</v>
        <stp/>
        <stp>BDP|17509347674962756912</stp>
        <tr r="F591" s="2"/>
      </tp>
      <tp t="s">
        <v>#N/A Requesting Data...2531324496</v>
        <stp/>
        <stp>BDP|12506175180315109601</stp>
        <tr r="F342" s="2"/>
      </tp>
      <tp t="s">
        <v>#N/A Requesting Data...3345053246</v>
        <stp/>
        <stp>BDP|13433555933615856893</stp>
        <tr r="F572" s="2"/>
      </tp>
      <tp t="s">
        <v>#N/A Requesting Data...2286940883</v>
        <stp/>
        <stp>BDP|17871974349031621334</stp>
        <tr r="E593" s="2"/>
      </tp>
      <tp t="s">
        <v>#N/A Requesting Data...2396188815</v>
        <stp/>
        <stp>BDP|15731426690828061875</stp>
        <tr r="AB101" s="1"/>
      </tp>
      <tp t="s">
        <v>#N/A Requesting Data...3415636033</v>
        <stp/>
        <stp>BDP|11292548526036086827</stp>
        <tr r="E424" s="2"/>
      </tp>
      <tp t="s">
        <v>#N/A Requesting Data...4104927811</v>
        <stp/>
        <stp>BDP|15706974351287214615</stp>
        <tr r="E310" s="2"/>
      </tp>
      <tp t="s">
        <v>#N/A Requesting Data...2598387539</v>
        <stp/>
        <stp>BDP|16683915925233993694</stp>
        <tr r="H489" s="2"/>
      </tp>
      <tp t="s">
        <v>#N/A Requesting Data...3313929516</v>
        <stp/>
        <stp>BDP|11114259986825374636</stp>
        <tr r="E388" s="2"/>
      </tp>
      <tp t="s">
        <v>#N/A Requesting Data...2843069868</v>
        <stp/>
        <stp>BDP|12332245584714944485</stp>
        <tr r="H90" s="2"/>
      </tp>
      <tp t="s">
        <v>#N/A Requesting Data...3185061710</v>
        <stp/>
        <stp>BDP|16319425992470835397</stp>
        <tr r="E124" s="2"/>
      </tp>
      <tp t="s">
        <v>#N/A Requesting Data...3829378926</v>
        <stp/>
        <stp>BDP|15552794916258604399</stp>
        <tr r="Z103" s="1"/>
      </tp>
      <tp t="s">
        <v>#N/A Requesting Data...4282711938</v>
        <stp/>
        <stp>BDP|17574643721343298871</stp>
        <tr r="H67" s="2"/>
      </tp>
      <tp t="s">
        <v>#N/A Requesting Data...3165398491</v>
        <stp/>
        <stp>BDP|17922717417361989839</stp>
        <tr r="E195" s="2"/>
      </tp>
      <tp t="s">
        <v>#N/A Requesting Data...3120915336</v>
        <stp/>
        <stp>BDP|10359828586701587975</stp>
        <tr r="H50" s="2"/>
      </tp>
      <tp t="s">
        <v>#N/A Requesting Data...2923005274</v>
        <stp/>
        <stp>BDP|18302544887788654533</stp>
        <tr r="F456" s="2"/>
      </tp>
      <tp t="s">
        <v>#N/A Requesting Data...3467197835</v>
        <stp/>
        <stp>BDP|14957784766599400460</stp>
        <tr r="F465" s="2"/>
      </tp>
      <tp t="s">
        <v>#N/A Requesting Data...2947629457</v>
        <stp/>
        <stp>BDP|15962750645117864952</stp>
        <tr r="AB24" s="1"/>
      </tp>
      <tp t="s">
        <v>#N/A Requesting Data...4070654925</v>
        <stp/>
        <stp>BDP|15495505392590076115</stp>
        <tr r="F235" s="2"/>
      </tp>
      <tp t="s">
        <v>#N/A Requesting Data...3786144503</v>
        <stp/>
        <stp>BDP|10698942406340115127</stp>
        <tr r="F205" s="2"/>
      </tp>
      <tp t="s">
        <v>#N/A Requesting Data...2268492843</v>
        <stp/>
        <stp>BDP|12071640814524066979</stp>
        <tr r="F90" s="2"/>
      </tp>
      <tp t="s">
        <v>#N/A Requesting Data...3315853853</v>
        <stp/>
        <stp>BDP|10928877576751915660</stp>
        <tr r="H487" s="2"/>
      </tp>
      <tp t="s">
        <v>#N/A Requesting Data...3960848856</v>
        <stp/>
        <stp>BDP|17211743072738427776</stp>
        <tr r="F251" s="2"/>
      </tp>
      <tp t="s">
        <v>#N/A Requesting Data...3477498116</v>
        <stp/>
        <stp>BDP|15867717780520630282</stp>
        <tr r="E263" s="2"/>
      </tp>
      <tp t="s">
        <v>#N/A Requesting Data...2322257725</v>
        <stp/>
        <stp>BDP|15451555262528598607</stp>
        <tr r="H36" s="2"/>
      </tp>
      <tp t="s">
        <v>#N/A Requesting Data...2759341246</v>
        <stp/>
        <stp>BDP|14162185743961508891</stp>
        <tr r="G535" s="2"/>
      </tp>
      <tp t="s">
        <v>#N/A Requesting Data...2910455531</v>
        <stp/>
        <stp>BDP|18328361926872203370</stp>
        <tr r="G237" s="2"/>
      </tp>
      <tp t="s">
        <v>#N/A Requesting Data...2568150515</v>
        <stp/>
        <stp>BDP|17608679812641158947</stp>
        <tr r="F549" s="2"/>
      </tp>
      <tp t="s">
        <v>#N/A Requesting Data...2698056730</v>
        <stp/>
        <stp>BDP|16839581998792661083</stp>
        <tr r="H445" s="2"/>
      </tp>
      <tp t="s">
        <v>#N/A Requesting Data...2481421984</v>
        <stp/>
        <stp>BDP|11039556315218690508</stp>
        <tr r="G495" s="2"/>
      </tp>
      <tp t="s">
        <v>#N/A Requesting Data...2778567573</v>
        <stp/>
        <stp>BDP|12488906749472775437</stp>
        <tr r="E54" s="2"/>
      </tp>
      <tp t="s">
        <v>#N/A Requesting Data...3455644670</v>
        <stp/>
        <stp>BDP|17111250578642392967</stp>
        <tr r="F161" s="2"/>
      </tp>
      <tp t="s">
        <v>#N/A Requesting Data...2812643846</v>
        <stp/>
        <stp>BDP|18014897385126367768</stp>
        <tr r="G462" s="2"/>
      </tp>
      <tp t="s">
        <v>#N/A Requesting Data...3247567469</v>
        <stp/>
        <stp>BDP|14491809048841497019</stp>
        <tr r="G510" s="2"/>
      </tp>
      <tp t="s">
        <v>#N/A Requesting Data...3490743927</v>
        <stp/>
        <stp>BDP|11047820619801198028</stp>
        <tr r="H509" s="2"/>
      </tp>
      <tp t="s">
        <v>#N/A Requesting Data...3830942965</v>
        <stp/>
        <stp>BDP|12217126371134825919</stp>
        <tr r="F412" s="2"/>
      </tp>
      <tp t="s">
        <v>#N/A Requesting Data...4088341144</v>
        <stp/>
        <stp>BDP|17717477889382341023</stp>
        <tr r="G316" s="2"/>
      </tp>
      <tp t="s">
        <v>#N/A Requesting Data...2672116889</v>
        <stp/>
        <stp>BDP|15192659488915519719</stp>
        <tr r="AB57" s="1"/>
      </tp>
      <tp t="s">
        <v>#N/A Requesting Data...4040726583</v>
        <stp/>
        <stp>BDP|10932967758445828073</stp>
        <tr r="H297" s="2"/>
      </tp>
      <tp t="s">
        <v>#N/A Requesting Data...2886153342</v>
        <stp/>
        <stp>BDP|16494162902229093787</stp>
        <tr r="E291" s="2"/>
      </tp>
      <tp t="s">
        <v>#N/A Requesting Data...3145655716</v>
        <stp/>
        <stp>BDP|13438841427663952365</stp>
        <tr r="F163" s="2"/>
      </tp>
      <tp t="s">
        <v>#N/A Requesting Data...2354945287</v>
        <stp/>
        <stp>BDP|11852184129018189333</stp>
        <tr r="H410" s="2"/>
      </tp>
      <tp t="s">
        <v>#N/A Requesting Data...3103930881</v>
        <stp/>
        <stp>BDP|11908868583279525127</stp>
        <tr r="F149" s="2"/>
      </tp>
      <tp t="s">
        <v>#N/A Requesting Data...2437554045</v>
        <stp/>
        <stp>BDP|13911023557877015876</stp>
        <tr r="H97" s="2"/>
      </tp>
      <tp t="s">
        <v>#N/A Requesting Data...4199476107</v>
        <stp/>
        <stp>BDP|11201975039785762719</stp>
        <tr r="G515" s="2"/>
      </tp>
      <tp t="s">
        <v>#N/A Requesting Data...3353126156</v>
        <stp/>
        <stp>BDP|11736419209405642936</stp>
        <tr r="H371" s="2"/>
      </tp>
      <tp t="s">
        <v>#N/A Requesting Data...3818652199</v>
        <stp/>
        <stp>BDP|14270656041319462684</stp>
        <tr r="F606" s="2"/>
      </tp>
      <tp t="s">
        <v>#N/A Requesting Data...4072473852</v>
        <stp/>
        <stp>BDP|14399136988594348019</stp>
        <tr r="H431" s="2"/>
      </tp>
      <tp t="s">
        <v>#N/A Requesting Data...3087047155</v>
        <stp/>
        <stp>BDP|12966117595075106666</stp>
        <tr r="E317" s="2"/>
      </tp>
      <tp t="s">
        <v>#N/A Requesting Data...3414826509</v>
        <stp/>
        <stp>BDP|11732215525370923801</stp>
        <tr r="AA80" s="1"/>
      </tp>
      <tp t="s">
        <v>#N/A Requesting Data...3092431223</v>
        <stp/>
        <stp>BDP|16731803429710637520</stp>
        <tr r="H534" s="2"/>
      </tp>
      <tp t="s">
        <v>#N/A Requesting Data...2392244179</v>
        <stp/>
        <stp>BDP|10886195544149140591</stp>
        <tr r="H387" s="2"/>
      </tp>
      <tp t="s">
        <v>#N/A Requesting Data...2513483639</v>
        <stp/>
        <stp>BDP|12097869539086588675</stp>
        <tr r="G165" s="2"/>
      </tp>
      <tp t="s">
        <v>#N/A Requesting Data...3632618693</v>
        <stp/>
        <stp>BDP|11825067586099079952</stp>
        <tr r="E71" s="2"/>
      </tp>
      <tp t="s">
        <v>#N/A Requesting Data...3849299038</v>
        <stp/>
        <stp>BDP|13340641758691203807</stp>
        <tr r="F117" s="2"/>
      </tp>
      <tp t="s">
        <v>#N/A Requesting Data...2393464031</v>
        <stp/>
        <stp>BDP|10691975009065750535</stp>
        <tr r="E67" s="2"/>
      </tp>
      <tp t="s">
        <v>#N/A Requesting Data...2582229314</v>
        <stp/>
        <stp>BDP|14898321000928558636</stp>
        <tr r="F153" s="2"/>
      </tp>
      <tp t="s">
        <v>#N/A Requesting Data...2449219778</v>
        <stp/>
        <stp>BDP|10441305786505669782</stp>
        <tr r="Z5" s="1"/>
      </tp>
      <tp t="s">
        <v>#N/A Requesting Data...2879265974</v>
        <stp/>
        <stp>BDP|15069456887789733994</stp>
        <tr r="H333" s="2"/>
      </tp>
      <tp t="s">
        <v>#N/A Requesting Data...2656230761</v>
        <stp/>
        <stp>BDP|17643753561917801869</stp>
        <tr r="F115" s="2"/>
      </tp>
      <tp t="s">
        <v>#N/A Requesting Data...3322628850</v>
        <stp/>
        <stp>BDP|12414377697666917717</stp>
        <tr r="E259" s="2"/>
      </tp>
      <tp t="s">
        <v>#N/A Requesting Data...3673037820</v>
        <stp/>
        <stp>BDP|13060910083168968374</stp>
        <tr r="E440" s="2"/>
      </tp>
      <tp t="s">
        <v>#N/A Requesting Data...3116204492</v>
        <stp/>
        <stp>BDP|10179711748198367275</stp>
        <tr r="E349" s="2"/>
      </tp>
      <tp t="s">
        <v>#N/A Requesting Data...3253193625</v>
        <stp/>
        <stp>BDP|16029273888460783577</stp>
        <tr r="F437" s="2"/>
      </tp>
      <tp t="s">
        <v>#N/A Requesting Data...3609515492</v>
        <stp/>
        <stp>BDP|12021683373259539319</stp>
        <tr r="H578" s="2"/>
      </tp>
      <tp t="s">
        <v>#N/A Requesting Data...2728958834</v>
        <stp/>
        <stp>BDP|14119942637383803452</stp>
        <tr r="AA76" s="1"/>
      </tp>
      <tp t="s">
        <v>#N/A Requesting Data...2350931949</v>
        <stp/>
        <stp>BDP|12648701371899835214</stp>
        <tr r="E461" s="2"/>
      </tp>
      <tp t="s">
        <v>#N/A Requesting Data...2902475962</v>
        <stp/>
        <stp>BDP|12108858481729270291</stp>
        <tr r="H85" s="2"/>
      </tp>
      <tp t="s">
        <v>#N/A Requesting Data...4231451253</v>
        <stp/>
        <stp>BDP|12223897914555130700</stp>
        <tr r="H586" s="2"/>
      </tp>
      <tp t="s">
        <v>#N/A Requesting Data...3845696639</v>
        <stp/>
        <stp>BDP|13812403240638143273</stp>
        <tr r="E359" s="2"/>
      </tp>
      <tp t="s">
        <v>#N/A Requesting Data...3453772335</v>
        <stp/>
        <stp>BDP|16244761058545057820</stp>
        <tr r="F156" s="2"/>
      </tp>
      <tp t="s">
        <v>#N/A Requesting Data...2543736234</v>
        <stp/>
        <stp>BDP|16855556188421371384</stp>
        <tr r="H117" s="2"/>
      </tp>
      <tp t="s">
        <v>#N/A Requesting Data...3489604472</v>
        <stp/>
        <stp>BDP|14163636884824362741</stp>
        <tr r="AB70" s="1"/>
      </tp>
      <tp t="s">
        <v>#N/A Requesting Data...3573895379</v>
        <stp/>
        <stp>BDP|15229460894703544247</stp>
        <tr r="AB18" s="1"/>
      </tp>
      <tp t="s">
        <v>#N/A Requesting Data...4111744188</v>
        <stp/>
        <stp>BDP|10691316809953867975</stp>
        <tr r="E361" s="2"/>
      </tp>
      <tp t="s">
        <v>#N/A Requesting Data...3659773614</v>
        <stp/>
        <stp>BDP|13525240578897968819</stp>
        <tr r="E581" s="2"/>
      </tp>
      <tp t="s">
        <v>#N/A Requesting Data...2548927362</v>
        <stp/>
        <stp>BDP|14050867283819363467</stp>
        <tr r="G344" s="2"/>
      </tp>
      <tp t="s">
        <v>#N/A Requesting Data...2629359837</v>
        <stp/>
        <stp>BDP|11787639738598552599</stp>
        <tr r="G180" s="2"/>
      </tp>
      <tp t="s">
        <v>#N/A Requesting Data...3748953688</v>
        <stp/>
        <stp>BDP|12522872160484250109</stp>
        <tr r="AB41" s="1"/>
      </tp>
      <tp t="s">
        <v>#N/A Requesting Data...2677330771</v>
        <stp/>
        <stp>BDP|13854204388839621964</stp>
        <tr r="G181" s="2"/>
      </tp>
      <tp t="s">
        <v>#N/A Requesting Data...2332016729</v>
        <stp/>
        <stp>BDP|12262147317018700361</stp>
        <tr r="F402" s="2"/>
      </tp>
      <tp t="s">
        <v>#N/A Requesting Data...3682925655</v>
        <stp/>
        <stp>BDP|13432455282342536466</stp>
        <tr r="E301" s="2"/>
      </tp>
      <tp t="s">
        <v>#N/A Requesting Data...3840685853</v>
        <stp/>
        <stp>BDP|12673415992760491624</stp>
        <tr r="G6" s="2"/>
      </tp>
      <tp t="s">
        <v>#N/A Requesting Data...2849989796</v>
        <stp/>
        <stp>BDP|17160244260062409822</stp>
        <tr r="H31" s="2"/>
      </tp>
      <tp t="s">
        <v>#N/A Requesting Data...3891343933</v>
        <stp/>
        <stp>BDP|12363623901419642453</stp>
        <tr r="F348" s="2"/>
      </tp>
      <tp t="s">
        <v>#N/A Requesting Data...2661631463</v>
        <stp/>
        <stp>BDP|15105106032118882689</stp>
        <tr r="E133" s="2"/>
      </tp>
      <tp t="s">
        <v>#N/A Requesting Data...2434837631</v>
        <stp/>
        <stp>BDP|10281840614942610276</stp>
        <tr r="H447" s="2"/>
      </tp>
      <tp t="s">
        <v>#N/A Requesting Data...3197589897</v>
        <stp/>
        <stp>BDP|13418279984682081242</stp>
        <tr r="E623" s="2"/>
      </tp>
      <tp t="s">
        <v>#N/A Requesting Data...4258303376</v>
        <stp/>
        <stp>BDP|17964666787866946637</stp>
        <tr r="G174" s="2"/>
      </tp>
      <tp t="s">
        <v>#N/A Requesting Data...4236095812</v>
        <stp/>
        <stp>BDP|16071862442197449429</stp>
        <tr r="G578" s="2"/>
      </tp>
      <tp t="s">
        <v>#N/A Requesting Data...2984240727</v>
        <stp/>
        <stp>BDP|16005703983629796961</stp>
        <tr r="F595" s="2"/>
      </tp>
      <tp t="s">
        <v>#N/A Requesting Data...2811879750</v>
        <stp/>
        <stp>BDP|12494780324029322798</stp>
        <tr r="F159" s="2"/>
      </tp>
      <tp t="s">
        <v>#N/A Requesting Data...3852955153</v>
        <stp/>
        <stp>BDP|17155256591381126460</stp>
        <tr r="E160" s="2"/>
      </tp>
      <tp t="s">
        <v>#N/A Requesting Data...3901408551</v>
        <stp/>
        <stp>BDP|17742956824435257063</stp>
        <tr r="G595" s="2"/>
      </tp>
      <tp t="s">
        <v>#N/A Requesting Data...3908311935</v>
        <stp/>
        <stp>BDP|12773341131728765371</stp>
        <tr r="G597" s="2"/>
      </tp>
      <tp t="s">
        <v>#N/A Requesting Data...3094261153</v>
        <stp/>
        <stp>BDP|10261485960028178392</stp>
        <tr r="G138" s="2"/>
      </tp>
      <tp t="s">
        <v>#N/A Requesting Data...3104531757</v>
        <stp/>
        <stp>BDP|12229490488727064017</stp>
        <tr r="G168" s="2"/>
      </tp>
      <tp t="s">
        <v>#N/A Requesting Data...2428423259</v>
        <stp/>
        <stp>BDP|12333863992238292201</stp>
        <tr r="E262" s="2"/>
      </tp>
      <tp t="s">
        <v>#N/A Requesting Data...3349387191</v>
        <stp/>
        <stp>BDP|16174046994107376179</stp>
        <tr r="G28" s="2"/>
      </tp>
      <tp t="s">
        <v>#N/A Requesting Data...3831463483</v>
        <stp/>
        <stp>BDP|16764855157535267727</stp>
        <tr r="H570" s="2"/>
      </tp>
      <tp t="s">
        <v>#N/A Requesting Data...4058826514</v>
        <stp/>
        <stp>BDP|15545015124607386969</stp>
        <tr r="H480" s="2"/>
      </tp>
      <tp t="s">
        <v>#N/A Requesting Data...3820206787</v>
        <stp/>
        <stp>BDP|12139958930841215029</stp>
        <tr r="H243" s="2"/>
      </tp>
      <tp t="s">
        <v>#N/A Requesting Data...3075535471</v>
        <stp/>
        <stp>BDP|10634031260377994880</stp>
        <tr r="G418" s="2"/>
      </tp>
      <tp t="s">
        <v>#N/A Requesting Data...2445020095</v>
        <stp/>
        <stp>BDP|16766790955194708988</stp>
        <tr r="E613" s="2"/>
      </tp>
      <tp t="s">
        <v>#N/A Requesting Data...2704504394</v>
        <stp/>
        <stp>BDP|16511191099621705668</stp>
        <tr r="F324" s="2"/>
      </tp>
      <tp t="s">
        <v>#N/A Requesting Data...4282634786</v>
        <stp/>
        <stp>BDP|14116623212263736922</stp>
        <tr r="F249" s="2"/>
      </tp>
      <tp t="s">
        <v>#N/A Requesting Data...3836439496</v>
        <stp/>
        <stp>BDP|10693817816235230544</stp>
        <tr r="H416" s="2"/>
      </tp>
      <tp t="s">
        <v>#N/A Requesting Data...2461561433</v>
        <stp/>
        <stp>BDP|12479918172442269726</stp>
        <tr r="F25" s="2"/>
      </tp>
      <tp t="s">
        <v>#N/A Requesting Data...3166959850</v>
        <stp/>
        <stp>BDP|12212855932377439769</stp>
        <tr r="H541" s="2"/>
      </tp>
      <tp t="s">
        <v>#N/A Requesting Data...3839482918</v>
        <stp/>
        <stp>BDP|12473193489916174426</stp>
        <tr r="AA14" s="1"/>
      </tp>
      <tp t="s">
        <v>#N/A Requesting Data...4169541632</v>
        <stp/>
        <stp>BDP|14114479372848061632</stp>
        <tr r="F366" s="2"/>
      </tp>
      <tp t="s">
        <v>#N/A Requesting Data...4074316745</v>
        <stp/>
        <stp>BDP|13660379185938683947</stp>
        <tr r="AB6" s="1"/>
      </tp>
      <tp t="s">
        <v>#N/A Requesting Data...2833421494</v>
        <stp/>
        <stp>BDP|11868083353314787928</stp>
        <tr r="H346" s="2"/>
      </tp>
      <tp t="s">
        <v>#N/A Requesting Data...4146937445</v>
        <stp/>
        <stp>BDP|10012029317708849744</stp>
        <tr r="G99" s="2"/>
      </tp>
      <tp t="s">
        <v>#N/A Requesting Data...3097468769</v>
        <stp/>
        <stp>BDP|12268993432163689560</stp>
        <tr r="H430" s="2"/>
      </tp>
      <tp t="s">
        <v>#N/A Requesting Data...3738087145</v>
        <stp/>
        <stp>BDP|10569936538845661102</stp>
        <tr r="E616" s="2"/>
      </tp>
      <tp t="s">
        <v>#N/A Requesting Data...4164186651</v>
        <stp/>
        <stp>BDP|16892161271388127669</stp>
        <tr r="G479" s="2"/>
      </tp>
      <tp t="s">
        <v>#N/A Requesting Data...3641895113</v>
        <stp/>
        <stp>BDP|14298722892711840512</stp>
        <tr r="Z24" s="1"/>
      </tp>
      <tp t="s">
        <v>#N/A Requesting Data...2510450281</v>
        <stp/>
        <stp>BDP|15229761777918927311</stp>
        <tr r="G619" s="2"/>
      </tp>
      <tp t="s">
        <v>#N/A Requesting Data...3051570392</v>
        <stp/>
        <stp>BDP|11138444674358954439</stp>
        <tr r="G415" s="2"/>
      </tp>
      <tp t="s">
        <v>#N/A Requesting Data...4135834181</v>
        <stp/>
        <stp>BDP|14343336884122833378</stp>
        <tr r="F605" s="2"/>
      </tp>
      <tp t="s">
        <v>#N/A Requesting Data...3450647680</v>
        <stp/>
        <stp>BDP|15928735538266959903</stp>
        <tr r="H569" s="2"/>
      </tp>
      <tp t="s">
        <v>#N/A Requesting Data...4231020567</v>
        <stp/>
        <stp>BDP|11890196899826623157</stp>
        <tr r="H538" s="2"/>
      </tp>
      <tp t="s">
        <v>#N/A Requesting Data...3988776930</v>
        <stp/>
        <stp>BDP|15746620070003875964</stp>
        <tr r="H98" s="2"/>
      </tp>
      <tp t="s">
        <v>#N/A Requesting Data...2628553027</v>
        <stp/>
        <stp>BDP|12471887442319606937</stp>
        <tr r="H210" s="2"/>
      </tp>
      <tp t="s">
        <v>#N/A Requesting Data...4089243871</v>
        <stp/>
        <stp>BDP|10877963622743286644</stp>
        <tr r="H288" s="2"/>
      </tp>
      <tp t="s">
        <v>#N/A Requesting Data...2605798330</v>
        <stp/>
        <stp>BDP|13715055395921323594</stp>
        <tr r="F317" s="2"/>
      </tp>
      <tp t="s">
        <v>#N/A Requesting Data...3461476824</v>
        <stp/>
        <stp>BDP|16696887522211110300</stp>
        <tr r="H209" s="2"/>
      </tp>
      <tp t="s">
        <v>#N/A Requesting Data...3726970295</v>
        <stp/>
        <stp>BDP|17083616292390686687</stp>
        <tr r="E470" s="2"/>
      </tp>
      <tp t="s">
        <v>#N/A Requesting Data...3961993172</v>
        <stp/>
        <stp>BDP|12848635961494762802</stp>
        <tr r="H299" s="2"/>
      </tp>
      <tp t="s">
        <v>#N/A Requesting Data...2472120915</v>
        <stp/>
        <stp>BDP|15239912823933897354</stp>
        <tr r="F24" s="2"/>
      </tp>
      <tp t="s">
        <v>#N/A Requesting Data...3801786029</v>
        <stp/>
        <stp>BDP|17657456086234175193</stp>
        <tr r="F331" s="2"/>
      </tp>
      <tp t="s">
        <v>#N/A Requesting Data...2440192562</v>
        <stp/>
        <stp>BDP|18362695602358386877</stp>
        <tr r="AA97" s="1"/>
      </tp>
      <tp t="s">
        <v>#N/A Requesting Data...3420542986</v>
        <stp/>
        <stp>BDP|10859750770947132902</stp>
        <tr r="E14" s="2"/>
      </tp>
      <tp t="s">
        <v>#N/A Requesting Data...2880956668</v>
        <stp/>
        <stp>BDP|12722320927895836868</stp>
        <tr r="G43" s="2"/>
      </tp>
      <tp t="s">
        <v>#N/A Requesting Data...3188144504</v>
        <stp/>
        <stp>BDP|15642896103121856286</stp>
        <tr r="H300" s="2"/>
      </tp>
      <tp t="s">
        <v>#N/A Requesting Data...4059900697</v>
        <stp/>
        <stp>BDP|11008451091710849238</stp>
        <tr r="H71" s="2"/>
      </tp>
      <tp t="s">
        <v>#N/A Requesting Data...3008511706</v>
        <stp/>
        <stp>BDP|10903723460289179657</stp>
        <tr r="H95" s="2"/>
      </tp>
      <tp t="s">
        <v>#N/A Requesting Data...3969037117</v>
        <stp/>
        <stp>BDP|17097984859235606094</stp>
        <tr r="E47" s="2"/>
      </tp>
      <tp t="s">
        <v>#N/A Requesting Data...3776931430</v>
        <stp/>
        <stp>BDP|10864810263990046042</stp>
        <tr r="E35" s="2"/>
      </tp>
      <tp t="s">
        <v>#N/A Requesting Data...3745303824</v>
        <stp/>
        <stp>BDP|13707257399616429010</stp>
        <tr r="F274" s="2"/>
      </tp>
      <tp t="s">
        <v>#N/A Requesting Data...3484329231</v>
        <stp/>
        <stp>BDP|14943648995822529735</stp>
        <tr r="F432" s="2"/>
      </tp>
      <tp t="s">
        <v>#N/A Requesting Data...2615446866</v>
        <stp/>
        <stp>BDP|10098281891445129095</stp>
        <tr r="F344" s="2"/>
      </tp>
      <tp t="s">
        <v>#N/A Requesting Data...4041857949</v>
        <stp/>
        <stp>BDP|13641706403918261264</stp>
        <tr r="H230" s="2"/>
      </tp>
      <tp t="s">
        <v>#N/A Requesting Data...2509104040</v>
        <stp/>
        <stp>BDP|12258107112669690573</stp>
        <tr r="E12" s="2"/>
      </tp>
      <tp t="s">
        <v>#N/A Requesting Data...3087233194</v>
        <stp/>
        <stp>BDP|13702607616553470947</stp>
        <tr r="H546" s="2"/>
      </tp>
      <tp t="s">
        <v>#N/A Requesting Data...3968641595</v>
        <stp/>
        <stp>BDP|17045043388556526781</stp>
        <tr r="F216" s="2"/>
      </tp>
      <tp t="s">
        <v>#N/A Requesting Data...3397975382</v>
        <stp/>
        <stp>BDP|15790045799803225197</stp>
        <tr r="G429" s="2"/>
      </tp>
      <tp t="s">
        <v>#N/A Requesting Data...2898348005</v>
        <stp/>
        <stp>BDP|12387038128257968904</stp>
        <tr r="G39" s="2"/>
      </tp>
      <tp t="s">
        <v>#N/A Requesting Data...3511619875</v>
        <stp/>
        <stp>BDP|17937022996051829144</stp>
        <tr r="G42" s="2"/>
      </tp>
      <tp t="s">
        <v>#N/A Requesting Data...3103614463</v>
        <stp/>
        <stp>BDP|18284618703765699578</stp>
        <tr r="H601" s="2"/>
      </tp>
      <tp t="s">
        <v>#N/A Requesting Data...2730819138</v>
        <stp/>
        <stp>BDP|12224497038629040222</stp>
        <tr r="H168" s="2"/>
      </tp>
      <tp t="s">
        <v>#N/A Requesting Data...3975127613</v>
        <stp/>
        <stp>BDP|11269524991292697173</stp>
        <tr r="F443" s="2"/>
      </tp>
      <tp t="s">
        <v>#N/A Requesting Data...4154994643</v>
        <stp/>
        <stp>BDP|12300694338488080122</stp>
        <tr r="G234" s="2"/>
      </tp>
      <tp t="s">
        <v>#N/A Requesting Data...4050182268</v>
        <stp/>
        <stp>BDP|11829411364525892858</stp>
        <tr r="AB63" s="1"/>
      </tp>
      <tp t="s">
        <v>#N/A Requesting Data...3240089747</v>
        <stp/>
        <stp>BDP|16945636969131719944</stp>
        <tr r="F320" s="2"/>
      </tp>
      <tp t="s">
        <v>#N/A Requesting Data...3458932508</v>
        <stp/>
        <stp>BDP|11922086966530727906</stp>
        <tr r="E112" s="2"/>
      </tp>
      <tp t="s">
        <v>#N/A Requesting Data...2773624597</v>
        <stp/>
        <stp>BDP|10133193179859699174</stp>
        <tr r="H550" s="2"/>
      </tp>
      <tp t="s">
        <v>#N/A Requesting Data...3290719321</v>
        <stp/>
        <stp>BDP|14996982748171971608</stp>
        <tr r="G154" s="2"/>
      </tp>
      <tp t="s">
        <v>#N/A Requesting Data...2930238604</v>
        <stp/>
        <stp>BDP|12884470169487219972</stp>
        <tr r="H505" s="2"/>
      </tp>
      <tp t="s">
        <v>#N/A Requesting Data...2627817842</v>
        <stp/>
        <stp>BDP|14330939240806352108</stp>
        <tr r="H325" s="2"/>
      </tp>
      <tp t="s">
        <v>#N/A Requesting Data...3425076430</v>
        <stp/>
        <stp>BDP|18107468490998791335</stp>
        <tr r="AB38" s="1"/>
      </tp>
      <tp t="s">
        <v>#N/A Requesting Data...4147793905</v>
        <stp/>
        <stp>BDP|16775175483771659061</stp>
        <tr r="G243" s="2"/>
      </tp>
      <tp t="s">
        <v>#N/A Requesting Data...2451477423</v>
        <stp/>
        <stp>BDP|15419965993308534374</stp>
        <tr r="G488" s="2"/>
      </tp>
      <tp t="s">
        <v>#N/A Requesting Data...3309470510</v>
        <stp/>
        <stp>BDP|18344089673875909420</stp>
        <tr r="F458" s="2"/>
      </tp>
      <tp t="s">
        <v>#N/A Requesting Data...2987987313</v>
        <stp/>
        <stp>BDP|12687097039749149649</stp>
        <tr r="E564" s="2"/>
      </tp>
      <tp t="s">
        <v>#N/A Requesting Data...2431244018</v>
        <stp/>
        <stp>BDP|13518056437267772936</stp>
        <tr r="AA8" s="1"/>
      </tp>
      <tp t="s">
        <v>#N/A Requesting Data...4113967480</v>
        <stp/>
        <stp>BDP|16523556933779016718</stp>
        <tr r="Z90" s="1"/>
      </tp>
      <tp t="s">
        <v>#N/A Requesting Data...3568040690</v>
        <stp/>
        <stp>BDP|16600427013925346865</stp>
        <tr r="F116" s="2"/>
      </tp>
      <tp t="s">
        <v>#N/A Requesting Data...2707610838</v>
        <stp/>
        <stp>BDP|13057442982467223660</stp>
        <tr r="E468" s="2"/>
      </tp>
      <tp t="s">
        <v>#N/A Requesting Data...3096913552</v>
        <stp/>
        <stp>BDP|15576327677086021924</stp>
        <tr r="F403" s="2"/>
      </tp>
      <tp t="s">
        <v>#N/A Requesting Data...4294262072</v>
        <stp/>
        <stp>BDP|14708548521028384536</stp>
        <tr r="AA63" s="1"/>
      </tp>
      <tp t="s">
        <v>#N/A Requesting Data...2892784762</v>
        <stp/>
        <stp>BDP|17393550893250488548</stp>
        <tr r="E219" s="2"/>
      </tp>
      <tp t="s">
        <v>#N/A Requesting Data...3828416439</v>
        <stp/>
        <stp>BDP|13624550593977277674</stp>
        <tr r="H274" s="2"/>
      </tp>
      <tp t="s">
        <v>#N/A Requesting Data...3343921060</v>
        <stp/>
        <stp>BDP|10019664341039451560</stp>
        <tr r="AB61" s="1"/>
      </tp>
      <tp t="s">
        <v>#N/A Requesting Data...3462652266</v>
        <stp/>
        <stp>BDP|15415980922428838836</stp>
        <tr r="F299" s="2"/>
      </tp>
      <tp t="s">
        <v>#N/A Requesting Data...2568605953</v>
        <stp/>
        <stp>BDP|11396894152821557386</stp>
        <tr r="F110" s="2"/>
      </tp>
      <tp t="s">
        <v>#N/A Requesting Data...2634735650</v>
        <stp/>
        <stp>BDP|11793978960254294463</stp>
        <tr r="H617" s="2"/>
      </tp>
      <tp t="s">
        <v>#N/A Requesting Data...3051632913</v>
        <stp/>
        <stp>BDP|12005696059027383870</stp>
        <tr r="F262" s="2"/>
      </tp>
      <tp t="s">
        <v>#N/A Requesting Data...4086796858</v>
        <stp/>
        <stp>BDP|15003226792672114253</stp>
        <tr r="G103" s="2"/>
      </tp>
      <tp t="s">
        <v>#N/A Requesting Data...2501005434</v>
        <stp/>
        <stp>BDP|15095802728247479689</stp>
        <tr r="F556" s="2"/>
      </tp>
      <tp t="s">
        <v>#N/A Requesting Data...3043640604</v>
        <stp/>
        <stp>BDP|12018747555226156846</stp>
        <tr r="G301" s="2"/>
      </tp>
      <tp t="s">
        <v>#N/A Requesting Data...4083195593</v>
        <stp/>
        <stp>BDP|10962505516402296899</stp>
        <tr r="G458" s="2"/>
      </tp>
      <tp t="s">
        <v>#N/A Requesting Data...3030671425</v>
        <stp/>
        <stp>BDP|17712004784012521321</stp>
        <tr r="G407" s="2"/>
      </tp>
      <tp t="s">
        <v>#N/A Requesting Data...2609296967</v>
        <stp/>
        <stp>BDP|16451014576508304741</stp>
        <tr r="Z14" s="1"/>
      </tp>
      <tp t="s">
        <v>#N/A Requesting Data...3641679340</v>
        <stp/>
        <stp>BDP|17149604847632199907</stp>
        <tr r="Z58" s="1"/>
      </tp>
      <tp t="s">
        <v>#N/A Requesting Data...3482410591</v>
        <stp/>
        <stp>BDP|15494007054409414733</stp>
        <tr r="H51" s="2"/>
      </tp>
      <tp t="s">
        <v>#N/A Requesting Data...3489614504</v>
        <stp/>
        <stp>BDP|14368050994930404311</stp>
        <tr r="G63" s="2"/>
      </tp>
      <tp t="s">
        <v>#N/A Requesting Data...3769230774</v>
        <stp/>
        <stp>BDP|13599273386700367706</stp>
        <tr r="F357" s="2"/>
      </tp>
      <tp t="s">
        <v>#N/A Requesting Data...3294199125</v>
        <stp/>
        <stp>BDP|18372077427240038445</stp>
        <tr r="G443" s="2"/>
      </tp>
      <tp t="s">
        <v>#N/A Requesting Data...3664458680</v>
        <stp/>
        <stp>BDP|10637339867058023342</stp>
        <tr r="AA17" s="1"/>
      </tp>
      <tp t="s">
        <v>#N/A Requesting Data...4188875236</v>
        <stp/>
        <stp>BDP|16798896318519758875</stp>
        <tr r="E286" s="2"/>
      </tp>
      <tp t="s">
        <v>#N/A Requesting Data...3211423978</v>
        <stp/>
        <stp>BDP|12888850228740144629</stp>
        <tr r="AB21" s="1"/>
      </tp>
      <tp t="s">
        <v>#N/A Requesting Data...3975675835</v>
        <stp/>
        <stp>BDP|16694559233049263746</stp>
        <tr r="H64" s="2"/>
      </tp>
      <tp t="s">
        <v>#N/A Requesting Data...4083230370</v>
        <stp/>
        <stp>BDP|11457003081406441170</stp>
        <tr r="F513" s="2"/>
      </tp>
      <tp t="s">
        <v>#N/A Requesting Data...4180457526</v>
        <stp/>
        <stp>BDP|10011665410528893071</stp>
        <tr r="E13" s="2"/>
      </tp>
      <tp t="s">
        <v>#N/A Requesting Data...3915364876</v>
        <stp/>
        <stp>BDP|18380939481172136496</stp>
        <tr r="E139" s="2"/>
      </tp>
      <tp t="s">
        <v>#N/A Requesting Data...3895896672</v>
        <stp/>
        <stp>BDP|14129367573786430983</stp>
        <tr r="H219" s="2"/>
      </tp>
      <tp t="s">
        <v>#N/A Requesting Data...3131332093</v>
        <stp/>
        <stp>BDP|13779132469689333260</stp>
        <tr r="AB27" s="1"/>
      </tp>
      <tp t="s">
        <v>#N/A Requesting Data...3592246465</v>
        <stp/>
        <stp>BDP|15301089252637120832</stp>
        <tr r="Z28" s="1"/>
      </tp>
      <tp t="s">
        <v>#N/A Requesting Data...2924330918</v>
        <stp/>
        <stp>BDP|10488441746228455793</stp>
        <tr r="H309" s="2"/>
      </tp>
      <tp t="s">
        <v>#N/A Requesting Data...4220424844</v>
        <stp/>
        <stp>BDP|11419785293976658629</stp>
        <tr r="E595" s="2"/>
      </tp>
      <tp t="s">
        <v>#N/A Requesting Data...3698188865</v>
        <stp/>
        <stp>BDP|16880332946166152863</stp>
        <tr r="G20" s="2"/>
      </tp>
      <tp t="s">
        <v>#N/A Requesting Data...2873610968</v>
        <stp/>
        <stp>BDP|15787942017133612186</stp>
        <tr r="E340" s="2"/>
      </tp>
      <tp t="s">
        <v>#N/A Requesting Data...3726909508</v>
        <stp/>
        <stp>BDP|18221292810350766464</stp>
        <tr r="F584" s="2"/>
      </tp>
      <tp t="s">
        <v>#N/A Requesting Data...4192526064</v>
        <stp/>
        <stp>BDP|11246839113563887406</stp>
        <tr r="E475" s="2"/>
      </tp>
      <tp t="s">
        <v>#N/A Requesting Data...3149028946</v>
        <stp/>
        <stp>BDP|14772440766289657094</stp>
        <tr r="G341" s="2"/>
      </tp>
      <tp t="s">
        <v>#N/A Requesting Data...3122772116</v>
        <stp/>
        <stp>BDP|10362291861459395259</stp>
        <tr r="G247" s="2"/>
      </tp>
      <tp t="s">
        <v>#N/A Requesting Data...2841824076</v>
        <stp/>
        <stp>BDP|15516823193743118883</stp>
        <tr r="G482" s="2"/>
      </tp>
      <tp t="s">
        <v>#N/A Requesting Data...3709585517</v>
        <stp/>
        <stp>BDP|18316835175061924911</stp>
        <tr r="H397" s="2"/>
      </tp>
      <tp t="s">
        <v>#N/A Requesting Data...3504595873</v>
        <stp/>
        <stp>BDP|17379133117040810823</stp>
        <tr r="H390" s="2"/>
      </tp>
      <tp t="s">
        <v>#N/A Requesting Data...2501348478</v>
        <stp/>
        <stp>BDP|16603539159319056000</stp>
        <tr r="E434" s="2"/>
      </tp>
      <tp t="s">
        <v>#N/A Requesting Data...3860178785</v>
        <stp/>
        <stp>BDP|12824945524434192258</stp>
        <tr r="G302" s="2"/>
      </tp>
      <tp t="s">
        <v>#N/A Requesting Data...3756943818</v>
        <stp/>
        <stp>BDP|13848606079659892459</stp>
        <tr r="E523" s="2"/>
      </tp>
      <tp t="s">
        <v>#N/A Requesting Data...2760146269</v>
        <stp/>
        <stp>BDP|11301268269933361933</stp>
        <tr r="H359" s="2"/>
      </tp>
      <tp t="s">
        <v>#N/A Requesting Data...3615360436</v>
        <stp/>
        <stp>BDP|11944213223438134659</stp>
        <tr r="F303" s="2"/>
      </tp>
      <tp t="s">
        <v>#N/A Requesting Data...2696319604</v>
        <stp/>
        <stp>BDP|11340979791997986932</stp>
        <tr r="H2" s="2"/>
        <tr r="H27" s="2"/>
      </tp>
      <tp t="s">
        <v>#N/A Requesting Data...2748277333</v>
        <stp/>
        <stp>BDP|16910557975493206843</stp>
        <tr r="E306" s="2"/>
      </tp>
      <tp t="s">
        <v>#N/A Requesting Data...3457213729</v>
        <stp/>
        <stp>BDP|13318161269683146839</stp>
        <tr r="E549" s="2"/>
      </tp>
      <tp t="s">
        <v>#N/A Requesting Data...2895426770</v>
        <stp/>
        <stp>BDP|18216238739452683401</stp>
        <tr r="E515" s="2"/>
      </tp>
      <tp t="s">
        <v>#N/A Requesting Data...3024605079</v>
        <stp/>
        <stp>BDP|14535317702341041978</stp>
        <tr r="G241" s="2"/>
      </tp>
      <tp t="s">
        <v>#N/A Requesting Data...3328814038</v>
        <stp/>
        <stp>BDP|14031888609323364034</stp>
        <tr r="Z77" s="1"/>
      </tp>
      <tp t="s">
        <v>#N/A Requesting Data...3673149086</v>
        <stp/>
        <stp>BDP|10495534043106770823</stp>
        <tr r="H590" s="2"/>
      </tp>
      <tp t="s">
        <v>#N/A Requesting Data...3661558770</v>
        <stp/>
        <stp>BDP|10456768408869290191</stp>
        <tr r="E539" s="2"/>
      </tp>
      <tp t="s">
        <v>#N/A Requesting Data...3732767939</v>
        <stp/>
        <stp>BDP|11261013780096050024</stp>
        <tr r="E260" s="2"/>
      </tp>
      <tp t="s">
        <v>#N/A Requesting Data...3590544245</v>
        <stp/>
        <stp>BDP|16127347897292202113</stp>
        <tr r="G73" s="2"/>
      </tp>
      <tp t="s">
        <v>#N/A Requesting Data...3119248926</v>
        <stp/>
        <stp>BDP|16997984961191910789</stp>
        <tr r="E493" s="2"/>
      </tp>
      <tp t="s">
        <v>#N/A Requesting Data...2513601584</v>
        <stp/>
        <stp>BDP|15330950710916763417</stp>
        <tr r="G159" s="2"/>
      </tp>
      <tp t="s">
        <v>#N/A Requesting Data...3418359614</v>
        <stp/>
        <stp>BDP|11508887619031679628</stp>
        <tr r="E146" s="2"/>
      </tp>
      <tp t="s">
        <v>#N/A Requesting Data...3493603947</v>
        <stp/>
        <stp>BDP|16413664574090433828</stp>
        <tr r="E92" s="2"/>
      </tp>
      <tp t="s">
        <v>#N/A Requesting Data...3509994423</v>
        <stp/>
        <stp>BDP|11930232374373995878</stp>
        <tr r="G475" s="2"/>
      </tp>
      <tp t="s">
        <v>#N/A Requesting Data...4154826083</v>
        <stp/>
        <stp>BDP|17701915047301511446</stp>
        <tr r="E98" s="2"/>
      </tp>
      <tp t="s">
        <v>#N/A Requesting Data...2697153606</v>
        <stp/>
        <stp>BDP|11822229059259702073</stp>
        <tr r="G589" s="2"/>
      </tp>
      <tp t="s">
        <v>#N/A Requesting Data...3518668858</v>
        <stp/>
        <stp>BDP|11045512633971350926</stp>
        <tr r="F392" s="2"/>
      </tp>
      <tp t="s">
        <v>#N/A Requesting Data...3264431309</v>
        <stp/>
        <stp>BDP|16738610000447362866</stp>
        <tr r="E411" s="2"/>
      </tp>
      <tp t="s">
        <v>#N/A Requesting Data...4258733788</v>
        <stp/>
        <stp>BDP|10176982838742398701</stp>
        <tr r="G564" s="2"/>
      </tp>
      <tp t="s">
        <v>#N/A Requesting Data...3851101645</v>
        <stp/>
        <stp>BDP|12195229117857171976</stp>
        <tr r="E437" s="2"/>
      </tp>
      <tp t="s">
        <v>#N/A Requesting Data...2810134000</v>
        <stp/>
        <stp>BDP|18347044413712482420</stp>
        <tr r="G588" s="2"/>
      </tp>
      <tp t="s">
        <v>#N/A Requesting Data...2623760044</v>
        <stp/>
        <stp>BDP|16435888642412892748</stp>
        <tr r="AB96" s="1"/>
      </tp>
      <tp t="s">
        <v>#N/A Requesting Data...3533769597</v>
        <stp/>
        <stp>BDP|17063801245482467638</stp>
        <tr r="E239" s="2"/>
      </tp>
      <tp t="s">
        <v>#N/A Requesting Data...2695733681</v>
        <stp/>
        <stp>BDP|12706019445311036815</stp>
        <tr r="H528" s="2"/>
        <tr r="H530" s="2"/>
        <tr r="H542" s="2"/>
        <tr r="H625" s="2"/>
        <tr r="H627" s="2"/>
        <tr r="H629" s="2"/>
        <tr r="H631" s="2"/>
        <tr r="H633" s="2"/>
        <tr r="H635" s="2"/>
        <tr r="H637" s="2"/>
      </tp>
      <tp t="s">
        <v>#N/A Requesting Data...3744254352</v>
        <stp/>
        <stp>BDP|14931866545840817776</stp>
        <tr r="G9" s="2"/>
      </tp>
      <tp t="s">
        <v>#N/A Requesting Data...4013686135</v>
        <stp/>
        <stp>BDP|11369221912644642906</stp>
        <tr r="H593" s="2"/>
      </tp>
      <tp t="s">
        <v>#N/A Requesting Data...2648848737</v>
        <stp/>
        <stp>BDP|14509323696697729637</stp>
        <tr r="E179" s="2"/>
      </tp>
      <tp t="s">
        <v>#N/A Requesting Data...2531167799</v>
        <stp/>
        <stp>BDP|10180980523680795480</stp>
        <tr r="E477" s="2"/>
      </tp>
      <tp t="s">
        <v>#N/A Requesting Data...2853375493</v>
        <stp/>
        <stp>BDP|10812657099486149601</stp>
        <tr r="E393" s="2"/>
      </tp>
      <tp t="s">
        <v>#N/A Requesting Data...2813251363</v>
        <stp/>
        <stp>BDP|16356322411728477311</stp>
        <tr r="H408" s="2"/>
      </tp>
      <tp t="s">
        <v>#N/A Requesting Data...2862873459</v>
        <stp/>
        <stp>BDP|13267541234808783201</stp>
        <tr r="E395" s="2"/>
      </tp>
      <tp t="s">
        <v>#N/A Requesting Data...3358869054</v>
        <stp/>
        <stp>BDP|12176238187252161508</stp>
        <tr r="E406" s="2"/>
      </tp>
      <tp t="s">
        <v>#N/A Requesting Data...3116481151</v>
        <stp/>
        <stp>BDP|18005632088529754081</stp>
        <tr r="H204" s="2"/>
      </tp>
      <tp t="s">
        <v>#N/A Requesting Data...4165767990</v>
        <stp/>
        <stp>BDP|12806385068311857943</stp>
        <tr r="G149" s="2"/>
      </tp>
      <tp t="s">
        <v>#N/A Requesting Data...3408396596</v>
        <stp/>
        <stp>BDP|17282255783977036500</stp>
        <tr r="H373" s="2"/>
      </tp>
      <tp t="s">
        <v>#N/A Requesting Data...3379817852</v>
        <stp/>
        <stp>BDP|15694984861390131596</stp>
        <tr r="G435" s="2"/>
      </tp>
      <tp t="s">
        <v>#N/A Requesting Data...3501031261</v>
        <stp/>
        <stp>BDP|12969963615977895259</stp>
        <tr r="G55" s="2"/>
      </tp>
      <tp t="s">
        <v>#N/A Requesting Data...3882077105</v>
        <stp/>
        <stp>BDP|10420335356528168178</stp>
        <tr r="H525" s="2"/>
      </tp>
      <tp t="s">
        <v>#N/A Requesting Data...3225768474</v>
        <stp/>
        <stp>BDP|18303389138914659329</stp>
        <tr r="AB83" s="1"/>
      </tp>
      <tp t="s">
        <v>#N/A Requesting Data...3168533289</v>
        <stp/>
        <stp>BDP|13099711755386734844</stp>
        <tr r="H266" s="2"/>
      </tp>
      <tp t="s">
        <v>#N/A Requesting Data...3446404443</v>
        <stp/>
        <stp>BDP|14216971429306979623</stp>
        <tr r="E410" s="2"/>
      </tp>
      <tp t="s">
        <v>#N/A Requesting Data...3687101988</v>
        <stp/>
        <stp>BDP|17398731005906572970</stp>
        <tr r="H366" s="2"/>
      </tp>
      <tp t="s">
        <v>#N/A Requesting Data...2635680650</v>
        <stp/>
        <stp>BDP|10209159451678009319</stp>
        <tr r="F151" s="2"/>
      </tp>
      <tp t="s">
        <v>#N/A Requesting Data...3326540659</v>
        <stp/>
        <stp>BDP|10676828972647555749</stp>
        <tr r="E570" s="2"/>
      </tp>
      <tp t="s">
        <v>#N/A Requesting Data...3547045028</v>
        <stp/>
        <stp>BDP|13619993921560192797</stp>
        <tr r="E398" s="2"/>
      </tp>
      <tp t="s">
        <v>#N/A Requesting Data...3662783920</v>
        <stp/>
        <stp>BDP|10708489818953869992</stp>
        <tr r="G507" s="2"/>
      </tp>
      <tp t="s">
        <v>#N/A Requesting Data...3385890115</v>
        <stp/>
        <stp>BDP|17437421698242492432</stp>
        <tr r="E215" s="2"/>
      </tp>
      <tp t="s">
        <v>#N/A Requesting Data...3181685980</v>
        <stp/>
        <stp>BDP|17967768140338012066</stp>
        <tr r="AA73" s="1"/>
      </tp>
      <tp t="s">
        <v>#N/A Requesting Data...2523947324</v>
        <stp/>
        <stp>BDP|12785386592011336575</stp>
        <tr r="F404" s="2"/>
      </tp>
      <tp t="s">
        <v>#N/A Requesting Data...3034942173</v>
        <stp/>
        <stp>BDP|11148882402955226000</stp>
        <tr r="F63" s="2"/>
      </tp>
      <tp t="s">
        <v>#N/A Requesting Data...3515913141</v>
        <stp/>
        <stp>BDP|17344482757709065355</stp>
        <tr r="AB45" s="1"/>
      </tp>
      <tp t="s">
        <v>#N/A Requesting Data...3587253533</v>
        <stp/>
        <stp>BDP|10572632201148943271</stp>
        <tr r="H28" s="2"/>
      </tp>
      <tp t="s">
        <v>#N/A Requesting Data...2883418188</v>
        <stp/>
        <stp>BDP|17161123346246592887</stp>
        <tr r="F561" s="2"/>
      </tp>
      <tp t="s">
        <v>#N/A Requesting Data...3088465986</v>
        <stp/>
        <stp>BDP|10655235129789073548</stp>
        <tr r="G552" s="2"/>
      </tp>
      <tp t="s">
        <v>#N/A Requesting Data...3116773767</v>
        <stp/>
        <stp>BDP|10716280006707492952</stp>
        <tr r="E4" s="2"/>
      </tp>
      <tp t="s">
        <v>#N/A Requesting Data...3741837444</v>
        <stp/>
        <stp>BDP|16748667101498174491</stp>
        <tr r="F334" s="2"/>
      </tp>
      <tp t="s">
        <v>#N/A Requesting Data...2809341388</v>
        <stp/>
        <stp>BDP|12155421184152643095</stp>
        <tr r="E41" s="2"/>
      </tp>
      <tp t="s">
        <v>#N/A Requesting Data...4057884464</v>
        <stp/>
        <stp>BDP|14458393989774914769</stp>
        <tr r="H7" s="2"/>
      </tp>
      <tp t="s">
        <v>#N/A Requesting Data...3567474585</v>
        <stp/>
        <stp>BDP|11245340714797845819</stp>
        <tr r="G53" s="2"/>
      </tp>
      <tp t="s">
        <v>#N/A Requesting Data...3109982449</v>
        <stp/>
        <stp>BDP|18136911253458081082</stp>
        <tr r="G345" s="2"/>
      </tp>
      <tp t="s">
        <v>#N/A Requesting Data...3408844325</v>
        <stp/>
        <stp>BDP|17901850809221879266</stp>
        <tr r="H259" s="2"/>
      </tp>
      <tp t="s">
        <v>#N/A Requesting Data...3411225670</v>
        <stp/>
        <stp>BDP|16862314684903050275</stp>
        <tr r="F361" s="2"/>
      </tp>
      <tp t="s">
        <v>#N/A Requesting Data...3051691906</v>
        <stp/>
        <stp>BDP|10114839001433804714</stp>
        <tr r="G448" s="2"/>
      </tp>
      <tp t="s">
        <v>#N/A Requesting Data...3303612776</v>
        <stp/>
        <stp>BDP|15157878182620658981</stp>
        <tr r="H37" s="2"/>
      </tp>
      <tp t="s">
        <v>#N/A Requesting Data...3002732942</v>
        <stp/>
        <stp>BDP|15419082048685784893</stp>
        <tr r="H42" s="2"/>
      </tp>
      <tp t="s">
        <v>#N/A Requesting Data...3671202213</v>
        <stp/>
        <stp>BDP|14806850345243159748</stp>
        <tr r="H422" s="2"/>
      </tp>
      <tp t="s">
        <v>#N/A Requesting Data...3522964632</v>
        <stp/>
        <stp>BDP|11599998067286184461</stp>
        <tr r="Z86" s="1"/>
      </tp>
      <tp t="s">
        <v>#N/A Requesting Data...3164900591</v>
        <stp/>
        <stp>BDP|16860451375919130052</stp>
        <tr r="G368" s="2"/>
      </tp>
      <tp t="s">
        <v>#N/A Requesting Data...2564899706</v>
        <stp/>
        <stp>BDP|15951971010954080529</stp>
        <tr r="E370" s="2"/>
      </tp>
      <tp t="s">
        <v>#N/A Requesting Data...4047295570</v>
        <stp/>
        <stp>BDP|10121307544682005990</stp>
        <tr r="H100" s="2"/>
      </tp>
      <tp t="s">
        <v>#N/A Requesting Data...3573010204</v>
        <stp/>
        <stp>BDP|12413771168118563725</stp>
        <tr r="H516" s="2"/>
      </tp>
      <tp t="s">
        <v>#N/A Requesting Data...3782220274</v>
        <stp/>
        <stp>BDP|14492698808039392791</stp>
        <tr r="F264" s="2"/>
      </tp>
      <tp t="s">
        <v>#N/A Requesting Data...3105249020</v>
        <stp/>
        <stp>BDP|12173914563814480598</stp>
        <tr r="AA54" s="1"/>
      </tp>
      <tp t="s">
        <v>#N/A Requesting Data...4161554457</v>
        <stp/>
        <stp>BDP|13547164621515826948</stp>
        <tr r="G77" s="2"/>
      </tp>
      <tp t="s">
        <v>#N/A Requesting Data...3790086481</v>
        <stp/>
        <stp>BDP|11850752976615098855</stp>
        <tr r="G239" s="2"/>
      </tp>
      <tp t="s">
        <v>#N/A Requesting Data...3299148723</v>
        <stp/>
        <stp>BDP|17723830686689402288</stp>
        <tr r="E425" s="2"/>
      </tp>
      <tp t="s">
        <v>#N/A Requesting Data...3075580414</v>
        <stp/>
        <stp>BDP|17843497715937230989</stp>
        <tr r="Z32" s="1"/>
      </tp>
      <tp t="s">
        <v>#N/A Requesting Data...2915333322</v>
        <stp/>
        <stp>BDP|18216177951330399067</stp>
        <tr r="E332" s="2"/>
      </tp>
      <tp t="s">
        <v>#N/A Requesting Data...3995769589</v>
        <stp/>
        <stp>BDP|16829414893700883733</stp>
        <tr r="H474" s="2"/>
      </tp>
      <tp t="s">
        <v>#N/A Requesting Data...4207672427</v>
        <stp/>
        <stp>BDP|17993186224039225164</stp>
        <tr r="H331" s="2"/>
      </tp>
      <tp t="s">
        <v>#N/A Requesting Data...4018316986</v>
        <stp/>
        <stp>BDP|11790608238008907070</stp>
        <tr r="E605" s="2"/>
      </tp>
      <tp t="s">
        <v>#N/A Requesting Data...2973851898</v>
        <stp/>
        <stp>BDP|15765851062700329730</stp>
        <tr r="E275" s="2"/>
      </tp>
      <tp t="s">
        <v>#N/A Requesting Data...2979296980</v>
        <stp/>
        <stp>BDP|10489166923896961985</stp>
        <tr r="G105" s="2"/>
      </tp>
      <tp t="s">
        <v>#N/A Requesting Data...3853761665</v>
        <stp/>
        <stp>BDP|12459435487522075038</stp>
        <tr r="E210" s="2"/>
      </tp>
      <tp t="s">
        <v>#N/A Requesting Data...3745537238</v>
        <stp/>
        <stp>BDP|15639363620298247019</stp>
        <tr r="H415" s="2"/>
      </tp>
      <tp t="s">
        <v>#N/A Requesting Data...3056676342</v>
        <stp/>
        <stp>BDP|14230965364201705646</stp>
        <tr r="E62" s="2"/>
      </tp>
      <tp t="s">
        <v>#N/A Requesting Data...3752607765</v>
        <stp/>
        <stp>BDP|17707891555952925418</stp>
        <tr r="E33" s="2"/>
      </tp>
      <tp t="s">
        <v>#N/A Requesting Data...2808540685</v>
        <stp/>
        <stp>BDP|18366474843457446303</stp>
        <tr r="F460" s="2"/>
      </tp>
      <tp t="s">
        <v>#N/A Requesting Data...4276386750</v>
        <stp/>
        <stp>BDP|16932782822157497852</stp>
        <tr r="E226" s="2"/>
      </tp>
      <tp t="s">
        <v>#N/A Requesting Data...2828238347</v>
        <stp/>
        <stp>BDP|16728244081168413848</stp>
        <tr r="H446" s="2"/>
      </tp>
      <tp t="s">
        <v>#N/A Requesting Data...3151491686</v>
        <stp/>
        <stp>BDP|10070716980606023534</stp>
        <tr r="F446" s="2"/>
      </tp>
      <tp t="s">
        <v>#N/A Requesting Data...4147954509</v>
        <stp/>
        <stp>BDP|16275760563492212975</stp>
        <tr r="G78" s="2"/>
      </tp>
      <tp t="s">
        <v>#N/A Requesting Data...2643830607</v>
        <stp/>
        <stp>BDP|15266816054145764121</stp>
        <tr r="E75" s="2"/>
      </tp>
      <tp t="s">
        <v>#N/A Requesting Data...4069010773</v>
        <stp/>
        <stp>BDP|15200770094284359302</stp>
        <tr r="Z3" s="1"/>
      </tp>
      <tp t="s">
        <v>#N/A Requesting Data...3495029203</v>
        <stp/>
        <stp>BDP|17427641047161378861</stp>
        <tr r="E303" s="2"/>
      </tp>
      <tp t="s">
        <v>#N/A Requesting Data...3381993290</v>
        <stp/>
        <stp>BDP|10369100227208599747</stp>
        <tr r="E290" s="2"/>
      </tp>
      <tp t="s">
        <v>#N/A Requesting Data...3360234476</v>
        <stp/>
        <stp>BDP|13710311452049663071</stp>
        <tr r="G300" s="2"/>
      </tp>
      <tp t="s">
        <v>#N/A Requesting Data...3591166778</v>
        <stp/>
        <stp>BDP|11170707139490825952</stp>
        <tr r="E318" s="2"/>
      </tp>
      <tp t="s">
        <v>#N/A Requesting Data...3831730377</v>
        <stp/>
        <stp>BDP|17544455046193511879</stp>
        <tr r="F471" s="2"/>
      </tp>
      <tp t="s">
        <v>#N/A Requesting Data...3845208420</v>
        <stp/>
        <stp>BDP|16657270504841400952</stp>
        <tr r="AA19" s="1"/>
      </tp>
      <tp t="s">
        <v>#N/A Requesting Data...4248179706</v>
        <stp/>
        <stp>BDP|13421314520958642679</stp>
        <tr r="H227" s="2"/>
      </tp>
      <tp t="s">
        <v>#N/A Requesting Data...3096421848</v>
        <stp/>
        <stp>BDP|15066466681066234311</stp>
        <tr r="F453" s="2"/>
      </tp>
      <tp t="s">
        <v>#N/A Requesting Data...4142266228</v>
        <stp/>
        <stp>BDP|15407732510007731846</stp>
        <tr r="G330" s="2"/>
      </tp>
      <tp t="s">
        <v>#N/A Requesting Data...3340665920</v>
        <stp/>
        <stp>BDP|10331601535649868099</stp>
        <tr r="F415" s="2"/>
      </tp>
      <tp t="s">
        <v>#N/A Requesting Data...2616800584</v>
        <stp/>
        <stp>BDP|15073231506809076222</stp>
        <tr r="Z84" s="1"/>
      </tp>
      <tp t="s">
        <v>#N/A Requesting Data...2754104834</v>
        <stp/>
        <stp>BDP|14006810632684687720</stp>
        <tr r="F613" s="2"/>
      </tp>
      <tp t="s">
        <v>#N/A Requesting Data...3247430048</v>
        <stp/>
        <stp>BDP|16805883830879434834</stp>
        <tr r="E153" s="2"/>
      </tp>
      <tp t="s">
        <v>#N/A Requesting Data...4244952337</v>
        <stp/>
        <stp>BDP|11361836457623809385</stp>
        <tr r="E471" s="2"/>
      </tp>
      <tp t="s">
        <v>#N/A Requesting Data...4061998073</v>
        <stp/>
        <stp>BDP|10441166311679415506</stp>
        <tr r="G54" s="2"/>
      </tp>
      <tp t="s">
        <v>#N/A Requesting Data...3021263589</v>
        <stp/>
        <stp>BDP|14636941556324064030</stp>
        <tr r="E300" s="2"/>
      </tp>
      <tp t="s">
        <v>#N/A Requesting Data...4175748159</v>
        <stp/>
        <stp>BDP|11911052179633557969</stp>
        <tr r="F191" s="2"/>
      </tp>
      <tp t="s">
        <v>#N/A Requesting Data...2951580563</v>
        <stp/>
        <stp>BDP|16484323674009131750</stp>
        <tr r="E524" s="2"/>
      </tp>
      <tp t="s">
        <v>#N/A Requesting Data...2631112319</v>
        <stp/>
        <stp>BDP|16005110060238514520</stp>
        <tr r="F173" s="2"/>
      </tp>
      <tp t="s">
        <v>#N/A Requesting Data...4237206025</v>
        <stp/>
        <stp>BDP|13812584193872864021</stp>
        <tr r="F330" s="2"/>
      </tp>
      <tp t="s">
        <v>#N/A Requesting Data...3783960573</v>
        <stp/>
        <stp>BDP|14435486181372298760</stp>
        <tr r="H96" s="2"/>
      </tp>
      <tp t="s">
        <v>#N/A Requesting Data...3865425302</v>
        <stp/>
        <stp>BDP|10241988170985061637</stp>
        <tr r="G277" s="2"/>
      </tp>
      <tp t="s">
        <v>#N/A Requesting Data...4165104544</v>
        <stp/>
        <stp>BDP|14266296221139728059</stp>
        <tr r="H602" s="2"/>
      </tp>
      <tp t="s">
        <v>#N/A Requesting Data...3839483125</v>
        <stp/>
        <stp>BDP|17625766294097490383</stp>
        <tr r="H417" s="2"/>
      </tp>
      <tp t="s">
        <v>#N/A Requesting Data...3313155532</v>
        <stp/>
        <stp>BDP|10020899231712484472</stp>
        <tr r="G543" s="2"/>
      </tp>
      <tp t="s">
        <v>#N/A Requesting Data...3069668356</v>
        <stp/>
        <stp>BDP|12145455211409690388</stp>
        <tr r="E57" s="2"/>
      </tp>
      <tp t="s">
        <v>#N/A Requesting Data...3801762928</v>
        <stp/>
        <stp>BDP|11813872356274297512</stp>
        <tr r="H561" s="2"/>
      </tp>
      <tp t="s">
        <v>#N/A Requesting Data...3789528726</v>
        <stp/>
        <stp>BDP|11410971369324829788</stp>
        <tr r="E482" s="2"/>
      </tp>
      <tp t="s">
        <v>#N/A Requesting Data...3637582446</v>
        <stp/>
        <stp>BDP|17209383767137778806</stp>
        <tr r="G350" s="2"/>
      </tp>
      <tp t="s">
        <v>#N/A Requesting Data...4143909845</v>
        <stp/>
        <stp>BDP|17068778091624990053</stp>
        <tr r="G167" s="2"/>
      </tp>
      <tp t="s">
        <v>#N/A Requesting Data...4050577600</v>
        <stp/>
        <stp>BDP|13179671167186908821</stp>
        <tr r="Z69" s="1"/>
      </tp>
      <tp t="s">
        <v>#N/A Requesting Data...4185179375</v>
        <stp/>
        <stp>BDP|16001486777249146146</stp>
        <tr r="E374" s="2"/>
      </tp>
      <tp t="s">
        <v>#N/A Requesting Data...3590099155</v>
        <stp/>
        <stp>BDP|14812979868091492794</stp>
        <tr r="G512" s="2"/>
      </tp>
      <tp t="s">
        <v>#N/A Requesting Data...3114430780</v>
        <stp/>
        <stp>BDP|14887669663718575152</stp>
        <tr r="E346" s="2"/>
      </tp>
      <tp t="s">
        <v>#N/A Requesting Data...4191263136</v>
        <stp/>
        <stp>BDP|10073974718102519771</stp>
        <tr r="G108" s="2"/>
      </tp>
      <tp t="s">
        <v>#N/A Requesting Data...2630161436</v>
        <stp/>
        <stp>BDP|17501419004818964647</stp>
        <tr r="G559" s="2"/>
      </tp>
      <tp t="s">
        <v>#N/A Requesting Data...3023000979</v>
        <stp/>
        <stp>BDP|18175660388528426364</stp>
        <tr r="H198" s="2"/>
      </tp>
      <tp t="s">
        <v>#N/A Requesting Data...3268388808</v>
        <stp/>
        <stp>BDP|17476250989341277169</stp>
        <tr r="E88" s="2"/>
      </tp>
      <tp t="s">
        <v>#N/A Requesting Data...2801945455</v>
        <stp/>
        <stp>BDP|13947454097163400030</stp>
        <tr r="F215" s="2"/>
      </tp>
      <tp t="s">
        <v>#N/A Requesting Data...3440843538</v>
        <stp/>
        <stp>BDP|13970352190273850785</stp>
        <tr r="H84" s="2"/>
      </tp>
      <tp t="s">
        <v>#N/A Requesting Data...3026078272</v>
        <stp/>
        <stp>BDP|13090475751058879711</stp>
        <tr r="Z93" s="1"/>
      </tp>
      <tp t="s">
        <v>#N/A Requesting Data...3587987851</v>
        <stp/>
        <stp>BDP|13725214443579366192</stp>
        <tr r="E163" s="2"/>
      </tp>
      <tp t="s">
        <v>#N/A Requesting Data...3955031035</v>
        <stp/>
        <stp>BDP|10496826555386506682</stp>
        <tr r="H65" s="2"/>
      </tp>
      <tp t="s">
        <v>#N/A Requesting Data...3871681597</v>
        <stp/>
        <stp>BDP|16004099153427077949</stp>
        <tr r="H560" s="2"/>
      </tp>
      <tp t="s">
        <v>#N/A Requesting Data...3944368387</v>
        <stp/>
        <stp>BDP|10461941300722399626</stp>
        <tr r="F424" s="2"/>
      </tp>
      <tp t="s">
        <v>#N/A Requesting Data...3730789226</v>
        <stp/>
        <stp>BDP|14897792261809293135</stp>
        <tr r="G245" s="2"/>
      </tp>
      <tp t="s">
        <v>#N/A Requesting Data...3351147753</v>
        <stp/>
        <stp>BDP|16264946031687279640</stp>
        <tr r="Z15" s="1"/>
      </tp>
      <tp t="s">
        <v>#N/A Requesting Data...4184754577</v>
        <stp/>
        <stp>BDP|12354085832288054486</stp>
        <tr r="F227" s="2"/>
      </tp>
      <tp t="s">
        <v>#N/A Requesting Data...2838449180</v>
        <stp/>
        <stp>BDP|12830183760131518947</stp>
        <tr r="H585" s="2"/>
      </tp>
      <tp t="s">
        <v>#N/A Requesting Data...3875520323</v>
        <stp/>
        <stp>BDP|16579652281151545455</stp>
        <tr r="E101" s="2"/>
      </tp>
      <tp t="s">
        <v>#N/A Requesting Data...3527676076</v>
        <stp/>
        <stp>BDP|17740577426994054966</stp>
        <tr r="F28" s="2"/>
      </tp>
      <tp t="s">
        <v>#N/A Requesting Data...2683617690</v>
        <stp/>
        <stp>BDP|17913651793281912466</stp>
        <tr r="H464" s="2"/>
      </tp>
      <tp t="s">
        <v>#N/A Requesting Data...3463591978</v>
        <stp/>
        <stp>BDP|16919289884491672000</stp>
        <tr r="E231" s="2"/>
      </tp>
      <tp t="s">
        <v>#N/A Requesting Data...3074010006</v>
        <stp/>
        <stp>BDP|14444882709143672208</stp>
        <tr r="E172" s="2"/>
      </tp>
      <tp t="s">
        <v>#N/A Requesting Data...2747248641</v>
        <stp/>
        <stp>BDP|14508960752246655349</stp>
        <tr r="G519" s="2"/>
      </tp>
      <tp t="s">
        <v>#N/A Requesting Data...3424968942</v>
        <stp/>
        <stp>BDP|10901098992620169412</stp>
        <tr r="F365" s="2"/>
      </tp>
      <tp t="s">
        <v>#N/A Requesting Data...3758981211</v>
        <stp/>
        <stp>BDP|14206398230359073092</stp>
        <tr r="H361" s="2"/>
      </tp>
      <tp t="s">
        <v>#N/A Requesting Data...3694549464</v>
        <stp/>
        <stp>BDP|10540135124287352934</stp>
        <tr r="G107" s="2"/>
      </tp>
      <tp t="s">
        <v>#N/A Requesting Data...3688750953</v>
        <stp/>
        <stp>BDP|11907441315591951837</stp>
        <tr r="F416" s="2"/>
      </tp>
      <tp t="s">
        <v>#N/A Requesting Data...3132309760</v>
        <stp/>
        <stp>BDP|11347961753467161752</stp>
        <tr r="E399" s="2"/>
      </tp>
      <tp t="s">
        <v>#N/A Requesting Data...2879043258</v>
        <stp/>
        <stp>BDP|18350148672785665667</stp>
        <tr r="F319" s="2"/>
      </tp>
      <tp t="s">
        <v>#N/A Requesting Data...3203203810</v>
        <stp/>
        <stp>BDP|11908925143428888957</stp>
        <tr r="H523" s="2"/>
      </tp>
      <tp t="s">
        <v>#N/A Requesting Data...4014443739</v>
        <stp/>
        <stp>BDP|11943807171703908048</stp>
        <tr r="F237" s="2"/>
      </tp>
      <tp t="s">
        <v>#N/A Requesting Data...2685933952</v>
        <stp/>
        <stp>BDP|14719882199128102020</stp>
        <tr r="H181" s="2"/>
      </tp>
      <tp t="s">
        <v>#N/A Requesting Data...3107382402</v>
        <stp/>
        <stp>BDP|15078413924616032800</stp>
        <tr r="H566" s="2"/>
      </tp>
      <tp t="s">
        <v>#N/A Requesting Data...4009771778</v>
        <stp/>
        <stp>BDP|15103727907466811992</stp>
        <tr r="H264" s="2"/>
      </tp>
      <tp t="s">
        <v>#N/A Requesting Data...4159278344</v>
        <stp/>
        <stp>BDP|12355956641172395005</stp>
        <tr r="G202" s="2"/>
      </tp>
      <tp t="s">
        <v>#N/A Requesting Data...3355252031</v>
        <stp/>
        <stp>BDP|17193810961382406626</stp>
        <tr r="H4" s="2"/>
      </tp>
      <tp t="s">
        <v>#N/A Requesting Data...3141349660</v>
        <stp/>
        <stp>BDP|16197522085952047414</stp>
        <tr r="F359" s="2"/>
      </tp>
      <tp t="s">
        <v>#N/A Requesting Data...4171140567</v>
        <stp/>
        <stp>BDP|16054244892880533048</stp>
        <tr r="H225" s="2"/>
      </tp>
      <tp t="s">
        <v>#N/A Requesting Data...3303911909</v>
        <stp/>
        <stp>BDP|16375442239345844915</stp>
        <tr r="F108" s="2"/>
      </tp>
      <tp t="s">
        <v>#N/A Requesting Data...2989081856</v>
        <stp/>
        <stp>BDP|11364344110237530955</stp>
        <tr r="F9" s="2"/>
      </tp>
      <tp t="s">
        <v>#N/A Requesting Data...3226722331</v>
        <stp/>
        <stp>BDP|16536977635556205727</stp>
        <tr r="Z98" s="1"/>
      </tp>
      <tp t="s">
        <v>#N/A Requesting Data...3215312028</v>
        <stp/>
        <stp>BDP|10370308833029028479</stp>
        <tr r="H26" s="2"/>
      </tp>
      <tp t="s">
        <v>#N/A Requesting Data...3758714255</v>
        <stp/>
        <stp>BDP|12545000321694452966</stp>
        <tr r="AB56" s="1"/>
      </tp>
      <tp t="s">
        <v>#N/A Requesting Data...3950342987</v>
        <stp/>
        <stp>BDP|16001948856561484602</stp>
        <tr r="E307" s="2"/>
      </tp>
      <tp t="s">
        <v>#N/A Requesting Data...3342846034</v>
        <stp/>
        <stp>BDP|10889559878419234611</stp>
        <tr r="F99" s="2"/>
      </tp>
      <tp t="s">
        <v>#N/A Requesting Data...3616904802</v>
        <stp/>
        <stp>BDP|17296315668610674046</stp>
        <tr r="F208" s="2"/>
      </tp>
      <tp t="s">
        <v>#N/A Requesting Data...2921300255</v>
        <stp/>
        <stp>BDP|15762486205737577468</stp>
        <tr r="H504" s="2"/>
      </tp>
      <tp t="s">
        <v>#N/A Requesting Data...3726852918</v>
        <stp/>
        <stp>BDP|14884556411402518007</stp>
        <tr r="Z72" s="1"/>
      </tp>
      <tp t="s">
        <v>#N/A Requesting Data...3878163399</v>
        <stp/>
        <stp>BDP|17859311313184250313</stp>
        <tr r="AA98" s="1"/>
      </tp>
      <tp t="s">
        <v>#N/A Requesting Data...3852153072</v>
        <stp/>
        <stp>BDP|11916175310667274457</stp>
        <tr r="G386" s="2"/>
      </tp>
      <tp t="s">
        <v>#N/A Requesting Data...3321172050</v>
        <stp/>
        <stp>BDP|14594501610984992658</stp>
        <tr r="F275" s="2"/>
      </tp>
      <tp t="s">
        <v>#N/A Requesting Data...2731501145</v>
        <stp/>
        <stp>BDP|13804669055810190238</stp>
        <tr r="E602" s="2"/>
      </tp>
      <tp t="s">
        <v>#N/A Requesting Data...3236586422</v>
        <stp/>
        <stp>BDP|14753495961554662004</stp>
        <tr r="G172" s="2"/>
      </tp>
      <tp t="s">
        <v>#N/A Requesting Data...3371701317</v>
        <stp/>
        <stp>BDP|12234392632152823287</stp>
        <tr r="AA65" s="1"/>
      </tp>
      <tp t="s">
        <v>#N/A Requesting Data...3134024184</v>
        <stp/>
        <stp>BDP|11640744759479146835</stp>
        <tr r="E498" s="2"/>
      </tp>
      <tp t="s">
        <v>#N/A Requesting Data...3458552121</v>
        <stp/>
        <stp>BDP|18110956223987700685</stp>
        <tr r="G206" s="2"/>
      </tp>
      <tp t="s">
        <v>#N/A Requesting Data...2703385950</v>
        <stp/>
        <stp>BDP|16644460714960856146</stp>
        <tr r="H19" s="2"/>
      </tp>
      <tp t="s">
        <v>#N/A Requesting Data...3551897090</v>
        <stp/>
        <stp>BDP|14620183058594819668</stp>
        <tr r="E214" s="2"/>
      </tp>
      <tp t="s">
        <v>#N/A Requesting Data...3288065651</v>
        <stp/>
        <stp>BDP|17679800931967711983</stp>
        <tr r="E212" s="2"/>
      </tp>
      <tp t="s">
        <v>#N/A Requesting Data...4046082242</v>
        <stp/>
        <stp>BDP|16111792264681564411</stp>
        <tr r="F29" s="2"/>
      </tp>
      <tp t="s">
        <v>#N/A Requesting Data...3782746524</v>
        <stp/>
        <stp>BDP|12580678543656952438</stp>
        <tr r="AA75" s="1"/>
      </tp>
      <tp t="s">
        <v>#N/A Requesting Data...2901744096</v>
        <stp/>
        <stp>BDP|18148968672075775199</stp>
        <tr r="G557" s="2"/>
      </tp>
      <tp t="s">
        <v>#N/A Requesting Data...2973704721</v>
        <stp/>
        <stp>BDP|10552866217832924968</stp>
        <tr r="G623" s="2"/>
      </tp>
      <tp t="s">
        <v>#N/A Requesting Data...3835225710</v>
        <stp/>
        <stp>BDP|12600336119714759600</stp>
        <tr r="E560" s="2"/>
      </tp>
      <tp t="s">
        <v>#N/A Requesting Data...2791465003</v>
        <stp/>
        <stp>BDP|17835849825146127921</stp>
        <tr r="F337" s="2"/>
      </tp>
      <tp t="s">
        <v>#N/A Requesting Data...3036566969</v>
        <stp/>
        <stp>BDP|11481255318667536764</stp>
        <tr r="H376" s="2"/>
      </tp>
      <tp t="s">
        <v>#N/A Requesting Data...4039621106</v>
        <stp/>
        <stp>BDP|13600201405987136488</stp>
        <tr r="F422" s="2"/>
      </tp>
      <tp t="s">
        <v>#N/A Requesting Data...3959308328</v>
        <stp/>
        <stp>BDP|14745035314414957336</stp>
        <tr r="F554" s="2"/>
      </tp>
      <tp t="s">
        <v>#N/A Requesting Data...3114839068</v>
        <stp/>
        <stp>BDP|13275394465763741749</stp>
        <tr r="F314" s="2"/>
      </tp>
      <tp t="s">
        <v>#N/A Requesting Data...3138684220</v>
        <stp/>
        <stp>BDP|13050639840701754296</stp>
        <tr r="F229" s="2"/>
      </tp>
      <tp t="s">
        <v>#N/A Requesting Data...3937018401</v>
        <stp/>
        <stp>BDP|17509481732915730756</stp>
        <tr r="G67" s="2"/>
      </tp>
      <tp t="s">
        <v>#N/A Requesting Data...3348146562</v>
        <stp/>
        <stp>BDP|12477179649567079271</stp>
        <tr r="E333" s="2"/>
      </tp>
      <tp t="s">
        <v>#N/A Requesting Data...3613074822</v>
        <stp/>
        <stp>BDP|15128425561386796380</stp>
        <tr r="E96" s="2"/>
      </tp>
      <tp t="s">
        <v>#N/A Requesting Data...3633837618</v>
        <stp/>
        <stp>BDP|17481480762504717340</stp>
        <tr r="F217" s="2"/>
      </tp>
      <tp t="s">
        <v>#N/A Requesting Data...4095664172</v>
        <stp/>
        <stp>BDP|15919511702233209153</stp>
        <tr r="Z101" s="1"/>
      </tp>
      <tp t="s">
        <v>#N/A Requesting Data...3242559697</v>
        <stp/>
        <stp>BDP|10709317857757816344</stp>
        <tr r="E571" s="2"/>
      </tp>
      <tp t="s">
        <v>#N/A Requesting Data...3946268370</v>
        <stp/>
        <stp>BDP|16260177768075252638</stp>
        <tr r="AA81" s="1"/>
      </tp>
      <tp t="s">
        <v>#N/A Requesting Data...2762398971</v>
        <stp/>
        <stp>BDP|12770597291748794449</stp>
        <tr r="G514" s="2"/>
      </tp>
      <tp t="s">
        <v>#N/A Requesting Data...3354057150</v>
        <stp/>
        <stp>BDP|12096698712383183453</stp>
        <tr r="E422" s="2"/>
      </tp>
      <tp t="s">
        <v>#N/A Requesting Data...4073931221</v>
        <stp/>
        <stp>BDP|10474731922621257681</stp>
        <tr r="F61" s="2"/>
      </tp>
      <tp t="s">
        <v>#N/A Requesting Data...3034818888</v>
        <stp/>
        <stp>BDP|17011358451215390699</stp>
        <tr r="H418" s="2"/>
      </tp>
      <tp t="s">
        <v>#N/A Requesting Data...3337531337</v>
        <stp/>
        <stp>BDP|13071480065767261416</stp>
        <tr r="E155" s="2"/>
      </tp>
      <tp t="s">
        <v>#N/A Requesting Data...3760973236</v>
        <stp/>
        <stp>BDP|14449433292883304888</stp>
        <tr r="F39" s="2"/>
      </tp>
      <tp t="s">
        <v>#N/A Requesting Data...3190862990</v>
        <stp/>
        <stp>BDP|12804762011836456058</stp>
        <tr r="E512" s="2"/>
      </tp>
      <tp t="s">
        <v>#N/A Requesting Data...3864191333</v>
        <stp/>
        <stp>BDP|12538174155203443728</stp>
        <tr r="E415" s="2"/>
      </tp>
      <tp t="s">
        <v>#N/A Requesting Data...3882416056</v>
        <stp/>
        <stp>BDP|15321256844597375600</stp>
        <tr r="AB25" s="1"/>
      </tp>
      <tp t="s">
        <v>#N/A Requesting Data...4033630836</v>
        <stp/>
        <stp>BDP|12042463642131294179</stp>
        <tr r="E487" s="2"/>
      </tp>
      <tp t="s">
        <v>#N/A Requesting Data...3661522294</v>
        <stp/>
        <stp>BDP|15725229116154553060</stp>
        <tr r="F43" s="2"/>
      </tp>
      <tp t="s">
        <v>#N/A Requesting Data...3718221157</v>
        <stp/>
        <stp>BDP|16226391040134356789</stp>
        <tr r="E283" s="2"/>
      </tp>
      <tp t="s">
        <v>#N/A Requesting Data...4144583098</v>
        <stp/>
        <stp>BDP|14693834631328117553</stp>
        <tr r="G10" s="2"/>
      </tp>
      <tp t="s">
        <v>#N/A Requesting Data...3858994123</v>
        <stp/>
        <stp>BDP|18015392679178727673</stp>
        <tr r="H616" s="2"/>
      </tp>
      <tp t="s">
        <v>#N/A Requesting Data...3767557998</v>
        <stp/>
        <stp>BDP|14811456699799059247</stp>
        <tr r="E336" s="2"/>
      </tp>
      <tp t="s">
        <v>#N/A Requesting Data...3210772627</v>
        <stp/>
        <stp>BDP|15078843175581690979</stp>
        <tr r="Z91" s="1"/>
      </tp>
      <tp t="s">
        <v>#N/A Requesting Data...3516478870</v>
        <stp/>
        <stp>BDP|10719574395427111940</stp>
        <tr r="H360" s="2"/>
      </tp>
      <tp t="s">
        <v>#N/A Requesting Data...3678850062</v>
        <stp/>
        <stp>BDP|12784693144057833528</stp>
        <tr r="F209" s="2"/>
      </tp>
      <tp t="s">
        <v>#N/A Requesting Data...4095504960</v>
        <stp/>
        <stp>BDP|12709402437436231122</stp>
        <tr r="G178" s="2"/>
      </tp>
      <tp t="s">
        <v>#N/A Requesting Data...2910039489</v>
        <stp/>
        <stp>BDP|13265406134286727015</stp>
        <tr r="H231" s="2"/>
      </tp>
      <tp t="s">
        <v>#N/A Requesting Data...3278657077</v>
        <stp/>
        <stp>BDP|11201283461033941422</stp>
        <tr r="E115" s="2"/>
      </tp>
      <tp t="s">
        <v>#N/A Requesting Data...2711583539</v>
        <stp/>
        <stp>BDP|14720394147006288781</stp>
        <tr r="H112" s="2"/>
      </tp>
      <tp t="s">
        <v>#N/A Requesting Data...3835865224</v>
        <stp/>
        <stp>BDP|17111644110773195175</stp>
        <tr r="E320" s="2"/>
      </tp>
      <tp t="s">
        <v>#N/A Requesting Data...3927866261</v>
        <stp/>
        <stp>BDP|16160832500898985488</stp>
        <tr r="F17" s="2"/>
      </tp>
      <tp t="s">
        <v>#N/A Requesting Data...3666507030</v>
        <stp/>
        <stp>BDP|17752531133154013747</stp>
        <tr r="F158" s="2"/>
      </tp>
      <tp t="s">
        <v>#N/A Requesting Data...3521055788</v>
        <stp/>
        <stp>BDP|13149716950256226510</stp>
        <tr r="F553" s="2"/>
      </tp>
      <tp t="s">
        <v>#N/A Requesting Data...3171093751</v>
        <stp/>
        <stp>BDP|16785015713251579438</stp>
        <tr r="F123" s="2"/>
      </tp>
      <tp t="s">
        <v>#N/A Requesting Data...3649441883</v>
        <stp/>
        <stp>BDP|16213946827769252602</stp>
        <tr r="G124" s="2"/>
      </tp>
      <tp t="s">
        <v>#N/A Requesting Data...3283111733</v>
        <stp/>
        <stp>BDP|16663527613264304468</stp>
        <tr r="G72" s="2"/>
      </tp>
      <tp t="s">
        <v>#N/A Requesting Data...3635290817</v>
        <stp/>
        <stp>BDP|15317274327066360129</stp>
        <tr r="E540" s="2"/>
      </tp>
      <tp t="s">
        <v>#N/A Requesting Data...3694195748</v>
        <stp/>
        <stp>BDP|14084073411340392772</stp>
        <tr r="AB74" s="1"/>
      </tp>
      <tp t="s">
        <v>#N/A Requesting Data...3965243185</v>
        <stp/>
        <stp>BDP|10244477955144530771</stp>
        <tr r="H294" s="2"/>
      </tp>
      <tp t="s">
        <v>#N/A Requesting Data...3566755982</v>
        <stp/>
        <stp>BDP|13554527750671432011</stp>
        <tr r="G161" s="2"/>
      </tp>
      <tp t="s">
        <v>#N/A Requesting Data...3907341019</v>
        <stp/>
        <stp>BDP|10561089939703840297</stp>
        <tr r="AA34" s="1"/>
      </tp>
      <tp t="s">
        <v>#N/A Requesting Data...3118937123</v>
        <stp/>
        <stp>BDP|13981757349852388035</stp>
        <tr r="E476" s="2"/>
      </tp>
      <tp t="s">
        <v>#N/A Requesting Data...2927709256</v>
        <stp/>
        <stp>BDP|18353195398204005672</stp>
        <tr r="AA9" s="1"/>
      </tp>
      <tp t="s">
        <v>#N/A Requesting Data...3234604378</v>
        <stp/>
        <stp>BDP|16445783878843698771</stp>
        <tr r="F30" s="2"/>
      </tp>
      <tp t="s">
        <v>#N/A Requesting Data...3622921876</v>
        <stp/>
        <stp>BDP|14348750902080181117</stp>
        <tr r="E298" s="2"/>
      </tp>
      <tp t="s">
        <v>#N/A Requesting Data...3260285223</v>
        <stp/>
        <stp>BDP|14891164215483950567</stp>
        <tr r="E10" s="2"/>
      </tp>
      <tp t="s">
        <v>#N/A Requesting Data...2810177190</v>
        <stp/>
        <stp>BDP|10154394475574873211</stp>
        <tr r="G13" s="2"/>
      </tp>
      <tp t="s">
        <v>#N/A Requesting Data...3288449879</v>
        <stp/>
        <stp>BDP|13101089612361742188</stp>
        <tr r="E151" s="2"/>
      </tp>
      <tp t="s">
        <v>#N/A Requesting Data...2938832047</v>
        <stp/>
        <stp>BDP|11080189919114117744</stp>
        <tr r="F364" s="2"/>
      </tp>
      <tp t="s">
        <v>#N/A Requesting Data...2782560711</v>
        <stp/>
        <stp>BDP|16841357528107941282</stp>
        <tr r="AB13" s="1"/>
      </tp>
      <tp t="s">
        <v>#N/A Requesting Data...3804798983</v>
        <stp/>
        <stp>BDP|16728818072542168927</stp>
        <tr r="H59" s="2"/>
      </tp>
      <tp t="s">
        <v>#N/A Requesting Data...3131550979</v>
        <stp/>
        <stp>BDP|14776818389712955411</stp>
        <tr r="H130" s="2"/>
      </tp>
      <tp t="s">
        <v>#N/A Requesting Data...3505087815</v>
        <stp/>
        <stp>BDP|11841092139340994060</stp>
        <tr r="AB34" s="1"/>
      </tp>
      <tp t="s">
        <v>#N/A Requesting Data...4254251711</v>
        <stp/>
        <stp>BDP|12344326025772610356</stp>
        <tr r="F464" s="2"/>
      </tp>
      <tp t="s">
        <v>#N/A Requesting Data...3152132906</v>
        <stp/>
        <stp>BDP|13772470614471500565</stp>
        <tr r="F454" s="2"/>
      </tp>
      <tp t="s">
        <v>#N/A Requesting Data...3747603294</v>
        <stp/>
        <stp>BDP|10530492118532390508</stp>
        <tr r="G58" s="2"/>
      </tp>
      <tp t="s">
        <v>#N/A Requesting Data...4181985954</v>
        <stp/>
        <stp>BDP|11299568779964956539</stp>
        <tr r="AA31" s="1"/>
      </tp>
      <tp t="s">
        <v>#N/A Requesting Data...3909961648</v>
        <stp/>
        <stp>BDP|10500000013203788071</stp>
        <tr r="G225" s="2"/>
      </tp>
      <tp t="s">
        <v>#N/A Requesting Data...3765857446</v>
        <stp/>
        <stp>BDP|17632722129631826138</stp>
        <tr r="F194" s="2"/>
      </tp>
      <tp t="s">
        <v>#N/A Requesting Data...4067038587</v>
        <stp/>
        <stp>BDP|15229757106309489939</stp>
        <tr r="H102" s="2"/>
      </tp>
      <tp t="s">
        <v>#N/A Requesting Data...3418518528</v>
        <stp/>
        <stp>BDP|17922121291959102528</stp>
        <tr r="F13" s="2"/>
      </tp>
      <tp t="s">
        <v>#N/A Requesting Data...4036697417</v>
        <stp/>
        <stp>BDP|13736180670614303254</stp>
        <tr r="E618" s="2"/>
      </tp>
      <tp t="s">
        <v>#N/A Requesting Data...4005553821</v>
        <stp/>
        <stp>BDP|17335485307524343467</stp>
        <tr r="H413" s="2"/>
      </tp>
      <tp t="s">
        <v>#N/A Requesting Data...3478973349</v>
        <stp/>
        <stp>BDP|15807965943463414807</stp>
        <tr r="E270" s="2"/>
      </tp>
      <tp t="s">
        <v>#N/A Requesting Data...3977304602</v>
        <stp/>
        <stp>BDP|14585036246174128789</stp>
        <tr r="F397" s="2"/>
      </tp>
      <tp t="s">
        <v>#N/A Requesting Data...3652692364</v>
        <stp/>
        <stp>BDP|13991855686140781058</stp>
        <tr r="E584" s="2"/>
      </tp>
      <tp t="s">
        <v>#N/A Requesting Data...3531097832</v>
        <stp/>
        <stp>BDP|13159486549499870903</stp>
        <tr r="H206" s="2"/>
      </tp>
      <tp t="s">
        <v>#N/A Requesting Data...2846982014</v>
        <stp/>
        <stp>BDP|15131920309036455963</stp>
        <tr r="H624" s="2"/>
      </tp>
      <tp t="s">
        <v>#N/A Requesting Data...4250796148</v>
        <stp/>
        <stp>BDP|12923847693567302755</stp>
        <tr r="H66" s="2"/>
      </tp>
      <tp t="s">
        <v>#N/A Requesting Data...3158588026</v>
        <stp/>
        <stp>BDP|12338536035905850262</stp>
        <tr r="G555" s="2"/>
      </tp>
      <tp t="s">
        <v>#N/A Requesting Data...3628560981</v>
        <stp/>
        <stp>BDP|13544803241574695890</stp>
        <tr r="H77" s="2"/>
      </tp>
      <tp t="s">
        <v>#N/A Requesting Data...3164421444</v>
        <stp/>
        <stp>BDP|12478538887224913823</stp>
        <tr r="F512" s="2"/>
      </tp>
      <tp t="s">
        <v>#N/A Requesting Data...2912753544</v>
        <stp/>
        <stp>BDP|14887140697359971692</stp>
        <tr r="G562" s="2"/>
      </tp>
      <tp t="s">
        <v>#N/A Requesting Data...3353434420</v>
        <stp/>
        <stp>BDP|15775366165956815574</stp>
        <tr r="AA55" s="1"/>
      </tp>
      <tp t="s">
        <v>#N/A Requesting Data...2820963342</v>
        <stp/>
        <stp>BDP|12836879754008676460</stp>
        <tr r="E520" s="2"/>
      </tp>
      <tp t="s">
        <v>#N/A Requesting Data...2807176587</v>
        <stp/>
        <stp>BDP|18253438570931943937</stp>
        <tr r="E177" s="2"/>
      </tp>
      <tp t="s">
        <v>#N/A Requesting Data...3576559718</v>
        <stp/>
        <stp>BDP|13045717318011369710</stp>
        <tr r="E17" s="2"/>
      </tp>
      <tp t="s">
        <v>#N/A Requesting Data...3857465697</v>
        <stp/>
        <stp>BDP|15749067233652157798</stp>
        <tr r="AB17" s="1"/>
      </tp>
      <tp t="s">
        <v>#N/A Requesting Data...2842235607</v>
        <stp/>
        <stp>BDP|17157561636806982426</stp>
        <tr r="F5" s="2"/>
      </tp>
      <tp t="s">
        <v>#N/A Requesting Data...3065971743</v>
        <stp/>
        <stp>BDP|12802830560526529946</stp>
        <tr r="H348" s="2"/>
      </tp>
      <tp t="s">
        <v>#N/A Requesting Data...3147887567</v>
        <stp/>
        <stp>BDP|16905083357415546597</stp>
        <tr r="F534" s="2"/>
      </tp>
      <tp t="s">
        <v>#N/A Requesting Data...3108703579</v>
        <stp/>
        <stp>BDP|16651229409980754776</stp>
        <tr r="E267" s="2"/>
      </tp>
      <tp t="s">
        <v>#N/A Requesting Data...2767366507</v>
        <stp/>
        <stp>BDP|11168069694682699999</stp>
        <tr r="F578" s="2"/>
      </tp>
      <tp t="s">
        <v>#N/A Requesting Data...3286733759</v>
        <stp/>
        <stp>BDP|15626410059625387213</stp>
        <tr r="AA102" s="1"/>
      </tp>
      <tp t="s">
        <v>#N/A Requesting Data...3108894499</v>
        <stp/>
        <stp>BDP|16447621977147794390</stp>
        <tr r="G126" s="2"/>
      </tp>
      <tp t="s">
        <v>#N/A Requesting Data...4089717077</v>
        <stp/>
        <stp>BDP|17588384210906377012</stp>
        <tr r="H493" s="2"/>
      </tp>
      <tp t="s">
        <v>#N/A Requesting Data...2998349995</v>
        <stp/>
        <stp>BDP|18118510129465317953</stp>
        <tr r="G50" s="2"/>
      </tp>
      <tp t="s">
        <v>#N/A Requesting Data...3344322873</v>
        <stp/>
        <stp>BDP|15989831408836807857</stp>
        <tr r="H293" s="2"/>
      </tp>
      <tp t="s">
        <v>#N/A Requesting Data...3735551048</v>
        <stp/>
        <stp>BDP|12877178215866733721</stp>
        <tr r="F360" s="2"/>
      </tp>
      <tp t="s">
        <v>#N/A Requesting Data...3583365369</v>
        <stp/>
        <stp>BDP|17730977399863566721</stp>
        <tr r="H471" s="2"/>
      </tp>
      <tp t="s">
        <v>#N/A Requesting Data...3294755793</v>
        <stp/>
        <stp>BDP|13189452959671601053</stp>
        <tr r="F42" s="2"/>
      </tp>
      <tp t="s">
        <v>#N/A Requesting Data...3272188832</v>
        <stp/>
        <stp>BDP|10944721762534571629</stp>
        <tr r="F287" s="2"/>
      </tp>
      <tp t="s">
        <v>#N/A Requesting Data...4099561242</v>
        <stp/>
        <stp>BDP|12268534428996649012</stp>
        <tr r="G313" s="2"/>
      </tp>
      <tp t="s">
        <v>#N/A Requesting Data...4252211994</v>
        <stp/>
        <stp>BDP|16845476862974147323</stp>
        <tr r="G506" s="2"/>
      </tp>
      <tp t="s">
        <v>#N/A Requesting Data...3605052799</v>
        <stp/>
        <stp>BDP|17411454006568909802</stp>
        <tr r="G211" s="2"/>
      </tp>
      <tp t="s">
        <v>#N/A Requesting Data...3679543352</v>
        <stp/>
        <stp>BDP|17962130552803257349</stp>
        <tr r="H583" s="2"/>
      </tp>
      <tp t="s">
        <v>#N/A Requesting Data...3820689873</v>
        <stp/>
        <stp>BDP|10074440868468526977</stp>
        <tr r="H380" s="2"/>
      </tp>
      <tp t="s">
        <v>#N/A Requesting Data...3536374185</v>
        <stp/>
        <stp>BDP|17078592895190758857</stp>
        <tr r="Z19" s="1"/>
      </tp>
      <tp t="s">
        <v>#N/A Requesting Data...3233025974</v>
        <stp/>
        <stp>BDP|10871415515582206403</stp>
        <tr r="H195" s="2"/>
      </tp>
      <tp t="s">
        <v>#N/A Requesting Data...2982306442</v>
        <stp/>
        <stp>BDP|18069356482952779214</stp>
        <tr r="E420" s="2"/>
      </tp>
      <tp t="s">
        <v>#N/A Requesting Data...3349861089</v>
        <stp/>
        <stp>BDP|10138692520087179088</stp>
        <tr r="F33" s="2"/>
      </tp>
      <tp t="s">
        <v>#N/A Requesting Data...3733780579</v>
        <stp/>
        <stp>BDP|15768368657099167966</stp>
        <tr r="H565" s="2"/>
      </tp>
      <tp t="s">
        <v>#N/A Requesting Data...4085942058</v>
        <stp/>
        <stp>BDP|16428254378393003389</stp>
        <tr r="AA26" s="1"/>
      </tp>
      <tp t="s">
        <v>#N/A Requesting Data...4031035888</v>
        <stp/>
        <stp>BDP|16552712634690830193</stp>
        <tr r="F447" s="2"/>
      </tp>
      <tp t="s">
        <v>#N/A Requesting Data...3421118856</v>
        <stp/>
        <stp>BDP|13311475714333603677</stp>
        <tr r="E552" s="2"/>
      </tp>
      <tp t="s">
        <v>#N/A Requesting Data...4092623132</v>
        <stp/>
        <stp>BDP|15071416111172898180</stp>
        <tr r="E93" s="2"/>
      </tp>
      <tp t="s">
        <v>#N/A Requesting Data...2810061730</v>
        <stp/>
        <stp>BDP|15200813661971527976</stp>
        <tr r="E158" s="2"/>
      </tp>
      <tp t="s">
        <v>#N/A Requesting Data...4010436797</v>
        <stp/>
        <stp>BDP|11280724477677276550</stp>
        <tr r="E108" s="2"/>
      </tp>
      <tp t="s">
        <v>#N/A Requesting Data...3177153429</v>
        <stp/>
        <stp>BDP|11084734005552501734</stp>
        <tr r="H74" s="2"/>
      </tp>
      <tp t="s">
        <v>#N/A Requesting Data...2986009871</v>
        <stp/>
        <stp>BDP|15435947467379128064</stp>
        <tr r="H374" s="2"/>
      </tp>
      <tp t="s">
        <v>#N/A Requesting Data...3326764680</v>
        <stp/>
        <stp>BDP|17984236469363180324</stp>
        <tr r="E8" s="2"/>
      </tp>
      <tp t="s">
        <v>#N/A Requesting Data...3991775883</v>
        <stp/>
        <stp>BDP|11435650034223209471</stp>
        <tr r="F167" s="2"/>
      </tp>
      <tp t="s">
        <v>#N/A Requesting Data...3728930537</v>
        <stp/>
        <stp>BDP|10564810864225177813</stp>
        <tr r="G216" s="2"/>
      </tp>
      <tp t="s">
        <v>#N/A Requesting Data...3059047143</v>
        <stp/>
        <stp>BDP|13173167314022022203</stp>
        <tr r="F362" s="2"/>
      </tp>
      <tp t="s">
        <v>#N/A Requesting Data...3829525315</v>
        <stp/>
        <stp>BDP|13303141184720053905</stp>
        <tr r="H529" s="2"/>
        <tr r="H632" s="2"/>
        <tr r="H636" s="2"/>
      </tp>
      <tp t="s">
        <v>#N/A Requesting Data...3469822033</v>
        <stp/>
        <stp>BDP|16730910463658422221</stp>
        <tr r="H488" s="2"/>
      </tp>
      <tp t="s">
        <v>#N/A Requesting Data...2860688274</v>
        <stp/>
        <stp>BDP|12709126062932224468</stp>
        <tr r="H439" s="2"/>
      </tp>
      <tp t="s">
        <v>#N/A Requesting Data...3157155195</v>
        <stp/>
        <stp>BDP|10870812475218624490</stp>
        <tr r="AA38" s="1"/>
      </tp>
      <tp t="s">
        <v>#N/A Requesting Data...3350406573</v>
        <stp/>
        <stp>BDP|17055808872178259322</stp>
        <tr r="H513" s="2"/>
      </tp>
      <tp t="s">
        <v>#N/A Requesting Data...2805474459</v>
        <stp/>
        <stp>BDP|17108662870955525000</stp>
        <tr r="H335" s="2"/>
      </tp>
      <tp t="s">
        <v>#N/A Requesting Data...3461339994</v>
        <stp/>
        <stp>BDP|15433892168759395143</stp>
        <tr r="F253" s="2"/>
      </tp>
      <tp t="s">
        <v>#N/A Requesting Data...3086832003</v>
        <stp/>
        <stp>BDP|17592097386894832804</stp>
        <tr r="H403" s="2"/>
      </tp>
      <tp t="s">
        <v>#N/A Requesting Data...4150723625</v>
        <stp/>
        <stp>BDP|11490407547912260030</stp>
        <tr r="F470" s="2"/>
      </tp>
      <tp t="s">
        <v>#N/A Requesting Data...4206487884</v>
        <stp/>
        <stp>BDP|12848751144113267195</stp>
        <tr r="F598" s="2"/>
      </tp>
      <tp t="s">
        <v>#N/A Requesting Data...3843791058</v>
        <stp/>
        <stp>BDP|11732334158502768692</stp>
        <tr r="G267" s="2"/>
      </tp>
      <tp t="s">
        <v>#N/A Requesting Data...4179805026</v>
        <stp/>
        <stp>BDP|16778472156690394407</stp>
        <tr r="H424" s="2"/>
      </tp>
      <tp t="s">
        <v>#N/A Requesting Data...4238224611</v>
        <stp/>
        <stp>BDP|16055248530406977283</stp>
        <tr r="F94" s="2"/>
      </tp>
      <tp t="s">
        <v>#N/A Requesting Data...3016650512</v>
        <stp/>
        <stp>BDP|15272952621329458473</stp>
        <tr r="E436" s="2"/>
      </tp>
      <tp t="s">
        <v>#N/A Requesting Data...3252940256</v>
        <stp/>
        <stp>BDP|15389858012257972885</stp>
        <tr r="H444" s="2"/>
      </tp>
      <tp t="s">
        <v>#N/A Requesting Data...3112307081</v>
        <stp/>
        <stp>BDP|14100372492558216531</stp>
        <tr r="F411" s="2"/>
      </tp>
      <tp t="s">
        <v>#N/A Requesting Data...3532219314</v>
        <stp/>
        <stp>BDP|16067065885885490825</stp>
        <tr r="H58" s="2"/>
      </tp>
      <tp t="s">
        <v>#N/A Requesting Data...4094646571</v>
        <stp/>
        <stp>BDP|16399206761106782703</stp>
        <tr r="G547" s="2"/>
      </tp>
      <tp t="s">
        <v>#N/A Requesting Data...3338039994</v>
        <stp/>
        <stp>BDP|18190324983101072143</stp>
        <tr r="H250" s="2"/>
      </tp>
      <tp t="s">
        <v>#N/A Requesting Data...2962425308</v>
        <stp/>
        <stp>BDP|14246258733504666269</stp>
        <tr r="E213" s="2"/>
      </tp>
      <tp t="s">
        <v>#N/A Requesting Data...3641449117</v>
        <stp/>
        <stp>BDP|11967659079700152308</stp>
        <tr r="G223" s="2"/>
      </tp>
      <tp t="s">
        <v>#N/A Requesting Data...3832528846</v>
        <stp/>
        <stp>BDP|18033084388376003540</stp>
        <tr r="G93" s="2"/>
      </tp>
      <tp t="s">
        <v>#N/A Requesting Data...4064897754</v>
        <stp/>
        <stp>BDP|16649719343254491278</stp>
        <tr r="Z68" s="1"/>
      </tp>
      <tp t="s">
        <v>#N/A Requesting Data...3254137481</v>
        <stp/>
        <stp>BDP|13708922185266664716</stp>
        <tr r="F60" s="2"/>
      </tp>
      <tp t="s">
        <v>#N/A Requesting Data...2925119609</v>
        <stp/>
        <stp>BDP|16443052790415312953</stp>
        <tr r="G387" s="2"/>
      </tp>
      <tp t="s">
        <v>#N/A Requesting Data...4030578746</v>
        <stp/>
        <stp>BDP|13823986093247257764</stp>
        <tr r="F72" s="2"/>
      </tp>
      <tp t="s">
        <v>#N/A Requesting Data...3527213305</v>
        <stp/>
        <stp>BDP|10438655159347960766</stp>
        <tr r="G102" s="2"/>
      </tp>
      <tp t="s">
        <v>#N/A Requesting Data...3622860060</v>
        <stp/>
        <stp>BDP|15286280248036009643</stp>
        <tr r="H370" s="2"/>
      </tp>
      <tp t="s">
        <v>#N/A Requesting Data...4167419379</v>
        <stp/>
        <stp>BDP|16327995736466908938</stp>
        <tr r="E409" s="2"/>
      </tp>
      <tp t="s">
        <v>#N/A Requesting Data...3473712315</v>
        <stp/>
        <stp>BDP|11050143834606433629</stp>
        <tr r="H140" s="2"/>
      </tp>
      <tp t="s">
        <v>#N/A Requesting Data...3445990119</v>
        <stp/>
        <stp>BDP|13834198242110473513</stp>
        <tr r="F579" s="2"/>
      </tp>
      <tp t="s">
        <v>#N/A Requesting Data...3925793649</v>
        <stp/>
        <stp>BDP|11716527627604236161</stp>
        <tr r="G276" s="2"/>
      </tp>
      <tp t="s">
        <v>#N/A Requesting Data...3118055943</v>
        <stp/>
        <stp>BDP|16688535672435800299</stp>
        <tr r="F391" s="2"/>
      </tp>
      <tp t="s">
        <v>#N/A Requesting Data...2827515658</v>
        <stp/>
        <stp>BDP|13049611629361861560</stp>
        <tr r="AB95" s="1"/>
      </tp>
      <tp t="s">
        <v>#N/A Requesting Data...3734794392</v>
        <stp/>
        <stp>BDP|10130969591986710575</stp>
        <tr r="G425" s="2"/>
      </tp>
      <tp t="s">
        <v>#N/A Requesting Data...3221606903</v>
        <stp/>
        <stp>BDP|17081542022364669769</stp>
        <tr r="E550" s="2"/>
      </tp>
      <tp t="s">
        <v>#N/A Requesting Data...3330583517</v>
        <stp/>
        <stp>BDP|15276584044254847300</stp>
        <tr r="F441" s="2"/>
      </tp>
      <tp t="s">
        <v>#N/A Requesting Data...3086274031</v>
        <stp/>
        <stp>BDP|12081567344223213092</stp>
        <tr r="F384" s="2"/>
      </tp>
      <tp t="s">
        <v>#N/A Requesting Data...2981793743</v>
        <stp/>
        <stp>BDP|18042649166979805137</stp>
        <tr r="H453" s="2"/>
      </tp>
      <tp t="s">
        <v>#N/A Requesting Data...3587502752</v>
        <stp/>
        <stp>BDP|14249703705077826464</stp>
        <tr r="G393" s="2"/>
      </tp>
      <tp t="s">
        <v>#N/A Requesting Data...3163064100</v>
        <stp/>
        <stp>BDP|17323098927814650122</stp>
        <tr r="AB60" s="1"/>
      </tp>
      <tp t="s">
        <v>#N/A Requesting Data...3731916418</v>
        <stp/>
        <stp>BDP|14800257531910502515</stp>
        <tr r="E280" s="2"/>
      </tp>
      <tp t="s">
        <v>#N/A Requesting Data...3128916584</v>
        <stp/>
        <stp>BDP|16047370729971622605</stp>
        <tr r="G104" s="2"/>
      </tp>
      <tp t="s">
        <v>#N/A Requesting Data...3230670069</v>
        <stp/>
        <stp>BDP|12444086475955018013</stp>
        <tr r="E311" s="2"/>
      </tp>
      <tp t="s">
        <v>#N/A Requesting Data...4166795414</v>
        <stp/>
        <stp>BDP|13590083331844377478</stp>
        <tr r="H429" s="2"/>
      </tp>
      <tp t="s">
        <v>#N/A Requesting Data...4025180282</v>
        <stp/>
        <stp>BDP|11658580806747468348</stp>
        <tr r="E58" s="2"/>
      </tp>
      <tp t="s">
        <v>#N/A Requesting Data...3905541192</v>
        <stp/>
        <stp>BDP|13731825398463441110</stp>
        <tr r="G190" s="2"/>
      </tp>
      <tp t="s">
        <v>#N/A Requesting Data...3436459766</v>
        <stp/>
        <stp>BDP|14991838597537031253</stp>
        <tr r="H604" s="2"/>
      </tp>
      <tp t="s">
        <v>#N/A Requesting Data...4233054283</v>
        <stp/>
        <stp>BDP|13925693946161583083</stp>
        <tr r="H536" s="2"/>
      </tp>
      <tp t="s">
        <v>#N/A Requesting Data...4090888113</v>
        <stp/>
        <stp>BDP|15042039139435136307</stp>
        <tr r="Z60" s="1"/>
      </tp>
      <tp t="s">
        <v>#N/A Requesting Data...3251330591</v>
        <stp/>
        <stp>BDP|13386787272752286102</stp>
        <tr r="G194" s="2"/>
      </tp>
      <tp t="s">
        <v>#N/A Requesting Data...3778508494</v>
        <stp/>
        <stp>BDP|11950208613906434450</stp>
        <tr r="H190" s="2"/>
      </tp>
      <tp t="s">
        <v>#N/A Requesting Data...3981686133</v>
        <stp/>
        <stp>BDP|13081593151225171628</stp>
        <tr r="H372" s="2"/>
      </tp>
      <tp t="s">
        <v>#N/A Requesting Data...3826482080</v>
        <stp/>
        <stp>BDP|14168462619246767731</stp>
        <tr r="G275" s="2"/>
      </tp>
      <tp t="s">
        <v>#N/A Requesting Data...2935694596</v>
        <stp/>
        <stp>BDP|18442699267481073908</stp>
        <tr r="F21" s="2"/>
      </tp>
      <tp t="s">
        <v>#N/A Requesting Data...2916119056</v>
        <stp/>
        <stp>BDP|11052698127843689654</stp>
        <tr r="E144" s="2"/>
      </tp>
      <tp t="s">
        <v>#N/A Requesting Data...4154174746</v>
        <stp/>
        <stp>BDP|12070198933190226053</stp>
        <tr r="G141" s="2"/>
      </tp>
      <tp t="s">
        <v>#N/A Requesting Data...2881736468</v>
        <stp/>
        <stp>BDP|13275685346564032519</stp>
        <tr r="F218" s="2"/>
      </tp>
      <tp t="s">
        <v>#N/A Requesting Data...4049554386</v>
        <stp/>
        <stp>BDP|11633402249324498567</stp>
        <tr r="G421" s="2"/>
      </tp>
      <tp t="s">
        <v>#N/A Requesting Data...3687371349</v>
        <stp/>
        <stp>BDP|11361626256185937736</stp>
        <tr r="E292" s="2"/>
      </tp>
      <tp t="s">
        <v>#N/A Requesting Data...3132963167</v>
        <stp/>
        <stp>BDP|18060667462900826801</stp>
        <tr r="F168" s="2"/>
      </tp>
      <tp t="s">
        <v>#N/A Requesting Data...3277410580</v>
        <stp/>
        <stp>BDP|15828036136805260330</stp>
        <tr r="F425" s="2"/>
      </tp>
      <tp t="s">
        <v>#N/A Requesting Data...3061988729</v>
        <stp/>
        <stp>BDP|13849655505417231266</stp>
        <tr r="G111" s="2"/>
      </tp>
      <tp t="s">
        <v>#N/A Requesting Data...3894767694</v>
        <stp/>
        <stp>BDP|10960873336792461901</stp>
        <tr r="H82" s="2"/>
      </tp>
      <tp t="s">
        <v>#N/A Requesting Data...3666373631</v>
        <stp/>
        <stp>BDP|17001328489319085576</stp>
        <tr r="F211" s="2"/>
      </tp>
      <tp t="s">
        <v>#N/A Requesting Data...3755872669</v>
        <stp/>
        <stp>BDP|17889329739607605093</stp>
        <tr r="G131" s="2"/>
      </tp>
      <tp t="s">
        <v>#N/A Requesting Data...3547792366</v>
        <stp/>
        <stp>BDP|12672796592709306522</stp>
        <tr r="H135" s="2"/>
      </tp>
      <tp t="s">
        <v>#N/A Requesting Data...2898259276</v>
        <stp/>
        <stp>BDP|12884003941336058064</stp>
        <tr r="G587" s="2"/>
      </tp>
      <tp t="s">
        <v>#N/A Requesting Data...3119088175</v>
        <stp/>
        <stp>BDP|10661291572236714359</stp>
        <tr r="F131" s="2"/>
      </tp>
      <tp t="s">
        <v>#N/A Requesting Data...3905450636</v>
        <stp/>
        <stp>BDP|17245956599122381529</stp>
        <tr r="F532" s="2"/>
      </tp>
      <tp t="s">
        <v>#N/A Requesting Data...3454039799</v>
        <stp/>
        <stp>BDP|15437644850717686198</stp>
        <tr r="E312" s="2"/>
      </tp>
      <tp t="s">
        <v>#N/A Requesting Data...4221660196</v>
        <stp/>
        <stp>BDP|11032604436674020093</stp>
        <tr r="H582" s="2"/>
      </tp>
      <tp t="s">
        <v>#N/A Requesting Data...4148705484</v>
        <stp/>
        <stp>BDP|14265852768148213221</stp>
        <tr r="H144" s="2"/>
      </tp>
      <tp t="s">
        <v>#N/A Requesting Data...4017153476</v>
        <stp/>
        <stp>BDP|10957563645402708339</stp>
        <tr r="H492" s="2"/>
      </tp>
      <tp t="s">
        <v>#N/A Requesting Data...3673597769</v>
        <stp/>
        <stp>BDP|14666086778242815109</stp>
        <tr r="H347" s="2"/>
      </tp>
      <tp t="s">
        <v>#N/A Requesting Data...3019346141</v>
        <stp/>
        <stp>BDP|12876575362521532067</stp>
        <tr r="F587" s="2"/>
      </tp>
      <tp t="s">
        <v>#N/A Requesting Data...3656767203</v>
        <stp/>
        <stp>BDP|15267106464650004284</stp>
        <tr r="G41" s="2"/>
      </tp>
      <tp t="s">
        <v>#N/A Requesting Data...2884347579</v>
        <stp/>
        <stp>BDP|17815408749082810578</stp>
        <tr r="G464" s="2"/>
      </tp>
      <tp t="s">
        <v>#N/A Requesting Data...3130456110</v>
        <stp/>
        <stp>BDP|17524168506372700435</stp>
        <tr r="H591" s="2"/>
      </tp>
      <tp t="s">
        <v>#N/A Requesting Data...3872035602</v>
        <stp/>
        <stp>BDP|16430363435090274645</stp>
        <tr r="H15" s="2"/>
      </tp>
      <tp t="s">
        <v>#N/A Requesting Data...3489810958</v>
        <stp/>
        <stp>BDP|13821536019071018634</stp>
        <tr r="F16" s="2"/>
      </tp>
      <tp t="s">
        <v>#N/A Requesting Data...3249883188</v>
        <stp/>
        <stp>BDP|11105764814294520374</stp>
        <tr r="AB44" s="1"/>
      </tp>
      <tp t="s">
        <v>#N/A Requesting Data...2877669916</v>
        <stp/>
        <stp>BDP|14206487919173424260</stp>
        <tr r="E264" s="2"/>
      </tp>
      <tp t="s">
        <v>#N/A Requesting Data...4191125314</v>
        <stp/>
        <stp>BDP|14069851871302386977</stp>
        <tr r="E288" s="2"/>
      </tp>
      <tp t="s">
        <v>#N/A Requesting Data...3157544064</v>
        <stp/>
        <stp>BDP|11630651945150123378</stp>
        <tr r="E551" s="2"/>
      </tp>
      <tp t="s">
        <v>#N/A Requesting Data...3813749588</v>
        <stp/>
        <stp>BDP|17334734840697740377</stp>
        <tr r="H162" s="2"/>
      </tp>
      <tp t="s">
        <v>#N/A Requesting Data...3453330919</v>
        <stp/>
        <stp>BDP|10607252152524326325</stp>
        <tr r="H614" s="2"/>
      </tp>
      <tp t="s">
        <v>#N/A Requesting Data...3403511869</v>
        <stp/>
        <stp>BDP|13059412332320027431</stp>
        <tr r="E590" s="2"/>
      </tp>
      <tp t="s">
        <v>#N/A Requesting Data...2982066691</v>
        <stp/>
        <stp>BDP|17658135597069230604</stp>
        <tr r="H276" s="2"/>
      </tp>
      <tp t="s">
        <v>#N/A Requesting Data...3794859024</v>
        <stp/>
        <stp>BDP|17736584214645885600</stp>
        <tr r="H580" s="2"/>
      </tp>
      <tp t="s">
        <v>#N/A Requesting Data...3555849796</v>
        <stp/>
        <stp>BDP|14117779325555789472</stp>
        <tr r="E529" s="2"/>
        <tr r="E632" s="2"/>
        <tr r="E636" s="2"/>
      </tp>
      <tp t="s">
        <v>#N/A Requesting Data...4106190563</v>
        <stp/>
        <stp>BDP|14985596865734104363</stp>
        <tr r="G446" s="2"/>
      </tp>
      <tp t="s">
        <v>#N/A Requesting Data...3922355913</v>
        <stp/>
        <stp>BDP|13118058157637110101</stp>
        <tr r="H401" s="2"/>
      </tp>
      <tp t="s">
        <v>#N/A Requesting Data...3633998017</v>
        <stp/>
        <stp>BDP|16717796942201625489</stp>
        <tr r="F409" s="2"/>
      </tp>
      <tp t="s">
        <v>#N/A Requesting Data...3502897574</v>
        <stp/>
        <stp>BDP|11525429177864770658</stp>
        <tr r="G100" s="2"/>
      </tp>
      <tp t="s">
        <v>#N/A Requesting Data...3851842275</v>
        <stp/>
        <stp>BDP|16931727593651824923</stp>
        <tr r="G8" s="2"/>
      </tp>
      <tp t="s">
        <v>#N/A Requesting Data...4096727336</v>
        <stp/>
        <stp>BDP|11012097318669372907</stp>
        <tr r="H247" s="2"/>
      </tp>
      <tp t="s">
        <v>#N/A Requesting Data...3267083974</v>
        <stp/>
        <stp>BDP|11499514518252631799</stp>
        <tr r="G297" s="2"/>
      </tp>
      <tp t="s">
        <v>#N/A Requesting Data...3639492624</v>
        <stp/>
        <stp>BDP|16832334066332800170</stp>
        <tr r="G157" s="2"/>
      </tp>
      <tp t="s">
        <v>#N/A Requesting Data...3118559729</v>
        <stp/>
        <stp>BDP|10381156671184124234</stp>
        <tr r="F506" s="2"/>
      </tp>
      <tp t="s">
        <v>#N/A Requesting Data...3023034900</v>
        <stp/>
        <stp>BDP|18243672116957563831</stp>
        <tr r="F514" s="2"/>
      </tp>
      <tp t="s">
        <v>#N/A Requesting Data...3682640879</v>
        <stp/>
        <stp>BDP|18170179327062669926</stp>
        <tr r="Z13" s="1"/>
      </tp>
      <tp t="s">
        <v>#N/A Requesting Data...4237113938</v>
        <stp/>
        <stp>BDP|11699270121753204270</stp>
        <tr r="F600" s="2"/>
      </tp>
      <tp t="s">
        <v>#N/A Requesting Data...3663118284</v>
        <stp/>
        <stp>BDP|11911593505800927496</stp>
        <tr r="H611" s="2"/>
      </tp>
      <tp t="s">
        <v>#N/A Requesting Data...4000875204</v>
        <stp/>
        <stp>BDP|15616657831847519722</stp>
        <tr r="Z87" s="1"/>
      </tp>
      <tp t="s">
        <v>#N/A Requesting Data...2934532183</v>
        <stp/>
        <stp>BDP|10530256725258820888</stp>
        <tr r="F476" s="2"/>
      </tp>
      <tp t="s">
        <v>#N/A Requesting Data...3784385412</v>
        <stp/>
        <stp>BDP|13264326846606151222</stp>
        <tr r="H345" s="2"/>
      </tp>
      <tp t="s">
        <v>#N/A Requesting Data...3375277485</v>
        <stp/>
        <stp>BDP|11294235886222284907</stp>
        <tr r="G36" s="2"/>
      </tp>
      <tp t="s">
        <v>#N/A Requesting Data...3358723032</v>
        <stp/>
        <stp>BDP|18130831034305361603</stp>
        <tr r="AA28" s="1"/>
      </tp>
      <tp t="s">
        <v>#N/A Requesting Data...3580309460</v>
        <stp/>
        <stp>BDP|14956781820356179754</stp>
        <tr r="E445" s="2"/>
      </tp>
      <tp t="s">
        <v>#N/A Requesting Data...3640676751</v>
        <stp/>
        <stp>BDP|18274378927321089864</stp>
        <tr r="E141" s="2"/>
      </tp>
      <tp t="s">
        <v>#N/A Requesting Data...3117384555</v>
        <stp/>
        <stp>BDP|15781087759853548374</stp>
        <tr r="F182" s="2"/>
      </tp>
      <tp t="s">
        <v>#N/A Requesting Data...3925034401</v>
        <stp/>
        <stp>BDP|16000127953106753425</stp>
        <tr r="G15" s="2"/>
      </tp>
      <tp t="s">
        <v>#N/A Requesting Data...3830398025</v>
        <stp/>
        <stp>BDP|15592725192123586841</stp>
        <tr r="E473" s="2"/>
      </tp>
      <tp t="s">
        <v>#N/A Requesting Data...3498811118</v>
        <stp/>
        <stp>BDP|12076375658255216195</stp>
        <tr r="F259" s="2"/>
      </tp>
      <tp t="s">
        <v>#N/A Requesting Data...3234604825</v>
        <stp/>
        <stp>BDP|15389424777660513640</stp>
        <tr r="H425" s="2"/>
      </tp>
      <tp t="s">
        <v>#N/A Requesting Data...3691331349</v>
        <stp/>
        <stp>BDP|17131371371812634162</stp>
        <tr r="G402" s="2"/>
      </tp>
      <tp t="s">
        <v>#N/A Requesting Data...4071405151</v>
        <stp/>
        <stp>BDP|15963275996249923769</stp>
        <tr r="F196" s="2"/>
      </tp>
      <tp t="s">
        <v>#N/A Requesting Data...4129159222</v>
        <stp/>
        <stp>BDP|12479799550335271583</stp>
        <tr r="F373" s="2"/>
      </tp>
      <tp t="s">
        <v>#N/A Requesting Data...3500321372</v>
        <stp/>
        <stp>BDP|11134553649185973539</stp>
        <tr r="F118" s="2"/>
      </tp>
      <tp t="s">
        <v>#N/A Requesting Data...3037395933</v>
        <stp/>
        <stp>BDP|12663029032517357623</stp>
        <tr r="AA39" s="1"/>
      </tp>
      <tp t="s">
        <v>#N/A Requesting Data...3690783088</v>
        <stp/>
        <stp>BDP|12147173765347133254</stp>
        <tr r="H18" s="2"/>
        <tr r="H45" s="2"/>
      </tp>
      <tp t="s">
        <v>#N/A Requesting Data...3659253754</v>
        <stp/>
        <stp>BDP|10264310651325069351</stp>
        <tr r="H234" s="2"/>
      </tp>
      <tp t="s">
        <v>#N/A Requesting Data...3655083773</v>
        <stp/>
        <stp>BDP|13212876967534423908</stp>
        <tr r="H515" s="2"/>
      </tp>
      <tp t="s">
        <v>#N/A Requesting Data...3692777151</v>
        <stp/>
        <stp>BDP|10122307500376692512</stp>
        <tr r="G603" s="2"/>
      </tp>
      <tp t="s">
        <v>#N/A Requesting Data...3196286157</v>
        <stp/>
        <stp>BDP|11091204860847512235</stp>
        <tr r="E559" s="2"/>
      </tp>
      <tp t="s">
        <v>#N/A Requesting Data...3625163274</v>
        <stp/>
        <stp>BDP|13089363207771393142</stp>
        <tr r="H256" s="2"/>
      </tp>
      <tp t="s">
        <v>#N/A Requesting Data...4048136281</v>
        <stp/>
        <stp>BDP|10487429943490732041</stp>
        <tr r="G334" s="2"/>
      </tp>
      <tp t="s">
        <v>#N/A Requesting Data...3983677369</v>
        <stp/>
        <stp>BDP|14763078864745822651</stp>
        <tr r="F122" s="2"/>
      </tp>
      <tp t="s">
        <v>#N/A Requesting Data...4188284359</v>
        <stp/>
        <stp>BDP|11317634918533194404</stp>
        <tr r="H577" s="2"/>
      </tp>
      <tp t="s">
        <v>#N/A Requesting Data...3575158536</v>
        <stp/>
        <stp>BDP|15640322693308995671</stp>
        <tr r="F338" s="2"/>
      </tp>
      <tp t="s">
        <v>#N/A Requesting Data...3963374342</v>
        <stp/>
        <stp>BDP|17137941061138970148</stp>
        <tr r="H253" s="2"/>
      </tp>
      <tp t="s">
        <v>#N/A Requesting Data...3213995822</v>
        <stp/>
        <stp>BDP|14165473029203170074</stp>
        <tr r="F539" s="2"/>
      </tp>
      <tp t="s">
        <v>#N/A Requesting Data...3692427736</v>
        <stp/>
        <stp>BDP|14545436978586767005</stp>
        <tr r="Z49" s="1"/>
      </tp>
      <tp t="s">
        <v>#N/A Requesting Data...4127428278</v>
        <stp/>
        <stp>BDP|13756228859514746137</stp>
        <tr r="H555" s="2"/>
      </tp>
      <tp t="s">
        <v>#N/A Requesting Data...4076263735</v>
        <stp/>
        <stp>BDP|16290088509494278399</stp>
        <tr r="E86" s="2"/>
      </tp>
      <tp t="s">
        <v>#N/A Requesting Data...3599116705</v>
        <stp/>
        <stp>BDP|16517280264196415559</stp>
        <tr r="F519" s="2"/>
      </tp>
      <tp t="s">
        <v>#N/A Requesting Data...3044342049</v>
        <stp/>
        <stp>BDP|11466078348486166220</stp>
        <tr r="E509" s="2"/>
      </tp>
      <tp t="s">
        <v>#N/A Requesting Data...3048584488</v>
        <stp/>
        <stp>BDP|13080908859446135804</stp>
        <tr r="F246" s="2"/>
      </tp>
      <tp t="s">
        <v>#N/A Requesting Data...3552840560</v>
        <stp/>
        <stp>BDP|12706566669780759075</stp>
        <tr r="G266" s="2"/>
      </tp>
      <tp t="s">
        <v>#N/A Requesting Data...3169892402</v>
        <stp/>
        <stp>BDP|16386127138030967588</stp>
        <tr r="F414" s="2"/>
      </tp>
      <tp t="s">
        <v>#N/A Requesting Data...3498761151</v>
        <stp/>
        <stp>BDP|16957441754073815594</stp>
        <tr r="F245" s="2"/>
      </tp>
      <tp t="s">
        <v>#N/A Requesting Data...3214519933</v>
        <stp/>
        <stp>BDP|17050833837189817446</stp>
        <tr r="G30" s="2"/>
      </tp>
      <tp t="s">
        <v>#N/A Requesting Data...3185996787</v>
        <stp/>
        <stp>BDP|12104243619657528712</stp>
        <tr r="H271" s="2"/>
      </tp>
      <tp t="s">
        <v>#N/A Requesting Data...3512672702</v>
        <stp/>
        <stp>BDP|15810918496562243663</stp>
        <tr r="H364" s="2"/>
      </tp>
      <tp t="s">
        <v>#N/A Requesting Data...3394564143</v>
        <stp/>
        <stp>BDP|12573152819187680442</stp>
        <tr r="E116" s="2"/>
      </tp>
      <tp t="s">
        <v>#N/A Requesting Data...4116692697</v>
        <stp/>
        <stp>BDP|12370515968562998283</stp>
        <tr r="G513" s="2"/>
      </tp>
      <tp t="s">
        <v>#N/A Requesting Data...3816892584</v>
        <stp/>
        <stp>BDP|11092343708140511329</stp>
        <tr r="H203" s="2"/>
      </tp>
      <tp t="s">
        <v>#N/A Requesting Data...3163659919</v>
        <stp/>
        <stp>BDP|14089146069370379258</stp>
        <tr r="F71" s="2"/>
      </tp>
      <tp t="s">
        <v>#N/A Requesting Data...3698737897</v>
        <stp/>
        <stp>BDP|12694524261730734099</stp>
        <tr r="G339" s="2"/>
      </tp>
      <tp t="s">
        <v>#N/A Requesting Data...3912287551</v>
        <stp/>
        <stp>BDP|13377828288375334718</stp>
        <tr r="E186" s="2"/>
      </tp>
      <tp t="s">
        <v>#N/A Requesting Data...4138318870</v>
        <stp/>
        <stp>BDP|13167633909991618568</stp>
        <tr r="F502" s="2"/>
      </tp>
      <tp t="s">
        <v>#N/A Requesting Data...3006961077</v>
        <stp/>
        <stp>BDP|10662745464375944540</stp>
        <tr r="G76" s="2"/>
      </tp>
      <tp t="s">
        <v>#N/A Requesting Data...4119674020</v>
        <stp/>
        <stp>BDP|10315163415945855425</stp>
        <tr r="G554" s="2"/>
      </tp>
      <tp t="s">
        <v>#N/A Requesting Data...4126668883</v>
        <stp/>
        <stp>BDP|18080599901238719458</stp>
        <tr r="G616" s="2"/>
      </tp>
      <tp t="s">
        <v>#N/A Requesting Data...3330891591</v>
        <stp/>
        <stp>BDP|13822879008749867353</stp>
        <tr r="E419" s="2"/>
      </tp>
      <tp t="s">
        <v>#N/A Requesting Data...3835784781</v>
        <stp/>
        <stp>BDP|16601133819116594135</stp>
        <tr r="F408" s="2"/>
      </tp>
      <tp t="s">
        <v>#N/A Requesting Data...3245937160</v>
        <stp/>
        <stp>BDP|14511152599358396507</stp>
        <tr r="F213" s="2"/>
      </tp>
      <tp t="s">
        <v>#N/A Requesting Data...3018510537</v>
        <stp/>
        <stp>BDP|17763049438452823797</stp>
        <tr r="E585" s="2"/>
      </tp>
      <tp t="s">
        <v>#N/A Requesting Data...3589503690</v>
        <stp/>
        <stp>BDP|17152297346131777137</stp>
        <tr r="H350" s="2"/>
      </tp>
      <tp t="s">
        <v>#N/A Requesting Data...3662549557</v>
        <stp/>
        <stp>BDP|13035958699910692209</stp>
        <tr r="AA90" s="1"/>
      </tp>
      <tp t="s">
        <v>#N/A Requesting Data...3816253630</v>
        <stp/>
        <stp>BDP|17541420550175414291</stp>
        <tr r="E130" s="2"/>
      </tp>
      <tp t="s">
        <v>#N/A Requesting Data...3780605991</v>
        <stp/>
        <stp>BDP|17124587785459257241</stp>
        <tr r="AA62" s="1"/>
      </tp>
      <tp t="s">
        <v>#N/A Requesting Data...3040201135</v>
        <stp/>
        <stp>BDP|14446257478444774445</stp>
        <tr r="H24" s="2"/>
      </tp>
      <tp t="s">
        <v>#N/A Requesting Data...4031217849</v>
        <stp/>
        <stp>BDP|11863788047221230287</stp>
        <tr r="F358" s="2"/>
      </tp>
      <tp t="s">
        <v>#N/A Requesting Data...3923003013</v>
        <stp/>
        <stp>BDP|11288752639756677255</stp>
        <tr r="Z8" s="1"/>
      </tp>
      <tp t="s">
        <v>#N/A Requesting Data...3054421798</v>
        <stp/>
        <stp>BDP|15278298237212753764</stp>
        <tr r="F580" s="2"/>
      </tp>
      <tp t="s">
        <v>#N/A Requesting Data...4068193787</v>
        <stp/>
        <stp>BDP|11655923098965830590</stp>
        <tr r="F181" s="2"/>
      </tp>
      <tp t="s">
        <v>#N/A Requesting Data...4051044032</v>
        <stp/>
        <stp>BDP|11383685524385719159</stp>
        <tr r="F226" s="2"/>
      </tp>
      <tp t="s">
        <v>#N/A Requesting Data...3778469594</v>
        <stp/>
        <stp>BDP|14142929757690195987</stp>
        <tr r="F202" s="2"/>
      </tp>
      <tp t="s">
        <v>#N/A Requesting Data...3841047070</v>
        <stp/>
        <stp>BDP|15541883180047817383</stp>
        <tr r="F165" s="2"/>
      </tp>
      <tp t="s">
        <v>#N/A Requesting Data...3883439694</v>
        <stp/>
        <stp>BDP|10211192414991738040</stp>
        <tr r="H452" s="2"/>
      </tp>
      <tp t="s">
        <v>#N/A Requesting Data...4163065318</v>
        <stp/>
        <stp>BDP|11496164712051806144</stp>
        <tr r="G581" s="2"/>
      </tp>
      <tp t="s">
        <v>#N/A Requesting Data...4285082884</v>
        <stp/>
        <stp>BDP|12243826299477080550</stp>
        <tr r="F343" s="2"/>
      </tp>
      <tp t="s">
        <v>#N/A Requesting Data...4161464237</v>
        <stp/>
        <stp>BDP|16808887341948470394</stp>
        <tr r="F180" s="2"/>
      </tp>
      <tp t="s">
        <v>#N/A Requesting Data...3054835152</v>
        <stp/>
        <stp>BDP|17049187476259184935</stp>
        <tr r="G3" s="2"/>
      </tp>
      <tp t="s">
        <v>#N/A Requesting Data...3057578141</v>
        <stp/>
        <stp>BDP|12991143622829509963</stp>
        <tr r="G385" s="2"/>
      </tp>
      <tp t="s">
        <v>#N/A Requesting Data...3200144214</v>
        <stp/>
        <stp>BDP|18208126536749393298</stp>
        <tr r="E496" s="2"/>
      </tp>
      <tp t="s">
        <v>#N/A Requesting Data...2982578465</v>
        <stp/>
        <stp>BDP|11920512267044165726</stp>
        <tr r="E216" s="2"/>
      </tp>
      <tp t="s">
        <v>#N/A Requesting Data...4081451501</v>
        <stp/>
        <stp>BDP|11612791202566242136</stp>
        <tr r="G364" s="2"/>
      </tp>
      <tp t="s">
        <v>#N/A Requesting Data...4188142579</v>
        <stp/>
        <stp>BDP|15599927595903892755</stp>
        <tr r="H277" s="2"/>
      </tp>
      <tp t="s">
        <v>#N/A Requesting Data...3080304543</v>
        <stp/>
        <stp>BDP|10274416749179498816</stp>
        <tr r="G609" s="2"/>
      </tp>
      <tp t="s">
        <v>#N/A Requesting Data...3328988512</v>
        <stp/>
        <stp>BDP|13605043911450568393</stp>
        <tr r="G432" s="2"/>
      </tp>
      <tp t="s">
        <v>#N/A Requesting Data...3549092906</v>
        <stp/>
        <stp>BDP|18139043442464848907</stp>
        <tr r="F491" s="2"/>
      </tp>
      <tp t="s">
        <v>#N/A Requesting Data...3511875338</v>
        <stp/>
        <stp>BDP|10656395024885724520</stp>
        <tr r="AB37" s="1"/>
      </tp>
      <tp t="s">
        <v>#N/A Requesting Data...4168092290</v>
        <stp/>
        <stp>BDP|15786492136817689403</stp>
        <tr r="AB73" s="1"/>
      </tp>
      <tp t="s">
        <v>#N/A Requesting Data...3916847451</v>
        <stp/>
        <stp>BDP|13434374262797632094</stp>
        <tr r="F2" s="2"/>
        <tr r="F27" s="2"/>
      </tp>
      <tp t="s">
        <v>#N/A Requesting Data...3973507827</v>
        <stp/>
        <stp>BDP|11713628553024021772</stp>
        <tr r="E180" s="2"/>
      </tp>
      <tp t="s">
        <v>#N/A Requesting Data...3849089547</v>
        <stp/>
        <stp>BDP|10601604421114298144</stp>
        <tr r="G162" s="2"/>
      </tp>
      <tp t="s">
        <v>#N/A Requesting Data...4081447920</v>
        <stp/>
        <stp>BDP|10298541204391655551</stp>
        <tr r="F596" s="2"/>
      </tp>
      <tp t="s">
        <v>#N/A Requesting Data...3985231098</v>
        <stp/>
        <stp>BDP|15101718253021741747</stp>
        <tr r="E36" s="2"/>
      </tp>
      <tp t="s">
        <v>#N/A Requesting Data...4199605713</v>
        <stp/>
        <stp>BDP|13853165036083829308</stp>
        <tr r="H72" s="2"/>
      </tp>
      <tp t="s">
        <v>#N/A Requesting Data...3787921248</v>
        <stp/>
        <stp>BDP|14640958491303500676</stp>
        <tr r="AB104" s="1"/>
      </tp>
      <tp t="s">
        <v>#N/A Requesting Data...3837514711</v>
        <stp/>
        <stp>BDP|14754223647945659644</stp>
        <tr r="E61" s="2"/>
      </tp>
      <tp t="s">
        <v>#N/A Requesting Data...3409868810</v>
        <stp/>
        <stp>BDP|13426082768260682424</stp>
        <tr r="AB31" s="1"/>
      </tp>
      <tp t="s">
        <v>#N/A Requesting Data...3648559866</v>
        <stp/>
        <stp>BDP|11465253223370736059</stp>
        <tr r="G33" s="2"/>
      </tp>
      <tp t="s">
        <v>#N/A Requesting Data...3814239108</v>
        <stp/>
        <stp>BDP|13290222630985025603</stp>
        <tr r="E103" s="2"/>
      </tp>
      <tp t="s">
        <v>#N/A Requesting Data...4081296918</v>
        <stp/>
        <stp>BDP|11712292249345258355</stp>
        <tr r="H6" s="2"/>
      </tp>
      <tp t="s">
        <v>#N/A Requesting Data...4132255704</v>
        <stp/>
        <stp>BDP|15123518871194696277</stp>
        <tr r="H351" s="2"/>
      </tp>
      <tp t="s">
        <v>#N/A Requesting Data...4194175300</v>
        <stp/>
        <stp>BDP|13309749901253704623</stp>
        <tr r="E127" s="2"/>
      </tp>
      <tp t="s">
        <v>#N/A Requesting Data...3049714468</v>
        <stp/>
        <stp>BDP|18054550681561443530</stp>
        <tr r="G551" s="2"/>
      </tp>
      <tp t="s">
        <v>#N/A Requesting Data...4234814005</v>
        <stp/>
        <stp>BDP|11435293232033984242</stp>
        <tr r="E147" s="2"/>
      </tp>
      <tp t="s">
        <v>#N/A Requesting Data...3430348307</v>
        <stp/>
        <stp>BDP|13897929867874173994</stp>
        <tr r="G593" s="2"/>
      </tp>
      <tp t="s">
        <v>#N/A Requesting Data...3253345608</v>
        <stp/>
        <stp>BDP|10156240330666049609</stp>
        <tr r="G487" s="2"/>
      </tp>
      <tp t="s">
        <v>#N/A Requesting Data...3339629078</v>
        <stp/>
        <stp>BDP|13407729353994657468</stp>
        <tr r="E123" s="2"/>
      </tp>
      <tp t="s">
        <v>#N/A Requesting Data...3988275084</v>
        <stp/>
        <stp>BDP|13437708473667575576</stp>
        <tr r="G269" s="2"/>
      </tp>
      <tp t="s">
        <v>#N/A Requesting Data...4150080753</v>
        <stp/>
        <stp>BDP|14584204016653390552</stp>
        <tr r="F523" s="2"/>
      </tp>
      <tp t="s">
        <v>#N/A Requesting Data...3966793925</v>
        <stp/>
        <stp>BDP|16677653557317329323</stp>
        <tr r="E591" s="2"/>
      </tp>
      <tp t="s">
        <v>#N/A Requesting Data...3876518565</v>
        <stp/>
        <stp>BDP|17117626672554026346</stp>
        <tr r="H581" s="2"/>
      </tp>
      <tp t="s">
        <v>#N/A Requesting Data...4198774543</v>
        <stp/>
        <stp>BDP|14427558866074499278</stp>
        <tr r="E40" s="2"/>
      </tp>
      <tp t="s">
        <v>#N/A Requesting Data...3614950822</v>
        <stp/>
        <stp>BDP|17847789463317484038</stp>
        <tr r="F381" s="2"/>
      </tp>
      <tp t="s">
        <v>#N/A Requesting Data...3387653768</v>
        <stp/>
        <stp>BDP|17871807889380790624</stp>
        <tr r="E242" s="2"/>
      </tp>
      <tp t="s">
        <v>#N/A Requesting Data...3635371272</v>
        <stp/>
        <stp>BDP|10293630729053501694</stp>
        <tr r="H334" s="2"/>
      </tp>
      <tp t="s">
        <v>#N/A Requesting Data...4168170880</v>
        <stp/>
        <stp>BDP|17342345889758241580</stp>
        <tr r="E284" s="2"/>
      </tp>
      <tp t="s">
        <v>#N/A Requesting Data...4017293394</v>
        <stp/>
        <stp>BDP|15050326177198559845</stp>
        <tr r="H311" s="2"/>
      </tp>
      <tp t="s">
        <v>#N/A Requesting Data...3080074419</v>
        <stp/>
        <stp>BDP|14937768242850000691</stp>
        <tr r="E417" s="2"/>
      </tp>
      <tp t="s">
        <v>#N/A Requesting Data...3600111837</v>
        <stp/>
        <stp>BDP|15517476165036125027</stp>
        <tr r="G332" s="2"/>
      </tp>
      <tp t="s">
        <v>#N/A Requesting Data...3090521431</v>
        <stp/>
        <stp>BDP|15328670590289262221</stp>
        <tr r="G286" s="2"/>
      </tp>
      <tp t="s">
        <v>#N/A Requesting Data...3869297828</v>
        <stp/>
        <stp>BDP|17651406083648409250</stp>
        <tr r="H609" s="2"/>
      </tp>
      <tp t="s">
        <v>#N/A Requesting Data...3898463612</v>
        <stp/>
        <stp>BDP|16631660596781433963</stp>
        <tr r="Z33" s="1"/>
      </tp>
      <tp t="s">
        <v>#N/A Requesting Data...3961793642</v>
        <stp/>
        <stp>BDP|11296087981129797182</stp>
        <tr r="G569" s="2"/>
      </tp>
      <tp t="s">
        <v>#N/A Requesting Data...3985576299</v>
        <stp/>
        <stp>BDP|16089420598782786893</stp>
        <tr r="H213" s="2"/>
      </tp>
      <tp t="s">
        <v>#N/A Requesting Data...4153972918</v>
        <stp/>
        <stp>BDP|10482191435942728188</stp>
        <tr r="G492" s="2"/>
      </tp>
      <tp t="s">
        <v>#N/A Requesting Data...4184439252</v>
        <stp/>
        <stp>BDP|12596132966757450330</stp>
        <tr r="H358" s="2"/>
      </tp>
      <tp t="s">
        <v>#N/A Requesting Data...3728827597</v>
        <stp/>
        <stp>BDP|13006236517920415170</stp>
        <tr r="F41" s="2"/>
      </tp>
      <tp t="s">
        <v>#N/A Requesting Data...3226259515</v>
        <stp/>
        <stp>BDP|11286094464040073686</stp>
        <tr r="E345" s="2"/>
      </tp>
      <tp t="s">
        <v>#N/A Requesting Data...4119389727</v>
        <stp/>
        <stp>BDP|14429440934080360208</stp>
        <tr r="H94" s="2"/>
      </tp>
      <tp t="s">
        <v>#N/A Requesting Data...4059866751</v>
        <stp/>
        <stp>BDP|10341294835367183798</stp>
        <tr r="H613" s="2"/>
      </tp>
      <tp t="s">
        <v>#N/A Requesting Data...3173047231</v>
        <stp/>
        <stp>BDP|18260302736059636053</stp>
        <tr r="Z81" s="1"/>
      </tp>
      <tp t="s">
        <v>#N/A Requesting Data...3940587645</v>
        <stp/>
        <stp>BDP|15664788329711397034</stp>
        <tr r="E537" s="2"/>
      </tp>
      <tp t="s">
        <v>#N/A Requesting Data...3183807644</v>
        <stp/>
        <stp>BDP|16891466719406096419</stp>
        <tr r="E240" s="2"/>
      </tp>
      <tp t="s">
        <v>#N/A Requesting Data...3204868137</v>
        <stp/>
        <stp>BDP|11852561858518594857</stp>
        <tr r="F225" s="2"/>
      </tp>
      <tp t="s">
        <v>#N/A Requesting Data...3949412610</v>
        <stp/>
        <stp>BDP|15392003118757981248</stp>
        <tr r="AA64" s="1"/>
      </tp>
      <tp t="s">
        <v>#N/A Requesting Data...3227604535</v>
        <stp/>
        <stp>BDP|14094833857700488864</stp>
        <tr r="F283" s="2"/>
      </tp>
      <tp t="s">
        <v>#N/A Requesting Data...3537165077</v>
        <stp/>
        <stp>BDP|15372178546623382277</stp>
        <tr r="AA52" s="1"/>
      </tp>
      <tp t="s">
        <v>#N/A Requesting Data...3323039597</v>
        <stp/>
        <stp>BDP|11313367375404240040</stp>
        <tr r="H282" s="2"/>
      </tp>
      <tp t="s">
        <v>#N/A Requesting Data...4226409976</v>
        <stp/>
        <stp>BDP|14059266375307416714</stp>
        <tr r="E504" s="2"/>
      </tp>
      <tp t="s">
        <v>#N/A Requesting Data...3661485710</v>
        <stp/>
        <stp>BDP|18101213193006559403</stp>
        <tr r="F487" s="2"/>
      </tp>
      <tp t="s">
        <v>#N/A Requesting Data...3678774312</v>
        <stp/>
        <stp>BDP|14480452532003929634</stp>
        <tr r="F210" s="2"/>
      </tp>
      <tp t="s">
        <v>#N/A Requesting Data...3758822053</v>
        <stp/>
        <stp>BDP|10103086571173803295</stp>
        <tr r="G358" s="2"/>
      </tp>
      <tp t="s">
        <v>#N/A Requesting Data...4067536703</v>
        <stp/>
        <stp>BDP|16055104598730971886</stp>
        <tr r="F31" s="2"/>
      </tp>
      <tp t="s">
        <v>#N/A Requesting Data...4052142536</v>
        <stp/>
        <stp>BDP|12008377958054073679</stp>
        <tr r="Z42" s="1"/>
      </tp>
      <tp t="s">
        <v>#N/A Requesting Data...4009141319</v>
        <stp/>
        <stp>BDP|15546728272510567382</stp>
        <tr r="F101" s="2"/>
      </tp>
      <tp t="s">
        <v>#N/A Requesting Data...3318508807</v>
        <stp/>
        <stp>BDP|10533752764976583193</stp>
        <tr r="F475" s="2"/>
      </tp>
      <tp t="s">
        <v>#N/A Requesting Data...3970596825</v>
        <stp/>
        <stp>BDP|11954169766330291037</stp>
        <tr r="G65" s="2"/>
      </tp>
      <tp t="s">
        <v>#N/A Requesting Data...4233405710</v>
        <stp/>
        <stp>BDP|10213275782329725584</stp>
        <tr r="G447" s="2"/>
      </tp>
      <tp t="s">
        <v>#N/A Requesting Data...3784474531</v>
        <stp/>
        <stp>BDP|13475839873682701883</stp>
        <tr r="E408" s="2"/>
      </tp>
      <tp t="s">
        <v>#N/A Requesting Data...3344830996</v>
        <stp/>
        <stp>BDP|13869535527316450436</stp>
        <tr r="E597" s="2"/>
      </tp>
      <tp t="s">
        <v>#N/A Requesting Data...3248758966</v>
        <stp/>
        <stp>BDP|12700366525785782088</stp>
        <tr r="H93" s="2"/>
      </tp>
      <tp t="s">
        <v>#N/A Requesting Data...4025036180</v>
        <stp/>
        <stp>BDP|17106354898992351952</stp>
        <tr r="H442" s="2"/>
      </tp>
      <tp t="s">
        <v>#N/A Requesting Data...3906162146</v>
        <stp/>
        <stp>BDP|10325131626982871744</stp>
        <tr r="AB28" s="1"/>
      </tp>
      <tp t="s">
        <v>#N/A Requesting Data...3033653509</v>
        <stp/>
        <stp>BDP|13206786762086528273</stp>
        <tr r="G449" s="2"/>
      </tp>
      <tp t="s">
        <v>#N/A Requesting Data...4097316249</v>
        <stp/>
        <stp>BDP|11908012150261139335</stp>
        <tr r="F522" s="2"/>
      </tp>
      <tp t="s">
        <v>#N/A Requesting Data...3504864833</v>
        <stp/>
        <stp>BDP|15312764006041924578</stp>
        <tr r="F468" s="2"/>
      </tp>
      <tp t="s">
        <v>#N/A Requesting Data...3497038960</v>
        <stp/>
        <stp>BDP|16547998720238804393</stp>
        <tr r="E252" s="2"/>
      </tp>
      <tp t="s">
        <v>#N/A Requesting Data...3208115399</v>
        <stp/>
        <stp>BDP|13625782463573461740</stp>
        <tr r="F537" s="2"/>
      </tp>
      <tp t="s">
        <v>#N/A Requesting Data...4072731372</v>
        <stp/>
        <stp>BDP|15590497321984248127</stp>
        <tr r="E249" s="2"/>
      </tp>
      <tp t="s">
        <v>#N/A Requesting Data...3826335035</v>
        <stp/>
        <stp>BDP|13330624306435988623</stp>
        <tr r="G340" s="2"/>
      </tp>
      <tp t="s">
        <v>#N/A Requesting Data...3978267724</v>
        <stp/>
        <stp>BDP|13475012232741979729</stp>
        <tr r="E78" s="2"/>
      </tp>
      <tp t="s">
        <v>#N/A Requesting Data...4094820857</v>
        <stp/>
        <stp>BDP|12636302789019049637</stp>
        <tr r="F481" s="2"/>
      </tp>
      <tp t="s">
        <v>#N/A Requesting Data...3231056587</v>
        <stp/>
        <stp>BDP|11483757500890976040</stp>
        <tr r="H307" s="2"/>
      </tp>
      <tp t="s">
        <v>#N/A Requesting Data...4040039714</v>
        <stp/>
        <stp>BDP|16383155638855756757</stp>
        <tr r="H184" s="2"/>
      </tp>
      <tp t="s">
        <v>#N/A Requesting Data...3583216405</v>
        <stp/>
        <stp>BDP|15982122646864732264</stp>
        <tr r="AB82" s="1"/>
      </tp>
      <tp t="s">
        <v>#N/A Requesting Data...3299816255</v>
        <stp/>
        <stp>BDP|13797565719140348147</stp>
        <tr r="G304" s="2"/>
      </tp>
      <tp t="s">
        <v>#N/A Requesting Data...3996244305</v>
        <stp/>
        <stp>BDP|16676358139046407611</stp>
        <tr r="H465" s="2"/>
      </tp>
      <tp t="s">
        <v>#N/A Requesting Data...3852168514</v>
        <stp/>
        <stp>BDP|17527123223182356086</stp>
        <tr r="AB105" s="1"/>
      </tp>
      <tp t="s">
        <v>#N/A Requesting Data...4266186882</v>
        <stp/>
        <stp>BDP|11552284379331973326</stp>
        <tr r="F92" s="2"/>
      </tp>
      <tp t="s">
        <v>#N/A Requesting Data...3143851010</v>
        <stp/>
        <stp>BDP|11250377775093713082</stp>
        <tr r="H5" s="2"/>
      </tp>
      <tp t="s">
        <v>#N/A Requesting Data...3519769447</v>
        <stp/>
        <stp>BDP|15616528215541781693</stp>
        <tr r="Z105" s="1"/>
      </tp>
      <tp t="s">
        <v>#N/A Requesting Data...4016257729</v>
        <stp/>
        <stp>BDP|10464285948197374783</stp>
        <tr r="H197" s="2"/>
      </tp>
      <tp t="s">
        <v>#N/A Requesting Data...3085181044</v>
        <stp/>
        <stp>BDP|11335493895723721967</stp>
        <tr r="E327" s="2"/>
      </tp>
      <tp t="s">
        <v>#N/A Requesting Data...4113376613</v>
        <stp/>
        <stp>BDP|10199005106242778417</stp>
        <tr r="F518" s="2"/>
      </tp>
      <tp t="s">
        <v>#N/A Requesting Data...3969775986</v>
        <stp/>
        <stp>BDP|11466506544351702765</stp>
        <tr r="F114" s="2"/>
      </tp>
      <tp t="s">
        <v>#N/A Requesting Data...3705153023</v>
        <stp/>
        <stp>BDP|13001400660922273526</stp>
        <tr r="AB22" s="1"/>
      </tp>
      <tp t="s">
        <v>#N/A Requesting Data...3713448927</v>
        <stp/>
        <stp>BDP|11846564289933737902</stp>
        <tr r="E154" s="2"/>
      </tp>
      <tp t="s">
        <v>#N/A Requesting Data...4019841653</v>
        <stp/>
        <stp>BDP|17217804458638958438</stp>
        <tr r="G233" s="2"/>
      </tp>
      <tp t="s">
        <v>#N/A Requesting Data...4103826702</v>
        <stp/>
        <stp>BDP|14197906804162553908</stp>
        <tr r="G155" s="2"/>
      </tp>
      <tp t="s">
        <v>#N/A Requesting Data...3401521040</v>
        <stp/>
        <stp>BDP|16619255955132043566</stp>
        <tr r="E90" s="2"/>
      </tp>
      <tp t="s">
        <v>#N/A Requesting Data...3491608995</v>
        <stp/>
        <stp>BDP|17765036813647637713</stp>
        <tr r="AB64" s="1"/>
      </tp>
      <tp t="s">
        <v>#N/A Requesting Data...3991312461</v>
        <stp/>
        <stp>BDP|16069021394858463110</stp>
        <tr r="F442" s="2"/>
      </tp>
      <tp t="s">
        <v>#N/A Requesting Data...3184824667</v>
        <stp/>
        <stp>BDP|10631571757537764128</stp>
        <tr r="G424" s="2"/>
      </tp>
      <tp t="s">
        <v>#N/A Requesting Data...3556586596</v>
        <stp/>
        <stp>BDP|10166560144013528458</stp>
        <tr r="F107" s="2"/>
      </tp>
      <tp t="s">
        <v>#N/A Requesting Data...3557171634</v>
        <stp/>
        <stp>BDP|12883113768941179239</stp>
        <tr r="F352" s="2"/>
      </tp>
      <tp t="s">
        <v>#N/A Requesting Data...3404821530</v>
        <stp/>
        <stp>BDP|16141185181011972825</stp>
        <tr r="Z23" s="1"/>
      </tp>
      <tp t="s">
        <v>#N/A Requesting Data...4199545941</v>
        <stp/>
        <stp>BDP|17691189519879693823</stp>
        <tr r="F483" s="2"/>
      </tp>
      <tp t="s">
        <v>#N/A Requesting Data...3757724971</v>
        <stp/>
        <stp>BDP|10073376246005339413</stp>
        <tr r="G546" s="2"/>
      </tp>
      <tp t="s">
        <v>#N/A Requesting Data...3689747660</v>
        <stp/>
        <stp>BDP|11108007544446571530</stp>
        <tr r="AA49" s="1"/>
      </tp>
      <tp t="s">
        <v>#N/A Requesting Data...3415307556</v>
        <stp/>
        <stp>BDP|12517351022106489342</stp>
        <tr r="F295" s="2"/>
      </tp>
      <tp t="s">
        <v>#N/A Requesting Data...4266023754</v>
        <stp/>
        <stp>BDP|13962049267174823702</stp>
        <tr r="AA85" s="1"/>
      </tp>
      <tp t="s">
        <v>#N/A Requesting Data...3415538341</v>
        <stp/>
        <stp>BDP|16573568929204025383</stp>
        <tr r="G262" s="2"/>
      </tp>
      <tp t="s">
        <v>#N/A Requesting Data...3068824523</v>
        <stp/>
        <stp>BDP|10984441022139592983</stp>
        <tr r="H164" s="2"/>
      </tp>
      <tp t="s">
        <v>#N/A Requesting Data...3742007040</v>
        <stp/>
        <stp>BDP|16369567037990888681</stp>
        <tr r="F113" s="2"/>
      </tp>
      <tp t="s">
        <v>#N/A Requesting Data...3937498242</v>
        <stp/>
        <stp>BDP|15378690579067486522</stp>
        <tr r="H615" s="2"/>
      </tp>
      <tp t="s">
        <v>#N/A Requesting Data...3168085924</v>
        <stp/>
        <stp>BDP|17497504102813018739</stp>
        <tr r="E89" s="2"/>
      </tp>
      <tp t="s">
        <v>#N/A Requesting Data...3844272096</v>
        <stp/>
        <stp>BDP|12293442503598177814</stp>
        <tr r="G261" s="2"/>
      </tp>
      <tp t="s">
        <v>#N/A Requesting Data...3319216015</v>
        <stp/>
        <stp>BDP|13765241870715062564</stp>
        <tr r="H269" s="2"/>
      </tp>
      <tp t="s">
        <v>#N/A Requesting Data...3527103829</v>
        <stp/>
        <stp>BDP|11219973190296610160</stp>
        <tr r="H110" s="2"/>
      </tp>
      <tp t="s">
        <v>#N/A Requesting Data...4147272771</v>
        <stp/>
        <stp>BDP|15140030954326775046</stp>
        <tr r="G413" s="2"/>
      </tp>
      <tp t="s">
        <v>#N/A Requesting Data...4115909958</v>
        <stp/>
        <stp>BDP|12363599887889838001</stp>
        <tr r="F621" s="2"/>
      </tp>
      <tp t="s">
        <v>#N/A Requesting Data...3159295958</v>
        <stp/>
        <stp>BDP|13629539641666965294</stp>
        <tr r="G411" s="2"/>
      </tp>
      <tp t="s">
        <v>#N/A Requesting Data...3324949885</v>
        <stp/>
        <stp>BDP|15163671482369104415</stp>
        <tr r="G204" s="2"/>
      </tp>
      <tp t="s">
        <v>#N/A Requesting Data...3365254770</v>
        <stp/>
        <stp>BDP|11303995371028976163</stp>
        <tr r="F278" s="2"/>
      </tp>
      <tp t="s">
        <v>#N/A Requesting Data...4190690381</v>
        <stp/>
        <stp>BDP|17606644965847789641</stp>
        <tr r="H34" s="2"/>
      </tp>
      <tp t="s">
        <v>#N/A Requesting Data...3464415877</v>
        <stp/>
        <stp>BDP|11868567805144535698</stp>
        <tr r="F93" s="2"/>
      </tp>
      <tp t="s">
        <v>#N/A Requesting Data...3580367146</v>
        <stp/>
        <stp>BDP|14799606592148273503</stp>
        <tr r="G423" s="2"/>
      </tp>
      <tp t="s">
        <v>#N/A Requesting Data...3150344308</v>
        <stp/>
        <stp>BDP|13723008712766406267</stp>
        <tr r="F166" s="2"/>
      </tp>
      <tp t="s">
        <v>#N/A Requesting Data...3913235981</v>
        <stp/>
        <stp>BDP|14053231423412002078</stp>
        <tr r="Z18" s="1"/>
      </tp>
      <tp t="s">
        <v>#N/A Requesting Data...3297226501</v>
        <stp/>
        <stp>BDP|15764355747731707559</stp>
        <tr r="H99" s="2"/>
      </tp>
      <tp t="s">
        <v>#N/A Requesting Data...4085376945</v>
        <stp/>
        <stp>BDP|18374964917505165341</stp>
        <tr r="G591" s="2"/>
      </tp>
      <tp t="s">
        <v>#N/A Requesting Data...4177762560</v>
        <stp/>
        <stp>BDP|16550280929068116824</stp>
        <tr r="H326" s="2"/>
      </tp>
      <tp t="s">
        <v>#N/A Requesting Data...3696245604</v>
        <stp/>
        <stp>BDP|11009567253692046522</stp>
        <tr r="E501" s="2"/>
      </tp>
      <tp t="s">
        <v>#N/A Requesting Data...3649364483</v>
        <stp/>
        <stp>BDP|10301639950466334357</stp>
        <tr r="G219" s="2"/>
      </tp>
      <tp t="s">
        <v>#N/A Requesting Data...4248238342</v>
        <stp/>
        <stp>BDP|14971074830791991014</stp>
        <tr r="H551" s="2"/>
      </tp>
      <tp t="s">
        <v>#N/A Requesting Data...3324828023</v>
        <stp/>
        <stp>BDP|17930609108640406733</stp>
        <tr r="H554" s="2"/>
      </tp>
      <tp t="s">
        <v>#N/A Requesting Data...3162309518</v>
        <stp/>
        <stp>BDP|15794698159905424554</stp>
        <tr r="E569" s="2"/>
      </tp>
      <tp t="s">
        <v>#N/A Requesting Data...3731311259</v>
        <stp/>
        <stp>BDP|12611444483780090876</stp>
        <tr r="E507" s="2"/>
      </tp>
      <tp t="s">
        <v>#N/A Requesting Data...3985715555</v>
        <stp/>
        <stp>BDP|10624111032783707748</stp>
        <tr r="G16" s="2"/>
      </tp>
      <tp t="s">
        <v>#N/A Requesting Data...3751881310</v>
        <stp/>
        <stp>BDP|14786171703107124446</stp>
        <tr r="G272" s="2"/>
      </tp>
      <tp t="s">
        <v>#N/A Requesting Data...4249597723</v>
        <stp/>
        <stp>BDP|18027276084227785322</stp>
        <tr r="G179" s="2"/>
      </tp>
      <tp t="s">
        <v>#N/A Requesting Data...3757925622</v>
        <stp/>
        <stp>BDP|13320205152663613113</stp>
        <tr r="G34" s="2"/>
      </tp>
      <tp t="s">
        <v>#N/A Requesting Data...3679966781</v>
        <stp/>
        <stp>BDP|14361545634550177441</stp>
        <tr r="H106" s="2"/>
      </tp>
      <tp t="s">
        <v>#N/A Requesting Data...3919238779</v>
        <stp/>
        <stp>BDP|17931473568771025203</stp>
        <tr r="E70" s="2"/>
      </tp>
      <tp t="s">
        <v>#N/A Requesting Data...4204828636</v>
        <stp/>
        <stp>BDP|16624448919900094420</stp>
        <tr r="F133" s="2"/>
      </tp>
      <tp t="s">
        <v>#N/A Requesting Data...3908867863</v>
        <stp/>
        <stp>BDP|15093040523726612685</stp>
        <tr r="H174" s="2"/>
      </tp>
      <tp t="s">
        <v>#N/A Requesting Data...3405860201</v>
        <stp/>
        <stp>BDP|17240388125297164675</stp>
        <tr r="E117" s="2"/>
      </tp>
      <tp t="s">
        <v>#N/A Requesting Data...3447142729</v>
        <stp/>
        <stp>BDP|14696013982192902940</stp>
        <tr r="F461" s="2"/>
      </tp>
      <tp t="s">
        <v>#N/A Requesting Data...3749635785</v>
        <stp/>
        <stp>BDP|15368698102652444644</stp>
        <tr r="H143" s="2"/>
      </tp>
      <tp t="s">
        <v>#N/A Requesting Data...3573298049</v>
        <stp/>
        <stp>BDP|12375332808630146615</stp>
        <tr r="E491" s="2"/>
      </tp>
      <tp t="s">
        <v>#N/A Requesting Data...3203153118</v>
        <stp/>
        <stp>BDP|10108615823420910322</stp>
        <tr r="H268" s="2"/>
      </tp>
      <tp t="s">
        <v>#N/A Requesting Data...3802494692</v>
        <stp/>
        <stp>BDP|12252632601624179797</stp>
        <tr r="G101" s="2"/>
      </tp>
      <tp t="s">
        <v>#N/A Requesting Data...3931539943</v>
        <stp/>
        <stp>BDP|11746924083443590486</stp>
        <tr r="H157" s="2"/>
      </tp>
      <tp t="s">
        <v>#N/A Requesting Data...4008737499</v>
        <stp/>
        <stp>BDP|16398258757882267485</stp>
        <tr r="E236" s="2"/>
      </tp>
      <tp t="s">
        <v>#N/A Requesting Data...4197683457</v>
        <stp/>
        <stp>BDP|11392595821303212221</stp>
        <tr r="AB47" s="1"/>
      </tp>
      <tp t="s">
        <v>#N/A Requesting Data...3393234857</v>
        <stp/>
        <stp>BDP|17822935738308812208</stp>
        <tr r="Z12" s="1"/>
      </tp>
      <tp t="s">
        <v>#N/A Requesting Data...3683685981</v>
        <stp/>
        <stp>BDP|18285932607720424698</stp>
        <tr r="G288" s="2"/>
      </tp>
      <tp t="s">
        <v>#N/A Requesting Data...3301416276</v>
        <stp/>
        <stp>BDP|13529045832727969012</stp>
        <tr r="E208" s="2"/>
      </tp>
      <tp t="s">
        <v>#N/A Requesting Data...3986131524</v>
        <stp/>
        <stp>BDP|12919137253790242113</stp>
        <tr r="E296" s="2"/>
      </tp>
      <tp t="s">
        <v>#N/A Requesting Data...3559012801</v>
        <stp/>
        <stp>BDP|11298036639261244472</stp>
        <tr r="H324" s="2"/>
      </tp>
      <tp t="s">
        <v>#N/A Requesting Data...3431260669</v>
        <stp/>
        <stp>BDP|17005608026172286693</stp>
        <tr r="F400" s="2"/>
      </tp>
      <tp t="s">
        <v>#N/A Requesting Data...4047802350</v>
        <stp/>
        <stp>BDP|10054783041574112050</stp>
        <tr r="F73" s="2"/>
      </tp>
      <tp t="s">
        <v>#N/A Requesting Data...3264432346</v>
        <stp/>
        <stp>BDP|11212281533153144453</stp>
        <tr r="E97" s="2"/>
      </tp>
      <tp t="s">
        <v>#N/A Requesting Data...3433728185</v>
        <stp/>
        <stp>BDP|13902173971994567679</stp>
        <tr r="E598" s="2"/>
      </tp>
      <tp t="s">
        <v>#N/A Requesting Data...3539920342</v>
        <stp/>
        <stp>BDP|13891892728648189649</stp>
        <tr r="F119" s="2"/>
      </tp>
      <tp t="s">
        <v>#N/A Requesting Data...3694542065</v>
        <stp/>
        <stp>BDP|13488821788855679144</stp>
        <tr r="H606" s="2"/>
      </tp>
      <tp t="s">
        <v>#N/A Requesting Data...4042154753</v>
        <stp/>
        <stp>BDP|12320132214176889308</stp>
        <tr r="E394" s="2"/>
      </tp>
      <tp t="s">
        <v>#N/A Requesting Data...4189056837</v>
        <stp/>
        <stp>BDP|13862150216056662217</stp>
        <tr r="H356" s="2"/>
      </tp>
      <tp t="s">
        <v>#N/A Requesting Data...3544418424</v>
        <stp/>
        <stp>BDP|14405390844190511404</stp>
        <tr r="F349" s="2"/>
      </tp>
      <tp t="s">
        <v>#N/A Requesting Data...4290839990</v>
        <stp/>
        <stp>BDP|16851820296908423876</stp>
        <tr r="F109" s="2"/>
      </tp>
      <tp t="s">
        <v>#N/A Requesting Data...3906346542</v>
        <stp/>
        <stp>BDP|14930720297119256418</stp>
        <tr r="E224" s="2"/>
      </tp>
      <tp t="s">
        <v>#N/A Requesting Data...4223937481</v>
        <stp/>
        <stp>BDP|13782312139991380537</stp>
        <tr r="F286" s="2"/>
      </tp>
      <tp t="s">
        <v>#N/A Requesting Data...3988104883</v>
        <stp/>
        <stp>BDP|12216623427010873106</stp>
        <tr r="H362" s="2"/>
      </tp>
      <tp t="s">
        <v>#N/A Requesting Data...3973449008</v>
        <stp/>
        <stp>BDP|14890359872690555753</stp>
        <tr r="F36" s="2"/>
      </tp>
      <tp t="s">
        <v>#N/A Requesting Data...3598039088</v>
        <stp/>
        <stp>BDP|15180385425061443262</stp>
        <tr r="F234" s="2"/>
      </tp>
      <tp t="s">
        <v>#N/A Requesting Data...3269886963</v>
        <stp/>
        <stp>BDP|17180194742883160658</stp>
        <tr r="E118" s="2"/>
      </tp>
      <tp t="s">
        <v>#N/A Requesting Data...3710763278</v>
        <stp/>
        <stp>BDP|12712467419630080065</stp>
        <tr r="H160" s="2"/>
      </tp>
      <tp t="s">
        <v>#N/A Requesting Data...3347789963</v>
        <stp/>
        <stp>BDP|13653743159300696631</stp>
        <tr r="G498" s="2"/>
      </tp>
      <tp t="s">
        <v>#N/A Requesting Data...3674568232</v>
        <stp/>
        <stp>BDP|14599490215054420238</stp>
        <tr r="F405" s="2"/>
      </tp>
      <tp t="s">
        <v>#N/A Requesting Data...3483629947</v>
        <stp/>
        <stp>BDP|13974249947585686722</stp>
        <tr r="F619" s="2"/>
      </tp>
      <tp t="s">
        <v>#N/A Requesting Data...3216315714</v>
        <stp/>
        <stp>BDP|11851024547266126426</stp>
        <tr r="H13" s="2"/>
      </tp>
      <tp t="s">
        <v>#N/A Requesting Data...4253575712</v>
        <stp/>
        <stp>BDP|12918037177551483384</stp>
        <tr r="G549" s="2"/>
      </tp>
      <tp t="s">
        <v>#N/A Requesting Data...3887425311</v>
        <stp/>
        <stp>BDP|18191710233879777259</stp>
        <tr r="H476" s="2"/>
      </tp>
      <tp t="s">
        <v>#N/A Requesting Data...3992385816</v>
        <stp/>
        <stp>BDP|10354668815087930780</stp>
        <tr r="F50" s="2"/>
      </tp>
      <tp t="s">
        <v>#N/A Requesting Data...3407247267</v>
        <stp/>
        <stp>BDP|13586247152631502277</stp>
        <tr r="E547" s="2"/>
      </tp>
      <tp t="s">
        <v>#N/A Requesting Data...3426191316</v>
        <stp/>
        <stp>BDP|16241247924973321205</stp>
        <tr r="G430" s="2"/>
      </tp>
      <tp t="s">
        <v>#N/A Requesting Data...3762041811</v>
        <stp/>
        <stp>BDP|12703302533253674637</stp>
        <tr r="G47" s="2"/>
      </tp>
      <tp t="s">
        <v>#N/A Requesting Data...3956480868</v>
        <stp/>
        <stp>BDP|16220136603741501165</stp>
        <tr r="F32" s="2"/>
      </tp>
      <tp t="s">
        <v>#N/A Requesting Data...3454733611</v>
        <stp/>
        <stp>BDP|17329780268168061921</stp>
        <tr r="E309" s="2"/>
      </tp>
      <tp t="s">
        <v>#N/A Requesting Data...4067892527</v>
        <stp/>
        <stp>BDP|17794727323623687614</stp>
        <tr r="G191" s="2"/>
      </tp>
      <tp t="s">
        <v>#N/A Requesting Data...4133167645</v>
        <stp/>
        <stp>BDP|15782778199918919402</stp>
        <tr r="Z10" s="1"/>
      </tp>
      <tp t="s">
        <v>#N/A Requesting Data...3590216832</v>
        <stp/>
        <stp>BDP|13954567376201867711</stp>
        <tr r="F49" s="2"/>
      </tp>
      <tp t="s">
        <v>#N/A Requesting Data...3380355691</v>
        <stp/>
        <stp>BDP|13468036903603226762</stp>
        <tr r="G309" s="2"/>
      </tp>
      <tp t="s">
        <v>#N/A Requesting Data...3935319842</v>
        <stp/>
        <stp>BDP|11248162364785226427</stp>
        <tr r="H573" s="2"/>
      </tp>
      <tp t="s">
        <v>#N/A Requesting Data...3455930328</v>
        <stp/>
        <stp>BDP|11470415791878564326</stp>
        <tr r="H318" s="2"/>
      </tp>
      <tp t="s">
        <v>#N/A Requesting Data...4289704959</v>
        <stp/>
        <stp>BDP|11669223503432166659</stp>
        <tr r="H86" s="2"/>
      </tp>
      <tp t="s">
        <v>#N/A Requesting Data...4113018750</v>
        <stp/>
        <stp>BDP|15256760224456330102</stp>
        <tr r="G337" s="2"/>
      </tp>
      <tp t="s">
        <v>#N/A Requesting Data...3693543601</v>
        <stp/>
        <stp>BDP|12283860096883839793</stp>
        <tr r="G97" s="2"/>
      </tp>
      <tp t="s">
        <v>#N/A Requesting Data...4088628946</v>
        <stp/>
        <stp>BDP|16833884257074242865</stp>
        <tr r="H83" s="2"/>
      </tp>
      <tp t="s">
        <v>#N/A Requesting Data...3742238802</v>
        <stp/>
        <stp>BDP|12755196436443804432</stp>
        <tr r="H483" s="2"/>
      </tp>
      <tp t="s">
        <v>#N/A Requesting Data...3525970836</v>
        <stp/>
        <stp>BDP|17480340374073346749</stp>
        <tr r="H608" s="2"/>
      </tp>
      <tp t="s">
        <v>#N/A Requesting Data...3295958904</v>
        <stp/>
        <stp>BDP|17686485144055909509</stp>
        <tr r="G524" s="2"/>
      </tp>
      <tp t="s">
        <v>#N/A Requesting Data...3608922720</v>
        <stp/>
        <stp>BDP|12184823742050007932</stp>
        <tr r="E562" s="2"/>
      </tp>
      <tp t="s">
        <v>#N/A Requesting Data...3311833447</v>
        <stp/>
        <stp>BDP|15479265234546672528</stp>
        <tr r="AB91" s="1"/>
      </tp>
      <tp t="s">
        <v>#N/A Requesting Data...4001734070</v>
        <stp/>
        <stp>BDP|11681550714517711523</stp>
        <tr r="E120" s="2"/>
      </tp>
      <tp t="s">
        <v>#N/A Requesting Data...3925481221</v>
        <stp/>
        <stp>BDP|15346053505504390625</stp>
        <tr r="G540" s="2"/>
      </tp>
      <tp t="s">
        <v>#N/A Requesting Data...4218515549</v>
        <stp/>
        <stp>BDP|11124255253934563505</stp>
        <tr r="F80" s="2"/>
      </tp>
      <tp t="s">
        <v>#N/A Requesting Data...3402149191</v>
        <stp/>
        <stp>BDP|18313903680456279832</stp>
        <tr r="H352" s="2"/>
      </tp>
      <tp t="s">
        <v>#N/A Requesting Data...3304223453</v>
        <stp/>
        <stp>BDP|16415911470146159963</stp>
        <tr r="G468" s="2"/>
      </tp>
      <tp t="s">
        <v>#N/A Requesting Data...3651245879</v>
        <stp/>
        <stp>BDP|12250472773791152753</stp>
        <tr r="G556" s="2"/>
      </tp>
      <tp t="s">
        <v>#N/A Requesting Data...3323342180</v>
        <stp/>
        <stp>BDP|14530663946383011274</stp>
        <tr r="E28" s="2"/>
      </tp>
      <tp t="s">
        <v>#N/A Requesting Data...3278901900</v>
        <stp/>
        <stp>BDP|13751147952364324407</stp>
        <tr r="G284" s="2"/>
      </tp>
      <tp t="s">
        <v>#N/A Requesting Data...3238279441</v>
        <stp/>
        <stp>BDP|10083417343243394447</stp>
        <tr r="H468" s="2"/>
      </tp>
      <tp t="s">
        <v>#N/A Requesting Data...3586227400</v>
        <stp/>
        <stp>BDP|18326285475173209994</stp>
        <tr r="F178" s="2"/>
      </tp>
      <tp t="s">
        <v>#N/A Requesting Data...3665727192</v>
        <stp/>
        <stp>BDP|10860434450180944675</stp>
        <tr r="AA30" s="1"/>
      </tp>
      <tp t="s">
        <v>#N/A Requesting Data...3375647753</v>
        <stp/>
        <stp>BDP|15070871782367972593</stp>
        <tr r="H279" s="2"/>
      </tp>
      <tp t="s">
        <v>#N/A Requesting Data...3925253357</v>
        <stp/>
        <stp>BDP|17329797708483405436</stp>
        <tr r="F280" s="2"/>
      </tp>
      <tp t="s">
        <v>#N/A Requesting Data...3689803766</v>
        <stp/>
        <stp>BDP|13396260766829170973</stp>
        <tr r="AB15" s="1"/>
      </tp>
      <tp t="s">
        <v>#N/A Requesting Data...3650590264</v>
        <stp/>
        <stp>BDP|15039091528877596717</stp>
        <tr r="G255" s="2"/>
      </tp>
      <tp t="s">
        <v>#N/A Requesting Data...3383115259</v>
        <stp/>
        <stp>BDP|13942303209963520412</stp>
        <tr r="AB49" s="1"/>
      </tp>
      <tp t="s">
        <v>#N/A Requesting Data...4069399334</v>
        <stp/>
        <stp>BDP|10904415828775786438</stp>
        <tr r="G319" s="2"/>
      </tp>
      <tp t="s">
        <v>#N/A Requesting Data...3348563026</v>
        <stp/>
        <stp>BDP|11457734493171299928</stp>
        <tr r="H354" s="2"/>
      </tp>
      <tp t="s">
        <v>#N/A Requesting Data...3707196736</v>
        <stp/>
        <stp>BDP|12869691938259862953</stp>
        <tr r="G171" s="2"/>
      </tp>
      <tp t="s">
        <v>#N/A Requesting Data...3941787929</v>
        <stp/>
        <stp>BDP|14453950481506036444</stp>
        <tr r="G361" s="2"/>
      </tp>
      <tp t="s">
        <v>#N/A Requesting Data...3265408915</v>
        <stp/>
        <stp>BDP|12285768215203045050</stp>
        <tr r="F169" s="2"/>
      </tp>
      <tp t="s">
        <v>#N/A Requesting Data...3414387904</v>
        <stp/>
        <stp>BDP|17461444876547543476</stp>
        <tr r="AA100" s="1"/>
      </tp>
      <tp t="s">
        <v>#N/A Requesting Data...4195695448</v>
        <stp/>
        <stp>BDP|12704246116253165507</stp>
        <tr r="E227" s="2"/>
      </tp>
      <tp t="s">
        <v>#N/A Requesting Data...3356592723</v>
        <stp/>
        <stp>BDP|12138115173507408408</stp>
        <tr r="E407" s="2"/>
      </tp>
      <tp t="s">
        <v>#N/A Requesting Data...3533077548</v>
        <stp/>
        <stp>BDP|13261569079376334091</stp>
        <tr r="F66" s="2"/>
      </tp>
      <tp t="s">
        <v>#N/A Requesting Data...4253492397</v>
        <stp/>
        <stp>BDP|11647920596704339263</stp>
        <tr r="AB40" s="1"/>
      </tp>
      <tp t="s">
        <v>#N/A Requesting Data...3986218232</v>
        <stp/>
        <stp>BDP|16308010810374621432</stp>
        <tr r="G249" s="2"/>
      </tp>
      <tp t="s">
        <v>#N/A Requesting Data...3956611026</v>
        <stp/>
        <stp>BDP|11335406332527350653</stp>
        <tr r="F500" s="2"/>
      </tp>
      <tp t="s">
        <v>#N/A Requesting Data...3923206149</v>
        <stp/>
        <stp>BDP|17349825757365156815</stp>
        <tr r="F204" s="2"/>
      </tp>
      <tp t="s">
        <v>#N/A Requesting Data...3917122137</v>
        <stp/>
        <stp>BDP|10696348000806109259</stp>
        <tr r="H458" s="2"/>
      </tp>
      <tp t="s">
        <v>#N/A Requesting Data...3427405060</v>
        <stp/>
        <stp>BDP|13277448980941696968</stp>
        <tr r="E285" s="2"/>
      </tp>
      <tp t="s">
        <v>#N/A Requesting Data...4137415473</v>
        <stp/>
        <stp>BDP|16159319770990259546</stp>
        <tr r="E462" s="2"/>
      </tp>
      <tp t="s">
        <v>#N/A Requesting Data...3469048033</v>
        <stp/>
        <stp>BDP|12643528200958211802</stp>
        <tr r="G240" s="2"/>
      </tp>
      <tp t="s">
        <v>#N/A Requesting Data...3664090465</v>
        <stp/>
        <stp>BDP|16071634562958793906</stp>
        <tr r="E355" s="2"/>
      </tp>
      <tp t="s">
        <v>#N/A Requesting Data...3788458653</v>
        <stp/>
        <stp>BDP|15425737062816554690</stp>
        <tr r="H455" s="2"/>
      </tp>
      <tp t="s">
        <v>#N/A Requesting Data...3494145886</v>
        <stp/>
        <stp>BDP|17508796313003652602</stp>
        <tr r="G459" s="2"/>
      </tp>
      <tp t="s">
        <v>#N/A Requesting Data...3656856575</v>
        <stp/>
        <stp>BDP|15118781207312415428</stp>
        <tr r="G35" s="2"/>
      </tp>
      <tp t="s">
        <v>#N/A Requesting Data...3545450535</v>
        <stp/>
        <stp>BDP|16258602093775010898</stp>
        <tr r="G113" s="2"/>
      </tp>
      <tp t="s">
        <v>#N/A Requesting Data...3312963717</v>
        <stp/>
        <stp>BDP|11864473992228009058</stp>
        <tr r="H229" s="2"/>
      </tp>
      <tp t="s">
        <v>#N/A Requesting Data...3321711309</v>
        <stp/>
        <stp>BDP|16293160695488985209</stp>
        <tr r="G143" s="2"/>
      </tp>
      <tp t="s">
        <v>#N/A Requesting Data...4079819674</v>
        <stp/>
        <stp>BDP|11958247800320198772</stp>
        <tr r="F386" s="2"/>
      </tp>
      <tp t="s">
        <v>#N/A Requesting Data...3710946667</v>
        <stp/>
        <stp>BDP|17792864737678965045</stp>
        <tr r="H43" s="2"/>
      </tp>
      <tp t="s">
        <v>#N/A Requesting Data...3326781870</v>
        <stp/>
        <stp>BDP|14417309298662667816</stp>
        <tr r="F128" s="2"/>
      </tp>
      <tp t="s">
        <v>#N/A Requesting Data...4215140511</v>
        <stp/>
        <stp>BDP|10027951903625456893</stp>
        <tr r="E200" s="2"/>
      </tp>
      <tp t="s">
        <v>#N/A Requesting Data...3790240903</v>
        <stp/>
        <stp>BDP|10506779299172725879</stp>
        <tr r="F520" s="2"/>
      </tp>
      <tp t="s">
        <v>#N/A Requesting Data...3777008257</v>
        <stp/>
        <stp>BDP|14884822884534586405</stp>
        <tr r="H212" s="2"/>
      </tp>
      <tp t="s">
        <v>#N/A Requesting Data...3447102117</v>
        <stp/>
        <stp>BDP|10417537879413212577</stp>
        <tr r="G600" s="2"/>
      </tp>
      <tp t="s">
        <v>#N/A Requesting Data...3922782936</v>
        <stp/>
        <stp>BDP|14139447624463984522</stp>
        <tr r="H44" s="2"/>
      </tp>
      <tp t="s">
        <v>#N/A Requesting Data...3288465667</v>
        <stp/>
        <stp>BDP|10834569486261624843</stp>
        <tr r="G282" s="2"/>
      </tp>
      <tp t="s">
        <v>#N/A Requesting Data...3981539234</v>
        <stp/>
        <stp>BDP|16208912469849754470</stp>
        <tr r="AB89" s="1"/>
      </tp>
      <tp t="s">
        <v>#N/A Requesting Data...3976434515</v>
        <stp/>
        <stp>BDP|16058682656156206768</stp>
        <tr r="G376" s="2"/>
      </tp>
      <tp t="s">
        <v>#N/A Requesting Data...3770481627</v>
        <stp/>
        <stp>BDP|11091061328855080246</stp>
        <tr r="F328" s="2"/>
      </tp>
      <tp t="s">
        <v>#N/A Requesting Data...3805145039</v>
        <stp/>
        <stp>BDP|15229796963118340869</stp>
        <tr r="F444" s="2"/>
      </tp>
      <tp t="s">
        <v>#N/A Requesting Data...3455431985</v>
        <stp/>
        <stp>BDP|16258641248847223701</stp>
        <tr r="G153" s="2"/>
      </tp>
      <tp t="s">
        <v>#N/A Requesting Data...3451599087</v>
        <stp/>
        <stp>BDP|15618939858525033810</stp>
        <tr r="G40" s="2"/>
      </tp>
      <tp t="s">
        <v>#N/A Requesting Data...3620998796</v>
        <stp/>
        <stp>BDP|14549258409001064359</stp>
        <tr r="G260" s="2"/>
      </tp>
      <tp t="s">
        <v>#N/A Requesting Data...3707075132</v>
        <stp/>
        <stp>BDP|14345312811611838370</stp>
        <tr r="F541" s="2"/>
      </tp>
      <tp t="s">
        <v>#N/A Requesting Data...3518678558</v>
        <stp/>
        <stp>BDP|14940897003769621195</stp>
        <tr r="F585" s="2"/>
      </tp>
      <tp t="s">
        <v>#N/A Requesting Data...3931705349</v>
        <stp/>
        <stp>BDP|17795488466400619134</stp>
        <tr r="G160" s="2"/>
      </tp>
      <tp t="s">
        <v>#N/A Requesting Data...3929101622</v>
        <stp/>
        <stp>BDP|17052414167273834227</stp>
        <tr r="E614" s="2"/>
      </tp>
      <tp t="s">
        <v>#N/A Requesting Data...3680265434</v>
        <stp/>
        <stp>BDP|15457087327021349243</stp>
        <tr r="AB4" s="1"/>
      </tp>
      <tp t="s">
        <v>#N/A Requesting Data...3326060431</v>
        <stp/>
        <stp>BDP|12150103523357610281</stp>
        <tr r="G134" s="2"/>
      </tp>
      <tp t="s">
        <v>#N/A Requesting Data...4103856421</v>
        <stp/>
        <stp>BDP|15086040968887024007</stp>
        <tr r="G2" s="2"/>
        <tr r="G27" s="2"/>
      </tp>
      <tp t="s">
        <v>#N/A Requesting Data...3231228149</v>
        <stp/>
        <stp>BDP|14797850906651810935</stp>
        <tr r="H394" s="2"/>
      </tp>
      <tp t="s">
        <v>#N/A Requesting Data...3684137722</v>
        <stp/>
        <stp>BDP|14025923589927021644</stp>
        <tr r="F478" s="2"/>
      </tp>
      <tp t="s">
        <v>#N/A Requesting Data...4269900223</v>
        <stp/>
        <stp>BDP|15488391851081752641</stp>
        <tr r="E48" s="2"/>
      </tp>
      <tp t="s">
        <v>#N/A Requesting Data...4019096199</v>
        <stp/>
        <stp>BDP|11473714362404947013</stp>
        <tr r="G544" s="2"/>
      </tp>
      <tp t="s">
        <v>#N/A Requesting Data...3382444105</v>
        <stp/>
        <stp>BDP|15099395666704728062</stp>
        <tr r="H260" s="2"/>
      </tp>
      <tp t="s">
        <v>#N/A Requesting Data...4201965437</v>
        <stp/>
        <stp>BDP|11227931346341933909</stp>
        <tr r="F232" s="2"/>
      </tp>
      <tp t="s">
        <v>#N/A Requesting Data...3966577437</v>
        <stp/>
        <stp>BDP|14300762868915153427</stp>
        <tr r="F536" s="2"/>
      </tp>
      <tp t="s">
        <v>#N/A Requesting Data...3314270971</v>
        <stp/>
        <stp>BDP|14802587103653596681</stp>
        <tr r="E451" s="2"/>
      </tp>
      <tp t="s">
        <v>#N/A Requesting Data...3302808503</v>
        <stp/>
        <stp>BDP|13993822664209247034</stp>
        <tr r="AB67" s="1"/>
      </tp>
      <tp t="s">
        <v>#N/A Requesting Data...4068006701</v>
        <stp/>
        <stp>BDP|17948451077537686737</stp>
        <tr r="G476" s="2"/>
      </tp>
      <tp t="s">
        <v>#N/A Requesting Data...3357771032</v>
        <stp/>
        <stp>BDP|18219759935470931851</stp>
        <tr r="G590" s="2"/>
      </tp>
      <tp t="s">
        <v>#N/A Requesting Data...3991437428</v>
        <stp/>
        <stp>BDP|14571165100240904143</stp>
        <tr r="AA18" s="1"/>
      </tp>
      <tp t="s">
        <v>#N/A Requesting Data...3338392361</v>
        <stp/>
        <stp>BDP|14129301020562941360</stp>
        <tr r="Z47" s="1"/>
      </tp>
      <tp t="s">
        <v>#N/A Requesting Data...4034377867</v>
        <stp/>
        <stp>BDP|10328893287966081235</stp>
        <tr r="Z62" s="1"/>
      </tp>
      <tp t="s">
        <v>#N/A Requesting Data...3269254863</v>
        <stp/>
        <stp>BDP|13787272736137286158</stp>
        <tr r="F129" s="2"/>
      </tp>
      <tp t="s">
        <v>#N/A Requesting Data...4199160046</v>
        <stp/>
        <stp>BDP|15705721243806231451</stp>
        <tr r="F489" s="2"/>
      </tp>
      <tp t="s">
        <v>#N/A Requesting Data...3894161624</v>
        <stp/>
        <stp>BDP|15987629379841519162</stp>
        <tr r="F53" s="2"/>
      </tp>
      <tp t="s">
        <v>#N/A Requesting Data...3683493024</v>
        <stp/>
        <stp>BDP|10329217224173597725</stp>
        <tr r="G522" s="2"/>
      </tp>
      <tp t="s">
        <v>#N/A Requesting Data...3507173663</v>
        <stp/>
        <stp>BDP|11758552548396384280</stp>
        <tr r="E414" s="2"/>
      </tp>
      <tp t="s">
        <v>#N/A Requesting Data...3402373366</v>
        <stp/>
        <stp>BDP|12936390052480624057</stp>
        <tr r="G365" s="2"/>
      </tp>
      <tp t="s">
        <v>#N/A Requesting Data...3624426326</v>
        <stp/>
        <stp>BDP|18115518427249650209</stp>
        <tr r="G214" s="2"/>
      </tp>
      <tp t="s">
        <v>#N/A Requesting Data...3757511278</v>
        <stp/>
        <stp>BDP|15460035611291639117</stp>
        <tr r="G336" s="2"/>
      </tp>
      <tp t="s">
        <v>#N/A Requesting Data...3665421073</v>
        <stp/>
        <stp>BDP|15776886695578274889</stp>
        <tr r="G412" s="2"/>
      </tp>
      <tp t="s">
        <v>#N/A Requesting Data...4261146849</v>
        <stp/>
        <stp>BDP|12167093300814955214</stp>
        <tr r="F420" s="2"/>
      </tp>
      <tp t="s">
        <v>#N/A Requesting Data...3446995771</v>
        <stp/>
        <stp>BDP|16383006294772775902</stp>
        <tr r="H114" s="2"/>
      </tp>
      <tp t="s">
        <v>#N/A Requesting Data...3388786682</v>
        <stp/>
        <stp>BDP|10385220115252112558</stp>
        <tr r="E194" s="2"/>
      </tp>
      <tp t="s">
        <v>#N/A Requesting Data...4251077106</v>
        <stp/>
        <stp>BDP|16667283062174539295</stp>
        <tr r="F616" s="2"/>
      </tp>
      <tp t="s">
        <v>#N/A Requesting Data...3558491626</v>
        <stp/>
        <stp>BDP|14471361657533341565</stp>
        <tr r="G12" s="2"/>
      </tp>
      <tp t="s">
        <v>#N/A Requesting Data...3569109857</v>
        <stp/>
        <stp>BDP|18445674008589968322</stp>
        <tr r="F497" s="2"/>
      </tp>
      <tp t="s">
        <v>#N/A Requesting Data...3745762063</v>
        <stp/>
        <stp>BDP|17273663591165404915</stp>
        <tr r="E413" s="2"/>
      </tp>
      <tp t="s">
        <v>#N/A Requesting Data...4204385990</v>
        <stp/>
        <stp>BDP|13943565520215712585</stp>
        <tr r="F562" s="2"/>
      </tp>
      <tp t="s">
        <v>#N/A Requesting Data...4190359330</v>
        <stp/>
        <stp>BDP|12879696714694046557</stp>
        <tr r="E295" s="2"/>
      </tp>
      <tp t="s">
        <v>#N/A Requesting Data...4108807203</v>
        <stp/>
        <stp>BDP|10944916960279398287</stp>
        <tr r="H377" s="2"/>
      </tp>
      <tp t="s">
        <v>#N/A Requesting Data...4198286138</v>
        <stp/>
        <stp>BDP|15780502185579742568</stp>
        <tr r="H78" s="2"/>
      </tp>
      <tp t="s">
        <v>#N/A Requesting Data...4057957956</v>
        <stp/>
        <stp>BDP|15600408234861971787</stp>
        <tr r="H367" s="2"/>
      </tp>
      <tp t="s">
        <v>#N/A Requesting Data...3466389188</v>
        <stp/>
        <stp>BDP|11859003345072639382</stp>
        <tr r="H9" s="2"/>
      </tp>
      <tp t="s">
        <v>#N/A Requesting Data...3340102087</v>
        <stp/>
        <stp>BDP|11901586132570514357</stp>
        <tr r="H10" s="2"/>
      </tp>
      <tp t="s">
        <v>#N/A Requesting Data...4094916433</v>
        <stp/>
        <stp>BDP|14064618213134159313</stp>
        <tr r="G197" s="2"/>
      </tp>
      <tp t="s">
        <v>#N/A Requesting Data...3546176120</v>
        <stp/>
        <stp>BDP|14330193884780289994</stp>
        <tr r="H216" s="2"/>
      </tp>
      <tp t="s">
        <v>#N/A Requesting Data...4245029273</v>
        <stp/>
        <stp>BDP|11343518870254778303</stp>
        <tr r="H88" s="2"/>
      </tp>
      <tp t="s">
        <v>#N/A Requesting Data...3987066023</v>
        <stp/>
        <stp>BDP|12751434160606213238</stp>
        <tr r="E38" s="2"/>
      </tp>
      <tp t="s">
        <v>#N/A Requesting Data...4038326402</v>
        <stp/>
        <stp>BDP|16354582856551824305</stp>
        <tr r="F321" s="2"/>
      </tp>
      <tp t="s">
        <v>#N/A Requesting Data...3600611778</v>
        <stp/>
        <stp>BDP|12379315260375313659</stp>
        <tr r="E443" s="2"/>
      </tp>
      <tp t="s">
        <v>#N/A Requesting Data...3570234574</v>
        <stp/>
        <stp>BDP|13547607548445174089</stp>
        <tr r="H298" s="2"/>
      </tp>
      <tp t="s">
        <v>#N/A Requesting Data...3691589532</v>
        <stp/>
        <stp>BDP|18305962744891644036</stp>
        <tr r="G71" s="2"/>
      </tp>
      <tp t="s">
        <v>#N/A Requesting Data...3663780990</v>
        <stp/>
        <stp>BDP|11796103513901955498</stp>
        <tr r="H497" s="2"/>
      </tp>
      <tp t="s">
        <v>#N/A Requesting Data...4214712847</v>
        <stp/>
        <stp>BDP|10325009476117331424</stp>
        <tr r="G346" s="2"/>
      </tp>
      <tp t="s">
        <v>#N/A Requesting Data...3394721514</v>
        <stp/>
        <stp>BDP|12099780823043739089</stp>
        <tr r="H92" s="2"/>
      </tp>
      <tp t="s">
        <v>#N/A Requesting Data...3527967964</v>
        <stp/>
        <stp>BDP|15460097869826920198</stp>
        <tr r="H330" s="2"/>
      </tp>
      <tp t="s">
        <v>#N/A Requesting Data...4221389225</v>
        <stp/>
        <stp>BDP|11385909434078277715</stp>
        <tr r="AB98" s="1"/>
      </tp>
      <tp t="s">
        <v>#N/A Requesting Data...3965964671</v>
        <stp/>
        <stp>BDP|17668577008267422193</stp>
        <tr r="E191" s="2"/>
      </tp>
      <tp t="s">
        <v>#N/A Requesting Data...3392153010</v>
        <stp/>
        <stp>BDP|13406182947830820279</stp>
        <tr r="F507" s="2"/>
      </tp>
      <tp t="s">
        <v>#N/A Requesting Data...3291849769</v>
        <stp/>
        <stp>BDP|11713143366180201233</stp>
        <tr r="H503" s="2"/>
      </tp>
      <tp t="s">
        <v>#N/A Requesting Data...3591027710</v>
        <stp/>
        <stp>BDP|17677858188982647192</stp>
        <tr r="F620" s="2"/>
      </tp>
      <tp t="s">
        <v>#N/A Requesting Data...3418272180</v>
        <stp/>
        <stp>BDP|11447560686921556958</stp>
        <tr r="E404" s="2"/>
      </tp>
      <tp t="s">
        <v>#N/A Requesting Data...3921921681</v>
        <stp/>
        <stp>BDP|13299806123208666500</stp>
        <tr r="H571" s="2"/>
      </tp>
      <tp t="s">
        <v>#N/A Requesting Data...3697810432</v>
        <stp/>
        <stp>BDP|15929283196232813889</stp>
        <tr r="G613" s="2"/>
      </tp>
      <tp t="s">
        <v>#N/A Requesting Data...4135426584</v>
        <stp/>
        <stp>BDP|14197419936323601470</stp>
        <tr r="F308" s="2"/>
      </tp>
      <tp t="s">
        <v>#N/A Requesting Data...3807673642</v>
        <stp/>
        <stp>BDP|13761877581781400625</stp>
        <tr r="F111" s="2"/>
      </tp>
      <tp t="s">
        <v>#N/A Requesting Data...4095905197</v>
        <stp/>
        <stp>BDP|14718078314909265814</stp>
        <tr r="F3" s="2"/>
      </tp>
      <tp t="s">
        <v>#N/A Requesting Data...3544987499</v>
        <stp/>
        <stp>BDP|13521656193450334871</stp>
        <tr r="H20" s="2"/>
      </tp>
      <tp t="s">
        <v>#N/A Requesting Data...3401301934</v>
        <stp/>
        <stp>BDP|18028151913778429457</stp>
        <tr r="AB71" s="1"/>
      </tp>
      <tp t="s">
        <v>#N/A Requesting Data...3957278598</v>
        <stp/>
        <stp>BDP|17724498555441401388</stp>
        <tr r="AB97" s="1"/>
      </tp>
      <tp t="s">
        <v>#N/A Requesting Data...3435329845</v>
        <stp/>
        <stp>BDP|16049214861422114461</stp>
        <tr r="F459" s="2"/>
      </tp>
      <tp t="s">
        <v>#N/A Requesting Data...4196513229</v>
        <stp/>
        <stp>BDP|13030926099270842759</stp>
        <tr r="H449" s="2"/>
      </tp>
      <tp t="s">
        <v>#N/A Requesting Data...4189649957</v>
        <stp/>
        <stp>BDP|11787341239066559394</stp>
        <tr r="H249" s="2"/>
      </tp>
      <tp t="s">
        <v>#N/A Requesting Data...3712204579</v>
        <stp/>
        <stp>BDP|16526211130860144337</stp>
        <tr r="H105" s="2"/>
      </tp>
      <tp t="s">
        <v>#N/A Requesting Data...3416979425</v>
        <stp/>
        <stp>BDP|10223778055594373257</stp>
        <tr r="H254" s="2"/>
      </tp>
      <tp t="s">
        <v>#N/A Requesting Data...3696688000</v>
        <stp/>
        <stp>BDP|14783892589171731166</stp>
        <tr r="E606" s="2"/>
      </tp>
      <tp t="s">
        <v>#N/A Requesting Data...3625909098</v>
        <stp/>
        <stp>BDP|11528733000753650164</stp>
        <tr r="F87" s="2"/>
      </tp>
      <tp t="s">
        <v>#N/A Requesting Data...4166299629</v>
        <stp/>
        <stp>BDP|12564257360577644506</stp>
        <tr r="E199" s="2"/>
      </tp>
      <tp t="s">
        <v>#N/A Requesting Data...3393395025</v>
        <stp/>
        <stp>BDP|12506356504754342111</stp>
        <tr r="H491" s="2"/>
      </tp>
      <tp t="s">
        <v>#N/A Requesting Data...3812607152</v>
        <stp/>
        <stp>BDP|12239885060408305109</stp>
        <tr r="E223" s="2"/>
      </tp>
      <tp t="s">
        <v>#N/A Requesting Data...3386060692</v>
        <stp/>
        <stp>BDP|13320163835775887115</stp>
        <tr r="H245" s="2"/>
      </tp>
      <tp t="s">
        <v>#N/A Requesting Data...4143241993</v>
        <stp/>
        <stp>BDP|17036706478855002713</stp>
        <tr r="E83" s="2"/>
      </tp>
      <tp t="s">
        <v>#N/A Requesting Data...3395577845</v>
        <stp/>
        <stp>BDP|14801011569700899713</stp>
        <tr r="AB90" s="1"/>
      </tp>
      <tp t="s">
        <v>#N/A Requesting Data...4109661258</v>
        <stp/>
        <stp>BDP|14806540204854637078</stp>
        <tr r="H313" s="2"/>
      </tp>
      <tp t="s">
        <v>#N/A Requesting Data...3475694255</v>
        <stp/>
        <stp>BDP|10265218671587934729</stp>
        <tr r="AA67" s="1"/>
      </tp>
      <tp t="s">
        <v>#N/A Requesting Data...4255846457</v>
        <stp/>
        <stp>BDP|13543081938421418480</stp>
        <tr r="H68" s="2"/>
      </tp>
      <tp t="s">
        <v>#N/A Requesting Data...3891248212</v>
        <stp/>
        <stp>BDP|12150012415155989358</stp>
        <tr r="E305" s="2"/>
      </tp>
      <tp t="s">
        <v>#N/A Requesting Data...3927683946</v>
        <stp/>
        <stp>BDP|16695578890997997817</stp>
        <tr r="E276" s="2"/>
      </tp>
      <tp t="s">
        <v>#N/A Requesting Data...3345631326</v>
        <stp/>
        <stp>BDP|13909479581052420831</stp>
        <tr r="H180" s="2"/>
      </tp>
      <tp t="s">
        <v>#N/A Requesting Data...3505664434</v>
        <stp/>
        <stp>BDP|15304792131483102721</stp>
        <tr r="G572" s="2"/>
      </tp>
      <tp t="s">
        <v>#N/A Requesting Data...4028683862</v>
        <stp/>
        <stp>BDP|17581982921740709938</stp>
        <tr r="F64" s="2"/>
      </tp>
      <tp t="s">
        <v>#N/A Requesting Data...3410649255</v>
        <stp/>
        <stp>BDP|13085655769901164769</stp>
        <tr r="F508" s="2"/>
      </tp>
      <tp t="s">
        <v>#N/A Requesting Data...3999030095</v>
        <stp/>
        <stp>BDP|12144689257114470012</stp>
        <tr r="E229" s="2"/>
      </tp>
      <tp t="s">
        <v>#N/A Requesting Data...4093142242</v>
        <stp/>
        <stp>BDP|10033516904049890964</stp>
        <tr r="Z57" s="1"/>
      </tp>
      <tp t="s">
        <v>#N/A Requesting Data...3904918225</v>
        <stp/>
        <stp>BDP|14397446037322296499</stp>
        <tr r="G394" s="2"/>
      </tp>
      <tp t="s">
        <v>#N/A Requesting Data...3875415965</v>
        <stp/>
        <stp>BDP|14020554648046732617</stp>
        <tr r="F85" s="2"/>
      </tp>
      <tp t="s">
        <v>#N/A Requesting Data...4031496967</v>
        <stp/>
        <stp>BDP|10259508478221572648</stp>
        <tr r="E102" s="2"/>
      </tp>
      <tp t="s">
        <v>#N/A Requesting Data...4093370011</v>
        <stp/>
        <stp>BDP|10414561859801373439</stp>
        <tr r="F257" s="2"/>
      </tp>
      <tp t="s">
        <v>#N/A Requesting Data...4263013315</v>
        <stp/>
        <stp>BDP|12256299546014191573</stp>
        <tr r="E457" s="2"/>
      </tp>
      <tp t="s">
        <v>#N/A Requesting Data...3696365552</v>
        <stp/>
        <stp>BDP|10585297117277343125</stp>
        <tr r="E432" s="2"/>
      </tp>
      <tp t="s">
        <v>#N/A Requesting Data...3843743929</v>
        <stp/>
        <stp>BDP|14952634010433579553</stp>
        <tr r="G343" s="2"/>
      </tp>
      <tp t="s">
        <v>#N/A Requesting Data...3712742674</v>
        <stp/>
        <stp>BDP|14667430024335307282</stp>
        <tr r="G283" s="2"/>
      </tp>
      <tp t="s">
        <v>#N/A Requesting Data...4237738692</v>
        <stp/>
        <stp>BDP|15154322854555944343</stp>
        <tr r="E81" s="2"/>
      </tp>
      <tp t="s">
        <v>#N/A Requesting Data...3529807487</v>
        <stp/>
        <stp>BDP|16646792192815679862</stp>
        <tr r="H120" s="2"/>
      </tp>
      <tp t="s">
        <v>#N/A Requesting Data...4253381842</v>
        <stp/>
        <stp>BDP|15132043814569822848</stp>
        <tr r="G177" s="2"/>
      </tp>
      <tp t="s">
        <v>#N/A Requesting Data...3660341797</v>
        <stp/>
        <stp>BDP|10372849459159299115</stp>
        <tr r="F433" s="2"/>
      </tp>
      <tp t="s">
        <v>#N/A Requesting Data...3322528738</v>
        <stp/>
        <stp>BDP|10320774060331141583</stp>
        <tr r="G405" s="2"/>
      </tp>
      <tp t="s">
        <v>#N/A Requesting Data...3863410409</v>
        <stp/>
        <stp>BDP|15950500442885453429</stp>
        <tr r="H306" s="2"/>
      </tp>
      <tp t="s">
        <v>#N/A Requesting Data...3675697012</v>
        <stp/>
        <stp>BDP|17002396901645330462</stp>
        <tr r="Z2" s="1"/>
      </tp>
      <tp t="s">
        <v>#N/A Requesting Data...3461644726</v>
        <stp/>
        <stp>BDP|17088108938070064057</stp>
        <tr r="E59" s="2"/>
      </tp>
      <tp t="s">
        <v>#N/A Requesting Data...3444563488</v>
        <stp/>
        <stp>BDP|10169154974081505287</stp>
        <tr r="H211" s="2"/>
      </tp>
      <tp t="s">
        <v>#N/A Requesting Data...3898543659</v>
        <stp/>
        <stp>BDP|16832323363591616721</stp>
        <tr r="E453" s="2"/>
      </tp>
      <tp t="s">
        <v>#N/A Requesting Data...4042699651</v>
        <stp/>
        <stp>BDP|16981702563891604317</stp>
        <tr r="G291" s="2"/>
      </tp>
      <tp t="s">
        <v>#N/A Requesting Data...3556708017</v>
        <stp/>
        <stp>BDP|17493755627924377399</stp>
        <tr r="F6" s="2"/>
      </tp>
      <tp t="s">
        <v>#N/A Requesting Data...3723166117</v>
        <stp/>
        <stp>BDP|12266166143475896735</stp>
        <tr r="H435" s="2"/>
      </tp>
      <tp t="s">
        <v>#N/A Requesting Data...3636419972</v>
        <stp/>
        <stp>BDP|16190941590026134583</stp>
        <tr r="G586" s="2"/>
      </tp>
      <tp t="s">
        <v>#N/A Requesting Data...3541859788</v>
        <stp/>
        <stp>BDP|11040261778891268009</stp>
        <tr r="E607" s="2"/>
      </tp>
      <tp t="s">
        <v>#N/A Requesting Data...3788964793</v>
        <stp/>
        <stp>BDP|10626178959326548727</stp>
        <tr r="F593" s="2"/>
      </tp>
      <tp t="s">
        <v>#N/A Requesting Data...4289885359</v>
        <stp/>
        <stp>BDP|14421098559265872131</stp>
        <tr r="E592" s="2"/>
      </tp>
      <tp t="s">
        <v>#N/A Requesting Data...3491749053</v>
        <stp/>
        <stp>BDP|14439200027842879341</stp>
        <tr r="H131" s="2"/>
      </tp>
      <tp t="s">
        <v>#N/A Requesting Data...3771886797</v>
        <stp/>
        <stp>BDP|10157232108783353467</stp>
        <tr r="F559" s="2"/>
      </tp>
      <tp t="s">
        <v>#N/A Requesting Data...3559202095</v>
        <stp/>
        <stp>BDP|12662683045537243264</stp>
        <tr r="F55" s="2"/>
      </tp>
      <tp t="s">
        <v>#N/A Requesting Data...3856524009</v>
        <stp/>
        <stp>BDP|10249312343630816274</stp>
        <tr r="G442" s="2"/>
      </tp>
      <tp t="s">
        <v>#N/A Requesting Data...4045220355</v>
        <stp/>
        <stp>BDP|18137904857900850100</stp>
        <tr r="AB88" s="1"/>
      </tp>
      <tp t="s">
        <v>#N/A Requesting Data...3683455466</v>
        <stp/>
        <stp>BDP|12283733229166774416</stp>
        <tr r="H291" s="2"/>
      </tp>
      <tp t="s">
        <v>#N/A Requesting Data...4053490729</v>
        <stp/>
        <stp>BDP|17879668932042539576</stp>
        <tr r="H543" s="2"/>
      </tp>
      <tp t="s">
        <v>#N/A Requesting Data...3995839871</v>
        <stp/>
        <stp>BDP|11446271477165892427</stp>
        <tr r="F177" s="2"/>
      </tp>
      <tp t="s">
        <v>#N/A Requesting Data...3430041673</v>
        <stp/>
        <stp>BDP|11536476919148382961</stp>
        <tr r="G135" s="2"/>
      </tp>
      <tp t="s">
        <v>#N/A Requesting Data...3928048130</v>
        <stp/>
        <stp>BDP|12809718794629509062</stp>
        <tr r="F516" s="2"/>
      </tp>
      <tp t="s">
        <v>#N/A Requesting Data...3801175946</v>
        <stp/>
        <stp>BDP|14101804007418036184</stp>
        <tr r="Z43" s="1"/>
      </tp>
      <tp t="s">
        <v>#N/A Requesting Data...4185979011</v>
        <stp/>
        <stp>BDP|14990774377076787703</stp>
        <tr r="H524" s="2"/>
      </tp>
      <tp t="s">
        <v>#N/A Requesting Data...4223561673</v>
        <stp/>
        <stp>BDP|11473149503995590074</stp>
        <tr r="H349" s="2"/>
      </tp>
      <tp t="s">
        <v>#N/A Requesting Data...3751500577</v>
        <stp/>
        <stp>BDP|16134906873818219511</stp>
        <tr r="G582" s="2"/>
      </tp>
      <tp t="s">
        <v>#N/A Requesting Data...3826242754</v>
        <stp/>
        <stp>BDP|11554283128814001054</stp>
        <tr r="F228" s="2"/>
      </tp>
      <tp t="s">
        <v>#N/A Requesting Data...3733685179</v>
        <stp/>
        <stp>BDP|10380731210714410747</stp>
        <tr r="E528" s="2"/>
        <tr r="E530" s="2"/>
        <tr r="E542" s="2"/>
        <tr r="E625" s="2"/>
        <tr r="E627" s="2"/>
        <tr r="E629" s="2"/>
        <tr r="E631" s="2"/>
        <tr r="E633" s="2"/>
        <tr r="E635" s="2"/>
        <tr r="E637" s="2"/>
      </tp>
      <tp t="s">
        <v>#N/A Requesting Data...3991017645</v>
        <stp/>
        <stp>BDP|18342852703817050254</stp>
        <tr r="G621" s="2"/>
      </tp>
      <tp t="s">
        <v>#N/A Requesting Data...3627836408</v>
        <stp/>
        <stp>BDP|17088110331720251011</stp>
        <tr r="G496" s="2"/>
      </tp>
      <tp t="s">
        <v>#N/A Requesting Data...3357655596</v>
        <stp/>
        <stp>BDP|10281373283176218876</stp>
        <tr r="E329" s="2"/>
      </tp>
      <tp t="s">
        <v>#N/A Requesting Data...4281740053</v>
        <stp/>
        <stp>BDP|12952094588929243690</stp>
        <tr r="F263" s="2"/>
      </tp>
      <tp t="s">
        <v>#N/A Requesting Data...3607101055</v>
        <stp/>
        <stp>BDP|16900074554906887019</stp>
        <tr r="H167" s="2"/>
      </tp>
      <tp t="s">
        <v>#N/A Requesting Data...3633724573</v>
        <stp/>
        <stp>BDP|10233290466598971973</stp>
        <tr r="G607" s="2"/>
      </tp>
      <tp t="s">
        <v>#N/A Requesting Data...3782108731</v>
        <stp/>
        <stp>BDP|10461759612152991196</stp>
        <tr r="G229" s="2"/>
      </tp>
      <tp t="s">
        <v>#N/A Requesting Data...3749088014</v>
        <stp/>
        <stp>BDP|16390431751823249104</stp>
        <tr r="H414" s="2"/>
      </tp>
      <tp t="s">
        <v>#N/A Requesting Data...3538982528</v>
        <stp/>
        <stp>BDP|15551054163232071403</stp>
        <tr r="G220" s="2"/>
      </tp>
      <tp t="s">
        <v>#N/A Requesting Data...4139198291</v>
        <stp/>
        <stp>BDP|15937304189073762853</stp>
        <tr r="H179" s="2"/>
      </tp>
      <tp t="s">
        <v>#N/A Requesting Data...4140177294</v>
        <stp/>
        <stp>BDP|10148124737381155674</stp>
        <tr r="G373" s="2"/>
      </tp>
      <tp t="s">
        <v>#N/A Requesting Data...3583778760</v>
        <stp/>
        <stp>BDP|14303494817437799388</stp>
        <tr r="F449" s="2"/>
      </tp>
      <tp t="s">
        <v>#N/A Requesting Data...3769813548</v>
        <stp/>
        <stp>BDP|12365545465860679416</stp>
        <tr r="G137" s="2"/>
      </tp>
      <tp t="s">
        <v>#N/A Requesting Data...3532425584</v>
        <stp/>
        <stp>BDP|10666760845813476544</stp>
        <tr r="E64" s="2"/>
      </tp>
      <tp t="s">
        <v>#N/A Requesting Data...3481506482</v>
        <stp/>
        <stp>BDP|18226941647892017246</stp>
        <tr r="H419" s="2"/>
      </tp>
      <tp t="s">
        <v>#N/A Requesting Data...3902489419</v>
        <stp/>
        <stp>BDP|10632776874785876086</stp>
        <tr r="E308" s="2"/>
      </tp>
      <tp t="s">
        <v>#N/A Requesting Data...3897032481</v>
        <stp/>
        <stp>BDP|10469973604535420960</stp>
        <tr r="E182" s="2"/>
      </tp>
      <tp t="s">
        <v>#N/A Requesting Data...3617635113</v>
        <stp/>
        <stp>BDP|11295116749157981664</stp>
        <tr r="E603" s="2"/>
      </tp>
      <tp t="s">
        <v>#N/A Requesting Data...4031529321</v>
        <stp/>
        <stp>BDP|13995463881628845239</stp>
        <tr r="G372" s="2"/>
      </tp>
      <tp t="s">
        <v>#N/A Requesting Data...3877848067</v>
        <stp/>
        <stp>BDP|16865786250940468101</stp>
        <tr r="E11" s="2"/>
      </tp>
      <tp t="s">
        <v>#N/A Requesting Data...3863536396</v>
        <stp/>
        <stp>BDP|12650943988687992175</stp>
        <tr r="AB80" s="1"/>
      </tp>
      <tp t="s">
        <v>#N/A Requesting Data...4142837177</v>
        <stp/>
        <stp>BDP|17150459319952804512</stp>
        <tr r="F7" s="2"/>
      </tp>
      <tp t="s">
        <v>#N/A Requesting Data...3665151651</v>
        <stp/>
        <stp>BDP|12882541857590848741</stp>
        <tr r="F590" s="2"/>
      </tp>
      <tp t="s">
        <v>#N/A Requesting Data...4086560315</v>
        <stp/>
        <stp>BDP|10888125550085409493</stp>
        <tr r="E342" s="2"/>
      </tp>
      <tp t="s">
        <v>#N/A Requesting Data...3373743688</v>
        <stp/>
        <stp>BDP|17223689638690330762</stp>
        <tr r="G567" s="2"/>
      </tp>
      <tp t="s">
        <v>#N/A Requesting Data...3684857528</v>
        <stp/>
        <stp>BDP|12851040012347138182</stp>
        <tr r="H265" s="2"/>
      </tp>
      <tp t="s">
        <v>#N/A Requesting Data...3762072386</v>
        <stp/>
        <stp>BDP|16280338294241439866</stp>
        <tr r="AA48" s="1"/>
      </tp>
      <tp t="s">
        <v>#N/A Requesting Data...3585056271</v>
        <stp/>
        <stp>BDP|15191291229732601209</stp>
        <tr r="F333" s="2"/>
      </tp>
      <tp t="s">
        <v>#N/A Requesting Data...3542135348</v>
        <stp/>
        <stp>BDP|16790498305996406197</stp>
        <tr r="AA96" s="1"/>
      </tp>
      <tp t="s">
        <v>#N/A Requesting Data...3451726018</v>
        <stp/>
        <stp>BDP|12358564072342204731</stp>
        <tr r="H363" s="2"/>
      </tp>
      <tp t="s">
        <v>#N/A Requesting Data...4289642792</v>
        <stp/>
        <stp>BDP|13340334707192022711</stp>
        <tr r="H60" s="2"/>
      </tp>
      <tp t="s">
        <v>#N/A Requesting Data...4169901263</v>
        <stp/>
        <stp>BDP|13392300078877992549</stp>
        <tr r="F515" s="2"/>
      </tp>
    </main>
    <main first="bofaddin.rtdserver">
      <tp t="s">
        <v>#N/A Requesting Data...3512112995</v>
        <stp/>
        <stp>BDP|3902300485805606104</stp>
        <tr r="G305" s="2"/>
      </tp>
      <tp t="s">
        <v>#N/A Requesting Data...4226257286</v>
        <stp/>
        <stp>BDP|7873332027319208340</stp>
        <tr r="E166" s="2"/>
      </tp>
      <tp t="s">
        <v>#N/A Requesting Data...3512372167</v>
        <stp/>
        <stp>BDP|9123104669420485272</stp>
        <tr r="F555" s="2"/>
      </tp>
      <tp t="s">
        <v>#N/A Requesting Data...4201977648</v>
        <stp/>
        <stp>BDP|4687955439222319023</stp>
        <tr r="E338" s="2"/>
      </tp>
      <tp t="s">
        <v>#N/A Requesting Data...3621063999</v>
        <stp/>
        <stp>BDP|4536239885243803104</stp>
        <tr r="E464" s="2"/>
      </tp>
      <tp t="s">
        <v>#N/A Requesting Data...3462682171</v>
        <stp/>
        <stp>BDP|3320970558204388747</stp>
        <tr r="G610" s="2"/>
      </tp>
      <tp t="s">
        <v>#N/A Requesting Data...3721844950</v>
        <stp/>
        <stp>BDP|6211554251609885355</stp>
        <tr r="G235" s="2"/>
      </tp>
      <tp t="s">
        <v>#N/A Requesting Data...3892598546</v>
        <stp/>
        <stp>BDP|9868273666713595278</stp>
        <tr r="H222" s="2"/>
      </tp>
      <tp t="s">
        <v>#N/A Requesting Data...3824890159</v>
        <stp/>
        <stp>BDP|9974545757521633476</stp>
        <tr r="H502" s="2"/>
      </tp>
      <tp t="s">
        <v>#N/A Requesting Data...4154180415</v>
        <stp/>
        <stp>BDP|3066225929479282628</stp>
        <tr r="F282" s="2"/>
      </tp>
      <tp t="s">
        <v>#N/A Requesting Data...4064681268</v>
        <stp/>
        <stp>BDP|4594012508271569915</stp>
        <tr r="E438" s="2"/>
      </tp>
      <tp t="s">
        <v>#N/A Requesting Data...4174965656</v>
        <stp/>
        <stp>BDP|7914028936628430011</stp>
        <tr r="AA95" s="1"/>
      </tp>
      <tp t="s">
        <v>#N/A Requesting Data...3459658678</v>
        <stp/>
        <stp>BDP|6050567590091715788</stp>
        <tr r="E508" s="2"/>
      </tp>
      <tp t="s">
        <v>#N/A Requesting Data...3524359789</v>
        <stp/>
        <stp>BDP|8766575264221997646</stp>
        <tr r="F143" s="2"/>
      </tp>
      <tp t="s">
        <v>#N/A Requesting Data...3509162982</v>
        <stp/>
        <stp>BDP|4059919001008854919</stp>
        <tr r="E360" s="2"/>
      </tp>
      <tp t="s">
        <v>#N/A Requesting Data...4084074999</v>
        <stp/>
        <stp>BDP|8902826256500189959</stp>
        <tr r="E167" s="2"/>
      </tp>
      <tp t="s">
        <v>#N/A Requesting Data...3852315325</v>
        <stp/>
        <stp>BDP|7921822630998440815</stp>
        <tr r="G263" s="2"/>
      </tp>
      <tp t="s">
        <v>#N/A Requesting Data...4097614061</v>
        <stp/>
        <stp>BDP|8123120217022906639</stp>
        <tr r="E350" s="2"/>
      </tp>
      <tp t="s">
        <v>#N/A Requesting Data...4106237581</v>
        <stp/>
        <stp>BDP|6328372565446896977</stp>
        <tr r="G26" s="2"/>
      </tp>
      <tp t="s">
        <v>#N/A Requesting Data...3894844778</v>
        <stp/>
        <stp>BDP|1288291289087814047</stp>
        <tr r="E39" s="2"/>
      </tp>
      <tp t="s">
        <v>#N/A Requesting Data...3464116589</v>
        <stp/>
        <stp>BDP|2136278039057795862</stp>
        <tr r="H434" s="2"/>
      </tp>
      <tp t="s">
        <v>#N/A Requesting Data...4166613344</v>
        <stp/>
        <stp>BDP|9616153657277917633</stp>
        <tr r="H441" s="2"/>
      </tp>
      <tp t="s">
        <v>#N/A Requesting Data...3504914285</v>
        <stp/>
        <stp>BDP|3689881690156433852</stp>
        <tr r="F473" s="2"/>
      </tp>
      <tp t="s">
        <v>#N/A Requesting Data...3703560962</v>
        <stp/>
        <stp>BDP|4029058738323068821</stp>
        <tr r="H337" s="2"/>
      </tp>
      <tp t="s">
        <v>#N/A Requesting Data...4185554383</v>
        <stp/>
        <stp>BDP|7159123835288877111</stp>
        <tr r="E612" s="2"/>
      </tp>
      <tp t="s">
        <v>#N/A Requesting Data...3744033560</v>
        <stp/>
        <stp>BDP|4626796884256262158</stp>
        <tr r="H470" s="2"/>
      </tp>
      <tp t="s">
        <v>#N/A Requesting Data...4249300568</v>
        <stp/>
        <stp>BDP|4728919380431341893</stp>
        <tr r="G382" s="2"/>
      </tp>
      <tp t="s">
        <v>#N/A Requesting Data...3507537208</v>
        <stp/>
        <stp>BDP|6487656589933407708</stp>
        <tr r="H553" s="2"/>
      </tp>
      <tp t="s">
        <v>#N/A Requesting Data...3514117764</v>
        <stp/>
        <stp>BDP|1593897270606558453</stp>
        <tr r="H343" s="2"/>
      </tp>
      <tp t="s">
        <v>#N/A Requesting Data...3399813412</v>
        <stp/>
        <stp>BDP|6116064677909461488</stp>
        <tr r="H539" s="2"/>
      </tp>
      <tp t="s">
        <v>#N/A Requesting Data...3712105456</v>
        <stp/>
        <stp>BDP|9733394970493387202</stp>
        <tr r="E6" s="2"/>
      </tp>
      <tp t="s">
        <v>#N/A Requesting Data...4140335548</v>
        <stp/>
        <stp>BDP|8573782257255646312</stp>
        <tr r="F463" s="2"/>
      </tp>
      <tp t="s">
        <v>#N/A Requesting Data...3557340560</v>
        <stp/>
        <stp>BDP|6901564035359254550</stp>
        <tr r="AB42" s="1"/>
      </tp>
      <tp t="s">
        <v>#N/A Requesting Data...3873591520</v>
        <stp/>
        <stp>BDP|1091628966124068992</stp>
        <tr r="H322" s="2"/>
      </tp>
      <tp t="s">
        <v>#N/A Requesting Data...3701393418</v>
        <stp/>
        <stp>BDP|6831821219855470657</stp>
        <tr r="E433" s="2"/>
      </tp>
      <tp t="s">
        <v>#N/A Requesting Data...3516684971</v>
        <stp/>
        <stp>BDP|4784100783843449229</stp>
        <tr r="E510" s="2"/>
      </tp>
      <tp t="s">
        <v>#N/A Requesting Data...3942453884</v>
        <stp/>
        <stp>BDP|1603797979309537419</stp>
        <tr r="G80" s="2"/>
      </tp>
      <tp t="s">
        <v>#N/A Requesting Data...3934248686</v>
        <stp/>
        <stp>BDP|7596008838799792197</stp>
        <tr r="F548" s="2"/>
      </tp>
      <tp t="s">
        <v>#N/A Requesting Data...3615501429</v>
        <stp/>
        <stp>BDP|7371773013284445905</stp>
        <tr r="H531" s="2"/>
        <tr r="H626" s="2"/>
        <tr r="H628" s="2"/>
        <tr r="H630" s="2"/>
        <tr r="H634" s="2"/>
        <tr r="H638" s="2"/>
      </tp>
      <tp t="s">
        <v>#N/A Requesting Data...3709760029</v>
        <stp/>
        <stp>BDP|6385176700192472900</stp>
        <tr r="F302" s="2"/>
      </tp>
      <tp t="s">
        <v>#N/A Requesting Data...3678816244</v>
        <stp/>
        <stp>BDP|9560264065932551333</stp>
        <tr r="G374" s="2"/>
      </tp>
      <tp t="s">
        <v>#N/A Requesting Data...4137834218</v>
        <stp/>
        <stp>BDP|4408451733759216607</stp>
        <tr r="F141" s="2"/>
      </tp>
      <tp t="s">
        <v>#N/A Requesting Data...3879499858</v>
        <stp/>
        <stp>BDP|1881993665604169658</stp>
        <tr r="F147" s="2"/>
      </tp>
      <tp t="s">
        <v>#N/A Requesting Data...3825920930</v>
        <stp/>
        <stp>BDP|1634054723106218923</stp>
        <tr r="H443" s="2"/>
      </tp>
      <tp t="s">
        <v>#N/A Requesting Data...3820323588</v>
        <stp/>
        <stp>BDP|3191713289665031583</stp>
        <tr r="H223" s="2"/>
      </tp>
      <tp t="s">
        <v>#N/A Requesting Data...3876881981</v>
        <stp/>
        <stp>BDP|9489613250370025645</stp>
        <tr r="E587" s="2"/>
      </tp>
      <tp t="s">
        <v>#N/A Requesting Data...3731485573</v>
        <stp/>
        <stp>BDP|7549035951996114877</stp>
        <tr r="E456" s="2"/>
      </tp>
      <tp t="s">
        <v>#N/A Requesting Data...3614817309</v>
        <stp/>
        <stp>BDP|2734973862659217819</stp>
        <tr r="AB12" s="1"/>
      </tp>
      <tp t="s">
        <v>#N/A Requesting Data...4077215791</v>
        <stp/>
        <stp>BDP|9603953300078568471</stp>
        <tr r="E105" s="2"/>
      </tp>
      <tp t="s">
        <v>#N/A Requesting Data...4038388773</v>
        <stp/>
        <stp>BDP|5667113391750611115</stp>
        <tr r="E29" s="2"/>
      </tp>
      <tp t="s">
        <v>#N/A Requesting Data...3735165348</v>
        <stp/>
        <stp>BDP|7408102759257568890</stp>
        <tr r="F207" s="2"/>
      </tp>
      <tp t="s">
        <v>#N/A Requesting Data...3551024244</v>
        <stp/>
        <stp>BDP|6179214712998352176</stp>
        <tr r="H202" s="2"/>
      </tp>
      <tp t="s">
        <v>#N/A Requesting Data...3653959750</v>
        <stp/>
        <stp>BDP|9256761790279287205</stp>
        <tr r="H145" s="2"/>
      </tp>
      <tp t="s">
        <v>#N/A Requesting Data...3777849866</v>
        <stp/>
        <stp>BDP|1533139482846590270</stp>
        <tr r="F38" s="2"/>
      </tp>
      <tp t="s">
        <v>#N/A Requesting Data...3843603856</v>
        <stp/>
        <stp>BDP|7675586158699458245</stp>
        <tr r="H187" s="2"/>
      </tp>
      <tp t="s">
        <v>#N/A Requesting Data...3661068673</v>
        <stp/>
        <stp>BDP|2483034005256663839</stp>
        <tr r="G209" s="2"/>
      </tp>
      <tp t="s">
        <v>#N/A Requesting Data...3941967955</v>
        <stp/>
        <stp>BDP|3835365232189836630</stp>
        <tr r="E184" s="2"/>
      </tp>
      <tp t="s">
        <v>#N/A Requesting Data...4161387536</v>
        <stp/>
        <stp>BDP|4443015754518138570</stp>
        <tr r="H544" s="2"/>
      </tp>
      <tp t="s">
        <v>#N/A Requesting Data...3738016032</v>
        <stp/>
        <stp>BDP|1271803006703312638</stp>
        <tr r="G445" s="2"/>
      </tp>
      <tp t="s">
        <v>#N/A Requesting Data...3537639428</v>
        <stp/>
        <stp>BDP|4130820234704660752</stp>
        <tr r="E594" s="2"/>
      </tp>
      <tp t="s">
        <v>#N/A Requesting Data...3973285711</v>
        <stp/>
        <stp>BDP|9826330859546718516</stp>
        <tr r="F371" s="2"/>
      </tp>
      <tp t="s">
        <v>#N/A Requesting Data...3478875608</v>
        <stp/>
        <stp>BDP|8877817994636133385</stp>
        <tr r="G398" s="2"/>
      </tp>
      <tp t="s">
        <v>#N/A Requesting Data...4180167806</v>
        <stp/>
        <stp>BDP|7650041976038325436</stp>
        <tr r="Z36" s="1"/>
      </tp>
      <tp t="s">
        <v>#N/A Requesting Data...3909612498</v>
        <stp/>
        <stp>BDP|9454573358840798584</stp>
        <tr r="G224" s="2"/>
      </tp>
      <tp t="s">
        <v>#N/A Requesting Data...4137435311</v>
        <stp/>
        <stp>BDP|8230744067006579305</stp>
        <tr r="AA92" s="1"/>
      </tp>
      <tp t="s">
        <v>#N/A Requesting Data...4171554072</v>
        <stp/>
        <stp>BDP|7674149775818583577</stp>
        <tr r="AA23" s="1"/>
      </tp>
      <tp t="s">
        <v>#N/A Requesting Data...3537473879</v>
        <stp/>
        <stp>BDP|4218490497410013599</stp>
        <tr r="G494" s="2"/>
      </tp>
      <tp t="s">
        <v>#N/A Requesting Data...3717327590</v>
        <stp/>
        <stp>BDP|1991836403647991251</stp>
        <tr r="G23" s="2"/>
      </tp>
      <tp t="s">
        <v>#N/A Requesting Data...3646831298</v>
        <stp/>
        <stp>BDP|2115143592903542578</stp>
        <tr r="E391" s="2"/>
      </tp>
      <tp t="s">
        <v>#N/A Requesting Data...3605863223</v>
        <stp/>
        <stp>BDP|8529493553990736422</stp>
        <tr r="H205" s="2"/>
      </tp>
      <tp t="s">
        <v>#N/A Requesting Data...3897733553</v>
        <stp/>
        <stp>BDP|6597724901855546998</stp>
        <tr r="G19" s="2"/>
      </tp>
      <tp t="s">
        <v>#N/A Requesting Data...3472766005</v>
        <stp/>
        <stp>BDP|2067148120704613888</stp>
        <tr r="G321" s="2"/>
      </tp>
      <tp t="s">
        <v>#N/A Requesting Data...4077895898</v>
        <stp/>
        <stp>BDP|7489997702623097052</stp>
        <tr r="E277" s="2"/>
      </tp>
      <tp t="s">
        <v>#N/A Requesting Data...3819550134</v>
        <stp/>
        <stp>BDP|8597299025154166123</stp>
        <tr r="Z45" s="1"/>
      </tp>
      <tp t="s">
        <v>#N/A Requesting Data...3862330776</v>
        <stp/>
        <stp>BDP|8878141113210521501</stp>
        <tr r="E21" s="2"/>
      </tp>
      <tp t="s">
        <v>#N/A Requesting Data...3939356597</v>
        <stp/>
        <stp>BDP|3388807974928886947</stp>
        <tr r="H252" s="2"/>
      </tp>
      <tp t="s">
        <v>#N/A Requesting Data...3540344805</v>
        <stp/>
        <stp>BDP|6844390199133757249</stp>
        <tr r="G129" s="2"/>
      </tp>
      <tp t="s">
        <v>#N/A Requesting Data...4225160396</v>
        <stp/>
        <stp>BDP|5303424733519983608</stp>
        <tr r="F96" s="2"/>
      </tp>
      <tp t="s">
        <v>#N/A Requesting Data...3489790092</v>
        <stp/>
        <stp>BDP|7633385306611644850</stp>
        <tr r="F597" s="2"/>
      </tp>
      <tp t="s">
        <v>#N/A Requesting Data...4057041945</v>
        <stp/>
        <stp>BDP|8457582226751835397</stp>
        <tr r="E293" s="2"/>
      </tp>
      <tp t="s">
        <v>#N/A Requesting Data...4131115743</v>
        <stp/>
        <stp>BDP|7157796048100340981</stp>
        <tr r="F269" s="2"/>
      </tp>
      <tp t="s">
        <v>#N/A Requesting Data...3891071480</v>
        <stp/>
        <stp>BDP|2833210845909028049</stp>
        <tr r="F322" s="2"/>
      </tp>
      <tp t="s">
        <v>#N/A Requesting Data...3777802694</v>
        <stp/>
        <stp>BDP|8797518429334005670</stp>
        <tr r="F566" s="2"/>
      </tp>
      <tp t="s">
        <v>#N/A Requesting Data...3674949123</v>
        <stp/>
        <stp>BDP|7812813871213725670</stp>
        <tr r="G491" s="2"/>
      </tp>
      <tp t="s">
        <v>#N/A Requesting Data...3702199259</v>
        <stp/>
        <stp>BDP|1222655895415967632</stp>
        <tr r="AB84" s="1"/>
      </tp>
      <tp t="s">
        <v>#N/A Requesting Data...4123943761</v>
        <stp/>
        <stp>BDP|1000096253898752146</stp>
        <tr r="G326" s="2"/>
      </tp>
      <tp t="s">
        <v>#N/A Requesting Data...4161129172</v>
        <stp/>
        <stp>BDP|3036762011738741096</stp>
        <tr r="AA20" s="1"/>
      </tp>
      <tp t="s">
        <v>#N/A Requesting Data...3888753946</v>
        <stp/>
        <stp>BDP|9920978333059034731</stp>
        <tr r="F144" s="2"/>
      </tp>
      <tp t="s">
        <v>#N/A Requesting Data...3865744505</v>
        <stp/>
        <stp>BDP|4479314629681725954</stp>
        <tr r="H125" s="2"/>
      </tp>
      <tp t="s">
        <v>#N/A Requesting Data...3660136199</v>
        <stp/>
        <stp>BDP|4555438987365736088</stp>
        <tr r="G257" s="2"/>
      </tp>
      <tp t="s">
        <v>#N/A Requesting Data...3624392110</v>
        <stp/>
        <stp>BDP|9965644709494226681</stp>
        <tr r="G95" s="2"/>
      </tp>
      <tp t="s">
        <v>#N/A Requesting Data...3969113970</v>
        <stp/>
        <stp>BDP|7793947060654547188</stp>
        <tr r="H596" s="2"/>
      </tp>
      <tp t="s">
        <v>#N/A Requesting Data...3555357860</v>
        <stp/>
        <stp>BDP|4818827355021248535</stp>
        <tr r="E526" s="2"/>
      </tp>
      <tp t="s">
        <v>#N/A Requesting Data...3493715827</v>
        <stp/>
        <stp>BDP|8025030675040946211</stp>
        <tr r="F124" s="2"/>
      </tp>
      <tp t="s">
        <v>#N/A Requesting Data...3594320668</v>
        <stp/>
        <stp>BDP|6991952603871509344</stp>
        <tr r="G62" s="2"/>
      </tp>
      <tp t="s">
        <v>#N/A Requesting Data...4138257511</v>
        <stp/>
        <stp>BDP|5770371107793800808</stp>
        <tr r="G333" s="2"/>
      </tp>
      <tp t="s">
        <v>#N/A Requesting Data...4209753814</v>
        <stp/>
        <stp>BDP|5468178016330340892</stp>
        <tr r="H128" s="2"/>
      </tp>
      <tp t="s">
        <v>#N/A Requesting Data...3704541147</v>
        <stp/>
        <stp>BDP|9302134634813336582</stp>
        <tr r="AB50" s="1"/>
      </tp>
      <tp t="s">
        <v>#N/A Requesting Data...4255319553</v>
        <stp/>
        <stp>BDP|4809529696670718541</stp>
        <tr r="F568" s="2"/>
      </tp>
      <tp t="s">
        <v>#N/A Requesting Data...3815232128</v>
        <stp/>
        <stp>BDP|9392937528707208860</stp>
        <tr r="G169" s="2"/>
      </tp>
      <tp t="s">
        <v>#N/A Requesting Data...4246322362</v>
        <stp/>
        <stp>BDP|6908906158685898250</stp>
        <tr r="AA61" s="1"/>
      </tp>
      <tp t="s">
        <v>#N/A Requesting Data...3977251920</v>
        <stp/>
        <stp>BDP|5568960826316980500</stp>
        <tr r="E450" s="2"/>
      </tp>
      <tp t="s">
        <v>#N/A Requesting Data...3858405371</v>
        <stp/>
        <stp>BDP|7863308434438522256</stp>
        <tr r="F567" s="2"/>
      </tp>
      <tp t="s">
        <v>#N/A Requesting Data...3672550345</v>
        <stp/>
        <stp>BDP|2820520177735328826</stp>
        <tr r="E169" s="2"/>
      </tp>
      <tp t="s">
        <v>#N/A Requesting Data...3642831657</v>
        <stp/>
        <stp>BDP|9343115559276790613</stp>
        <tr r="G481" s="2"/>
      </tp>
      <tp t="s">
        <v>#N/A Requesting Data...3607699585</v>
        <stp/>
        <stp>BDP|8023352826797632389</stp>
        <tr r="G602" s="2"/>
      </tp>
      <tp t="s">
        <v>#N/A Requesting Data...4273480786</v>
        <stp/>
        <stp>BDP|1908841601582825698</stp>
        <tr r="F214" s="2"/>
      </tp>
      <tp t="s">
        <v>#N/A Requesting Data...4165654642</v>
        <stp/>
        <stp>BDP|6233968196548965366</stp>
        <tr r="F137" s="2"/>
      </tp>
      <tp t="s">
        <v>#N/A Requesting Data...4195567018</v>
        <stp/>
        <stp>BDP|9549763672902551695</stp>
        <tr r="AA88" s="1"/>
      </tp>
      <tp t="s">
        <v>#N/A Requesting Data...3950782903</v>
        <stp/>
        <stp>BDP|7302947967631794451</stp>
        <tr r="F544" s="2"/>
      </tp>
      <tp t="s">
        <v>#N/A Requesting Data...3991004584</v>
        <stp/>
        <stp>BDP|7551933540805455201</stp>
        <tr r="G238" s="2"/>
      </tp>
      <tp t="s">
        <v>#N/A Requesting Data...3801783030</v>
        <stp/>
        <stp>BDP|5202137296243579308</stp>
        <tr r="F592" s="2"/>
      </tp>
      <tp t="s">
        <v>#N/A Requesting Data...3986345138</v>
        <stp/>
        <stp>BDP|5136935310043721379</stp>
        <tr r="Z22" s="1"/>
      </tp>
      <tp t="s">
        <v>#N/A Requesting Data...4122697333</v>
        <stp/>
        <stp>BDP|5093702991777273116</stp>
        <tr r="H622" s="2"/>
      </tp>
      <tp t="s">
        <v>#N/A Requesting Data...3734541985</v>
        <stp/>
        <stp>BDP|6013599341232822833</stp>
        <tr r="Z51" s="1"/>
      </tp>
      <tp t="s">
        <v>#N/A Requesting Data...3980168517</v>
        <stp/>
        <stp>BDP|2304668582068060940</stp>
        <tr r="G147" s="2"/>
      </tp>
      <tp t="s">
        <v>#N/A Requesting Data...4192737025</v>
        <stp/>
        <stp>BDP|6476601029758913775</stp>
        <tr r="H201" s="2"/>
      </tp>
      <tp t="s">
        <v>#N/A Requesting Data...3841542613</v>
        <stp/>
        <stp>BDP|7659452585400006656</stp>
        <tr r="E238" s="2"/>
      </tp>
      <tp t="s">
        <v>#N/A Requesting Data...3913837521</v>
        <stp/>
        <stp>BDP|8964499088620990926</stp>
        <tr r="E576" s="2"/>
      </tp>
      <tp t="s">
        <v>#N/A Requesting Data...3803016639</v>
        <stp/>
        <stp>BDP|2143340179182503999</stp>
        <tr r="F67" s="2"/>
      </tp>
      <tp t="s">
        <v>#N/A Requesting Data...3590223488</v>
        <stp/>
        <stp>BDP|4528564262959591349</stp>
        <tr r="AA15" s="1"/>
      </tp>
      <tp t="s">
        <v>#N/A Requesting Data...3650172791</v>
        <stp/>
        <stp>BDP|6072641296945277106</stp>
        <tr r="H189" s="2"/>
      </tp>
      <tp t="s">
        <v>#N/A Requesting Data...3504067221</v>
        <stp/>
        <stp>BDP|1761026902855777914</stp>
        <tr r="G118" s="2"/>
      </tp>
      <tp t="s">
        <v>#N/A Requesting Data...4123389234</v>
        <stp/>
        <stp>BDP|8524730967943671760</stp>
        <tr r="E328" s="2"/>
      </tp>
      <tp t="s">
        <v>#N/A Requesting Data...4154414936</v>
        <stp/>
        <stp>BDP|8714667574032224665</stp>
        <tr r="H432" s="2"/>
      </tp>
      <tp t="s">
        <v>#N/A Requesting Data...4052785349</v>
        <stp/>
        <stp>BDP|1119337582400184709</stp>
        <tr r="Z65" s="1"/>
      </tp>
      <tp t="s">
        <v>#N/A Requesting Data...3496937868</v>
        <stp/>
        <stp>BDP|4120824111855756549</stp>
        <tr r="H158" s="2"/>
      </tp>
      <tp t="s">
        <v>#N/A Requesting Data...4275081914</v>
        <stp/>
        <stp>BDP|8329947419808762589</stp>
        <tr r="E519" s="2"/>
      </tp>
      <tp t="s">
        <v>#N/A Requesting Data...3746166446</v>
        <stp/>
        <stp>BDP|5321955894321666955</stp>
        <tr r="F154" s="2"/>
      </tp>
      <tp t="s">
        <v>#N/A Requesting Data...3966216404</v>
        <stp/>
        <stp>BDP|9480057673110040340</stp>
        <tr r="E499" s="2"/>
      </tp>
      <tp t="s">
        <v>#N/A Requesting Data...3686004777</v>
        <stp/>
        <stp>BDP|5703664274781686859</stp>
        <tr r="E250" s="2"/>
      </tp>
      <tp t="s">
        <v>#N/A Requesting Data...3918891941</v>
        <stp/>
        <stp>BDP|9772767001345160670</stp>
        <tr r="E469" s="2"/>
      </tp>
      <tp t="s">
        <v>#N/A Requesting Data...4110223934</v>
        <stp/>
        <stp>BDP|5965963388238911182</stp>
        <tr r="F586" s="2"/>
      </tp>
      <tp t="s">
        <v>#N/A Requesting Data...3585586058</v>
        <stp/>
        <stp>BDP|8716602957711177763</stp>
        <tr r="E558" s="2"/>
      </tp>
      <tp t="s">
        <v>#N/A Requesting Data...3497133504</v>
        <stp/>
        <stp>BDP|9004250257646273572</stp>
        <tr r="G303" s="2"/>
      </tp>
      <tp t="s">
        <v>#N/A Requesting Data...3519909739</v>
        <stp/>
        <stp>BDP|9635066350686768707</stp>
        <tr r="E416" s="2"/>
      </tp>
      <tp t="s">
        <v>#N/A Requesting Data...3809329520</v>
        <stp/>
        <stp>BDP|5728375717608753272</stp>
        <tr r="F51" s="2"/>
      </tp>
      <tp t="s">
        <v>#N/A Requesting Data...3549564644</v>
        <stp/>
        <stp>BDP|1790463874318084718</stp>
        <tr r="F270" s="2"/>
      </tp>
      <tp t="s">
        <v>#N/A Requesting Data...3753161367</v>
        <stp/>
        <stp>BDP|8022901483123759708</stp>
        <tr r="E135" s="2"/>
      </tp>
      <tp t="s">
        <v>#N/A Requesting Data...3845857970</v>
        <stp/>
        <stp>BDP|9121537230117338559</stp>
        <tr r="E405" s="2"/>
      </tp>
      <tp t="s">
        <v>#N/A Requesting Data...3978220862</v>
        <stp/>
        <stp>BDP|3286682944715896925</stp>
        <tr r="E251" s="2"/>
      </tp>
      <tp t="s">
        <v>#N/A Requesting Data...3646458864</v>
        <stp/>
        <stp>BDP|2113875160465761456</stp>
        <tr r="F289" s="2"/>
      </tp>
      <tp t="s">
        <v>#N/A Requesting Data...4073387182</v>
        <stp/>
        <stp>BDP|2166997033456971362</stp>
        <tr r="F480" s="2"/>
      </tp>
      <tp t="s">
        <v>#N/A Requesting Data...4264784089</v>
        <stp/>
        <stp>BDP|6462271449678929570</stp>
        <tr r="F510" s="2"/>
      </tp>
      <tp t="s">
        <v>#N/A Requesting Data...3500333942</v>
        <stp/>
        <stp>BDP|3025504094143783178</stp>
        <tr r="F410" s="2"/>
      </tp>
      <tp t="s">
        <v>#N/A Requesting Data...3745230308</v>
        <stp/>
        <stp>BDP|2850105403076759883</stp>
        <tr r="F528" s="2"/>
        <tr r="F530" s="2"/>
        <tr r="F542" s="2"/>
        <tr r="F625" s="2"/>
        <tr r="F627" s="2"/>
        <tr r="F629" s="2"/>
        <tr r="F631" s="2"/>
        <tr r="F633" s="2"/>
        <tr r="F635" s="2"/>
        <tr r="F637" s="2"/>
      </tp>
      <tp t="s">
        <v>#N/A Requesting Data...3872949242</v>
        <stp/>
        <stp>BDP|5121049318078863105</stp>
        <tr r="AA86" s="1"/>
      </tp>
      <tp t="s">
        <v>#N/A Requesting Data...3551809843</v>
        <stp/>
        <stp>BDP|1107815630824341361</stp>
        <tr r="F375" s="2"/>
      </tp>
      <tp t="s">
        <v>#N/A Requesting Data...3755742076</v>
        <stp/>
        <stp>BDP|8617745461942347654</stp>
        <tr r="G285" s="2"/>
      </tp>
      <tp t="s">
        <v>#N/A Requesting Data...4222615412</v>
        <stp/>
        <stp>BDP|5351079250089324422</stp>
        <tr r="F452" s="2"/>
      </tp>
      <tp t="s">
        <v>#N/A Requesting Data...4089597959</v>
        <stp/>
        <stp>BDP|9366327834583077702</stp>
        <tr r="G199" s="2"/>
      </tp>
      <tp t="s">
        <v>#N/A Requesting Data...4294707521</v>
        <stp/>
        <stp>BDP|9125359602681192621</stp>
        <tr r="G485" s="2"/>
      </tp>
      <tp t="s">
        <v>#N/A Requesting Data...3937913866</v>
        <stp/>
        <stp>BDP|3794807170541789054</stp>
        <tr r="F134" s="2"/>
      </tp>
      <tp t="s">
        <v>#N/A Requesting Data...3743659377</v>
        <stp/>
        <stp>BDP|9933586232452816311</stp>
        <tr r="G213" s="2"/>
      </tp>
      <tp t="s">
        <v>#N/A Requesting Data...4292577249</v>
        <stp/>
        <stp>BDP|5967653686561117412</stp>
        <tr r="F184" s="2"/>
      </tp>
      <tp t="s">
        <v>#N/A Requesting Data...3657867466</v>
        <stp/>
        <stp>BDP|2034351469000523933</stp>
        <tr r="G123" s="2"/>
      </tp>
      <tp t="s">
        <v>#N/A Requesting Data...3680176511</v>
        <stp/>
        <stp>BDP|5879270616318496061</stp>
        <tr r="G312" s="2"/>
      </tp>
      <tp t="s">
        <v>#N/A Requesting Data...3820260711</v>
        <stp/>
        <stp>BDP|8686694606605772552</stp>
        <tr r="F557" s="2"/>
      </tp>
      <tp t="s">
        <v>#N/A Requesting Data...3941591834</v>
        <stp/>
        <stp>BDP|1636562660799963526</stp>
        <tr r="E131" s="2"/>
      </tp>
      <tp t="s">
        <v>#N/A Requesting Data...4274319058</v>
        <stp/>
        <stp>BDP|8221528282353828829</stp>
        <tr r="AB100" s="1"/>
      </tp>
      <tp t="s">
        <v>#N/A Requesting Data...3998155496</v>
        <stp/>
        <stp>BDP|2675707128879755004</stp>
        <tr r="F378" s="2"/>
      </tp>
      <tp t="s">
        <v>#N/A Requesting Data...3925264363</v>
        <stp/>
        <stp>BDP|9464992533754189963</stp>
        <tr r="H619" s="2"/>
      </tp>
      <tp t="s">
        <v>#N/A Requesting Data...3609029610</v>
        <stp/>
        <stp>BDP|2719943554224716491</stp>
        <tr r="AB9" s="1"/>
      </tp>
      <tp t="s">
        <v>#N/A Requesting Data...3525221158</v>
        <stp/>
        <stp>BDP|4259739123846874936</stp>
        <tr r="E442" s="2"/>
      </tp>
      <tp t="s">
        <v>#N/A Requesting Data...3843658968</v>
        <stp/>
        <stp>BDP|9965364094458432563</stp>
        <tr r="AA46" s="1"/>
      </tp>
      <tp t="s">
        <v>#N/A Requesting Data...3963949683</v>
        <stp/>
        <stp>BDP|8970558466201520414</stp>
        <tr r="F172" s="2"/>
      </tp>
      <tp t="s">
        <v>#N/A Requesting Data...4022100667</v>
        <stp/>
        <stp>BDP|4057058975668653582</stp>
        <tr r="E572" s="2"/>
      </tp>
      <tp t="s">
        <v>#N/A Requesting Data...3964974317</v>
        <stp/>
        <stp>BDP|4443690211879458466</stp>
        <tr r="H295" s="2"/>
      </tp>
      <tp t="s">
        <v>#N/A Requesting Data...3915945212</v>
        <stp/>
        <stp>BDP|2897410931032507938</stp>
        <tr r="F540" s="2"/>
      </tp>
      <tp t="s">
        <v>#N/A Requesting Data...3834232380</v>
        <stp/>
        <stp>BDP|4333756278709527353</stp>
        <tr r="G37" s="2"/>
      </tp>
      <tp t="s">
        <v>#N/A Requesting Data...3789328753</v>
        <stp/>
        <stp>BDP|6635063927613026997</stp>
        <tr r="Z54" s="1"/>
      </tp>
      <tp t="s">
        <v>#N/A Requesting Data...3795905858</v>
        <stp/>
        <stp>BDP|9879103415694647354</stp>
        <tr r="F609" s="2"/>
      </tp>
      <tp t="s">
        <v>#N/A Requesting Data...4253066717</v>
        <stp/>
        <stp>BDP|5281300701198592098</stp>
        <tr r="G121" s="2"/>
      </tp>
      <tp t="s">
        <v>#N/A Requesting Data...3554586487</v>
        <stp/>
        <stp>BDP|5905006907533452855</stp>
        <tr r="F558" s="2"/>
      </tp>
      <tp t="s">
        <v>#N/A Requesting Data...4282553999</v>
        <stp/>
        <stp>BDP|7014679511746306895</stp>
        <tr r="E561" s="2"/>
      </tp>
      <tp t="s">
        <v>#N/A Requesting Data...4080483388</v>
        <stp/>
        <stp>BDP|4850698172849705286</stp>
        <tr r="F575" s="2"/>
      </tp>
      <tp t="s">
        <v>#N/A Requesting Data...3540145115</v>
        <stp/>
        <stp>BDP|1782360738978279767</stp>
        <tr r="F495" s="2"/>
      </tp>
      <tp t="s">
        <v>#N/A Requesting Data...3539955111</v>
        <stp/>
        <stp>BDP|5437018795657542573</stp>
        <tr r="G456" s="2"/>
      </tp>
      <tp t="s">
        <v>#N/A Requesting Data...3759527859</v>
        <stp/>
        <stp>BDP|7056215242849633671</stp>
        <tr r="F576" s="2"/>
      </tp>
      <tp t="s">
        <v>#N/A Requesting Data...4024796604</v>
        <stp/>
        <stp>BDP|2321949454875582544</stp>
        <tr r="F37" s="2"/>
      </tp>
      <tp t="s">
        <v>#N/A Requesting Data...3846629365</v>
        <stp/>
        <stp>BDP|6752944613596309615</stp>
        <tr r="G89" s="2"/>
      </tp>
      <tp t="s">
        <v>#N/A Requesting Data...3615228042</v>
        <stp/>
        <stp>BDP|7300778439635693897</stp>
        <tr r="F4" s="2"/>
      </tp>
      <tp t="s">
        <v>#N/A Requesting Data...3649774415</v>
        <stp/>
        <stp>BDP|5201283089154762566</stp>
        <tr r="AA44" s="1"/>
      </tp>
      <tp t="s">
        <v>#N/A Requesting Data...3873782359</v>
        <stp/>
        <stp>BDP|8135962859203530997</stp>
        <tr r="G369" s="2"/>
      </tp>
      <tp t="s">
        <v>#N/A Requesting Data...3650476914</v>
        <stp/>
        <stp>BDP|8069049850097659416</stp>
        <tr r="F292" s="2"/>
      </tp>
      <tp t="s">
        <v>#N/A Requesting Data...4129032558</v>
        <stp/>
        <stp>BDP|8196401223456332623</stp>
        <tr r="F346" s="2"/>
      </tp>
      <tp t="s">
        <v>#N/A Requesting Data...3989580230</v>
        <stp/>
        <stp>BDP|8451362432245162322</stp>
        <tr r="H53" s="2"/>
      </tp>
      <tp t="s">
        <v>#N/A Requesting Data...4188303062</v>
        <stp/>
        <stp>BDP|9947099427580328543</stp>
        <tr r="H612" s="2"/>
      </tp>
      <tp t="s">
        <v>#N/A Requesting Data...4039008914</v>
        <stp/>
        <stp>BDP|8239771800864771525</stp>
        <tr r="H426" s="2"/>
      </tp>
      <tp t="s">
        <v>#N/A Requesting Data...4281113668</v>
        <stp/>
        <stp>BDP|7694675246189208251</stp>
        <tr r="E337" s="2"/>
      </tp>
      <tp t="s">
        <v>#N/A Requesting Data...3563810894</v>
        <stp/>
        <stp>BDP|3148758358166464987</stp>
        <tr r="AB29" s="1"/>
      </tp>
      <tp t="s">
        <v>#N/A Requesting Data...3887483030</v>
        <stp/>
        <stp>BDP|6210271492962264147</stp>
        <tr r="E575" s="2"/>
      </tp>
      <tp t="s">
        <v>#N/A Requesting Data...4081366517</v>
        <stp/>
        <stp>BDP|1195651717621269904</stp>
        <tr r="E577" s="2"/>
      </tp>
      <tp t="s">
        <v>#N/A Requesting Data...3802728297</v>
        <stp/>
        <stp>BDP|1143245287932094730</stp>
        <tr r="G517" s="2"/>
      </tp>
      <tp t="s">
        <v>#N/A Requesting Data...3903563092</v>
        <stp/>
        <stp>BDP|6292569210569645534</stp>
        <tr r="H251" s="2"/>
      </tp>
      <tp t="s">
        <v>#N/A Requesting Data...4153863465</v>
        <stp/>
        <stp>BDP|1354717184573297359</stp>
        <tr r="G289" s="2"/>
      </tp>
      <tp t="s">
        <v>#N/A Requesting Data...3647449548</v>
        <stp/>
        <stp>BDP|6684865077107287042</stp>
        <tr r="AA106" s="1"/>
      </tp>
      <tp t="s">
        <v>#N/A Requesting Data...4183495323</v>
        <stp/>
        <stp>BDP|6529843868202913464</stp>
        <tr r="AA40" s="1"/>
      </tp>
      <tp t="s">
        <v>#N/A Requesting Data...3767009022</v>
        <stp/>
        <stp>BDP|9639656912872416227</stp>
        <tr r="E600" s="2"/>
      </tp>
      <tp t="s">
        <v>#N/A Requesting Data...4235403441</v>
        <stp/>
        <stp>BDP|6048809896481749862</stp>
        <tr r="G14" s="2"/>
      </tp>
      <tp t="s">
        <v>#N/A Requesting Data...3820222477</v>
        <stp/>
        <stp>BDP|6891340908103182821</stp>
        <tr r="F354" s="2"/>
      </tp>
      <tp t="s">
        <v>#N/A Requesting Data...4149603003</v>
        <stp/>
        <stp>BDP|6224831351575558021</stp>
        <tr r="G254" s="2"/>
      </tp>
      <tp t="s">
        <v>#N/A Requesting Data...4146433702</v>
        <stp/>
        <stp>BDP|9767320631464701346</stp>
        <tr r="G145" s="2"/>
      </tp>
      <tp t="s">
        <v>#N/A Requesting Data...4093488510</v>
        <stp/>
        <stp>BDP|3965728278608206554</stp>
        <tr r="H535" s="2"/>
      </tp>
      <tp t="s">
        <v>#N/A Requesting Data...3960890143</v>
        <stp/>
        <stp>BDP|2845044228976801886</stp>
        <tr r="H400" s="2"/>
      </tp>
      <tp t="s">
        <v>#N/A Requesting Data...3976189672</v>
        <stp/>
        <stp>BDP|6716948220133619016</stp>
        <tr r="F241" s="2"/>
      </tp>
      <tp t="s">
        <v>#N/A Requesting Data...3974617046</v>
        <stp/>
        <stp>BDP|7329110316349479046</stp>
        <tr r="G315" s="2"/>
      </tp>
      <tp t="s">
        <v>#N/A Requesting Data...4280584708</v>
        <stp/>
        <stp>BDP|1143504124601767963</stp>
        <tr r="F76" s="2"/>
      </tp>
      <tp t="s">
        <v>#N/A Requesting Data...3819143224</v>
        <stp/>
        <stp>BDP|7706054596230377033</stp>
        <tr r="E466" s="2"/>
      </tp>
      <tp t="s">
        <v>#N/A Requesting Data...4271382609</v>
        <stp/>
        <stp>BDP|5349096136129859104</stp>
        <tr r="H421" s="2"/>
      </tp>
      <tp t="s">
        <v>#N/A Requesting Data...4024548173</v>
        <stp/>
        <stp>BDP|5703544486230981696</stp>
        <tr r="E596" s="2"/>
      </tp>
      <tp t="s">
        <v>#N/A Requesting Data...4080655479</v>
        <stp/>
        <stp>BDP|7404892552910342494</stp>
        <tr r="H235" s="2"/>
      </tp>
      <tp t="s">
        <v>#N/A Requesting Data...3592013598</v>
        <stp/>
        <stp>BDP|3937163091156854339</stp>
        <tr r="G184" s="2"/>
      </tp>
      <tp t="s">
        <v>#N/A Requesting Data...3760997156</v>
        <stp/>
        <stp>BDP|4148469884265269344</stp>
        <tr r="E60" s="2"/>
      </tp>
      <tp t="s">
        <v>#N/A Requesting Data...3981932165</v>
        <stp/>
        <stp>BDP|3772432571739655768</stp>
        <tr r="G244" s="2"/>
      </tp>
      <tp t="s">
        <v>#N/A Requesting Data...4192208175</v>
        <stp/>
        <stp>BDP|7145500292010162570</stp>
        <tr r="AB35" s="1"/>
      </tp>
      <tp t="s">
        <v>#N/A Requesting Data...4263955165</v>
        <stp/>
        <stp>BDP|8667047646456528443</stp>
        <tr r="E444" s="2"/>
      </tp>
      <tp t="s">
        <v>#N/A Requesting Data...4207563948</v>
        <stp/>
        <stp>BDP|9007542973576069326</stp>
        <tr r="G98" s="2"/>
      </tp>
      <tp t="s">
        <v>#N/A Requesting Data...3644364461</v>
        <stp/>
        <stp>BDP|5774949930776389756</stp>
        <tr r="E192" s="2"/>
      </tp>
      <tp t="s">
        <v>#N/A Requesting Data...3727154339</v>
        <stp/>
        <stp>BDP|5406726887933080741</stp>
        <tr r="F132" s="2"/>
      </tp>
      <tp t="s">
        <v>#N/A Requesting Data...3582513496</v>
        <stp/>
        <stp>BDP|8799777053501135483</stp>
        <tr r="G90" s="2"/>
      </tp>
      <tp t="s">
        <v>#N/A Requesting Data...3918556195</v>
        <stp/>
        <stp>BDP|4249769968022185878</stp>
        <tr r="H152" s="2"/>
      </tp>
      <tp t="s">
        <v>#N/A Requesting Data...4031919014</v>
        <stp/>
        <stp>BDP|7619256580916966405</stp>
        <tr r="E53" s="2"/>
      </tp>
      <tp t="s">
        <v>#N/A Requesting Data...3582159955</v>
        <stp/>
        <stp>BDP|9770472639674538561</stp>
        <tr r="H23" s="2"/>
      </tp>
      <tp t="s">
        <v>#N/A Requesting Data...4196508111</v>
        <stp/>
        <stp>BDP|9598189912247375165</stp>
        <tr r="E268" s="2"/>
      </tp>
      <tp t="s">
        <v>#N/A Requesting Data...3706211297</v>
        <stp/>
        <stp>BDP|3619351551548078286</stp>
        <tr r="H236" s="2"/>
      </tp>
      <tp t="s">
        <v>#N/A Requesting Data...3942890345</v>
        <stp/>
        <stp>BDP|8517633761535964247</stp>
        <tr r="G502" s="2"/>
      </tp>
      <tp t="s">
        <v>#N/A Requesting Data...3843417208</v>
        <stp/>
        <stp>BDP|7510865514625822448</stp>
        <tr r="AA77" s="1"/>
      </tp>
      <tp t="s">
        <v>#N/A Requesting Data...3927728335</v>
        <stp/>
        <stp>BDP|7458798582243016442</stp>
        <tr r="AB55" s="1"/>
      </tp>
      <tp t="s">
        <v>#N/A Requesting Data...3583600931</v>
        <stp/>
        <stp>BDP|4570069765049947445</stp>
        <tr r="F146" s="2"/>
      </tp>
      <tp t="s">
        <v>#N/A Requesting Data...3908120071</v>
        <stp/>
        <stp>BDP|9544807515409868631</stp>
        <tr r="AA37" s="1"/>
      </tp>
      <tp t="s">
        <v>#N/A Requesting Data...4119233835</v>
        <stp/>
        <stp>BDP|6853822095639412105</stp>
        <tr r="G140" s="2"/>
      </tp>
      <tp t="s">
        <v>#N/A Requesting Data...3853125976</v>
        <stp/>
        <stp>BDP|5666711188851225451</stp>
        <tr r="E79" s="2"/>
      </tp>
      <tp t="s">
        <v>#N/A Requesting Data...3736380945</v>
        <stp/>
        <stp>BDP|4564670256579845144</stp>
        <tr r="E579" s="2"/>
      </tp>
      <tp t="s">
        <v>#N/A Requesting Data...3663197167</v>
        <stp/>
        <stp>BDP|7033973377101945716</stp>
        <tr r="E126" s="2"/>
      </tp>
      <tp t="s">
        <v>#N/A Requesting Data...4175969862</v>
        <stp/>
        <stp>BDP|1752151964911897867</stp>
        <tr r="G426" s="2"/>
      </tp>
      <tp t="s">
        <v>#N/A Requesting Data...4086387442</v>
        <stp/>
        <stp>BDP|5743053572025073899</stp>
        <tr r="H381" s="2"/>
      </tp>
      <tp t="s">
        <v>#N/A Requesting Data...4028402574</v>
        <stp/>
        <stp>BDP|1111991289818028783</stp>
        <tr r="AB32" s="1"/>
      </tp>
      <tp t="s">
        <v>#N/A Requesting Data...3677374832</v>
        <stp/>
        <stp>BDP|6878439898560989438</stp>
        <tr r="H378" s="2"/>
      </tp>
      <tp t="s">
        <v>#N/A Requesting Data...4133091115</v>
        <stp/>
        <stp>BDP|9915366877896411454</stp>
        <tr r="E316" s="2"/>
      </tp>
      <tp t="s">
        <v>#N/A Requesting Data...4093114693</v>
        <stp/>
        <stp>BDP|7695578487236804302</stp>
        <tr r="F187" s="2"/>
      </tp>
      <tp t="s">
        <v>#N/A Requesting Data...3623442729</v>
        <stp/>
        <stp>BDP|9075291837521549657</stp>
        <tr r="E176" s="2"/>
      </tp>
      <tp t="s">
        <v>#N/A Requesting Data...4000259454</v>
        <stp/>
        <stp>BDP|2357886048810985143</stp>
        <tr r="F298" s="2"/>
      </tp>
      <tp t="s">
        <v>#N/A Requesting Data...4047645613</v>
        <stp/>
        <stp>BDP|6440485373633508941</stp>
        <tr r="F240" s="2"/>
      </tp>
      <tp t="s">
        <v>#N/A Requesting Data...4109585814</v>
        <stp/>
        <stp>BDP|8216886895453083502</stp>
        <tr r="H620" s="2"/>
      </tp>
      <tp t="s">
        <v>#N/A Requesting Data...4030010323</v>
        <stp/>
        <stp>BDP|8369765040867866328</stp>
        <tr r="E389" s="2"/>
      </tp>
      <tp t="s">
        <v>#N/A Requesting Data...3672765500</v>
        <stp/>
        <stp>BDP|4450255516120923817</stp>
        <tr r="H171" s="2"/>
      </tp>
      <tp t="s">
        <v>#N/A Requesting Data...4181726695</v>
        <stp/>
        <stp>BDP|9896027635411391435</stp>
        <tr r="G440" s="2"/>
      </tp>
      <tp t="s">
        <v>#N/A Requesting Data...4294229476</v>
        <stp/>
        <stp>BDP|8890564555484570321</stp>
        <tr r="H33" s="2"/>
      </tp>
      <tp t="s">
        <v>#N/A Requesting Data...4125350154</v>
        <stp/>
        <stp>BDP|5062568034915843964</stp>
        <tr r="H462" s="2"/>
      </tp>
      <tp t="s">
        <v>#N/A Requesting Data...3993037937</v>
        <stp/>
        <stp>BDP|2839925927666101006</stp>
        <tr r="H39" s="2"/>
      </tp>
      <tp t="s">
        <v>#N/A Requesting Data...3655957108</v>
        <stp/>
        <stp>BDP|6457823603079863809</stp>
        <tr r="H40" s="2"/>
      </tp>
      <tp t="s">
        <v>#N/A Requesting Data...4111676309</v>
        <stp/>
        <stp>BDP|1992619280995340567</stp>
        <tr r="H246" s="2"/>
      </tp>
      <tp t="s">
        <v>#N/A Requesting Data...3671190771</v>
        <stp/>
        <stp>BDP|2155433963659734648</stp>
        <tr r="E521" s="2"/>
      </tp>
      <tp t="s">
        <v>#N/A Requesting Data...4064238892</v>
        <stp/>
        <stp>BDP|8366673657931075517</stp>
        <tr r="G64" s="2"/>
      </tp>
      <tp t="s">
        <v>#N/A Requesting Data...4189850455</v>
        <stp/>
        <stp>BDP|3178671663094597821</stp>
        <tr r="F197" s="2"/>
      </tp>
      <tp t="s">
        <v>#N/A Requesting Data...4217489020</v>
        <stp/>
        <stp>BDP|1109284165378776293</stp>
        <tr r="E378" s="2"/>
      </tp>
      <tp t="s">
        <v>#N/A Requesting Data...4018774855</v>
        <stp/>
        <stp>BDP|4373655520377446800</stp>
        <tr r="F413" s="2"/>
      </tp>
      <tp t="s">
        <v>#N/A Requesting Data...4270011416</v>
        <stp/>
        <stp>BDP|1737979456962470019</stp>
        <tr r="H339" s="2"/>
      </tp>
      <tp t="s">
        <v>#N/A Requesting Data...4043365671</v>
        <stp/>
        <stp>BDP|8576803163728524103</stp>
        <tr r="H388" s="2"/>
      </tp>
      <tp t="s">
        <v>#N/A Requesting Data...4255628235</v>
        <stp/>
        <stp>BDP|6862549501825660985</stp>
        <tr r="AB7" s="1"/>
      </tp>
      <tp t="s">
        <v>#N/A Requesting Data...4208764768</v>
        <stp/>
        <stp>BDP|6640560164092384874</stp>
        <tr r="H552" s="2"/>
      </tp>
      <tp t="s">
        <v>#N/A Requesting Data...4188311550</v>
        <stp/>
        <stp>BDP|5427491544078085290</stp>
        <tr r="F138" s="2"/>
      </tp>
      <tp t="s">
        <v>#N/A Requesting Data...4044023746</v>
        <stp/>
        <stp>BDP|1840201230636184996</stp>
        <tr r="H178" s="2"/>
      </tp>
      <tp t="s">
        <v>#N/A Requesting Data...3994161247</v>
        <stp/>
        <stp>BDP|1716635402358662005</stp>
        <tr r="G307" s="2"/>
      </tp>
      <tp t="s">
        <v>#N/A Requesting Data...3892577160</v>
        <stp/>
        <stp>BDP|4550164465718745416</stp>
        <tr r="F136" s="2"/>
      </tp>
      <tp t="s">
        <v>#N/A Requesting Data...3970769518</v>
        <stp/>
        <stp>BDP|2505975675871121276</stp>
        <tr r="G186" s="2"/>
      </tp>
      <tp t="s">
        <v>#N/A Requesting Data...3675386601</v>
        <stp/>
        <stp>BDP|5313773462292283957</stp>
        <tr r="E429" s="2"/>
      </tp>
      <tp t="s">
        <v>#N/A Requesting Data...3671762780</v>
        <stp/>
        <stp>BDP|4338173923671103972</stp>
        <tr r="F47" s="2"/>
      </tp>
      <tp t="s">
        <v>#N/A Requesting Data...3735854057</v>
        <stp/>
        <stp>BDP|9888986050268984280</stp>
        <tr r="F503" s="2"/>
      </tp>
      <tp t="s">
        <v>#N/A Requesting Data...3703525635</v>
        <stp/>
        <stp>BDP|5837270332913265895</stp>
        <tr r="F499" s="2"/>
      </tp>
      <tp t="s">
        <v>#N/A Requesting Data...3768772664</v>
        <stp/>
        <stp>BDP|6467547646709087106</stp>
        <tr r="E294" s="2"/>
      </tp>
      <tp t="s">
        <v>#N/A Requesting Data...3928295095</v>
        <stp/>
        <stp>BDP|3942649529110157834</stp>
        <tr r="E152" s="2"/>
      </tp>
      <tp t="s">
        <v>#N/A Requesting Data...3718034603</v>
        <stp/>
        <stp>BDP|6459031173027479962</stp>
        <tr r="H52" s="2"/>
      </tp>
      <tp t="s">
        <v>#N/A Requesting Data...4254317961</v>
        <stp/>
        <stp>BDP|5767668297463957687</stp>
        <tr r="F479" s="2"/>
      </tp>
      <tp t="s">
        <v>#N/A Requesting Data...4153135465</v>
        <stp/>
        <stp>BDP|8196816539078963479</stp>
        <tr r="G66" s="2"/>
      </tp>
      <tp t="s">
        <v>#N/A Requesting Data...4176252418</v>
        <stp/>
        <stp>BDP|8366063832113713775</stp>
        <tr r="E174" s="2"/>
      </tp>
      <tp t="s">
        <v>#N/A Requesting Data...4041634900</v>
        <stp/>
        <stp>BDP|2799054287506194332</stp>
        <tr r="G253" s="2"/>
      </tp>
      <tp t="s">
        <v>#N/A Requesting Data...3886462788</v>
        <stp/>
        <stp>BDP|4214022116558131200</stp>
        <tr r="F192" s="2"/>
      </tp>
      <tp t="s">
        <v>#N/A Requesting Data...3698737539</v>
        <stp/>
        <stp>BDP|2965227001566542984</stp>
        <tr r="H146" s="2"/>
      </tp>
      <tp t="s">
        <v>#N/A Requesting Data...3792338801</v>
        <stp/>
        <stp>BDP|2099166510078474561</stp>
        <tr r="E49" s="2"/>
      </tp>
      <tp t="s">
        <v>#N/A Requesting Data...3919078561</v>
        <stp/>
        <stp>BDP|2103741493433587077</stp>
        <tr r="F608" s="2"/>
      </tp>
      <tp t="s">
        <v>#N/A Requesting Data...4031396152</v>
        <stp/>
        <stp>BDP|9653743094958632042</stp>
        <tr r="E339" s="2"/>
      </tp>
      <tp t="s">
        <v>#N/A Requesting Data...4180841507</v>
        <stp/>
        <stp>BDP|6658142167916695874</stp>
        <tr r="E138" s="2"/>
      </tp>
      <tp t="s">
        <v>#N/A Requesting Data...4057938280</v>
        <stp/>
        <stp>BDP|2450806343107430673</stp>
        <tr r="H166" s="2"/>
      </tp>
      <tp t="s">
        <v>#N/A Requesting Data...3654370665</v>
        <stp/>
        <stp>BDP|5037615810279763425</stp>
        <tr r="E368" s="2"/>
      </tp>
      <tp t="s">
        <v>#N/A Requesting Data...3985134655</v>
        <stp/>
        <stp>BDP|7694605466309050153</stp>
        <tr r="E145" s="2"/>
      </tp>
      <tp t="s">
        <v>#N/A Requesting Data...4041060975</v>
        <stp/>
        <stp>BDP|3052623344639363709</stp>
        <tr r="Z88" s="1"/>
      </tp>
      <tp t="s">
        <v>#N/A Requesting Data...4082977027</v>
        <stp/>
        <stp>BDP|9561864910318806019</stp>
        <tr r="H587" s="2"/>
      </tp>
      <tp t="s">
        <v>#N/A Requesting Data...4141729573</v>
        <stp/>
        <stp>BDP|1297050542065756887</stp>
        <tr r="F332" s="2"/>
      </tp>
      <tp t="s">
        <v>#N/A Requesting Data...4276877992</v>
        <stp/>
        <stp>BDP|8260444476785911639</stp>
        <tr r="E383" s="2"/>
      </tp>
      <tp t="s">
        <v>#N/A Requesting Data...3841959896</v>
        <stp/>
        <stp>BDP|2602952238331314120</stp>
        <tr r="E197" s="2"/>
      </tp>
      <tp t="s">
        <v>#N/A Requesting Data...3722590279</v>
        <stp/>
        <stp>BDP|6368380724616152941</stp>
        <tr r="H176" s="2"/>
      </tp>
      <tp t="s">
        <v>#N/A Requesting Data...3718108251</v>
        <stp/>
        <stp>BDP|5979438042138042532</stp>
        <tr r="G527" s="2"/>
      </tp>
      <tp t="s">
        <v>#N/A Requesting Data...4087580788</v>
        <stp/>
        <stp>BDP|1439436639786011858</stp>
        <tr r="AB81" s="1"/>
      </tp>
      <tp t="s">
        <v>#N/A Requesting Data...3941180767</v>
        <stp/>
        <stp>BDP|2266839468861716558</stp>
        <tr r="E513" s="2"/>
      </tp>
      <tp t="s">
        <v>#N/A Requesting Data...3760465818</v>
        <stp/>
        <stp>BDP|8290595362721657271</stp>
        <tr r="F525" s="2"/>
      </tp>
      <tp t="s">
        <v>#N/A Requesting Data...4111591663</v>
        <stp/>
        <stp>BDP|1210229315963822955</stp>
        <tr r="E489" s="2"/>
      </tp>
      <tp t="s">
        <v>#N/A Requesting Data...3994833853</v>
        <stp/>
        <stp>BDP|5069115664922880849</stp>
        <tr r="H310" s="2"/>
      </tp>
      <tp t="s">
        <v>#N/A Requesting Data...4276357829</v>
        <stp/>
        <stp>BDP|7275192852428478348</stp>
        <tr r="H151" s="2"/>
      </tp>
      <tp t="s">
        <v>#N/A Requesting Data...3739580488</v>
        <stp/>
        <stp>BDP|7825474000842340959</stp>
        <tr r="E149" s="2"/>
      </tp>
      <tp t="s">
        <v>#N/A Requesting Data...3798218941</v>
        <stp/>
        <stp>BDP|9788669702627254086</stp>
        <tr r="G251" s="2"/>
      </tp>
      <tp t="s">
        <v>#N/A Requesting Data...3988939753</v>
        <stp/>
        <stp>BDP|7386748761029644792</stp>
        <tr r="E601" s="2"/>
      </tp>
      <tp t="s">
        <v>#N/A Requesting Data...4262690490</v>
        <stp/>
        <stp>BDP|8516953909081207858</stp>
        <tr r="G342" s="2"/>
      </tp>
      <tp t="s">
        <v>#N/A Requesting Data...3983055512</v>
        <stp/>
        <stp>BDP|5200988115512553748</stp>
        <tr r="G585" s="2"/>
      </tp>
      <tp t="s">
        <v>#N/A Requesting Data...3748457068</v>
        <stp/>
        <stp>BDP|6379795842278218542</stp>
        <tr r="G410" s="2"/>
      </tp>
      <tp t="s">
        <v>#N/A Requesting Data...3762476765</v>
        <stp/>
        <stp>BDP|5972736164765662967</stp>
        <tr r="F488" s="2"/>
      </tp>
      <tp t="s">
        <v>#N/A Requesting Data...4270966297</v>
        <stp/>
        <stp>BDP|7423391872488951394</stp>
        <tr r="F256" s="2"/>
      </tp>
      <tp t="s">
        <v>#N/A Requesting Data...4151234810</v>
        <stp/>
        <stp>BDP|9853379744556116065</stp>
        <tr r="E218" s="2"/>
      </tp>
      <tp t="s">
        <v>#N/A Requesting Data...4117182209</v>
        <stp/>
        <stp>BDP|4162561777887931952</stp>
        <tr r="G210" s="2"/>
      </tp>
      <tp t="s">
        <v>#N/A Requesting Data...3803921332</v>
        <stp/>
        <stp>BDP|5948599088741122159</stp>
        <tr r="F604" s="2"/>
      </tp>
      <tp t="s">
        <v>#N/A Requesting Data...4262442894</v>
        <stp/>
        <stp>BDP|3326931507003355186</stp>
        <tr r="E211" s="2"/>
      </tp>
      <tp t="s">
        <v>#N/A Requesting Data...4009677986</v>
        <stp/>
        <stp>BDP|2935982500367990455</stp>
        <tr r="H116" s="2"/>
      </tp>
      <tp t="s">
        <v>#N/A Requesting Data...4048395500</v>
        <stp/>
        <stp>BDP|3594178152488504787</stp>
        <tr r="H275" s="2"/>
      </tp>
      <tp t="s">
        <v>#N/A Requesting Data...4189531928</v>
        <stp/>
        <stp>BDP|7185592331991385879</stp>
        <tr r="E554" s="2"/>
      </tp>
      <tp t="s">
        <v>#N/A Requesting Data...3992481216</v>
        <stp/>
        <stp>BDP|7339707390469665871</stp>
        <tr r="G594" s="2"/>
      </tp>
      <tp t="s">
        <v>#N/A Requesting Data...4268532985</v>
        <stp/>
        <stp>BDP|9472444235056616014</stp>
        <tr r="G473" s="2"/>
      </tp>
      <tp t="s">
        <v>#N/A Requesting Data...4128391103</v>
        <stp/>
        <stp>BDP|8824663980976928841</stp>
        <tr r="G106" s="2"/>
      </tp>
      <tp t="s">
        <v>#N/A Requesting Data...4160278356</v>
        <stp/>
        <stp>BDP|4168718695630764211</stp>
        <tr r="H518" s="2"/>
      </tp>
      <tp t="s">
        <v>#N/A Requesting Data...3911702169</v>
        <stp/>
        <stp>BDP|8435190828172719113</stp>
        <tr r="F84" s="2"/>
      </tp>
      <tp t="s">
        <v>#N/A Requesting Data...4251515293</v>
        <stp/>
        <stp>BDP|7001993647145845755</stp>
        <tr r="G94" s="2"/>
      </tp>
      <tp t="s">
        <v>#N/A Requesting Data...4136154129</v>
        <stp/>
        <stp>BDP|8775603365274104400</stp>
        <tr r="E430" s="2"/>
      </tp>
      <tp t="s">
        <v>#N/A Requesting Data...4066953675</v>
        <stp/>
        <stp>BDP|4783167622036247912</stp>
        <tr r="AB72" s="1"/>
      </tp>
      <tp t="s">
        <v>#N/A Requesting Data...4134134576</v>
        <stp/>
        <stp>BDP|3494851134111701125</stp>
        <tr r="E362" s="2"/>
      </tp>
      <tp t="s">
        <v>#N/A Requesting Data...4169377667</v>
        <stp/>
        <stp>BDP|8370201971865608042</stp>
        <tr r="F142" s="2"/>
      </tp>
      <tp t="s">
        <v>#N/A Requesting Data...3905575743</v>
        <stp/>
        <stp>BDP|9711537332654620303</stp>
        <tr r="E385" s="2"/>
      </tp>
      <tp t="s">
        <v>#N/A Requesting Data...3818688192</v>
        <stp/>
        <stp>BDP|8584510107967126223</stp>
        <tr r="F390" s="2"/>
      </tp>
      <tp t="s">
        <v>#N/A Requesting Data...3794850275</v>
        <stp/>
        <stp>BDP|4234806503667215336</stp>
        <tr r="G366" s="2"/>
      </tp>
      <tp t="s">
        <v>#N/A Requesting Data...3735818325</v>
        <stp/>
        <stp>BDP|8365610603994917289</stp>
        <tr r="AA58" s="1"/>
      </tp>
      <tp t="s">
        <v>#N/A Requesting Data...3997472808</v>
        <stp/>
        <stp>BDP|2000088734538474191</stp>
        <tr r="E439" s="2"/>
      </tp>
      <tp t="s">
        <v>#N/A Requesting Data...3720614531</v>
        <stp/>
        <stp>BDP|5783712142277339960</stp>
        <tr r="G370" s="2"/>
      </tp>
      <tp t="s">
        <v>#N/A Requesting Data...3725060884</v>
        <stp/>
        <stp>BDP|8669161163735126238</stp>
        <tr r="G298" s="2"/>
      </tp>
      <tp t="s">
        <v>#N/A Requesting Data...4216809708</v>
        <stp/>
        <stp>BDP|6348279606604427874</stp>
        <tr r="F98" s="2"/>
      </tp>
      <tp t="s">
        <v>#N/A Requesting Data...4286911348</v>
        <stp/>
        <stp>BDP|8297556274672651049</stp>
        <tr r="F175" s="2"/>
      </tp>
      <tp t="s">
        <v>#N/A Requesting Data...3919338531</v>
        <stp/>
        <stp>BDP|1640221899414858640</stp>
        <tr r="F623" s="2"/>
      </tp>
      <tp t="s">
        <v>#N/A Requesting Data...3688570965</v>
        <stp/>
        <stp>BDP|3046084913292848820</stp>
        <tr r="E326" s="2"/>
      </tp>
      <tp t="s">
        <v>#N/A Requesting Data...4221489860</v>
        <stp/>
        <stp>BDP|1419943054810402566</stp>
        <tr r="H391" s="2"/>
      </tp>
      <tp t="s">
        <v>#N/A Requesting Data...3670501909</v>
        <stp/>
        <stp>BDP|9274579011294773158</stp>
        <tr r="F307" s="2"/>
      </tp>
      <tp t="s">
        <v>#N/A Requesting Data...4210262091</v>
        <stp/>
        <stp>BDP|9602030440030712544</stp>
        <tr r="H549" s="2"/>
      </tp>
      <tp t="s">
        <v>#N/A Requesting Data...4062740853</v>
        <stp/>
        <stp>BDP|4389852037957149061</stp>
        <tr r="E209" s="2"/>
      </tp>
      <tp t="s">
        <v>#N/A Requesting Data...3759975783</v>
        <stp/>
        <stp>BDP|2192105696183427159</stp>
        <tr r="H248" s="2"/>
      </tp>
      <tp t="s">
        <v>#N/A Requesting Data...4031241606</v>
        <stp/>
        <stp>BDP|9701719870886034719</stp>
        <tr r="Z41" s="1"/>
      </tp>
      <tp t="s">
        <v>#N/A Requesting Data...4123899979</v>
        <stp/>
        <stp>BDP|1496509741858154037</stp>
        <tr r="F569" s="2"/>
      </tp>
      <tp t="s">
        <v>#N/A Requesting Data...3755335414</v>
        <stp/>
        <stp>BDP|2224878848943983534</stp>
        <tr r="H172" s="2"/>
      </tp>
      <tp t="s">
        <v>#N/A Requesting Data...4051135777</v>
        <stp/>
        <stp>BDP|6205153027404031976</stp>
        <tr r="G503" s="2"/>
      </tp>
      <tp t="s">
        <v>#N/A Requesting Data...3826461127</v>
        <stp/>
        <stp>BDP|5677043346458244113</stp>
        <tr r="F296" s="2"/>
      </tp>
      <tp t="s">
        <v>#N/A Requesting Data...4050738165</v>
        <stp/>
        <stp>BDP|3468636411348365422</stp>
        <tr r="F244" s="2"/>
      </tp>
      <tp t="s">
        <v>#N/A Requesting Data...3780855551</v>
        <stp/>
        <stp>BDP|8150722653074221653</stp>
        <tr r="H175" s="2"/>
      </tp>
      <tp t="s">
        <v>#N/A Requesting Data...3917575817</v>
        <stp/>
        <stp>BDP|8640320026294448514</stp>
        <tr r="F20" s="2"/>
      </tp>
      <tp t="s">
        <v>#N/A Requesting Data...3894590789</v>
        <stp/>
        <stp>BDP|7189540946537020976</stp>
        <tr r="G193" s="2"/>
      </tp>
      <tp t="s">
        <v>#N/A Requesting Data...3828748894</v>
        <stp/>
        <stp>BDP|8313237662867657307</stp>
        <tr r="E52" s="2"/>
      </tp>
      <tp t="s">
        <v>#N/A Requesting Data...4239315414</v>
        <stp/>
        <stp>BDP|7173906167062758258</stp>
        <tr r="F188" s="2"/>
      </tp>
      <tp t="s">
        <v>#N/A Requesting Data...3822874820</v>
        <stp/>
        <stp>BDP|2984985311144664624</stp>
        <tr r="G189" s="2"/>
      </tp>
      <tp t="s">
        <v>#N/A Requesting Data...3730243458</v>
        <stp/>
        <stp>BDP|7250694085692821325</stp>
        <tr r="H136" s="2"/>
      </tp>
      <tp t="s">
        <v>#N/A Requesting Data...4000038209</v>
        <stp/>
        <stp>BDP|8025015742052313645</stp>
        <tr r="E183" s="2"/>
      </tp>
      <tp t="s">
        <v>#N/A Requesting Data...3965522509</v>
        <stp/>
        <stp>BDP|2134397999510085045</stp>
        <tr r="G317" s="2"/>
      </tp>
      <tp t="s">
        <v>#N/A Requesting Data...3775510013</v>
        <stp/>
        <stp>BDP|1488131039883820832</stp>
        <tr r="H30" s="2"/>
      </tp>
      <tp t="s">
        <v>#N/A Requesting Data...3961207192</v>
        <stp/>
        <stp>BDP|6669971762646440724</stp>
        <tr r="F385" s="2"/>
      </tp>
      <tp t="s">
        <v>#N/A Requesting Data...4223338475</v>
        <stp/>
        <stp>BDP|1240556173062302927</stp>
        <tr r="H469" s="2"/>
      </tp>
      <tp t="s">
        <v>#N/A Requesting Data...4258949752</v>
        <stp/>
        <stp>BDP|9913249649973772463</stp>
        <tr r="G246" s="2"/>
      </tp>
      <tp t="s">
        <v>#N/A Requesting Data...4147571133</v>
        <stp/>
        <stp>BDP|9290310117206384524</stp>
        <tr r="Z59" s="1"/>
      </tp>
      <tp t="s">
        <v>#N/A Requesting Data...3843150587</v>
        <stp/>
        <stp>BDP|5753820861625838762</stp>
        <tr r="E490" s="2"/>
      </tp>
      <tp t="s">
        <v>#N/A Requesting Data...4036924875</v>
        <stp/>
        <stp>BDP|1645983361331499619</stp>
        <tr r="G352" s="2"/>
      </tp>
      <tp t="s">
        <v>#N/A Requesting Data...4213196612</v>
        <stp/>
        <stp>BDP|4080322840288933202</stp>
        <tr r="E205" s="2"/>
      </tp>
      <tp t="s">
        <v>#N/A Requesting Data...4027114471</v>
        <stp/>
        <stp>BDP|5445842823297038184</stp>
        <tr r="AA3" s="1"/>
      </tp>
      <tp t="s">
        <v>#N/A Requesting Data...3801423683</v>
        <stp/>
        <stp>BDP|9585721706963813427</stp>
        <tr r="F126" s="2"/>
      </tp>
      <tp t="s">
        <v>#N/A Requesting Data...4132923546</v>
        <stp/>
        <stp>BDP|4381357414438337790</stp>
        <tr r="H589" s="2"/>
      </tp>
      <tp t="s">
        <v>#N/A Requesting Data...4157022693</v>
        <stp/>
        <stp>BDP|3820551237629580570</stp>
        <tr r="G399" s="2"/>
      </tp>
      <tp t="s">
        <v>#N/A Requesting Data...3790572036</v>
        <stp/>
        <stp>BDP|8173603743842971138</stp>
        <tr r="E289" s="2"/>
      </tp>
      <tp t="s">
        <v>#N/A Requesting Data...4075891534</v>
        <stp/>
        <stp>BDP|3033976532936580686</stp>
        <tr r="G433" s="2"/>
      </tp>
      <tp t="s">
        <v>#N/A Requesting Data...4278365115</v>
        <stp/>
        <stp>BDP|4953832518192859633</stp>
        <tr r="E265" s="2"/>
      </tp>
      <tp t="s">
        <v>#N/A Requesting Data...4169873700</v>
        <stp/>
        <stp>BDP|5526790521360720934</stp>
        <tr r="E68" s="2"/>
      </tp>
      <tp t="s">
        <v>#N/A Requesting Data...3871546205</v>
        <stp/>
        <stp>BDP|5987051385056668216</stp>
        <tr r="F26" s="2"/>
      </tp>
      <tp t="s">
        <v>#N/A Requesting Data...3941071036</v>
        <stp/>
        <stp>BDP|6856046764201287847</stp>
        <tr r="G170" s="2"/>
      </tp>
      <tp t="s">
        <v>#N/A Requesting Data...4211874473</v>
        <stp/>
        <stp>BDP|7958223123056622805</stp>
        <tr r="E32" s="2"/>
      </tp>
      <tp t="s">
        <v>#N/A Requesting Data...4238262286</v>
        <stp/>
        <stp>BDP|8092041765914820376</stp>
        <tr r="H242" s="2"/>
      </tp>
      <tp t="s">
        <v>#N/A Requesting Data...3837242442</v>
        <stp/>
        <stp>BDP|1689575171738885266</stp>
        <tr r="F103" s="2"/>
      </tp>
      <tp t="s">
        <v>#N/A Requesting Data...4170678730</v>
        <stp/>
        <stp>BDP|1826045773198580754</stp>
        <tr r="F565" s="2"/>
      </tp>
      <tp t="s">
        <v>#N/A Requesting Data...4030465057</v>
        <stp/>
        <stp>BDP|9800678375930026156</stp>
        <tr r="H597" s="2"/>
      </tp>
      <tp t="s">
        <v>#N/A Requesting Data...3736508919</v>
        <stp/>
        <stp>BDP|7938023631614107943</stp>
        <tr r="H369" s="2"/>
      </tp>
      <tp t="s">
        <v>#N/A Requesting Data...3939208750</v>
        <stp/>
        <stp>BDP|8983503219857877272</stp>
        <tr r="AB19" s="1"/>
      </tp>
      <tp t="s">
        <v>#N/A Requesting Data...3925678763</v>
        <stp/>
        <stp>BDP|5018847199424463962</stp>
        <tr r="G486" s="2"/>
      </tp>
      <tp t="s">
        <v>#N/A Requesting Data...3938958102</v>
        <stp/>
        <stp>BDP|5780974692668874467</stp>
        <tr r="F152" s="2"/>
      </tp>
      <tp t="s">
        <v>#N/A Requesting Data...4075803217</v>
        <stp/>
        <stp>BDP|9178849276518609797</stp>
        <tr r="E185" s="2"/>
      </tp>
      <tp t="s">
        <v>#N/A Requesting Data...3715812380</v>
        <stp/>
        <stp>BDP|6649501699233164023</stp>
        <tr r="G82" s="2"/>
      </tp>
      <tp t="s">
        <v>#N/A Requesting Data...3912827562</v>
        <stp/>
        <stp>BDP|4633728686175909762</stp>
        <tr r="G505" s="2"/>
      </tp>
      <tp t="s">
        <v>#N/A Requesting Data...3847842060</v>
        <stp/>
        <stp>BDP|3574148448429349675</stp>
        <tr r="E132" s="2"/>
      </tp>
      <tp t="s">
        <v>#N/A Requesting Data...4200645975</v>
        <stp/>
        <stp>BDP|7311230769903047940</stp>
        <tr r="G205" s="2"/>
      </tp>
      <tp t="s">
        <v>#N/A Requesting Data...4137672211</v>
        <stp/>
        <stp>BDP|3656889355374400323</stp>
        <tr r="E348" s="2"/>
      </tp>
      <tp t="s">
        <v>#N/A Requesting Data...4218692209</v>
        <stp/>
        <stp>BDP|3568862226256023681</stp>
        <tr r="G329" s="2"/>
      </tp>
      <tp t="s">
        <v>#N/A Requesting Data...3754689877</v>
        <stp/>
        <stp>BDP|2654124242218394676</stp>
        <tr r="Z52" s="1"/>
      </tp>
      <tp t="s">
        <v>#N/A Requesting Data...4010453003</v>
        <stp/>
        <stp>BDP|9141113425310445330</stp>
        <tr r="H600" s="2"/>
      </tp>
      <tp t="s">
        <v>#N/A Requesting Data...4082473702</v>
        <stp/>
        <stp>BDP|8669729113880105744</stp>
        <tr r="F325" s="2"/>
      </tp>
      <tp t="s">
        <v>#N/A Requesting Data...3982681345</v>
        <stp/>
        <stp>BDP|1566898232991564293</stp>
        <tr r="G571" s="2"/>
      </tp>
      <tp t="s">
        <v>#N/A Requesting Data...3894688956</v>
        <stp/>
        <stp>BDP|4502225805686234925</stp>
        <tr r="E621" s="2"/>
      </tp>
      <tp t="s">
        <v>#N/A Requesting Data...4130700697</v>
        <stp/>
        <stp>BDP|2001210087794615523</stp>
        <tr r="G294" s="2"/>
      </tp>
      <tp t="s">
        <v>#N/A Requesting Data...4093725244</v>
        <stp/>
        <stp>BDP|9923135669955476241</stp>
        <tr r="E198" s="2"/>
      </tp>
      <tp t="s">
        <v>#N/A Requesting Data...3863704593</v>
        <stp/>
        <stp>BDP|8419162266950739602</stp>
        <tr r="Z96" s="1"/>
      </tp>
      <tp t="s">
        <v>#N/A Requesting Data...4286233708</v>
        <stp/>
        <stp>BDP|1369022092457741675</stp>
        <tr r="G584" s="2"/>
      </tp>
      <tp t="s">
        <v>#N/A Requesting Data...4211089853</v>
        <stp/>
        <stp>BDP|1361153854579922582</stp>
        <tr r="F174" s="2"/>
      </tp>
      <tp t="s">
        <v>#N/A Requesting Data...3727172765</v>
        <stp/>
        <stp>BDP|5848672698955294662</stp>
        <tr r="G88" s="2"/>
      </tp>
      <tp t="s">
        <v>#N/A Requesting Data...3745380646</v>
        <stp/>
        <stp>BDP|3804787696713459711</stp>
        <tr r="H8" s="2"/>
      </tp>
      <tp t="s">
        <v>#N/A Requesting Data...4010977900</v>
        <stp/>
        <stp>BDP|9090043751094301162</stp>
        <tr r="F588" s="2"/>
      </tp>
      <tp t="s">
        <v>#N/A Requesting Data...4191417294</v>
        <stp/>
        <stp>BDP|8797170623475448775</stp>
        <tr r="F89" s="2"/>
      </tp>
      <tp t="s">
        <v>#N/A Requesting Data...4120060764</v>
        <stp/>
        <stp>BDP|8691991809960656808</stp>
        <tr r="F374" s="2"/>
      </tp>
      <tp t="s">
        <v>#N/A Requesting Data...3756800093</v>
        <stp/>
        <stp>BDP|3697160696900154274</stp>
        <tr r="H185" s="2"/>
      </tp>
      <tp t="s">
        <v>#N/A Requesting Data...4127377554</v>
        <stp/>
        <stp>BDP|3164132179364937821</stp>
        <tr r="F393" s="2"/>
      </tp>
      <tp t="s">
        <v>#N/A Requesting Data...3949525225</v>
        <stp/>
        <stp>BDP|4709071787604320141</stp>
        <tr r="AB54" s="1"/>
      </tp>
      <tp t="s">
        <v>#N/A Requesting Data...3905221056</v>
        <stp/>
        <stp>BDP|2847946063695736180</stp>
        <tr r="AB59" s="1"/>
      </tp>
      <tp t="s">
        <v>#N/A Requesting Data...3912912098</v>
        <stp/>
        <stp>BDP|5290780329611538875</stp>
        <tr r="E321" s="2"/>
      </tp>
      <tp t="s">
        <v>#N/A Requesting Data...3940036420</v>
        <stp/>
        <stp>BDP|6607665103190093925</stp>
        <tr r="G404" s="2"/>
      </tp>
      <tp t="s">
        <v>#N/A Requesting Data...4156619500</v>
        <stp/>
        <stp>BDP|2776070480923710060</stp>
        <tr r="H200" s="2"/>
      </tp>
      <tp t="s">
        <v>#N/A Requesting Data...3829221833</v>
        <stp/>
        <stp>BDP|6649610686730191114</stp>
        <tr r="H292" s="2"/>
      </tp>
      <tp t="s">
        <v>#N/A Requesting Data...4184650525</v>
        <stp/>
        <stp>BDP|9943162004235336497</stp>
        <tr r="H605" s="2"/>
      </tp>
      <tp t="s">
        <v>#N/A Requesting Data...3902525882</v>
        <stp/>
        <stp>BDP|1095584149219194016</stp>
        <tr r="H384" s="2"/>
      </tp>
      <tp t="s">
        <v>#N/A Requesting Data...4072227793</v>
        <stp/>
        <stp>BDP|5733508381726136711</stp>
        <tr r="E400" s="2"/>
      </tp>
      <tp t="s">
        <v>#N/A Requesting Data...3879164111</v>
        <stp/>
        <stp>BDP|1806480382403310774</stp>
        <tr r="Z39" s="1"/>
      </tp>
      <tp t="s">
        <v>#N/A Requesting Data...3934687226</v>
        <stp/>
        <stp>BDP|7484240811994766906</stp>
        <tr r="E258" s="2"/>
      </tp>
      <tp t="s">
        <v>#N/A Requesting Data...3838672994</v>
        <stp/>
        <stp>BDP|4430981965376784489</stp>
        <tr r="F417" s="2"/>
      </tp>
      <tp t="s">
        <v>#N/A Requesting Data...3872103871</v>
        <stp/>
        <stp>BDP|2494029923388039132</stp>
        <tr r="H284" s="2"/>
      </tp>
      <tp t="s">
        <v>#N/A Requesting Data...4049641413</v>
        <stp/>
        <stp>BDP|1997709219568357655</stp>
        <tr r="H332" s="2"/>
      </tp>
      <tp t="s">
        <v>#N/A Requesting Data...4181188993</v>
        <stp/>
        <stp>BDP|6753020042592333938</stp>
        <tr r="E431" s="2"/>
      </tp>
      <tp t="s">
        <v>#N/A Requesting Data...3888506253</v>
        <stp/>
        <stp>BDP|5794992555556961655</stp>
        <tr r="G523" s="2"/>
      </tp>
      <tp t="s">
        <v>#N/A Requesting Data...4196161809</v>
        <stp/>
        <stp>BDP|4305936826592149406</stp>
        <tr r="F472" s="2"/>
      </tp>
      <tp t="s">
        <v>#N/A Requesting Data...4280008808</v>
        <stp/>
        <stp>BDP|2346324472187262862</stp>
        <tr r="H383" s="2"/>
      </tp>
      <tp t="s">
        <v>#N/A Requesting Data...4147372303</v>
        <stp/>
        <stp>BDP|3543871279052527793</stp>
        <tr r="F171" s="2"/>
      </tp>
      <tp t="s">
        <v>#N/A Requesting Data...3880548650</v>
        <stp/>
        <stp>BDP|8572612461255153435</stp>
        <tr r="E426" s="2"/>
      </tp>
      <tp t="s">
        <v>#N/A Requesting Data...4151504506</v>
        <stp/>
        <stp>BDP|9178135205387535654</stp>
        <tr r="H317" s="2"/>
      </tp>
      <tp t="s">
        <v>#N/A Requesting Data...4154597989</v>
        <stp/>
        <stp>BDP|9684086329905314730</stp>
        <tr r="H562" s="2"/>
      </tp>
      <tp t="s">
        <v>#N/A Requesting Data...4147215196</v>
        <stp/>
        <stp>BDP|3117549031068817486</stp>
        <tr r="F290" s="2"/>
      </tp>
      <tp t="s">
        <v>#N/A Requesting Data...3828669848</v>
        <stp/>
        <stp>BDP|2563882970264934007</stp>
        <tr r="H22" s="2"/>
        <tr r="H46" s="2"/>
      </tp>
      <tp t="s">
        <v>#N/A Requesting Data...3893761463</v>
        <stp/>
        <stp>BDP|4546467723732207960</stp>
        <tr r="E546" s="2"/>
      </tp>
      <tp t="s">
        <v>#N/A Requesting Data...4052965119</v>
        <stp/>
        <stp>BDP|5992878607231537587</stp>
        <tr r="H215" s="2"/>
      </tp>
      <tp t="s">
        <v>#N/A Requesting Data...3764078182</v>
        <stp/>
        <stp>BDP|4470802294178692435</stp>
        <tr r="G618" s="2"/>
      </tp>
      <tp t="s">
        <v>#N/A Requesting Data...3837675063</v>
        <stp/>
        <stp>BDP|6298587680810877273</stp>
        <tr r="G310" s="2"/>
      </tp>
      <tp t="s">
        <v>#N/A Requesting Data...4105050917</v>
        <stp/>
        <stp>BDP|8697112244261581534</stp>
        <tr r="G119" s="2"/>
      </tp>
      <tp t="s">
        <v>#N/A Requesting Data...4023388270</v>
        <stp/>
        <stp>BDP|8552691264926522477</stp>
        <tr r="AA22" s="1"/>
      </tp>
      <tp t="s">
        <v>#N/A Requesting Data...3837197295</v>
        <stp/>
        <stp>BDP|4005719453588861406</stp>
        <tr r="G176" s="2"/>
      </tp>
      <tp t="s">
        <v>#N/A Requesting Data...3795429173</v>
        <stp/>
        <stp>BDP|8820351851852012668</stp>
        <tr r="H328" s="2"/>
      </tp>
      <tp t="s">
        <v>#N/A Requesting Data...4035914988</v>
        <stp/>
        <stp>BDP|1500881106007882486</stp>
        <tr r="H574" s="2"/>
      </tp>
      <tp t="s">
        <v>#N/A Requesting Data...3894488551</v>
        <stp/>
        <stp>BDP|1797682933759424730</stp>
        <tr r="G454" s="2"/>
      </tp>
      <tp t="s">
        <v>#N/A Requesting Data...4167417940</v>
        <stp/>
        <stp>BDP|5228633496274938455</stp>
        <tr r="E459" s="2"/>
      </tp>
      <tp t="s">
        <v>#N/A Requesting Data...3778179913</v>
        <stp/>
        <stp>BDP|5029063683474913371</stp>
        <tr r="G347" s="2"/>
      </tp>
      <tp t="s">
        <v>#N/A Requesting Data...4291673195</v>
        <stp/>
        <stp>BDP|2928634437624447923</stp>
        <tr r="G541" s="2"/>
      </tp>
      <tp t="s">
        <v>#N/A Requesting Data...4259695373</v>
        <stp/>
        <stp>BDP|7499921063154963644</stp>
        <tr r="E435" s="2"/>
      </tp>
      <tp t="s">
        <v>#N/A Requesting Data...3771272364</v>
        <stp/>
        <stp>BDP|8110315600647084686</stp>
        <tr r="G577" s="2"/>
      </tp>
      <tp t="s">
        <v>#N/A Requesting Data...4278434142</v>
        <stp/>
        <stp>BDP|3784996977645173208</stp>
        <tr r="F517" s="2"/>
      </tp>
      <tp t="s">
        <v>#N/A Requesting Data...3917932614</v>
        <stp/>
        <stp>BDP|8083022889193457965</stp>
        <tr r="F350" s="2"/>
      </tp>
      <tp t="s">
        <v>#N/A Requesting Data...4059035113</v>
        <stp/>
        <stp>BDP|5083000210309067796</stp>
        <tr r="E367" s="2"/>
      </tp>
      <tp t="s">
        <v>#N/A Requesting Data...4154261211</v>
        <stp/>
        <stp>BDP|5962877505651157633</stp>
        <tr r="Z61" s="1"/>
      </tp>
      <tp t="s">
        <v>#N/A Requesting Data...4055218007</v>
        <stp/>
        <stp>BDP|6865982155406973657</stp>
        <tr r="F305" s="2"/>
      </tp>
      <tp t="s">
        <v>#N/A Requesting Data...3960523760</v>
        <stp/>
        <stp>BDP|2974370965719252406</stp>
        <tr r="F69" s="2"/>
      </tp>
      <tp t="s">
        <v>#N/A Requesting Data...4102803490</v>
        <stp/>
        <stp>BDP|3023469184930863530</stp>
        <tr r="E9" s="2"/>
      </tp>
      <tp t="s">
        <v>#N/A Requesting Data...3787505786</v>
        <stp/>
        <stp>BDP|6986082479883785812</stp>
        <tr r="F383" s="2"/>
      </tp>
      <tp t="s">
        <v>#N/A Requesting Data...4148172687</v>
        <stp/>
        <stp>BDP|4989060587030798612</stp>
        <tr r="F243" s="2"/>
      </tp>
      <tp t="s">
        <v>#N/A Requesting Data...3840472125</v>
        <stp/>
        <stp>BDP|2132662073618914134</stp>
        <tr r="H103" s="2"/>
      </tp>
      <tp t="s">
        <v>#N/A Requesting Data...4212572108</v>
        <stp/>
        <stp>BDP|9456459507203979400</stp>
        <tr r="E225" s="2"/>
      </tp>
      <tp t="s">
        <v>#N/A Requesting Data...3810847568</v>
        <stp/>
        <stp>BDP|5487057890215657382</stp>
        <tr r="H149" s="2"/>
      </tp>
      <tp t="s">
        <v>#N/A Requesting Data...4281929415</v>
        <stp/>
        <stp>BDP|8447976031559448199</stp>
        <tr r="F329" s="2"/>
      </tp>
      <tp t="s">
        <v>#N/A Requesting Data...4155091750</v>
        <stp/>
        <stp>BDP|8809482169327258749</stp>
        <tr r="F369" s="2"/>
      </tp>
      <tp t="s">
        <v>#N/A Requesting Data...4261646363</v>
        <stp/>
        <stp>BDP|2361329097542956001</stp>
        <tr r="E99" s="2"/>
      </tp>
      <tp t="s">
        <v>#N/A Requesting Data...3898496635</v>
        <stp/>
        <stp>BDP|6678323208198375705</stp>
        <tr r="F622" s="2"/>
      </tp>
      <tp t="s">
        <v>#N/A Requesting Data...4000664170</v>
        <stp/>
        <stp>BDP|9036873948927225810</stp>
        <tr r="G91" s="2"/>
      </tp>
      <tp t="s">
        <v>#N/A Requesting Data...3990998817</v>
        <stp/>
        <stp>BDP|9791245842336500384</stp>
        <tr r="F297" s="2"/>
      </tp>
      <tp t="s">
        <v>#N/A Requesting Data...4145246039</v>
        <stp/>
        <stp>BDP|3899808037691061332</stp>
        <tr r="G565" s="2"/>
      </tp>
      <tp t="s">
        <v>#N/A Requesting Data...3844108861</v>
        <stp/>
        <stp>BDP|1175124948899586724</stp>
        <tr r="H568" s="2"/>
      </tp>
      <tp t="s">
        <v>#N/A Requesting Data...4104502083</v>
        <stp/>
        <stp>BDP|1483984829504182499</stp>
        <tr r="H484" s="2"/>
      </tp>
      <tp t="s">
        <v>#N/A Requesting Data...4184810327</v>
        <stp/>
        <stp>BDP|7515260814509290786</stp>
        <tr r="F599" s="2"/>
      </tp>
      <tp t="s">
        <v>#N/A Requesting Data...3847018365</v>
        <stp/>
        <stp>BDP|8513129147775456294</stp>
        <tr r="AB62" s="1"/>
      </tp>
      <tp t="s">
        <v>#N/A Requesting Data...4005785127</v>
        <stp/>
        <stp>BDP|8378006645980897632</stp>
        <tr r="H463" s="2"/>
      </tp>
      <tp t="s">
        <v>#N/A Requesting Data...4256459974</v>
        <stp/>
        <stp>BDP|4120507750027972950</stp>
        <tr r="E376" s="2"/>
      </tp>
      <tp t="s">
        <v>#N/A Requesting Data...3832908762</v>
        <stp/>
        <stp>BDP|8181380370861239761</stp>
        <tr r="F389" s="2"/>
      </tp>
      <tp t="s">
        <v>#N/A Requesting Data...3909937191</v>
        <stp/>
        <stp>BDP|4982223546481480942</stp>
        <tr r="G526" s="2"/>
      </tp>
      <tp t="s">
        <v>#N/A Requesting Data...3839025837</v>
        <stp/>
        <stp>BDP|3461977986978359040</stp>
        <tr r="H272" s="2"/>
      </tp>
      <tp t="s">
        <v>#N/A Requesting Data...3891698367</v>
        <stp/>
        <stp>BDP|2697197582097855676</stp>
        <tr r="G397" s="2"/>
      </tp>
      <tp t="s">
        <v>#N/A Requesting Data...3857415696</v>
        <stp/>
        <stp>BDP|7643543611480155907</stp>
        <tr r="G59" s="2"/>
      </tp>
      <tp t="s">
        <v>#N/A Requesting Data...3995085387</v>
        <stp/>
        <stp>BDP|8306979339539902169</stp>
        <tr r="E287" s="2"/>
      </tp>
      <tp t="s">
        <v>#N/A Requesting Data...3852497091</v>
        <stp/>
        <stp>BDP|8378027342733002512</stp>
        <tr r="G164" s="2"/>
      </tp>
      <tp t="s">
        <v>#N/A Requesting Data...4238780022</v>
        <stp/>
        <stp>BDP|2012128005491256866</stp>
        <tr r="H478" s="2"/>
      </tp>
      <tp t="s">
        <v>#N/A Requesting Data...4243186623</v>
        <stp/>
        <stp>BDP|1944474758728432215</stp>
        <tr r="G359" s="2"/>
      </tp>
      <tp t="s">
        <v>#N/A Requesting Data...3869030797</v>
        <stp/>
        <stp>BDP|4914855359877469429</stp>
        <tr r="AA72" s="1"/>
      </tp>
      <tp t="s">
        <v>#N/A Requesting Data...4109000720</v>
        <stp/>
        <stp>BDP|6203162714634212817</stp>
        <tr r="G79" s="2"/>
      </tp>
      <tp t="s">
        <v>#N/A Requesting Data...4036880981</v>
        <stp/>
        <stp>BDP|4473637875087347821</stp>
        <tr r="H12" s="2"/>
      </tp>
      <tp t="s">
        <v>#N/A Requesting Data...4027761638</v>
        <stp/>
        <stp>BDP|9560134212272478133</stp>
        <tr r="G504" s="2"/>
      </tp>
      <tp t="s">
        <v>#N/A Requesting Data...4200664989</v>
        <stp/>
        <stp>BDP|8151251064807194122</stp>
        <tr r="Z70" s="1"/>
      </tp>
      <tp t="s">
        <v>#N/A Requesting Data...3872901564</v>
        <stp/>
        <stp>BDP|6913399195103692506</stp>
        <tr r="E330" s="2"/>
      </tp>
      <tp t="s">
        <v>#N/A Requesting Data...3872220756</v>
        <stp/>
        <stp>BDP|2507466390017190226</stp>
        <tr r="F315" s="2"/>
      </tp>
      <tp t="s">
        <v>#N/A Requesting Data...4189615190</v>
        <stp/>
        <stp>BDP|7819585642074176839</stp>
        <tr r="F130" s="2"/>
      </tp>
      <tp t="s">
        <v>#N/A Requesting Data...3946978728</v>
        <stp/>
        <stp>BDP|6228784568575796857</stp>
        <tr r="E545" s="2"/>
      </tp>
      <tp t="s">
        <v>#N/A Requesting Data...3981932422</v>
        <stp/>
        <stp>BDP|8485203735710085318</stp>
        <tr r="F436" s="2"/>
      </tp>
      <tp t="s">
        <v>#N/A Requesting Data...3904058403</v>
        <stp/>
        <stp>BDP|1046415595754400209</stp>
        <tr r="F105" s="2"/>
      </tp>
      <tp t="s">
        <v>#N/A Requesting Data...4044042150</v>
        <stp/>
        <stp>BDP|9480421187658169708</stp>
        <tr r="H460" s="2"/>
      </tp>
      <tp t="s">
        <v>#N/A Requesting Data...4188532432</v>
        <stp/>
        <stp>BDP|1148751451139232074</stp>
        <tr r="F104" s="2"/>
      </tp>
      <tp t="s">
        <v>#N/A Requesting Data...4103171810</v>
        <stp/>
        <stp>BDP|5708194394394896328</stp>
        <tr r="E492" s="2"/>
      </tp>
      <tp t="s">
        <v>#N/A Requesting Data...4020390160</v>
        <stp/>
        <stp>BDP|8384508709925295286</stp>
        <tr r="F469" s="2"/>
      </tp>
      <tp t="s">
        <v>#N/A Requesting Data...3868568919</v>
        <stp/>
        <stp>BDP|9742676876813090165</stp>
        <tr r="F239" s="2"/>
      </tp>
      <tp t="s">
        <v>#N/A Requesting Data...4041996695</v>
        <stp/>
        <stp>BDP|6509166601844253910</stp>
        <tr r="F434" s="2"/>
      </tp>
      <tp t="s">
        <v>#N/A Requesting Data...4173358413</v>
        <stp/>
        <stp>BDP|8737041222818969896</stp>
        <tr r="H76" s="2"/>
      </tp>
      <tp t="s">
        <v>#N/A Requesting Data...4162241475</v>
        <stp/>
        <stp>BDP|9529611645929275827</stp>
        <tr r="Z50" s="1"/>
      </tp>
      <tp t="s">
        <v>#N/A Requesting Data...3858840333</v>
        <stp/>
        <stp>BDP|4490984960390475198</stp>
        <tr r="H55" s="2"/>
      </tp>
      <tp t="s">
        <v>#N/A Requesting Data...4284066723</v>
        <stp/>
        <stp>BDP|4613978220826645364</stp>
        <tr r="G560" s="2"/>
      </tp>
      <tp t="s">
        <v>#N/A Requesting Data...3826399235</v>
        <stp/>
        <stp>BDP|6502669784023504143</stp>
        <tr r="H75" s="2"/>
      </tp>
      <tp t="s">
        <v>#N/A Requesting Data...4099616357</v>
        <stp/>
        <stp>BDP|9218925624490793857</stp>
        <tr r="G392" s="2"/>
      </tp>
      <tp t="s">
        <v>#N/A Requesting Data...3881336580</v>
        <stp/>
        <stp>BDP|8312073733945252430</stp>
        <tr r="F198" s="2"/>
      </tp>
      <tp t="s">
        <v>#N/A Requesting Data...3980434341</v>
        <stp/>
        <stp>BDP|4527546292016636430</stp>
        <tr r="Z26" s="1"/>
      </tp>
      <tp t="s">
        <v>#N/A Requesting Data...4162464469</v>
        <stp/>
        <stp>BDP|3597756177891588849</stp>
        <tr r="G355" s="2"/>
      </tp>
      <tp t="s">
        <v>#N/A Requesting Data...4291986224</v>
        <stp/>
        <stp>BDP|9721370284831010931</stp>
        <tr r="E244" s="2"/>
      </tp>
      <tp t="s">
        <v>#N/A Requesting Data...4146679404</v>
        <stp/>
        <stp>BDP|5738717266647753909</stp>
        <tr r="F498" s="2"/>
      </tp>
      <tp t="s">
        <v>#N/A Requesting Data...3831619196</v>
        <stp/>
        <stp>BDP|7286254442252640949</stp>
        <tr r="E341" s="2"/>
      </tp>
      <tp t="s">
        <v>#N/A Requesting Data...3932825702</v>
        <stp/>
        <stp>BDP|6557345870449460120</stp>
        <tr r="E486" s="2"/>
      </tp>
      <tp t="s">
        <v>#N/A Requesting Data...3958416278</v>
        <stp/>
        <stp>BDP|8123440563765016511</stp>
        <tr r="H368" s="2"/>
      </tp>
      <tp t="s">
        <v>#N/A Requesting Data...3942219977</v>
        <stp/>
        <stp>BDP|1531000641418403770</stp>
        <tr r="AA21" s="1"/>
      </tp>
      <tp t="s">
        <v>#N/A Requesting Data...4252880993</v>
        <stp/>
        <stp>BDP|8585475149054858671</stp>
        <tr r="H404" s="2"/>
      </tp>
      <tp t="s">
        <v>#N/A Requesting Data...3995728704</v>
        <stp/>
        <stp>BDP|2584883574577457090</stp>
        <tr r="E55" s="2"/>
      </tp>
      <tp t="s">
        <v>#N/A Requesting Data...4257331125</v>
        <stp/>
        <stp>BDP|3140610859978917246</stp>
        <tr r="H595" s="2"/>
      </tp>
      <tp t="s">
        <v>#N/A Requesting Data...4152675371</v>
        <stp/>
        <stp>BDP|2502000257954352950</stp>
        <tr r="G264" s="2"/>
      </tp>
      <tp t="s">
        <v>#N/A Requesting Data...4069297363</v>
        <stp/>
        <stp>BDP|5296230161388641334</stp>
        <tr r="G606" s="2"/>
      </tp>
      <tp t="s">
        <v>#N/A Requesting Data...3865716704</v>
        <stp/>
        <stp>BDP|5014055243319344202</stp>
        <tr r="Z100" s="1"/>
      </tp>
      <tp t="s">
        <v>#N/A Requesting Data...3872717552</v>
        <stp/>
        <stp>BDP|8792623360577357539</stp>
        <tr r="F82" s="2"/>
      </tp>
      <tp t="s">
        <v>#N/A Requesting Data...4185222260</v>
        <stp/>
        <stp>BDP|1074993052774852361</stp>
        <tr r="Z80" s="1"/>
      </tp>
      <tp t="s">
        <v>#N/A Requesting Data...4205258174</v>
        <stp/>
        <stp>BDP|7552107604489118551</stp>
        <tr r="E421" s="2"/>
      </tp>
      <tp t="s">
        <v>#N/A Requesting Data...4094423020</v>
        <stp/>
        <stp>BDP|6143805579290664249</stp>
        <tr r="H273" s="2"/>
      </tp>
      <tp t="s">
        <v>#N/A Requesting Data...4060573353</v>
        <stp/>
        <stp>BDP|3179386895081673308</stp>
        <tr r="F222" s="2"/>
      </tp>
      <tp t="s">
        <v>#N/A Requesting Data...4204623983</v>
        <stp/>
        <stp>BDP|7316658759988283778</stp>
        <tr r="F11" s="2"/>
      </tp>
      <tp t="s">
        <v>#N/A Requesting Data...4013686986</v>
        <stp/>
        <stp>BDP|4266935953535138697</stp>
        <tr r="F563" s="2"/>
      </tp>
      <tp t="s">
        <v>#N/A Requesting Data...3882895556</v>
        <stp/>
        <stp>BDP|9639660341212912227</stp>
        <tr r="E181" s="2"/>
      </tp>
      <tp t="s">
        <v>#N/A Requesting Data...4013283489</v>
        <stp/>
        <stp>BDP|7118553887879954813</stp>
        <tr r="G212" s="2"/>
      </tp>
      <tp t="s">
        <v>#N/A Requesting Data...4066804476</v>
        <stp/>
        <stp>BDP|7591173595263521796</stp>
        <tr r="H365" s="2"/>
      </tp>
      <tp t="s">
        <v>#N/A Requesting Data...4256872498</v>
        <stp/>
        <stp>BDP|4361284636316086866</stp>
        <tr r="E485" s="2"/>
      </tp>
      <tp t="s">
        <v>#N/A Requesting Data...3902279477</v>
        <stp/>
        <stp>BDP|9301117018993612170</stp>
        <tr r="G250" s="2"/>
      </tp>
      <tp t="s">
        <v>#N/A Requesting Data...3981122111</v>
        <stp/>
        <stp>BDP|7201975571981889377</stp>
        <tr r="E72" s="2"/>
      </tp>
      <tp t="s">
        <v>#N/A Requesting Data...3850465745</v>
        <stp/>
        <stp>BDP|6066383878489946026</stp>
        <tr r="E178" s="2"/>
      </tp>
      <tp t="s">
        <v>#N/A Requesting Data...4251502007</v>
        <stp/>
        <stp>BDP|4282901437142790797</stp>
        <tr r="E365" s="2"/>
      </tp>
      <tp t="s">
        <v>#N/A Requesting Data...4025033161</v>
        <stp/>
        <stp>BDP|7894831738462867532</stp>
        <tr r="G406" s="2"/>
      </tp>
      <tp t="s">
        <v>#N/A Requesting Data...3885797371</v>
        <stp/>
        <stp>BDP|5329375576702344899</stp>
        <tr r="E369" s="2"/>
      </tp>
      <tp t="s">
        <v>#N/A Requesting Data...4137603507</v>
        <stp/>
        <stp>BDP|1781996809173867074</stp>
        <tr r="G188" s="2"/>
      </tp>
      <tp t="s">
        <v>#N/A Requesting Data...4131735997</v>
        <stp/>
        <stp>BDP|7489173098106031236</stp>
        <tr r="E392" s="2"/>
      </tp>
      <tp t="s">
        <v>#N/A Requesting Data...4202382558</v>
        <stp/>
        <stp>BDP|2404228807399176282</stp>
        <tr r="E322" s="2"/>
      </tp>
      <tp t="s">
        <v>#N/A Requesting Data...3889461301</v>
        <stp/>
        <stp>BDP|9692226809681701128</stp>
        <tr r="H263" s="2"/>
      </tp>
      <tp t="s">
        <v>#N/A Requesting Data...3892976269</v>
        <stp/>
        <stp>BDP|5885669581518251855</stp>
        <tr r="E352" s="2"/>
      </tp>
      <tp t="s">
        <v>#N/A Requesting Data...4093842372</v>
        <stp/>
        <stp>BDP|1973471526115994998</stp>
        <tr r="F577" s="2"/>
      </tp>
      <tp t="s">
        <v>#N/A Requesting Data...4107335196</v>
        <stp/>
        <stp>BDP|9164539234087923361</stp>
        <tr r="F496" s="2"/>
      </tp>
      <tp t="s">
        <v>#N/A Requesting Data...3964307911</v>
        <stp/>
        <stp>BDP|8995030672523846796</stp>
        <tr r="G25" s="2"/>
      </tp>
      <tp t="s">
        <v>#N/A Requesting Data...4040233502</v>
        <stp/>
        <stp>BDP|4563906354252126195</stp>
        <tr r="H281" s="2"/>
      </tp>
      <tp t="s">
        <v>#N/A Requesting Data...3962332124</v>
        <stp/>
        <stp>BDP|1486633987075954109</stp>
        <tr r="G615" s="2"/>
      </tp>
      <tp t="s">
        <v>#N/A Requesting Data...4062139885</v>
        <stp/>
        <stp>BDP|1261884903611146368</stp>
        <tr r="H314" s="2"/>
      </tp>
      <tp t="s">
        <v>#N/A Requesting Data...4208429019</v>
        <stp/>
        <stp>BDP|4352194052979277244</stp>
        <tr r="F199" s="2"/>
      </tp>
      <tp t="s">
        <v>#N/A Requesting Data...4182443045</v>
        <stp/>
        <stp>BDP|5753651690765542494</stp>
        <tr r="Z97" s="1"/>
      </tp>
      <tp t="s">
        <v>#N/A Requesting Data...4221641616</v>
        <stp/>
        <stp>BDP|5379882037562630740</stp>
        <tr r="H305" s="2"/>
      </tp>
      <tp t="s">
        <v>#N/A Requesting Data...4037520011</v>
        <stp/>
        <stp>BDP|5769126389233465460</stp>
        <tr r="F612" s="2"/>
      </tp>
      <tp t="s">
        <v>#N/A Requesting Data...4203758855</v>
        <stp/>
        <stp>BDP|9375508603795705282</stp>
        <tr r="E77" s="2"/>
      </tp>
      <tp t="s">
        <v>#N/A Requesting Data...4109449544</v>
        <stp/>
        <stp>BDP|8974708153263400210</stp>
        <tr r="F212" s="2"/>
      </tp>
      <tp t="s">
        <v>#N/A Requesting Data...4014964212</v>
        <stp/>
        <stp>BDP|1507584847612090954</stp>
        <tr r="H594" s="2"/>
      </tp>
      <tp t="s">
        <v>#N/A Requesting Data...4204213732</v>
        <stp/>
        <stp>BDP|3520461109539040553</stp>
        <tr r="E403" s="2"/>
      </tp>
      <tp t="s">
        <v>#N/A Requesting Data...3994296268</v>
        <stp/>
        <stp>BDP|5098069191783852401</stp>
        <tr r="G568" s="2"/>
      </tp>
      <tp t="s">
        <v>#N/A Requesting Data...3872681741</v>
        <stp/>
        <stp>BDP|6022743794304964760</stp>
        <tr r="G460" s="2"/>
      </tp>
      <tp t="s">
        <v>#N/A Requesting Data...4198779773</v>
        <stp/>
        <stp>BDP|8189547231634028181</stp>
        <tr r="G296" s="2"/>
      </tp>
      <tp t="s">
        <v>#N/A Requesting Data...4069593641</v>
        <stp/>
        <stp>BDP|6628927847876859672</stp>
        <tr r="G128" s="2"/>
      </tp>
      <tp t="s">
        <v>#N/A Requesting Data...4017879080</v>
        <stp/>
        <stp>BDP|3773190582088539958</stp>
        <tr r="F266" s="2"/>
      </tp>
      <tp t="s">
        <v>#N/A Requesting Data...4228671228</v>
        <stp/>
        <stp>BDP|1987853663750689455</stp>
        <tr r="E396" s="2"/>
      </tp>
      <tp t="s">
        <v>#N/A Requesting Data...4117529335</v>
        <stp/>
        <stp>BDP|5807122617587446952</stp>
        <tr r="AA6" s="1"/>
      </tp>
      <tp t="s">
        <v>#N/A Requesting Data...4241486632</v>
        <stp/>
        <stp>BDP|8711002320268826931</stp>
        <tr r="F233" s="2"/>
      </tp>
      <tp t="s">
        <v>#N/A Requesting Data...4188865712</v>
        <stp/>
        <stp>BDP|5821243180292812680</stp>
        <tr r="G271" s="2"/>
      </tp>
      <tp t="s">
        <v>#N/A Requesting Data...4196324975</v>
        <stp/>
        <stp>BDP|9200079247871948770</stp>
        <tr r="G608" s="2"/>
      </tp>
      <tp t="s">
        <v>#N/A Requesting Data...4105481491</v>
        <stp/>
        <stp>BDP|5939671438178976321</stp>
        <tr r="AB14" s="1"/>
      </tp>
      <tp t="s">
        <v>#N/A Requesting Data...4129635613</v>
        <stp/>
        <stp>BDP|3237375450217554928</stp>
        <tr r="AA25" s="1"/>
      </tp>
      <tp t="s">
        <v>#N/A Requesting Data...4185252812</v>
        <stp/>
        <stp>BDP|9368165830249601915</stp>
        <tr r="G528" s="2"/>
        <tr r="G530" s="2"/>
        <tr r="G542" s="2"/>
        <tr r="G625" s="2"/>
        <tr r="G627" s="2"/>
        <tr r="G629" s="2"/>
        <tr r="G631" s="2"/>
        <tr r="G633" s="2"/>
        <tr r="G635" s="2"/>
        <tr r="G637" s="2"/>
      </tp>
      <tp t="s">
        <v>#N/A Requesting Data...4134699504</v>
        <stp/>
        <stp>BDP|4721280439188443618</stp>
        <tr r="E556" s="2"/>
      </tp>
      <tp t="s">
        <v>#N/A Requesting Data...4113305071</v>
        <stp/>
        <stp>BDP|5755005495202981589</stp>
        <tr r="G601" s="2"/>
      </tp>
      <tp t="s">
        <v>#N/A Requesting Data...4052056904</v>
        <stp/>
        <stp>BDP|7832836350550917113</stp>
        <tr r="H127" s="2"/>
      </tp>
      <tp t="s">
        <v>#N/A Requesting Data...4022494985</v>
        <stp/>
        <stp>BDP|9429075025671379161</stp>
        <tr r="F564" s="2"/>
      </tp>
      <tp t="s">
        <v>#N/A Requesting Data...4061506415</v>
        <stp/>
        <stp>BDP|8767003710450084276</stp>
        <tr r="H207" s="2"/>
      </tp>
      <tp t="s">
        <v>#N/A Requesting Data...4081210859</v>
        <stp/>
        <stp>BDP|5235708883865846498</stp>
        <tr r="G381" s="2"/>
      </tp>
      <tp t="s">
        <v>#N/A Requesting Data...4165703375</v>
        <stp/>
        <stp>BDP|4291026931544823897</stp>
        <tr r="G222" s="2"/>
      </tp>
      <tp t="s">
        <v>#N/A Requesting Data...3957025670</v>
        <stp/>
        <stp>BDP|9603844044686653806</stp>
        <tr r="G318" s="2"/>
      </tp>
      <tp t="s">
        <v>#N/A Requesting Data...3947424500</v>
        <stp/>
        <stp>BDP|3212914513655164516</stp>
        <tr r="F355" s="2"/>
      </tp>
      <tp t="s">
        <v>#N/A Requesting Data...3953445991</v>
        <stp/>
        <stp>BDP|8242523982306409867</stp>
        <tr r="E113" s="2"/>
      </tp>
      <tp t="s">
        <v>#N/A Requesting Data...4130011587</v>
        <stp/>
        <stp>BDP|5043354390972497615</stp>
        <tr r="E148" s="2"/>
      </tp>
      <tp t="s">
        <v>#N/A Requesting Data...4268472692</v>
        <stp/>
        <stp>BDP|2677934932253406028</stp>
        <tr r="H607" s="2"/>
      </tp>
      <tp t="s">
        <v>#N/A Requesting Data...4152167226</v>
        <stp/>
        <stp>BDP|1966365980626654789</stp>
        <tr r="Z64" s="1"/>
      </tp>
      <tp t="s">
        <v>#N/A Requesting Data...3944621798</v>
        <stp/>
        <stp>BDP|2878142298777539609</stp>
        <tr r="E371" s="2"/>
      </tp>
      <tp t="s">
        <v>#N/A Requesting Data...3917116651</v>
        <stp/>
        <stp>BDP|9326491569268284802</stp>
        <tr r="E278" s="2"/>
      </tp>
      <tp t="s">
        <v>#N/A Requesting Data...3969431172</v>
        <stp/>
        <stp>BDP|1569956190058842299</stp>
        <tr r="H344" s="2"/>
      </tp>
      <tp t="s">
        <v>#N/A Requesting Data...4217304217</v>
        <stp/>
        <stp>BDP|9450679543382554246</stp>
        <tr r="F624" s="2"/>
      </tp>
      <tp t="s">
        <v>#N/A Requesting Data...4043074315</v>
        <stp/>
        <stp>BDP|8394941851547242856</stp>
        <tr r="G308" s="2"/>
      </tp>
      <tp t="s">
        <v>#N/A Requesting Data...4273882171</v>
        <stp/>
        <stp>BDP|6264764621768012044</stp>
        <tr r="E168" s="2"/>
      </tp>
      <tp t="s">
        <v>#N/A Requesting Data...3968567239</v>
        <stp/>
        <stp>BDP|8351559959903826061</stp>
        <tr r="H258" s="2"/>
      </tp>
      <tp t="s">
        <v>#N/A Requesting Data...4271309888</v>
        <stp/>
        <stp>BDP|9298203165490301626</stp>
        <tr r="G452" s="2"/>
      </tp>
      <tp t="s">
        <v>#N/A Requesting Data...4263012297</v>
        <stp/>
        <stp>BDP|6259964218770995532</stp>
        <tr r="G221" s="2"/>
      </tp>
      <tp t="s">
        <v>#N/A Requesting Data...4270451651</v>
        <stp/>
        <stp>BDP|1626002131161778866</stp>
        <tr r="H286" s="2"/>
      </tp>
      <tp t="s">
        <v>#N/A Requesting Data...4249586317</v>
        <stp/>
        <stp>BDP|2506172583962602218</stp>
        <tr r="AA51" s="1"/>
      </tp>
      <tp t="s">
        <v>#N/A Requesting Data...4124510309</v>
        <stp/>
        <stp>BDP|1904173849486988996</stp>
        <tr r="G620" s="2"/>
      </tp>
      <tp t="s">
        <v>#N/A Requesting Data...4163809039</v>
        <stp/>
        <stp>BDP|2835788835015165835</stp>
        <tr r="E624" s="2"/>
      </tp>
      <tp t="s">
        <v>#N/A Requesting Data...4136057155</v>
        <stp/>
        <stp>BDP|3267899499270634930</stp>
        <tr r="AB46" s="1"/>
      </tp>
      <tp t="s">
        <v>#N/A Requesting Data...4054900854</v>
        <stp/>
        <stp>BDP|1555270482181148163</stp>
        <tr r="G84" s="2"/>
      </tp>
      <tp t="s">
        <v>#N/A Requesting Data...4228309870</v>
        <stp/>
        <stp>BDP|7856908368926766507</stp>
        <tr r="E465" s="2"/>
      </tp>
      <tp t="s">
        <v>#N/A Requesting Data...4204532725</v>
        <stp/>
        <stp>BDP|9761846411788362365</stp>
        <tr r="E582" s="2"/>
      </tp>
      <tp t="s">
        <v>#N/A Requesting Data...4063514078</v>
        <stp/>
        <stp>BDP|1892821769614310047</stp>
        <tr r="G611" s="2"/>
      </tp>
      <tp t="s">
        <v>#N/A Requesting Data...3997708211</v>
        <stp/>
        <stp>BDP|9420898267564851862</stp>
        <tr r="G207" s="2"/>
      </tp>
      <tp t="s">
        <v>#N/A Requesting Data...3947573566</v>
        <stp/>
        <stp>BDP|6076332753833335872</stp>
        <tr r="H526" s="2"/>
      </tp>
      <tp t="s">
        <v>#N/A Requesting Data...4203055933</v>
        <stp/>
        <stp>BDP|3312757727955165846</stp>
        <tr r="F268" s="2"/>
      </tp>
      <tp t="s">
        <v>#N/A Requesting Data...4057311881</v>
        <stp/>
        <stp>BDP|6842686080305175657</stp>
        <tr r="H379" s="2"/>
      </tp>
      <tp t="s">
        <v>#N/A Requesting Data...4220979148</v>
        <stp/>
        <stp>BDP|3029063142764664865</stp>
        <tr r="H217" s="2"/>
      </tp>
      <tp t="s">
        <v>#N/A Requesting Data...3954666161</v>
        <stp/>
        <stp>BDP|4570476675175066930</stp>
        <tr r="Z106" s="1"/>
      </tp>
      <tp t="s">
        <v>#N/A Requesting Data...4057917623</v>
        <stp/>
        <stp>BDP|5789553306489160204</stp>
        <tr r="F396" s="2"/>
      </tp>
      <tp t="s">
        <v>#N/A Requesting Data...4071664122</v>
        <stp/>
        <stp>BDP|5287780105151968832</stp>
        <tr r="AA70" s="1"/>
      </tp>
      <tp t="s">
        <v>#N/A Requesting Data...4070694974</v>
        <stp/>
        <stp>BDP|1786664406019017522</stp>
        <tr r="F482" s="2"/>
      </tp>
      <tp t="s">
        <v>#N/A Requesting Data...4273258154</v>
        <stp/>
        <stp>BDP|2748977636566402578</stp>
        <tr r="F490" s="2"/>
      </tp>
      <tp t="s">
        <v>#N/A Requesting Data...3983886510</v>
        <stp/>
        <stp>BDP|3306934034494764664</stp>
        <tr r="F312" s="2"/>
      </tp>
      <tp t="s">
        <v>#N/A Requesting Data...3941594976</v>
        <stp/>
        <stp>BDP|2404836310165718551</stp>
        <tr r="H517" s="2"/>
      </tp>
      <tp t="s">
        <v>#N/A Requesting Data...4261875138</v>
        <stp/>
        <stp>BDP|9922979821471235776</stp>
        <tr r="AA36" s="1"/>
      </tp>
      <tp t="s">
        <v>#N/A Requesting Data...4106730299</v>
        <stp/>
        <stp>BDP|2223957387767357098</stp>
        <tr r="Z104" s="1"/>
      </tp>
      <tp t="s">
        <v>#N/A Requesting Data...3966543910</v>
        <stp/>
        <stp>BDP|9814264079398916044</stp>
        <tr r="E51" s="2"/>
      </tp>
      <tp t="s">
        <v>#N/A Requesting Data...4165360383</v>
        <stp/>
        <stp>BDP|2840423860961008517</stp>
        <tr r="H154" s="2"/>
      </tp>
      <tp t="s">
        <v>#N/A Requesting Data...4094022237</v>
        <stp/>
        <stp>BDP|6579476143802241080</stp>
        <tr r="E73" s="2"/>
      </tp>
      <tp t="s">
        <v>#N/A Requesting Data...4226152064</v>
        <stp/>
        <stp>BDP|6759329963817819059</stp>
        <tr r="H482" s="2"/>
      </tp>
      <tp t="s">
        <v>#N/A Requesting Data...4289698176</v>
        <stp/>
        <stp>BDP|6761788809460865553</stp>
        <tr r="G367" s="2"/>
      </tp>
      <tp t="s">
        <v>#N/A Requesting Data...4292269892</v>
        <stp/>
        <stp>BDP|1827601633108931891</stp>
        <tr r="AA59" s="1"/>
      </tp>
      <tp t="s">
        <v>#N/A Requesting Data...4036770711</v>
        <stp/>
        <stp>BDP|8405111310165970974</stp>
        <tr r="G96" s="2"/>
      </tp>
      <tp t="s">
        <v>#N/A Requesting Data...4258456596</v>
        <stp/>
        <stp>BDP|6348070855931896620</stp>
        <tr r="H511" s="2"/>
      </tp>
      <tp t="s">
        <v>#N/A Requesting Data...3994880742</v>
        <stp/>
        <stp>BDP|1748577830637875434</stp>
        <tr r="H208" s="2"/>
      </tp>
      <tp t="s">
        <v>#N/A Requesting Data...4009383056</v>
        <stp/>
        <stp>BDP|6126340417903891329</stp>
        <tr r="G441" s="2"/>
      </tp>
      <tp t="s">
        <v>#N/A Requesting Data...4200692350</v>
        <stp/>
        <stp>BDP|7316812737681565988</stp>
        <tr r="E427" s="2"/>
      </tp>
      <tp t="s">
        <v>#N/A Requesting Data...4041988936</v>
        <stp/>
        <stp>BDP|1618069109292661773</stp>
        <tr r="E553" s="2"/>
      </tp>
      <tp t="s">
        <v>#N/A Requesting Data...4257378013</v>
        <stp/>
        <stp>BDP|4695130338126006457</stp>
        <tr r="G472" s="2"/>
      </tp>
      <tp t="s">
        <v>#N/A Requesting Data...4286316648</v>
        <stp/>
        <stp>BDP|3197676077687941109</stp>
        <tr r="F267" s="2"/>
      </tp>
      <tp t="s">
        <v>#N/A Requesting Data...3948474027</v>
        <stp/>
        <stp>BDP|2449370096119925540</stp>
        <tr r="F617" s="2"/>
      </tp>
      <tp t="s">
        <v>#N/A Requesting Data...3996199774</v>
        <stp/>
        <stp>BDP|4234432131023911404</stp>
        <tr r="H340" s="2"/>
      </tp>
      <tp t="s">
        <v>#N/A Requesting Data...4265761530</v>
        <stp/>
        <stp>BDP|1868946994723193675</stp>
        <tr r="AB10" s="1"/>
      </tp>
      <tp t="s">
        <v>#N/A Requesting Data...4003723315</v>
        <stp/>
        <stp>BDP|7600118299052753970</stp>
        <tr r="E228" s="2"/>
      </tp>
      <tp t="s">
        <v>#N/A Requesting Data...4033740210</v>
        <stp/>
        <stp>BDP|7497126723860979021</stp>
        <tr r="G378" s="2"/>
      </tp>
      <tp t="s">
        <v>#N/A Requesting Data...4062755557</v>
        <stp/>
        <stp>BDP|8937350888984203388</stp>
        <tr r="G139" s="2"/>
      </tp>
      <tp t="s">
        <v>#N/A Requesting Data...3997087230</v>
        <stp/>
        <stp>BDP|5973994755675885839</stp>
        <tr r="G274" s="2"/>
      </tp>
      <tp t="s">
        <v>#N/A Requesting Data...4236983638</v>
        <stp/>
        <stp>BDP|5764538560111224394</stp>
        <tr r="H603" s="2"/>
      </tp>
      <tp t="s">
        <v>#N/A Requesting Data...3999523206</v>
        <stp/>
        <stp>BDP|6881379017847193769</stp>
        <tr r="F176" s="2"/>
      </tp>
      <tp t="s">
        <v>#N/A Requesting Data...4184175482</v>
        <stp/>
        <stp>BDP|7538251431594982674</stp>
        <tr r="F8" s="2"/>
      </tp>
      <tp t="s">
        <v>#N/A Requesting Data...4187265078</v>
        <stp/>
        <stp>BDP|7350780159228804955</stp>
        <tr r="G290" s="2"/>
      </tp>
      <tp t="s">
        <v>#N/A Requesting Data...4047664684</v>
        <stp/>
        <stp>BDP|8344446356508618582</stp>
        <tr r="F135" s="2"/>
      </tp>
      <tp t="s">
        <v>#N/A Requesting Data...4089746492</v>
        <stp/>
        <stp>BDP|7925748869715822738</stp>
        <tr r="H473" s="2"/>
      </tp>
      <tp t="s">
        <v>#N/A Requesting Data...4172297631</v>
        <stp/>
        <stp>BDP|3433499567551111473</stp>
        <tr r="F363" s="2"/>
      </tp>
      <tp t="s">
        <v>#N/A Requesting Data...4184101043</v>
        <stp/>
        <stp>BDP|2933693768971090741</stp>
        <tr r="G532" s="2"/>
      </tp>
      <tp t="s">
        <v>#N/A Requesting Data...4071468777</v>
        <stp/>
        <stp>BDP|5947396541200599688</stp>
        <tr r="E488" s="2"/>
      </tp>
      <tp t="s">
        <v>#N/A Requesting Data...4149659510</v>
        <stp/>
        <stp>BDP|3015837364381272891</stp>
        <tr r="G357" s="2"/>
      </tp>
      <tp t="s">
        <v>#N/A Requesting Data...4197084322</v>
        <stp/>
        <stp>BDP|2672244544356222680</stp>
        <tr r="H438" s="2"/>
      </tp>
      <tp t="s">
        <v>#N/A Requesting Data...4148609541</v>
        <stp/>
        <stp>BDP|1693574778903428411</stp>
        <tr r="G388" s="2"/>
      </tp>
      <tp t="s">
        <v>#N/A Requesting Data...3995575620</v>
        <stp/>
        <stp>BDP|3171514972824765183</stp>
        <tr r="E271" s="2"/>
      </tp>
      <tp t="s">
        <v>#N/A Requesting Data...3956064724</v>
        <stp/>
        <stp>BDP|1747295501281065624</stp>
        <tr r="H228" s="2"/>
      </tp>
      <tp t="s">
        <v>#N/A Requesting Data...4015320711</v>
        <stp/>
        <stp>BDP|3663601461957637036</stp>
        <tr r="G428" s="2"/>
      </tp>
      <tp t="s">
        <v>#N/A Requesting Data...4290651299</v>
        <stp/>
        <stp>BDP|2775417124917003703</stp>
        <tr r="E472" s="2"/>
      </tp>
      <tp t="s">
        <v>#N/A Requesting Data...4198255485</v>
        <stp/>
        <stp>BDP|9794943841222776272</stp>
        <tr r="E274" s="2"/>
      </tp>
      <tp t="s">
        <v>#N/A Requesting Data...4097891219</v>
        <stp/>
        <stp>BDP|9690702682981256347</stp>
        <tr r="H137" s="2"/>
      </tp>
      <tp t="s">
        <v>#N/A Requesting Data...4149090010</v>
        <stp/>
        <stp>BDP|4377485609747162311</stp>
        <tr r="G132" s="2"/>
      </tp>
      <tp t="s">
        <v>#N/A Requesting Data...4130834770</v>
        <stp/>
        <stp>BDP|5968673572407724796</stp>
        <tr r="H104" s="2"/>
      </tp>
      <tp t="s">
        <v>#N/A Requesting Data...4160372315</v>
        <stp/>
        <stp>BDP|4399436507896682238</stp>
        <tr r="F407" s="2"/>
      </tp>
      <tp t="s">
        <v>#N/A Requesting Data...4285268045</v>
        <stp/>
        <stp>BDP|8417542888343276281</stp>
        <tr r="G327" s="2"/>
      </tp>
      <tp t="s">
        <v>#N/A Requesting Data...4072343344</v>
        <stp/>
        <stp>BDP|6413444847077312562</stp>
        <tr r="F200" s="2"/>
      </tp>
      <tp t="s">
        <v>#N/A Requesting Data...4249854699</v>
        <stp/>
        <stp>BDP|8216905466644784707</stp>
        <tr r="G419" s="2"/>
      </tp>
      <tp t="s">
        <v>#N/A Requesting Data...4209589508</v>
        <stp/>
        <stp>BDP|4570129322191227241</stp>
        <tr r="G114" s="2"/>
      </tp>
      <tp t="s">
        <v>#N/A Requesting Data...4133626478</v>
        <stp/>
        <stp>BDP|9093474094026209622</stp>
        <tr r="AA78" s="1"/>
      </tp>
      <tp t="s">
        <v>#N/A Requesting Data...4007804058</v>
        <stp/>
        <stp>BDP|2211420152920748763</stp>
        <tr r="E343" s="2"/>
      </tp>
      <tp t="s">
        <v>#N/A Requesting Data...4263960124</v>
        <stp/>
        <stp>BDP|8975822244073495382</stp>
        <tr r="F594" s="2"/>
      </tp>
      <tp t="s">
        <v>#N/A Requesting Data...3965138286</v>
        <stp/>
        <stp>BDP|1600419061220397762</stp>
        <tr r="G151" s="2"/>
      </tp>
      <tp t="s">
        <v>#N/A Requesting Data...4087870491</v>
        <stp/>
        <stp>BDP|5658773905264217255</stp>
        <tr r="F139" s="2"/>
      </tp>
      <tp t="s">
        <v>#N/A Requesting Data...3972345124</v>
        <stp/>
        <stp>BDP|3161270253692104270</stp>
        <tr r="F18" s="2"/>
        <tr r="F45" s="2"/>
      </tp>
      <tp t="s">
        <v>#N/A Requesting Data...4069945159</v>
        <stp/>
        <stp>BDP|1930461501152978344</stp>
        <tr r="G173" s="2"/>
      </tp>
      <tp t="s">
        <v>#N/A Requesting Data...4050153811</v>
        <stp/>
        <stp>BDP|5022131755105423013</stp>
        <tr r="E494" s="2"/>
      </tp>
      <tp t="s">
        <v>#N/A Requesting Data...4070157444</v>
        <stp/>
        <stp>BDP|6635784958292147243</stp>
        <tr r="H170" s="2"/>
      </tp>
      <tp t="s">
        <v>#N/A Requesting Data...4033564745</v>
        <stp/>
        <stp>BDP|4480370228045186494</stp>
        <tr r="G61" s="2"/>
      </tp>
      <tp t="s">
        <v>#N/A Requesting Data...4270728121</v>
        <stp/>
        <stp>BDP|8435492452458818543</stp>
        <tr r="F242" s="2"/>
      </tp>
      <tp t="s">
        <v>#N/A Requesting Data...4043944495</v>
        <stp/>
        <stp>BDP|9075661724499420057</stp>
        <tr r="Z37" s="1"/>
      </tp>
      <tp t="s">
        <v>#N/A Requesting Data...4089774228</v>
        <stp/>
        <stp>BDP|7852454760578843966</stp>
        <tr r="G198" s="2"/>
      </tp>
      <tp t="s">
        <v>#N/A Requesting Data...4254331582</v>
        <stp/>
        <stp>BDP|3754165140771710350</stp>
        <tr r="G379" s="2"/>
      </tp>
      <tp t="s">
        <v>#N/A Requesting Data...4268403162</v>
        <stp/>
        <stp>BDP|1848194336774071378</stp>
        <tr r="F581" s="2"/>
      </tp>
      <tp t="s">
        <v>#N/A Requesting Data...4062729916</v>
        <stp/>
        <stp>BDP|3687612296599455150</stp>
        <tr r="G175" s="2"/>
      </tp>
      <tp t="s">
        <v>#N/A Requesting Data...4020090630</v>
        <stp/>
        <stp>BDP|3492269035974113265</stp>
        <tr r="E299" s="2"/>
      </tp>
      <tp t="s">
        <v>#N/A Requesting Data...4288539952</v>
        <stp/>
        <stp>BDP|8357679702103278947</stp>
        <tr r="E63" s="2"/>
      </tp>
      <tp t="s">
        <v>#N/A Requesting Data...4204745514</v>
        <stp/>
        <stp>BDP|3644433003494167770</stp>
        <tr r="F74" s="2"/>
      </tp>
      <tp t="s">
        <v>#N/A Requesting Data...3998109145</v>
        <stp/>
        <stp>BDP|9491412050028728431</stp>
        <tr r="F223" s="2"/>
      </tp>
      <tp t="s">
        <v>#N/A Requesting Data...4239774727</v>
        <stp/>
        <stp>BDP|9122809256018164876</stp>
        <tr r="G518" s="2"/>
      </tp>
      <tp t="s">
        <v>#N/A Requesting Data...4037862057</v>
        <stp/>
        <stp>BDP|1444810840119290061</stp>
        <tr r="H57" s="2"/>
      </tp>
      <tp t="s">
        <v>#N/A Requesting Data...4135186145</v>
        <stp/>
        <stp>BDP|6399546836467986392</stp>
        <tr r="F438" s="2"/>
      </tp>
      <tp t="s">
        <v>#N/A Requesting Data...4192872646</v>
        <stp/>
        <stp>BDP|3561021836493976794</stp>
        <tr r="Z30" s="1"/>
      </tp>
      <tp t="s">
        <v>#N/A Requesting Data...4029414445</v>
        <stp/>
        <stp>BDP|7108254942330434536</stp>
        <tr r="AA13" s="1"/>
      </tp>
      <tp t="s">
        <v>#N/A Requesting Data...4132577556</v>
        <stp/>
        <stp>BDP|3303458020167019604</stp>
        <tr r="F88" s="2"/>
      </tp>
      <tp t="s">
        <v>#N/A Requesting Data...4096625935</v>
        <stp/>
        <stp>BDP|3125520836718420979</stp>
        <tr r="H472" s="2"/>
      </tp>
      <tp t="s">
        <v>#N/A Requesting Data...4130168361</v>
        <stp/>
        <stp>BDP|4619160796728975091</stp>
        <tr r="G389" s="2"/>
      </tp>
      <tp t="s">
        <v>#N/A Requesting Data...4225683256</v>
        <stp/>
        <stp>BDP|4688005451730425558</stp>
        <tr r="H576" s="2"/>
      </tp>
      <tp t="s">
        <v>#N/A Requesting Data...3995877858</v>
        <stp/>
        <stp>BDP|3229250161784547756</stp>
        <tr r="H155" s="2"/>
      </tp>
      <tp t="s">
        <v>#N/A Requesting Data...4252126095</v>
        <stp/>
        <stp>BDP|4820305518654560631</stp>
        <tr r="H238" s="2"/>
      </tp>
      <tp t="s">
        <v>#N/A Requesting Data...4076595670</v>
        <stp/>
        <stp>BDP|3294542222646416674</stp>
        <tr r="E232" s="2"/>
      </tp>
      <tp t="s">
        <v>#N/A Requesting Data...4204417309</v>
        <stp/>
        <stp>BDP|4183980336093871902</stp>
        <tr r="H163" s="2"/>
      </tp>
      <tp t="s">
        <v>#N/A Requesting Data...4252660049</v>
        <stp/>
        <stp>BDP|4457176046672395710</stp>
        <tr r="G431" s="2"/>
      </tp>
      <tp t="s">
        <v>#N/A Requesting Data...4061885399</v>
        <stp/>
        <stp>BDP|1988115319021666408</stp>
        <tr r="H48" s="2"/>
      </tp>
      <tp t="s">
        <v>#N/A Requesting Data...4181684671</v>
        <stp/>
        <stp>BDP|5797658801915481239</stp>
        <tr r="E377" s="2"/>
      </tp>
      <tp t="s">
        <v>#N/A Requesting Data...4162677281</v>
        <stp/>
        <stp>BDP|2636412706096431417</stp>
        <tr r="H16" s="2"/>
      </tp>
      <tp t="s">
        <v>#N/A Requesting Data...4044920302</v>
        <stp/>
        <stp>BDP|7056441700485827286</stp>
        <tr r="E56" s="2"/>
      </tp>
      <tp t="s">
        <v>#N/A Requesting Data...4156484426</v>
        <stp/>
        <stp>BDP|6155739622582149541</stp>
        <tr r="E313" s="2"/>
      </tp>
      <tp t="s">
        <v>#N/A Requesting Data...4198085496</v>
        <stp/>
        <stp>BDP|8117754083714036724</stp>
        <tr r="Z46" s="1"/>
      </tp>
      <tp t="s">
        <v>#N/A Requesting Data...4253289443</v>
        <stp/>
        <stp>BDP|1264604975034018027</stp>
        <tr r="E379" s="2"/>
      </tp>
      <tp t="s">
        <v>#N/A Requesting Data...4202102083</v>
        <stp/>
        <stp>BDP|6744515536540058457</stp>
        <tr r="H496" s="2"/>
      </tp>
      <tp t="s">
        <v>#N/A Requesting Data...4037644718</v>
        <stp/>
        <stp>BDP|4985290459570768641</stp>
        <tr r="G592" s="2"/>
      </tp>
      <tp t="s">
        <v>#N/A Requesting Data...4150967544</v>
        <stp/>
        <stp>BDP|4840589912335818000</stp>
        <tr r="G558" s="2"/>
      </tp>
      <tp t="s">
        <v>#N/A Requesting Data...4017651500</v>
        <stp/>
        <stp>BDP|5307373358215482329</stp>
        <tr r="Z40" s="1"/>
      </tp>
      <tp t="s">
        <v>#N/A Requesting Data...4248803990</v>
        <stp/>
        <stp>BDP|7836747830741436722</stp>
        <tr r="H319" s="2"/>
      </tp>
      <tp t="s">
        <v>#N/A Requesting Data...4010522636</v>
        <stp/>
        <stp>BDP|8965962592548268552</stp>
        <tr r="G501" s="2"/>
      </tp>
      <tp t="s">
        <v>#N/A Requesting Data...4205953032</v>
        <stp/>
        <stp>BDP|6163650274695824726</stp>
        <tr r="G208" s="2"/>
      </tp>
      <tp t="s">
        <v>#N/A Requesting Data...4120955032</v>
        <stp/>
        <stp>BDP|8530148691871835426</stp>
        <tr r="E480" s="2"/>
      </tp>
      <tp t="s">
        <v>#N/A Requesting Data...4150045133</v>
        <stp/>
        <stp>BDP|6668392023365480736</stp>
        <tr r="F58" s="2"/>
      </tp>
      <tp t="s">
        <v>#N/A Requesting Data...4143013289</v>
        <stp/>
        <stp>BDP|5671736937334812011</stp>
        <tr r="F155" s="2"/>
      </tp>
      <tp t="s">
        <v>#N/A Requesting Data...4293126663</v>
        <stp/>
        <stp>BDP|9144392391715518348</stp>
        <tr r="AB51" s="1"/>
      </tp>
      <tp t="s">
        <v>#N/A Requesting Data...4100142212</v>
        <stp/>
        <stp>BDP|9491911669430447307</stp>
        <tr r="G136" s="2"/>
      </tp>
      <tp t="s">
        <v>#N/A Requesting Data...4228960000</v>
        <stp/>
        <stp>BDP|4405760535530904564</stp>
        <tr r="E143" s="2"/>
      </tp>
      <tp t="s">
        <v>#N/A Requesting Data...4218238813</v>
        <stp/>
        <stp>BDP|2849049340090681324</stp>
        <tr r="G51" s="2"/>
      </tp>
      <tp t="s">
        <v>#N/A Requesting Data...4257702748</v>
        <stp/>
        <stp>BDP|2644818419717326942</stp>
        <tr r="G328" s="2"/>
      </tp>
      <tp t="s">
        <v>#N/A Requesting Data...4122222686</v>
        <stp/>
        <stp>BDP|1941825199870951521</stp>
        <tr r="E573" s="2"/>
      </tp>
      <tp t="s">
        <v>#N/A Requesting Data...4142022666</v>
        <stp/>
        <stp>BDP|7142589855174754625</stp>
        <tr r="E538" s="2"/>
      </tp>
      <tp t="s">
        <v>#N/A Requesting Data...4279046828</v>
        <stp/>
        <stp>BDP|9064963649156291742</stp>
        <tr r="F318" s="2"/>
      </tp>
      <tp t="s">
        <v>#N/A Requesting Data...4279546956</v>
        <stp/>
        <stp>BDP|7664066544904551283</stp>
        <tr r="G439" s="2"/>
      </tp>
      <tp t="s">
        <v>#N/A Requesting Data...4142624749</v>
        <stp/>
        <stp>BDP|6733747276606540594</stp>
        <tr r="H183" s="2"/>
      </tp>
      <tp t="s">
        <v>#N/A Requesting Data...4277402903</v>
        <stp/>
        <stp>BDP|3217102909514277304</stp>
        <tr r="E25" s="2"/>
      </tp>
      <tp t="s">
        <v>#N/A Requesting Data...4172736998</v>
        <stp/>
        <stp>BDP|6287490711417765139</stp>
        <tr r="E548" s="2"/>
      </tp>
      <tp t="s">
        <v>#N/A Requesting Data...4225929333</v>
        <stp/>
        <stp>BDP|4407777150561925247</stp>
        <tr r="F429" s="2"/>
      </tp>
      <tp t="s">
        <v>#N/A Requesting Data...4216736045</v>
        <stp/>
        <stp>BDP|1660939209604366919</stp>
        <tr r="E171" s="2"/>
      </tp>
      <tp t="s">
        <v>#N/A Requesting Data...4129016844</v>
        <stp/>
        <stp>BDP|7675131495289839377</stp>
        <tr r="H32" s="2"/>
      </tp>
      <tp t="s">
        <v>#N/A Requesting Data...4235694342</v>
        <stp/>
        <stp>BDP|6864234344227252220</stp>
        <tr r="E423" s="2"/>
      </tp>
      <tp t="s">
        <v>#N/A Requesting Data...4141170853</v>
        <stp/>
        <stp>BDP|4453711509010084604</stp>
        <tr r="E140" s="2"/>
      </tp>
      <tp t="s">
        <v>#N/A Requesting Data...4294025638</v>
        <stp/>
        <stp>BDP|4328852629942514962</stp>
        <tr r="E454" s="2"/>
      </tp>
      <tp t="s">
        <v>#N/A Requesting Data...4201066505</v>
        <stp/>
        <stp>BDP|2763850476000905816</stp>
        <tr r="G292" s="2"/>
      </tp>
      <tp t="s">
        <v>#N/A Requesting Data...4242456704</v>
        <stp/>
        <stp>BDP|6795383989601386994</stp>
        <tr r="G21" s="2"/>
      </tp>
      <tp t="s">
        <v>#N/A Requesting Data...4225621194</v>
        <stp/>
        <stp>BDP|7764946836299062197</stp>
        <tr r="H341" s="2"/>
      </tp>
      <tp t="s">
        <v>#N/A Requesting Data...4228834506</v>
        <stp/>
        <stp>BDP|4906957000391745972</stp>
        <tr r="AA69" s="1"/>
      </tp>
      <tp t="s">
        <v>#N/A Requesting Data...4189890681</v>
        <stp/>
        <stp>BDP|3677611693730061980</stp>
        <tr r="H520" s="2"/>
      </tp>
      <tp t="s">
        <v>#N/A Requesting Data...4169867524</v>
        <stp/>
        <stp>BDP|7060924437488947004</stp>
        <tr r="F335" s="2"/>
      </tp>
      <tp t="s">
        <v>#N/A Requesting Data...4245008755</v>
        <stp/>
        <stp>BDP|3913901264001982891</stp>
        <tr r="H73" s="2"/>
      </tp>
      <tp t="s">
        <v>#N/A Requesting Data...4219578092</v>
        <stp/>
        <stp>BDP|4277263736821916166</stp>
        <tr r="G573" s="2"/>
      </tp>
      <tp t="s">
        <v>#N/A Requesting Data...4197846548</v>
        <stp/>
        <stp>BDP|4329178239546107512</stp>
        <tr r="E34" s="2"/>
      </tp>
      <tp t="s">
        <v>#N/A Requesting Data...4287467006</v>
        <stp/>
        <stp>BDP|2330109854317285483</stp>
        <tr r="F323" s="2"/>
      </tp>
      <tp t="s">
        <v>#N/A Requesting Data...4196961908</v>
        <stp/>
        <stp>BDP|5392896196632342328</stp>
        <tr r="AA53" s="1"/>
      </tp>
      <tp t="s">
        <v>#N/A Requesting Data...4230893988</v>
        <stp/>
        <stp>BDP|6141952621890525824</stp>
        <tr r="H233" s="2"/>
      </tp>
      <tp t="s">
        <v>#N/A Requesting Data...4153337125</v>
        <stp/>
        <stp>BDP|1998184103187653265</stp>
        <tr r="E532" s="2"/>
      </tp>
      <tp t="s">
        <v>#N/A Requesting Data...4252395711</v>
        <stp/>
        <stp>BDP|6382949195152076102</stp>
        <tr r="H14" s="2"/>
      </tp>
      <tp t="s">
        <v>#N/A Requesting Data...4258559616</v>
        <stp/>
        <stp>BDP|8535073121179807695</stp>
        <tr r="F62" s="2"/>
      </tp>
      <tp t="s">
        <v>#N/A Requesting Data...4187667467</v>
        <stp/>
        <stp>BDP|4590537067610740248</stp>
        <tr r="AA94" s="1"/>
      </tp>
      <tp t="s">
        <v>#N/A Requesting Data...4215859506</v>
        <stp/>
        <stp>BDP|7274947117049304306</stp>
        <tr r="F583" s="2"/>
      </tp>
      <tp t="s">
        <v>#N/A Requesting Data...4211396858</v>
        <stp/>
        <stp>BDP|5756645922311298500</stp>
        <tr r="F56" s="2"/>
      </tp>
      <tp t="s">
        <v>#N/A Requesting Data...4227179843</v>
        <stp/>
        <stp>BDP|4188516374877403438</stp>
        <tr r="E354" s="2"/>
      </tp>
      <tp t="s">
        <v>#N/A Requesting Data...4271575141</v>
        <stp/>
        <stp>BDP|9601681244316962805</stp>
        <tr r="Z16" s="1"/>
      </tp>
      <tp t="s">
        <v>#N/A Requesting Data...4234961530</v>
        <stp/>
        <stp>BDP|7319962401718304344</stp>
        <tr r="E159" s="2"/>
      </tp>
      <tp t="s">
        <v>#N/A Requesting Data...4293543087</v>
        <stp/>
        <stp>BDP|7723605170790742337</stp>
        <tr r="F145" s="2"/>
      </tp>
      <tp t="s">
        <v>#N/A Requesting Data...4276971585</v>
        <stp/>
        <stp>BDP|2735029337810718461</stp>
        <tr r="H89" s="2"/>
      </tp>
      <tp t="s">
        <v>#N/A Requesting Data...4168646735</v>
        <stp/>
        <stp>BDP|2921469526865802424</stp>
        <tr r="E474" s="2"/>
      </tp>
      <tp t="s">
        <v>#N/A Requesting Data...4227676671</v>
        <stp/>
        <stp>BDP|2672415113473459134</stp>
        <tr r="H101" s="2"/>
      </tp>
      <tp t="s">
        <v>#N/A Requesting Data...4254322232</v>
        <stp/>
        <stp>BDP|7645450020786637267</stp>
        <tr r="AB36" s="1"/>
      </tp>
      <tp t="s">
        <v>#N/A Requesting Data...4258058711</v>
        <stp/>
        <stp>BDP|9216483048544384814</stp>
        <tr r="G75" s="2"/>
      </tp>
      <tp t="s">
        <v>#N/A Requesting Data...4254001089</v>
        <stp/>
        <stp>BDP|4304837006458394156</stp>
        <tr r="F356" s="2"/>
      </tp>
      <tp t="s">
        <v>#N/A Requesting Data...4286595426</v>
        <stp/>
        <stp>BDP|5109471316205096005</stp>
        <tr r="E121" s="2"/>
      </tp>
      <tp t="s">
        <v>#N/A Requesting Data...4208121872</v>
        <stp/>
        <stp>BDP|5761776832666037226</stp>
        <tr r="H156" s="2"/>
      </tp>
      <tp t="s">
        <v>#N/A Requesting Data...4175485355</v>
        <stp/>
        <stp>BDP|6142296127866908568</stp>
        <tr r="H456" s="2"/>
      </tp>
      <tp t="s">
        <v>#N/A Requesting Data...4184456320</v>
        <stp/>
        <stp>BDP|7471446940996555459</stp>
        <tr r="AA99" s="1"/>
      </tp>
      <tp t="s">
        <v>#N/A Requesting Data...4168314849</v>
        <stp/>
        <stp>BDP|5675077125284576613</stp>
        <tr r="E85" s="2"/>
      </tp>
      <tp t="s">
        <v>#N/A Requesting Data...4195612009</v>
        <stp/>
        <stp>BDP|7473660347531538118</stp>
        <tr r="F277" s="2"/>
      </tp>
      <tp t="s">
        <v>#N/A Requesting Data...4243930884</v>
        <stp/>
        <stp>BDP|7980531976090858054</stp>
        <tr r="F59" s="2"/>
      </tp>
      <tp t="s">
        <v>#N/A Requesting Data...4238944220</v>
        <stp/>
        <stp>BDP|3241238061423238133</stp>
        <tr r="E257" s="2"/>
      </tp>
      <tp t="s">
        <v>#N/A Requesting Data...4229298680</v>
        <stp/>
        <stp>BDP|4671741940380477278</stp>
        <tr r="G217" s="2"/>
      </tp>
      <tp t="s">
        <v>#N/A Requesting Data...4253035084</v>
        <stp/>
        <stp>BDP|6527751971532877185</stp>
        <tr r="E609" s="2"/>
      </tp>
      <tp t="s">
        <v>#N/A Requesting Data...4183701079</v>
        <stp/>
        <stp>BDP|1630175103192460776</stp>
        <tr r="E541" s="2"/>
      </tp>
      <tp t="s">
        <v>#N/A Requesting Data...4216665555</v>
        <stp/>
        <stp>BDP|3291942723645417876</stp>
        <tr r="E234" s="2"/>
      </tp>
      <tp t="s">
        <v>#N/A Requesting Data...4283936560</v>
        <stp/>
        <stp>BDP|8592933106235418123</stp>
        <tr r="F179" s="2"/>
      </tp>
      <tp t="s">
        <v>#N/A Requesting Data...4276384098</v>
        <stp/>
        <stp>BDP|7280064263724403054</stp>
        <tr r="G356" s="2"/>
      </tp>
      <tp t="s">
        <v>#N/A Requesting Data...4215029885</v>
        <stp/>
        <stp>BDP|6570696633176071092</stp>
        <tr r="AB77" s="1"/>
      </tp>
      <tp t="s">
        <v>#N/A Requesting Data...4294662885</v>
        <stp/>
        <stp>BDP|1181351218645836335</stp>
        <tr r="AA32" s="1"/>
      </tp>
      <tp t="s">
        <v>#N/A Requesting Data...4236554351</v>
        <stp/>
        <stp>BDP|1173529218537862745</stp>
        <tr r="F347" s="2"/>
      </tp>
      <tp t="s">
        <v>#N/A Requesting Data...4289468932</v>
        <stp/>
        <stp>BDP|1335324123045477011</stp>
        <tr r="H121" s="2"/>
      </tp>
      <tp t="s">
        <v>#N/A Requesting Data...4218062471</v>
        <stp/>
        <stp>BDP|5087181764831338683</stp>
        <tr r="H173" s="2"/>
      </tp>
      <tp t="s">
        <v>#N/A Requesting Data...4282090903</v>
        <stp/>
        <stp>BDP|3445710660546408162</stp>
        <tr r="G17" s="2"/>
      </tp>
      <tp t="s">
        <v>#N/A Requesting Data...4267654990</v>
        <stp/>
        <stp>BDP|6740455406497176021</stp>
        <tr r="G185" s="2"/>
      </tp>
      <tp t="s">
        <v>#N/A Requesting Data...4176622667</v>
        <stp/>
        <stp>BDP|8778368799466859179</stp>
        <tr r="G322" s="2"/>
      </tp>
      <tp t="s">
        <v>#N/A Requesting Data...4246112167</v>
        <stp/>
        <stp>BDP|4669885813311934902</stp>
        <tr r="AA41" s="1"/>
      </tp>
      <tp t="s">
        <v>#N/A Requesting Data...4213464712</v>
        <stp/>
        <stp>BDP|7275464110151004603</stp>
        <tr r="E511" s="2"/>
      </tp>
      <tp t="s">
        <v>#N/A Requesting Data...4208576577</v>
        <stp/>
        <stp>BDP|2710443962305477015</stp>
        <tr r="F377" s="2"/>
      </tp>
      <tp t="s">
        <v>#N/A Requesting Data...4239562127</v>
        <stp/>
        <stp>BDP|1210268676961265044</stp>
        <tr r="AA43" s="1"/>
      </tp>
      <tp t="s">
        <v>#N/A Requesting Data...4260696910</v>
        <stp/>
        <stp>BDP|6647441255047616553</stp>
        <tr r="F52" s="2"/>
      </tp>
      <tp t="s">
        <v>#N/A Requesting Data...4246204074</v>
        <stp/>
        <stp>BDP|9104144943991331803</stp>
        <tr r="G624" s="2"/>
      </tp>
      <tp t="s">
        <v>#N/A Requesting Data...4277206364</v>
        <stp/>
        <stp>BDP|6890252761051175680</stp>
        <tr r="F127" s="2"/>
      </tp>
      <tp t="s">
        <v>#N/A Requesting Data...4217597470</v>
        <stp/>
        <stp>BDP|1706093017665476083</stp>
        <tr r="E567" s="2"/>
      </tp>
      <tp t="s">
        <v>#N/A Requesting Data...4207016224</v>
        <stp/>
        <stp>BDP|4233871286127053666</stp>
        <tr r="G353" s="2"/>
      </tp>
      <tp t="s">
        <v>#N/A Requesting Data...4243756511</v>
        <stp/>
        <stp>BDP|5717725661218258930</stp>
        <tr r="G200" s="2"/>
      </tp>
      <tp t="s">
        <v>#N/A Requesting Data...4267321365</v>
        <stp/>
        <stp>BDP|7144401073562252350</stp>
        <tr r="H451" s="2"/>
      </tp>
      <tp t="s">
        <v>#N/A Requesting Data...4237990844</v>
        <stp/>
        <stp>BDP|1156013330615748222</stp>
        <tr r="F618" s="2"/>
      </tp>
      <tp t="s">
        <v>#N/A Requesting Data...4273711257</v>
        <stp/>
        <stp>BDP|1115375619612318768</stp>
        <tr r="E273" s="2"/>
      </tp>
      <tp t="s">
        <v>#N/A Requesting Data...4241484318</v>
        <stp/>
        <stp>BDP|2028584626684369777</stp>
        <tr r="H133" s="2"/>
      </tp>
      <tp t="s">
        <v>#N/A Requesting Data...4278689781</v>
        <stp/>
        <stp>BDP|8167312876382518893</stp>
        <tr r="H3" s="2"/>
      </tp>
      <tp t="s">
        <v>#N/A Requesting Data...4196876248</v>
        <stp/>
        <stp>BDP|9342323342261034991</stp>
        <tr r="F426" s="2"/>
      </tp>
      <tp t="s">
        <v>#N/A Requesting Data...4204467533</v>
        <stp/>
        <stp>BDP|7968025635003099153</stp>
        <tr r="AB65" s="1"/>
      </tp>
      <tp t="s">
        <v>#N/A Requesting Data...4283889287</v>
        <stp/>
        <stp>BDP|3418184917380502557</stp>
        <tr r="H316" s="2"/>
      </tp>
      <tp t="s">
        <v>#N/A Requesting Data...4217848096</v>
        <stp/>
        <stp>BDP|9722580787565463773</stp>
        <tr r="F601" s="2"/>
      </tp>
      <tp t="s">
        <v>#N/A Requesting Data...4207921986</v>
        <stp/>
        <stp>BDP|3168651569955752019</stp>
        <tr r="E578" s="2"/>
      </tp>
      <tp t="s">
        <v>#N/A Requesting Data...4284378683</v>
        <stp/>
        <stp>BDP|4700862757896942976</stp>
        <tr r="H440" s="2"/>
      </tp>
      <tp t="s">
        <v>#N/A Requesting Data...4202682495</v>
        <stp/>
        <stp>BDP|2383774548221770634</stp>
        <tr r="E269" s="2"/>
      </tp>
      <tp t="s">
        <v>#N/A Requesting Data...4228312224</v>
        <stp/>
        <stp>BDP|6033354961195530099</stp>
        <tr r="H118" s="2"/>
      </tp>
      <tp t="s">
        <v>#N/A Requesting Data...4230856541</v>
        <stp/>
        <stp>BDP|6195855469538275678</stp>
        <tr r="E235" s="2"/>
      </tp>
      <tp t="s">
        <v>#N/A Requesting Data...4208806757</v>
        <stp/>
        <stp>BDP|1958601762864425378</stp>
        <tr r="F271" s="2"/>
      </tp>
      <tp t="s">
        <v>#N/A Requesting Data...4235269246</v>
        <stp/>
        <stp>BDP|6397245624634206481</stp>
        <tr r="H285" s="2"/>
      </tp>
      <tp t="s">
        <v>#N/A Requesting Data...4231649056</v>
        <stp/>
        <stp>BDP|4416503933760869462</stp>
        <tr r="E2" s="2"/>
        <tr r="E27" s="2"/>
      </tp>
      <tp t="s">
        <v>#N/A Requesting Data...4243116846</v>
        <stp/>
        <stp>BDP|6937322464775656007</stp>
        <tr r="H329" s="2"/>
      </tp>
      <tp t="s">
        <v>#N/A Requesting Data...4278907334</v>
        <stp/>
        <stp>BDP|1297531903367992526</stp>
        <tr r="E129" s="2"/>
      </tp>
      <tp t="s">
        <v>#N/A Requesting Data...4220411637</v>
        <stp/>
        <stp>BDP|5715676147038951908</stp>
        <tr r="H29" s="2"/>
      </tp>
      <tp t="s">
        <v>#N/A Requesting Data...4264109229</v>
        <stp/>
        <stp>BDP|1828218675574169634</stp>
        <tr r="F279" s="2"/>
      </tp>
      <tp t="s">
        <v>#N/A Requesting Data...4214818492</v>
        <stp/>
        <stp>BDP|4184399520204069765</stp>
        <tr r="G7" s="2"/>
      </tp>
      <tp t="s">
        <v>#N/A Requesting Data...4215673551</v>
        <stp/>
        <stp>BDP|3673827216138525496</stp>
        <tr r="AA5" s="1"/>
      </tp>
      <tp t="s">
        <v>#N/A Requesting Data...4229782647</v>
        <stp/>
        <stp>BDP|8426183996014025247</stp>
        <tr r="E324" s="2"/>
      </tp>
      <tp t="s">
        <v>#N/A Requesting Data...4279136986</v>
        <stp/>
        <stp>BDP|4248618472460998366</stp>
        <tr r="E187" s="2"/>
      </tp>
      <tp t="s">
        <v>#N/A Requesting Data...4291293160</v>
        <stp/>
        <stp>BDP|7751022755993610797</stp>
        <tr r="G48" s="2"/>
      </tp>
      <tp t="s">
        <v>#N/A Requesting Data...4288225139</v>
        <stp/>
        <stp>BDP|6282743458225577741</stp>
        <tr r="E279" s="2"/>
      </tp>
      <tp t="s">
        <v>#N/A Requesting Data...4259979635</v>
        <stp/>
        <stp>BDP|8559369693220819471</stp>
        <tr r="G420" s="2"/>
      </tp>
      <tp t="s">
        <v>#N/A Requesting Data...4213621821</v>
        <stp/>
        <stp>BDP|6287681209522993454</stp>
        <tr r="F427" s="2"/>
      </tp>
      <tp t="s">
        <v>#N/A Requesting Data...4281536919</v>
        <stp/>
        <stp>BDP|7365012339514393679</stp>
        <tr r="F545" s="2"/>
      </tp>
      <tp t="s">
        <v>#N/A Requesting Data...4261980657</v>
        <stp/>
        <stp>BDP|6493254342265476389</stp>
        <tr r="F238" s="2"/>
      </tp>
      <tp t="s">
        <v>#N/A Requesting Data...4285892038</v>
        <stp/>
        <stp>BDP|4394868287906907449</stp>
        <tr r="G230" s="2"/>
      </tp>
      <tp t="s">
        <v>#N/A Requesting Data...4266175737</v>
        <stp/>
        <stp>BDP|2317082144797016706</stp>
        <tr r="F367" s="2"/>
      </tp>
      <tp t="s">
        <v>#N/A Requesting Data...4256185941</v>
        <stp/>
        <stp>BDP|8259316880191965450</stp>
        <tr r="G22" s="2"/>
        <tr r="G46" s="2"/>
      </tp>
      <tp t="s">
        <v>#N/A Requesting Data...4274592251</v>
        <stp/>
        <stp>BDP|3477328993678970738</stp>
        <tr r="G4" s="2"/>
      </tp>
      <tp t="s">
        <v>#N/A Requesting Data...4230059760</v>
        <stp/>
        <stp>BDP|3051112946658288892</stp>
        <tr r="G403" s="2"/>
      </tp>
      <tp t="s">
        <v>#N/A Requesting Data...4249928714</v>
        <stp/>
        <stp>BDP|8984071691706737146</stp>
        <tr r="H280" s="2"/>
      </tp>
      <tp t="s">
        <v>#N/A Requesting Data...4293307771</v>
        <stp/>
        <stp>BDP|1729338474587959456</stp>
        <tr r="AA68" s="1"/>
      </tp>
      <tp t="s">
        <v>#N/A Requesting Data...4235539787</v>
        <stp/>
        <stp>BDP|9644365579529029259</stp>
        <tr r="AA71" s="1"/>
      </tp>
      <tp t="s">
        <v>#N/A Requesting Data...4284720852</v>
        <stp/>
        <stp>BDP|1215493122566771723</stp>
        <tr r="G490" s="2"/>
      </tp>
      <tp t="s">
        <v>#N/A Requesting Data...4272639823</v>
        <stp/>
        <stp>BDP|6459340919865395767</stp>
        <tr r="H17" s="2"/>
      </tp>
      <tp t="s">
        <v>#N/A Requesting Data...4247702040</v>
        <stp/>
        <stp>BDP|8633686183486746661</stp>
        <tr r="E266" s="2"/>
      </tp>
      <tp t="s">
        <v>#N/A Requesting Data...4246972989</v>
        <stp/>
        <stp>BDP|6824672789338969633</stp>
        <tr r="G537" s="2"/>
      </tp>
      <tp t="s">
        <v>#N/A Requesting Data...4238980920</v>
        <stp/>
        <stp>BDP|8501478603759517396</stp>
        <tr r="E22" s="2"/>
        <tr r="E46" s="2"/>
      </tp>
      <tp t="s">
        <v>#N/A Requesting Data...4230693623</v>
        <stp/>
        <stp>BDP|1353888590107367157</stp>
        <tr r="G525" s="2"/>
      </tp>
      <tp t="s">
        <v>#N/A Requesting Data...4247384062</v>
        <stp/>
        <stp>BDP|1516984238249822409</stp>
        <tr r="H35" s="2"/>
      </tp>
      <tp t="s">
        <v>#N/A Requesting Data...4292426144</v>
        <stp/>
        <stp>BDP|3028794422567774718</stp>
        <tr r="E30" s="2"/>
      </tp>
      <tp t="s">
        <v>#N/A Requesting Data...4279744620</v>
        <stp/>
        <stp>BDP|8612183967979142053</stp>
        <tr r="H510" s="2"/>
      </tp>
      <tp t="s">
        <v>#N/A Requesting Data...4247006451</v>
        <stp/>
        <stp>BDP|7918458906403682617</stp>
        <tr r="E297" s="2"/>
      </tp>
      <tp t="s">
        <v>#N/A Requesting Data...4255600338</v>
        <stp/>
        <stp>BDP|3223133448491290168</stp>
        <tr r="E580" s="2"/>
      </tp>
      <tp t="s">
        <v>#N/A Requesting Data...4292932177</v>
        <stp/>
        <stp>BDP|6061366795332227839</stp>
        <tr r="G470" s="2"/>
      </tp>
      <tp t="s">
        <v>#N/A Requesting Data...4275334692</v>
        <stp/>
        <stp>BDP|4088577426095718045</stp>
        <tr r="G539" s="2"/>
      </tp>
      <tp t="s">
        <v>#N/A Requesting Data...4285222970</v>
        <stp/>
        <stp>BDP|3573237243175797607</stp>
        <tr r="E611" s="2"/>
      </tp>
      <tp t="s">
        <v>#N/A Requesting Data...4276382443</v>
        <stp/>
        <stp>BDP|3579457322225556656</stp>
        <tr r="G409" s="2"/>
      </tp>
      <tp t="s">
        <v>#N/A Requesting Data...4263221089</v>
        <stp/>
        <stp>BDP|7756497147012207397</stp>
        <tr r="E136" s="2"/>
      </tp>
      <tp t="s">
        <v>#N/A Requesting Data...4272909405</v>
        <stp/>
        <stp>BDP|6282405780598271428</stp>
        <tr r="Z31" s="1"/>
      </tp>
      <tp t="s">
        <v>#N/A Requesting Data...4288231532</v>
        <stp/>
        <stp>BDP|5541383223904598690</stp>
        <tr r="E588" s="2"/>
      </tp>
      <tp t="s">
        <v>#N/A Requesting Data...4281318536</v>
        <stp/>
        <stp>BDP|8013821177267593634</stp>
        <tr r="E3" s="2"/>
      </tp>
      <tp t="s">
        <v>#N/A Requesting Data...4278572925</v>
        <stp/>
        <stp>BDP|5512557912400376722</stp>
        <tr r="E100" s="2"/>
      </tp>
      <tp t="s">
        <v>#N/A Requesting Data...4245510629</v>
        <stp/>
        <stp>BDP|9700820034453746769</stp>
        <tr r="H563" s="2"/>
      </tp>
      <tp t="s">
        <v>#N/A Requesting Data...4256857552</v>
        <stp/>
        <stp>BDP|4185218497189382045</stp>
        <tr r="AB76" s="1"/>
      </tp>
      <tp t="s">
        <v>#N/A Requesting Data...4288623416</v>
        <stp/>
        <stp>BDP|3544349302480449673</stp>
        <tr r="F345" s="2"/>
      </tp>
      <tp t="s">
        <v>#N/A Requesting Data...4279159974</v>
        <stp/>
        <stp>BDP|8209833945330783236</stp>
        <tr r="E347" s="2"/>
      </tp>
      <tp t="s">
        <v>#N/A Requesting Data...4262103276</v>
        <stp/>
        <stp>BDP|5334884777348511494</stp>
        <tr r="AB39" s="1"/>
      </tp>
      <tp t="s">
        <v>#N/A Requesting Data...4278748407</v>
        <stp/>
        <stp>BDP|7483678406402111545</stp>
        <tr r="G377" s="2"/>
      </tp>
      <tp t="s">
        <v>#N/A Requesting Data...4285286513</v>
        <stp/>
        <stp>BDP|7033803493578376806</stp>
        <tr r="H220" s="2"/>
      </tp>
      <tp t="s">
        <v>#N/A Requesting Data...4267904566</v>
        <stp/>
        <stp>BDP|4467308730952688035</stp>
        <tr r="AA66" s="1"/>
      </tp>
      <tp t="s">
        <v>#N/A Requesting Data...4270981558</v>
        <stp/>
        <stp>BDP|1144803982950485769</stp>
        <tr r="G580" s="2"/>
      </tp>
      <tp t="s">
        <v>#N/A Requesting Data...4284923670</v>
        <stp/>
        <stp>BDP|2405850383430476472</stp>
        <tr r="E458" s="2"/>
      </tp>
      <tp t="s">
        <v>#N/A Requesting Data...4290146105</v>
        <stp/>
        <stp>BDP|3135733434179225856</stp>
        <tr r="F12" s="2"/>
      </tp>
      <tp t="s">
        <v>#N/A Requesting Data...4254274951</v>
        <stp/>
        <stp>BDP|2659466796238339146</stp>
        <tr r="E19" s="2"/>
      </tp>
      <tp t="s">
        <v>#N/A Requesting Data...4269732935</v>
        <stp/>
        <stp>BDP|3955097298738111480</stp>
        <tr r="E256" s="2"/>
      </tp>
      <tp t="s">
        <v>#N/A Requesting Data...4281003156</v>
        <stp/>
        <stp>BDP|2296726235461204110</stp>
        <tr r="H375" s="2"/>
      </tp>
      <tp t="s">
        <v>#N/A Requesting Data...4274474166</v>
        <stp/>
        <stp>BDP|1030701771502164562</stp>
        <tr r="G52" s="2"/>
      </tp>
      <tp t="s">
        <v>#N/A Requesting Data...4270679107</v>
        <stp/>
        <stp>BDP|2004622676422169733</stp>
        <tr r="G383" s="2"/>
      </tp>
      <tp t="s">
        <v>#N/A Requesting Data...4258232682</v>
        <stp/>
        <stp>BDP|7883679320020147587</stp>
        <tr r="F423" s="2"/>
      </tp>
      <tp t="s">
        <v>#N/A Requesting Data...4273050723</v>
        <stp/>
        <stp>BDP|8079653697681537009</stp>
        <tr r="F230" s="2"/>
      </tp>
      <tp t="s">
        <v>#N/A Requesting Data...4285699741</v>
        <stp/>
        <stp>BDP|2587485707385841552</stp>
        <tr r="E452" s="2"/>
      </tp>
      <tp t="s">
        <v>#N/A Requesting Data...4273030721</v>
        <stp/>
        <stp>BDP|5219415582796614908</stp>
        <tr r="H232" s="2"/>
      </tp>
      <tp t="s">
        <v>#N/A Requesting Data...4282351003</v>
        <stp/>
        <stp>BDP|7544786670968916930</stp>
        <tr r="E619" s="2"/>
      </tp>
      <tp t="s">
        <v>#N/A Requesting Data...4272650233</v>
        <stp/>
        <stp>BDP|1171665527066085577</stp>
        <tr r="AA10" s="1"/>
      </tp>
      <tp t="s">
        <v>#N/A Requesting Data...4264968800</v>
        <stp/>
        <stp>BDP|6446349462402304767</stp>
        <tr r="E384" s="2"/>
      </tp>
      <tp t="s">
        <v>#N/A Requesting Data...4265496318</v>
        <stp/>
        <stp>BDP|2158752735661255141</stp>
        <tr r="H132" s="2"/>
      </tp>
      <tp t="s">
        <v>#N/A Requesting Data...4284227679</v>
        <stp/>
        <stp>BDP|8342017137905783860</stp>
        <tr r="G125" s="2"/>
      </tp>
      <tp t="s">
        <v>#N/A Requesting Data...4289781002</v>
        <stp/>
        <stp>BDP|8351870247110467236</stp>
        <tr r="H296" s="2"/>
      </tp>
      <tp t="s">
        <v>#N/A Requesting Data...4286000360</v>
        <stp/>
        <stp>BDP|3299589955000284580</stp>
        <tr r="E272" s="2"/>
      </tp>
      <tp t="s">
        <v>#N/A Requesting Data...4270821978</v>
        <stp/>
        <stp>BDP|5117571112813552447</stp>
        <tr r="F501" s="2"/>
      </tp>
      <tp t="s">
        <v>#N/A Requesting Data...4292266412</v>
        <stp/>
        <stp>BDP|3725173655116282722</stp>
        <tr r="G521" s="2"/>
      </tp>
      <tp t="s">
        <v>#N/A Requesting Data...4290023397</v>
        <stp/>
        <stp>BDP|2439783911826113497</stp>
        <tr r="F15" s="2"/>
      </tp>
      <tp t="s">
        <v>#N/A Requesting Data...4283173313</v>
        <stp/>
        <stp>BDP|4576201286479523133</stp>
        <tr r="Z92" s="1"/>
      </tp>
      <tp t="s">
        <v>#N/A Requesting Data...4275104511</v>
        <stp/>
        <stp>BDP|6261735244455766673</stp>
        <tr r="F552" s="2"/>
      </tp>
      <tp t="s">
        <v>#N/A Requesting Data...4284317215</v>
        <stp/>
        <stp>BDP|3976876115109976572</stp>
        <tr r="H38" s="2"/>
      </tp>
      <tp t="s">
        <v>#N/A Requesting Data...4291938987</v>
        <stp/>
        <stp>BDP|6492914289307468725</stp>
        <tr r="E387" s="2"/>
      </tp>
      <tp t="s">
        <v>#N/A Requesting Data...4276144947</v>
        <stp/>
        <stp>BDP|8558994469203955367</stp>
        <tr r="F236" s="2"/>
      </tp>
      <tp t="s">
        <v>#N/A Requesting Data...4276125159</v>
        <stp/>
        <stp>BDP|6450236481418570390</stp>
        <tr r="E162" s="2"/>
      </tp>
      <tp t="s">
        <v>#N/A Requesting Data...4290189912</v>
        <stp/>
        <stp>BDP|9537965347706607581</stp>
        <tr r="G287" s="2"/>
      </tp>
      <tp t="s">
        <v>#N/A Requesting Data...4282587233</v>
        <stp/>
        <stp>BDP|7054928895873945347</stp>
        <tr r="G11" s="2"/>
      </tp>
      <tp t="s">
        <v>#N/A Requesting Data...4292482713</v>
        <stp/>
        <stp>BDP|4047815730029372198</stp>
        <tr r="F602" s="2"/>
      </tp>
      <tp t="s">
        <v>#N/A Requesting Data...4285009097</v>
        <stp/>
        <stp>BDP|7300159055035869109</stp>
        <tr r="Z102" s="1"/>
      </tp>
      <tp t="s">
        <v>#N/A Requesting Data...4291645940</v>
        <stp/>
        <stp>BDP|8832552192944323742</stp>
        <tr r="E516" s="2"/>
      </tp>
      <tp t="s">
        <v>#N/A Requesting Data...4293809693</v>
        <stp/>
        <stp>BDP|3300734621050979109</stp>
        <tr r="F504" s="2"/>
      </tp>
      <tp t="s">
        <v>#N/A Requesting Data...4294140234</v>
        <stp/>
        <stp>BDP|5818467419972951560</stp>
        <tr r="H548" s="2"/>
      </tp>
      <tp t="s">
        <v>#N/A Requesting Data...4292863636</v>
        <stp/>
        <stp>BDP|3424682136725079421</stp>
        <tr r="F250" s="2"/>
      </tp>
      <tp t="s">
        <v>#N/A Requesting Data...4291917062</v>
        <stp/>
        <stp>BDP|5865740348105942450</stp>
        <tr r="G574" s="2"/>
      </tp>
      <tp t="s">
        <v>#N/A Requesting Data...4286802789</v>
        <stp/>
        <stp>BDP|6170166418122400333</stp>
        <tr r="H500" s="2"/>
      </tp>
      <tp t="s">
        <v>#N/A Requesting Data...4284513644</v>
        <stp/>
        <stp>BDP|8139663883661963055</stp>
        <tr r="E331" s="2"/>
      </tp>
      <tp t="s">
        <v>#N/A Requesting Data...4292079479</v>
        <stp/>
        <stp>BDP|7343100504125619491</stp>
        <tr r="H123" s="2"/>
      </tp>
      <tp t="s">
        <v>#N/A Requesting Data...4287025625</v>
        <stp/>
        <stp>BDP|4586357331267825418</stp>
        <tr r="F610" s="2"/>
      </tp>
      <tp t="s">
        <v>#N/A Requesting Data...4287425860</v>
        <stp/>
        <stp>BDP|1425539900771897273</stp>
        <tr r="H501" s="2"/>
      </tp>
      <tp t="s">
        <v>#N/A Requesting Data...4290234414</v>
        <stp/>
        <stp>BDP|9647259611499339489</stp>
        <tr r="G444" s="2"/>
      </tp>
      <tp t="s">
        <v>#N/A Requesting Data...4290584263</v>
        <stp/>
        <stp>BDP|9773446481513532194</stp>
        <tr r="E104" s="2"/>
      </tp>
      <tp t="s">
        <v>#N/A Requesting Data...4293531074</v>
        <stp/>
        <stp>BDP|9870258189177994334</stp>
        <tr r="H599" s="2"/>
      </tp>
      <tp t="s">
        <v>#N/A Requesting Data...4290872321</v>
        <stp/>
        <stp>BDP|3082774459554407256</stp>
        <tr r="E5" s="2"/>
      </tp>
      <tp t="s">
        <v>#N/A Requesting Data...4293749838</v>
        <stp/>
        <stp>BDP|5028892937158781168</stp>
        <tr r="H475" s="2"/>
      </tp>
      <tp t="s">
        <v>#N/A Requesting Data...4293924529</v>
        <stp/>
        <stp>BDP|5854975701772290939</stp>
        <tr r="G508" s="2"/>
      </tp>
      <tp t="s">
        <v>#N/A Requesting Data...4294898194</v>
        <stp/>
        <stp>BDP|4221632830174951273</stp>
        <tr r="AB85" s="1"/>
      </tp>
      <tp t="s">
        <v>#N/A Requesting Data...4294819788</v>
        <stp/>
        <stp>BDP|7198707639342267661</stp>
        <tr r="G236" s="2"/>
      </tp>
      <tp t="s">
        <v>#N/A Requesting Data...4294936807</v>
        <stp/>
        <stp>BDP|1344538223839929867</stp>
        <tr r="G270" s="2"/>
      </tp>
      <tp t="s">
        <v>#N/A Requesting Data...4011070863</v>
        <stp/>
        <stp>BDP|5927127636937144708</stp>
        <tr r="AA57" s="1"/>
      </tp>
      <tp t="s">
        <v>#N/A Requesting Data...2898224645</v>
        <stp/>
        <stp>BDP|7235046200351214187</stp>
        <tr r="F493" s="2"/>
      </tp>
      <tp t="s">
        <v>#N/A Requesting Data...3795846046</v>
        <stp/>
        <stp>BDP|2808862176888182249</stp>
        <tr r="H61" s="2"/>
      </tp>
      <tp t="s">
        <v>#N/A Requesting Data...1533935062</v>
        <stp/>
        <stp>BDP|4527798270717329420</stp>
        <tr r="E16" s="2"/>
      </tp>
      <tp t="s">
        <v>#N/A Requesting Data...3045185532</v>
        <stp/>
        <stp>BDP|5832220712935020456</stp>
        <tr r="G534" s="2"/>
      </tp>
      <tp t="s">
        <v>#N/A Requesting Data...618486239</v>
        <stp/>
        <stp>BDP|8264823094218803619</stp>
        <tr r="H62" s="2"/>
      </tp>
      <tp t="s">
        <v>#N/A Requesting Data...43030439</v>
        <stp/>
        <stp>BDP|6520527143200141080</stp>
        <tr r="F435" s="2"/>
      </tp>
      <tp t="s">
        <v>#N/A Requesting Data...3621678018</v>
        <stp/>
        <stp>BDP|9875765366556043950</stp>
        <tr r="H161" s="2"/>
      </tp>
      <tp t="s">
        <v>#N/A Requesting Data...3588633806</v>
        <stp/>
        <stp>BDP|6911341062707225300</stp>
        <tr r="E24" s="2"/>
      </tp>
      <tp t="s">
        <v>#N/A Requesting Data...2323050274</v>
        <stp/>
        <stp>BDP|7416415618093687697</stp>
        <tr r="G87" s="2"/>
      </tp>
      <tp t="s">
        <v>#N/A Requesting Data...2816132731</v>
        <stp/>
        <stp>BDP|4555446204131592624</stp>
        <tr r="G38" s="2"/>
      </tp>
      <tp t="s">
        <v>#N/A Requesting Data...3901132366</v>
        <stp/>
        <stp>BDP|7096409221695027335</stp>
        <tr r="F310" s="2"/>
      </tp>
      <tp t="s">
        <v>#N/A Requesting Data...1363719391</v>
        <stp/>
        <stp>BDP|2390423612921989192</stp>
        <tr r="G338" s="2"/>
      </tp>
      <tp t="s">
        <v>#N/A Requesting Data...809316012</v>
        <stp/>
        <stp>BDP|9730920788888960774</stp>
        <tr r="F524" s="2"/>
      </tp>
      <tp t="s">
        <v>#N/A Requesting Data...3491855758</v>
        <stp/>
        <stp>BDP|4259985499261491242</stp>
        <tr r="AA7" s="1"/>
      </tp>
      <tp t="s">
        <v>#N/A Requesting Data...856067317</v>
        <stp/>
        <stp>BDP|5605777026493093447</stp>
        <tr r="AB102" s="1"/>
      </tp>
      <tp t="s">
        <v>#N/A Requesting Data...1534583412</v>
        <stp/>
        <stp>BDP|5873229687148645087</stp>
        <tr r="G484" s="2"/>
      </tp>
      <tp t="s">
        <v>#N/A Requesting Data...1475211685</v>
        <stp/>
        <stp>BDP|6304018636317013575</stp>
        <tr r="F100" s="2"/>
      </tp>
      <tp t="s">
        <v>#N/A Requesting Data...336678296</v>
        <stp/>
        <stp>BDP|7360416534691136644</stp>
        <tr r="F430" s="2"/>
      </tp>
      <tp t="s">
        <v>#N/A Requesting Data...2127767246</v>
        <stp/>
        <stp>BDP|9816657266789096789</stp>
        <tr r="H41" s="2"/>
      </tp>
      <tp t="s">
        <v>#N/A Requesting Data...1431682179</v>
        <stp/>
        <stp>BDP|1850854697027973002</stp>
        <tr r="E69" s="2"/>
      </tp>
      <tp t="s">
        <v>#N/A Requesting Data...3652382577</v>
        <stp/>
        <stp>BDP|8932333681224876002</stp>
        <tr r="G561" s="2"/>
      </tp>
      <tp t="s">
        <v>#N/A Requesting Data...368288279</v>
        <stp/>
        <stp>BDP|7357481369542624048</stp>
        <tr r="G533" s="2"/>
      </tp>
      <tp t="s">
        <v>#N/A Requesting Data...1462002118</v>
        <stp/>
        <stp>BDP|6553809986239251811</stp>
        <tr r="H69" s="2"/>
      </tp>
      <tp t="s">
        <v>#N/A Requesting Data...1411598433</v>
        <stp/>
        <stp>BDP|4902549424925849119</stp>
        <tr r="G500" s="2"/>
      </tp>
      <tp t="s">
        <v>#N/A Requesting Data...1833991658</v>
        <stp/>
        <stp>BDP|4410078895933195974</stp>
        <tr r="E583" s="2"/>
      </tp>
      <tp t="s">
        <v>#N/A Requesting Data...3851341961</v>
        <stp/>
        <stp>BDP|9677267611255195807</stp>
        <tr r="F574" s="2"/>
      </tp>
      <tp t="s">
        <v>#N/A Requesting Data...2096813423</v>
        <stp/>
        <stp>BDP|8302941645041534371</stp>
        <tr r="H433" s="2"/>
      </tp>
      <tp t="s">
        <v>#N/A Requesting Data...1357947619</v>
        <stp/>
        <stp>BDP|9613054026234551801</stp>
        <tr r="AB99" s="1"/>
      </tp>
      <tp t="s">
        <v>#N/A Requesting Data...2872361088</v>
        <stp/>
        <stp>BDP|2117190103450860431</stp>
        <tr r="E134" s="2"/>
      </tp>
      <tp t="s">
        <v>#N/A Requesting Data...1051138117</v>
        <stp/>
        <stp>BDP|2085678291393710914</stp>
        <tr r="H308" s="2"/>
      </tp>
      <tp t="s">
        <v>#N/A Requesting Data...3543811616</v>
        <stp/>
        <stp>BDP|1221453850977688008</stp>
        <tr r="E401" s="2"/>
      </tp>
      <tp t="s">
        <v>#N/A Requesting Data...1810250783</v>
        <stp/>
        <stp>BDP|7616973984916723734</stp>
        <tr r="E230" s="2"/>
      </tp>
      <tp t="s">
        <v>#N/A Requesting Data...2552916176</v>
        <stp/>
        <stp>BDP|2854420679732360415</stp>
        <tr r="F603" s="2"/>
      </tp>
      <tp t="s">
        <v>#N/A Requesting Data...3059204055</v>
        <stp/>
        <stp>BDP|5599307555381059519</stp>
        <tr r="E18" s="2"/>
        <tr r="E45" s="2"/>
      </tp>
      <tp t="s">
        <v>#N/A Requesting Data...612861612</v>
        <stp/>
        <stp>BDP|9682972311653819599</stp>
        <tr r="F589" s="2"/>
      </tp>
      <tp t="s">
        <v>#N/A Requesting Data...4050524986</v>
        <stp/>
        <stp>BDP|7844571889579760475</stp>
        <tr r="Z79" s="1"/>
      </tp>
      <tp t="s">
        <v>#N/A Requesting Data...2238464967</v>
        <stp/>
        <stp>BDP|1020274378156911504</stp>
        <tr r="Z78" s="1"/>
      </tp>
      <tp t="s">
        <v>#N/A Requesting Data...1552920022</v>
        <stp/>
        <stp>BDP|8781136392767640068</stp>
        <tr r="AA79" s="1"/>
      </tp>
      <tp t="s">
        <v>#N/A Requesting Data...1180478701</v>
        <stp/>
        <stp>BDP|3385050374846445501</stp>
        <tr r="H191" s="2"/>
      </tp>
      <tp t="s">
        <v>#N/A Requesting Data...1099973216</v>
        <stp/>
        <stp>BDP|9376487057587372888</stp>
        <tr r="AA33" s="1"/>
      </tp>
      <tp t="s">
        <v>#N/A Requesting Data...2628693059</v>
        <stp/>
        <stp>BDP|7092459325353543524</stp>
        <tr r="G201" s="2"/>
      </tp>
      <tp t="s">
        <v>#N/A Requesting Data...554367494</v>
        <stp/>
        <stp>BDP|2908913149979583137</stp>
        <tr r="F203" s="2"/>
      </tp>
      <tp t="s">
        <v>#N/A Requesting Data...3768380830</v>
        <stp/>
        <stp>BDP|6014996470527530888</stp>
        <tr r="F288" s="2"/>
      </tp>
      <tp t="s">
        <v>#N/A Requesting Data...62843801</v>
        <stp/>
        <stp>BDP|6630747585348169629</stp>
        <tr r="H490" s="2"/>
      </tp>
      <tp t="s">
        <v>#N/A Requesting Data...353020484</v>
        <stp/>
        <stp>BDP|7857215829843440304</stp>
        <tr r="E114" s="2"/>
      </tp>
      <tp t="s">
        <v>#N/A Requesting Data...2227630271</v>
        <stp/>
        <stp>BDP|2096560015905492438</stp>
        <tr r="F439" s="2"/>
      </tp>
      <tp t="s">
        <v>#N/A Requesting Data...3962634015</v>
        <stp/>
        <stp>BDP|4379284118344430430</stp>
        <tr r="E557" s="2"/>
      </tp>
      <tp t="s">
        <v>#N/A Requesting Data...991153053</v>
        <stp/>
        <stp>BDP|7688201046456735025</stp>
        <tr r="Z55" s="1"/>
      </tp>
      <tp t="s">
        <v>#N/A Requesting Data...845857009</v>
        <stp/>
        <stp>BDP|3697701851020720656</stp>
        <tr r="E84" s="2"/>
      </tp>
      <tp t="s">
        <v>#N/A Requesting Data...3612557044</v>
        <stp/>
        <stp>BDP|1487777361340732701</stp>
        <tr r="E402" s="2"/>
      </tp>
      <tp t="s">
        <v>#N/A Requesting Data...3333457976</v>
        <stp/>
        <stp>BDP|2391223430425591116</stp>
        <tr r="E358" s="2"/>
      </tp>
      <tp t="s">
        <v>#N/A Requesting Data...3955416426</v>
        <stp/>
        <stp>BDP|8197544642957703951</stp>
        <tr r="F68" s="2"/>
      </tp>
      <tp t="s">
        <v>#N/A Requesting Data...514339171</v>
        <stp/>
        <stp>BDP|5474232843926582240</stp>
        <tr r="H124" s="2"/>
      </tp>
      <tp t="s">
        <v>#N/A Requesting Data...314921063</v>
        <stp/>
        <stp>BDP|7737742105909910952</stp>
        <tr r="H111" s="2"/>
      </tp>
      <tp t="s">
        <v>#N/A Requesting Data...2421788334</v>
        <stp/>
        <stp>BDP|5142560196961255892</stp>
        <tr r="G451" s="2"/>
      </tp>
      <tp t="s">
        <v>#N/A Requesting Data...2329053075</v>
        <stp/>
        <stp>BDP|8556315184144275789</stp>
        <tr r="H194" s="2"/>
      </tp>
      <tp t="s">
        <v>#N/A Requesting Data...1317367582</v>
        <stp/>
        <stp>BDP|5119871978839152353</stp>
        <tr r="Z95" s="1"/>
      </tp>
      <tp t="s">
        <v>#N/A Requesting Data...647272483</v>
        <stp/>
        <stp>BDP|5502885455798522073</stp>
        <tr r="AB52" s="1"/>
      </tp>
      <tp t="s">
        <v>#N/A Requesting Data...1304322371</v>
        <stp/>
        <stp>BDP|2614396835705014703</stp>
        <tr r="Z34" s="1"/>
      </tp>
      <tp t="s">
        <v>#N/A Requesting Data...2460603087</v>
        <stp/>
        <stp>BDP|4225497685398537011</stp>
        <tr r="AA29" s="1"/>
      </tp>
      <tp t="s">
        <v>#N/A Requesting Data...853904011</v>
        <stp/>
        <stp>BDP|1232481200770720571</stp>
        <tr r="G152" s="2"/>
      </tp>
      <tp t="s">
        <v>#N/A Requesting Data...1314590546</v>
        <stp/>
        <stp>BDP|6195623849397975398</stp>
        <tr r="F22" s="2"/>
        <tr r="F46" s="2"/>
      </tp>
      <tp t="s">
        <v>#N/A Requesting Data...2839362842</v>
        <stp/>
        <stp>BDP|2392782950923297322</stp>
        <tr r="AB92" s="1"/>
      </tp>
      <tp t="s">
        <v>#N/A Requesting Data...1407843750</v>
        <stp/>
        <stp>BDP|1558578025693819541</stp>
        <tr r="E246" s="2"/>
      </tp>
      <tp t="s">
        <v>#N/A Requesting Data...2626379374</v>
        <stp/>
        <stp>BDP|9841177335428690371</stp>
        <tr r="E15" s="2"/>
      </tp>
      <tp t="s">
        <v>#N/A Requesting Data...1163727491</v>
        <stp/>
        <stp>BDP|4247297205990034658</stp>
        <tr r="E589" s="2"/>
      </tp>
      <tp t="s">
        <v>#N/A Requesting Data...959217163</v>
        <stp/>
        <stp>BDP|9018496881516127323</stp>
        <tr r="F86" s="2"/>
      </tp>
      <tp t="s">
        <v>#N/A Requesting Data...1174481687</v>
        <stp/>
        <stp>BDP|6342275262930592282</stp>
        <tr r="H257" s="2"/>
      </tp>
      <tp t="s">
        <v>#N/A Requesting Data...4290955742</v>
        <stp/>
        <stp>BDP|1678643474747502781</stp>
        <tr r="G183" s="2"/>
      </tp>
      <tp t="s">
        <v>#N/A Requesting Data...2612747547</v>
        <stp/>
        <stp>BDP|6609300608347323259</stp>
        <tr r="H287" s="2"/>
      </tp>
      <tp t="s">
        <v>#N/A Requesting Data...3062535598</v>
        <stp/>
        <stp>BDP|9861632476660312862</stp>
        <tr r="F54" s="2"/>
      </tp>
      <tp t="s">
        <v>#N/A Requesting Data...1657094609</v>
        <stp/>
        <stp>BDP|9653823112188708896</stp>
        <tr r="AB5" s="1"/>
      </tp>
      <tp t="s">
        <v>#N/A Requesting Data...621970082</v>
        <stp/>
        <stp>BDP|4748601111361966272</stp>
        <tr r="E323" s="2"/>
      </tp>
      <tp t="s">
        <v>#N/A Requesting Data...621957347</v>
        <stp/>
        <stp>BDP|4682524060596949158</stp>
        <tr r="F316" s="2"/>
      </tp>
      <tp t="s">
        <v>#N/A Requesting Data...1303435058</v>
        <stp/>
        <stp>BDP|1288258451347942171</stp>
        <tr r="F261" s="2"/>
      </tp>
      <tp t="s">
        <v>#N/A Requesting Data...3903737743</v>
        <stp/>
        <stp>BDP|6950732545634502138</stp>
        <tr r="H192" s="2"/>
      </tp>
      <tp t="s">
        <v>#N/A Requesting Data...2910718129</v>
        <stp/>
        <stp>BDP|1950483148806568751</stp>
        <tr r="G395" s="2"/>
      </tp>
      <tp t="s">
        <v>#N/A Requesting Data...206353532</v>
        <stp/>
        <stp>BDP|8070836947306490292</stp>
        <tr r="H575" s="2"/>
      </tp>
      <tp t="s">
        <v>#N/A Requesting Data...701608816</v>
        <stp/>
        <stp>BDP|9829874246176720374</stp>
        <tr r="F293" s="2"/>
      </tp>
      <tp t="s">
        <v>#N/A Requesting Data...1396343854</v>
        <stp/>
        <stp>BDP|2833620872096103507</stp>
        <tr r="G44" s="2"/>
      </tp>
      <tp t="s">
        <v>#N/A Requesting Data...1618322515</v>
        <stp/>
        <stp>BDP|6819467063296055247</stp>
        <tr r="F529" s="2"/>
        <tr r="F632" s="2"/>
        <tr r="F636" s="2"/>
      </tp>
      <tp t="s">
        <v>#N/A Requesting Data...932611103</v>
        <stp/>
        <stp>BDP|3368164955952196584</stp>
        <tr r="H302" s="2"/>
      </tp>
      <tp t="s">
        <v>#N/A Requesting Data...962809146</v>
        <stp/>
        <stp>BDP|5881385069779096972</stp>
        <tr r="F284" s="2"/>
      </tp>
      <tp t="s">
        <v>#N/A Requesting Data...587143569</v>
        <stp/>
        <stp>BDP|1595294171872291603</stp>
        <tr r="E353" s="2"/>
      </tp>
      <tp t="s">
        <v>#N/A Requesting Data...3138703693</v>
        <stp/>
        <stp>BDP|1325094844276538349</stp>
        <tr r="F505" s="2"/>
      </tp>
      <tp t="s">
        <v>#N/A Requesting Data...3462421137</v>
        <stp/>
        <stp>BDP|2783030988262514869</stp>
        <tr r="G354" s="2"/>
      </tp>
      <tp t="s">
        <v>#N/A Requesting Data...263167616</v>
        <stp/>
        <stp>BDP|6726288141727060723</stp>
        <tr r="AB79" s="1"/>
      </tp>
      <tp t="s">
        <v>#N/A Requesting Data...2681300133</v>
        <stp/>
        <stp>BDP|6381339438484494204</stp>
        <tr r="Z21" s="1"/>
      </tp>
      <tp t="s">
        <v>#N/A Requesting Data...3525208916</v>
        <stp/>
        <stp>BDP|2590337658872015629</stp>
        <tr r="F351" s="2"/>
      </tp>
      <tp t="s">
        <v>#N/A Requesting Data...2349149981</v>
        <stp/>
        <stp>BDP|3406073825246279785</stp>
        <tr r="H398" s="2"/>
      </tp>
      <tp t="s">
        <v>#N/A Requesting Data...1125870096</v>
        <stp/>
        <stp>BDP|7814313624620431653</stp>
        <tr r="G57" s="2"/>
      </tp>
      <tp t="s">
        <v>#N/A Requesting Data...1519773743</v>
        <stp/>
        <stp>BDP|7163893900609562611</stp>
        <tr r="F543" s="2"/>
      </tp>
      <tp t="s">
        <v>#N/A Requesting Data...3457930263</v>
        <stp/>
        <stp>BDP|9932771403946248838</stp>
        <tr r="G570" s="2"/>
      </tp>
      <tp t="s">
        <v>#N/A Requesting Data...2552719528</v>
        <stp/>
        <stp>BDP|1266731102276751098</stp>
        <tr r="AA35" s="1"/>
      </tp>
      <tp t="s">
        <v>#N/A Requesting Data...4243338783</v>
        <stp/>
        <stp>BDP|3988389619584176548</stp>
        <tr r="H196" s="2"/>
      </tp>
      <tp t="s">
        <v>#N/A Requesting Data...1372158650</v>
        <stp/>
        <stp>BDP|8559404698056779378</stp>
        <tr r="E344" s="2"/>
      </tp>
      <tp t="s">
        <v>#N/A Requesting Data...2546606081</v>
        <stp/>
        <stp>BDP|9949553821717234926</stp>
        <tr r="E165" s="2"/>
      </tp>
      <tp t="s">
        <v>#N/A Requesting Data...2860492413</v>
        <stp/>
        <stp>BDP|9549207170709687510</stp>
        <tr r="AB2" s="1"/>
      </tp>
      <tp t="s">
        <v>#N/A Requesting Data...1456805863</v>
        <stp/>
        <stp>BDP|7129645807648539951</stp>
        <tr r="H395" s="2"/>
      </tp>
      <tp t="s">
        <v>#N/A Requesting Data...3191882735</v>
        <stp/>
        <stp>BDP|8894419990784235193</stp>
        <tr r="E82" s="2"/>
      </tp>
      <tp t="s">
        <v>#N/A Requesting Data...3400644135</v>
        <stp/>
        <stp>BDP|7234251250066715625</stp>
        <tr r="Z82" s="1"/>
      </tp>
      <tp t="s">
        <v>#N/A Requesting Data...393795465</v>
        <stp/>
        <stp>BDP|5304293745176833557</stp>
        <tr r="H290" s="2"/>
      </tp>
      <tp t="s">
        <v>#N/A Requesting Data...1577743043</v>
        <stp/>
        <stp>BDP|4676096040416564685</stp>
        <tr r="G279" s="2"/>
      </tp>
      <tp t="s">
        <v>#N/A Requesting Data...543456464</v>
        <stp/>
        <stp>BDP|2516035932826202755</stp>
        <tr r="H598" s="2"/>
      </tp>
      <tp t="s">
        <v>#N/A Requesting Data...2610804838</v>
        <stp/>
        <stp>BDP|9784044717348470030</stp>
        <tr r="H11" s="2"/>
      </tp>
      <tp t="s">
        <v>#N/A Requesting Data...1440866186</v>
        <stp/>
        <stp>BDP|5576341168039287986</stp>
        <tr r="G371" s="2"/>
      </tp>
      <tp t="s">
        <v>#N/A Requesting Data...2725711018</v>
        <stp/>
        <stp>BDP|9978085981092208319</stp>
        <tr r="G280" s="2"/>
      </tp>
      <tp t="s">
        <v>#N/A Requesting Data...2257438086</v>
        <stp/>
        <stp>BDP|7581045752315223720</stp>
        <tr r="G218" s="2"/>
      </tp>
      <tp t="s">
        <v>#N/A Requesting Data...431742106</v>
        <stp/>
        <stp>BDP|6750739779606964070</stp>
        <tr r="H126" s="2"/>
      </tp>
      <tp t="s">
        <v>#N/A Requesting Data...250751897</v>
        <stp/>
        <stp>BDP|5653078942014234521</stp>
        <tr r="E245" s="2"/>
      </tp>
      <tp t="s">
        <v>#N/A Requesting Data...3794629515</v>
        <stp/>
        <stp>BDP|1727104971866304160</stp>
        <tr r="H226" s="2"/>
      </tp>
      <tp t="s">
        <v>#N/A Requesting Data...2582354085</v>
        <stp/>
        <stp>BDP|5238306975605655422</stp>
        <tr r="F190" s="2"/>
      </tp>
      <tp t="s">
        <v>#N/A Requesting Data...1266879760</v>
        <stp/>
        <stp>BDP|7262940251943595812</stp>
        <tr r="H278" s="2"/>
      </tp>
      <tp t="s">
        <v>#N/A Requesting Data...2177393905</v>
        <stp/>
        <stp>BDP|6345467930817238671</stp>
        <tr r="AB106" s="1"/>
      </tp>
      <tp t="s">
        <v>#N/A Requesting Data...2972100523</v>
        <stp/>
        <stp>BDP|2659537931861147553</stp>
        <tr r="F95" s="2"/>
      </tp>
      <tp t="s">
        <v>#N/A Requesting Data...480374995</v>
        <stp/>
        <stp>BDP|4378869787302000621</stp>
        <tr r="G242" s="2"/>
      </tp>
      <tp t="s">
        <v>#N/A Requesting Data...3759363741</v>
        <stp/>
        <stp>BDP|9129906463477197138</stp>
        <tr r="E95" s="2"/>
      </tp>
      <tp t="s">
        <v>#N/A Requesting Data...2591320643</v>
        <stp/>
        <stp>BDP|5586718510327659425</stp>
        <tr r="G228" s="2"/>
      </tp>
      <tp t="s">
        <v>#N/A Requesting Data...1422102198</v>
        <stp/>
        <stp>BDP|2605616756001611073</stp>
        <tr r="H79" s="2"/>
      </tp>
      <tp t="s">
        <v>#N/A Requesting Data...2124747346</v>
        <stp/>
        <stp>BDP|1596711892817563831</stp>
        <tr r="H255" s="2"/>
      </tp>
      <tp t="s">
        <v>#N/A Requesting Data...4139539317</v>
        <stp/>
        <stp>BDP|9083951947387189329</stp>
        <tr r="H338" s="2"/>
      </tp>
      <tp t="s">
        <v>#N/A Requesting Data...3991496084</v>
        <stp/>
        <stp>BDP|5655668615770126254</stp>
        <tr r="H138" s="2"/>
      </tp>
      <tp t="s">
        <v>#N/A Requesting Data...246258889</v>
        <stp/>
        <stp>BDP|2368207424872743012</stp>
        <tr r="G351" s="2"/>
      </tp>
      <tp t="s">
        <v>#N/A Requesting Data...2904557461</v>
        <stp/>
        <stp>BDP|3099251355014716068</stp>
        <tr r="E76" s="2"/>
      </tp>
      <tp t="s">
        <v>#N/A Requesting Data...2647483275</v>
        <stp/>
        <stp>BDP|8573009221292197844</stp>
        <tr r="G258" s="2"/>
      </tp>
      <tp t="s">
        <v>#N/A Requesting Data...4065314251</v>
        <stp/>
        <stp>BDP|2630805466585262930</stp>
        <tr r="E506" s="2"/>
      </tp>
      <tp t="s">
        <v>#N/A Requesting Data...2335561594</v>
        <stp/>
        <stp>BDP|5481682808504053723</stp>
        <tr r="E535" s="2"/>
      </tp>
      <tp t="s">
        <v>#N/A Requesting Data...3450528341</v>
        <stp/>
        <stp>BDP|2616985948876728975</stp>
        <tr r="E397" s="2"/>
      </tp>
      <tp t="s">
        <v>#N/A Requesting Data...381268512</v>
        <stp/>
        <stp>BDP|8178228793231691205</stp>
        <tr r="E543" s="2"/>
      </tp>
      <tp t="s">
        <v>#N/A Requesting Data...759075262</v>
        <stp/>
        <stp>BDP|3243431523596582318</stp>
        <tr r="AB68" s="1"/>
      </tp>
      <tp t="s">
        <v>#N/A Requesting Data...3738215838</v>
        <stp/>
        <stp>BDP|1094774366097450738</stp>
        <tr r="F91" s="2"/>
      </tp>
      <tp t="s">
        <v>#N/A Requesting Data...1964291838</v>
        <stp/>
        <stp>BDP|8540108138389926329</stp>
        <tr r="H437" s="2"/>
      </tp>
      <tp t="s">
        <v>#N/A Requesting Data...2586088461</v>
        <stp/>
        <stp>BDP|7031799839564488720</stp>
        <tr r="H87" s="2"/>
      </tp>
      <tp t="s">
        <v>#N/A Requesting Data...3034055793</v>
        <stp/>
        <stp>BDP|6478332202942153734</stp>
        <tr r="Z75" s="1"/>
      </tp>
      <tp t="s">
        <v>#N/A Requesting Data...581421771</v>
        <stp/>
        <stp>BDP|2146892429398199072</stp>
        <tr r="Z4" s="1"/>
      </tp>
      <tp t="s">
        <v>#N/A Requesting Data...3389767217</v>
        <stp/>
        <stp>BDP|2843120108923584004</stp>
        <tr r="G83" s="2"/>
      </tp>
      <tp t="s">
        <v>#N/A Requesting Data...1113515073</v>
        <stp/>
        <stp>BDP|3615084239849854989</stp>
        <tr r="F65" s="2"/>
      </tp>
      <tp t="s">
        <v>#N/A Requesting Data...656653928</v>
        <stp/>
        <stp>BDP|2524629455938361964</stp>
        <tr r="E502" s="2"/>
      </tp>
      <tp t="s">
        <v>#N/A Requesting Data...2910286245</v>
        <stp/>
        <stp>BDP|4385765623791722068</stp>
        <tr r="E566" s="2"/>
      </tp>
      <tp t="s">
        <v>#N/A Requesting Data...2954771721</v>
        <stp/>
        <stp>BDP|2778911534098260075</stp>
        <tr r="F368" s="2"/>
      </tp>
      <tp t="s">
        <v>#N/A Requesting Data...515248523</v>
        <stp/>
        <stp>BDP|9464367659617820841</stp>
        <tr r="F406" s="2"/>
      </tp>
      <tp t="s">
        <v>#N/A Requesting Data...1366619868</v>
        <stp/>
        <stp>BDP|8109241493643713053</stp>
        <tr r="Z11" s="1"/>
      </tp>
      <tp t="s">
        <v>#N/A Requesting Data...1194574309</v>
        <stp/>
        <stp>BDP|3478855274149970583</stp>
        <tr r="G465" s="2"/>
      </tp>
      <tp t="s">
        <v>#N/A Requesting Data...998555566</v>
        <stp/>
        <stp>BDP|8136521067539049212</stp>
        <tr r="G548" s="2"/>
      </tp>
      <tp t="s">
        <v>#N/A Requesting Data...2201594504</v>
        <stp/>
        <stp>BDP|9354567211064574946</stp>
        <tr r="H113" s="2"/>
      </tp>
      <tp t="s">
        <v>#N/A Requesting Data...2145785479</v>
        <stp/>
        <stp>BDP|6079318126491193631</stp>
        <tr r="Z35" s="1"/>
      </tp>
      <tp t="s">
        <v>#N/A Requesting Data...648531893</v>
        <stp/>
        <stp>BDP|5681810465453024878</stp>
        <tr r="G563" s="2"/>
      </tp>
      <tp t="s">
        <v>#N/A Requesting Data...2217481054</v>
        <stp/>
        <stp>BDP|7617497190913559803</stp>
        <tr r="G259" s="2"/>
      </tp>
      <tp t="s">
        <v>#N/A Requesting Data...1420333542</v>
        <stp/>
        <stp>BDP|8812079783639116875</stp>
        <tr r="F112" s="2"/>
      </tp>
      <tp t="s">
        <v>#N/A Requesting Data...1598902162</v>
        <stp/>
        <stp>BDP|9567472409925794968</stp>
        <tr r="E380" s="2"/>
      </tp>
      <tp t="s">
        <v>#N/A Requesting Data...1963147151</v>
        <stp/>
        <stp>BDP|4948696570005283185</stp>
        <tr r="H466" s="2"/>
      </tp>
      <tp t="s">
        <v>#N/A Requesting Data...2879810679</v>
        <stp/>
        <stp>BDP|5212654923459728992</stp>
        <tr r="E325" s="2"/>
      </tp>
      <tp t="s">
        <v>#N/A Requesting Data...1214763741</v>
        <stp/>
        <stp>BDP|5767694943660700606</stp>
        <tr r="AB66" s="1"/>
      </tp>
      <tp t="s">
        <v>#N/A Requesting Data...628168457</v>
        <stp/>
        <stp>BDP|5256166919723622711</stp>
        <tr r="G461" s="2"/>
      </tp>
      <tp t="s">
        <v>#N/A Requesting Data...580040294</v>
        <stp/>
        <stp>BDP|3954537048912079197</stp>
        <tr r="F309" s="2"/>
      </tp>
      <tp t="s">
        <v>#N/A Requesting Data...1174330815</v>
        <stp/>
        <stp>BDP|7992638974183573409</stp>
        <tr r="AA83" s="1"/>
      </tp>
      <tp t="s">
        <v>#N/A Requesting Data...2509273641</v>
        <stp/>
        <stp>BDP|9629090103859041170</stp>
        <tr r="H532" s="2"/>
      </tp>
      <tp t="s">
        <v>#N/A Requesting Data...469125046</v>
        <stp/>
        <stp>BDP|4664214944832005184</stp>
        <tr r="G497" s="2"/>
      </tp>
      <tp t="s">
        <v>#N/A Requesting Data...1624550043</v>
        <stp/>
        <stp>BDP|5585908054898222089</stp>
        <tr r="E315" s="2"/>
      </tp>
      <tp t="s">
        <v>#N/A Requesting Data...210419268</v>
        <stp/>
        <stp>BDP|1299259181408821252</stp>
        <tr r="H407" s="2"/>
      </tp>
      <tp t="s">
        <v>#N/A Requesting Data...2872423569</v>
        <stp/>
        <stp>BDP|5217297295468549702</stp>
        <tr r="G156" s="2"/>
      </tp>
      <tp t="s">
        <v>#N/A Requesting Data...685177070</v>
        <stp/>
        <stp>BDP|5010645169400349453</stp>
        <tr r="Z38" s="1"/>
      </tp>
      <tp t="s">
        <v>#N/A Requesting Data...2960591695</v>
        <stp/>
        <stp>BDP|6073734906563593381</stp>
        <tr r="F445" s="2"/>
      </tp>
      <tp t="s">
        <v>#N/A Requesting Data...2789766724</v>
        <stp/>
        <stp>BDP|1976311306286712515</stp>
        <tr r="H353" s="2"/>
      </tp>
      <tp t="s">
        <v>#N/A Requesting Data...3087307657</v>
        <stp/>
        <stp>BDP|3154205089451107911</stp>
        <tr r="H91" s="2"/>
      </tp>
      <tp t="s">
        <v>#N/A Requesting Data...1160544428</v>
        <stp/>
        <stp>BDP|6512681841740336571</stp>
        <tr r="G323" s="2"/>
      </tp>
      <tp t="s">
        <v>#N/A Requesting Data...1799326989</v>
        <stp/>
        <stp>BDP|3573495121334606035</stp>
        <tr r="G252" s="2"/>
      </tp>
      <tp t="s">
        <v>#N/A Requesting Data...3740586982</v>
        <stp/>
        <stp>BDP|3631812789642659005</stp>
        <tr r="E26" s="2"/>
      </tp>
      <tp t="s">
        <v>#N/A Requesting Data...538849171</v>
        <stp/>
        <stp>BDP|1980447910532787739</stp>
        <tr r="G31" s="2"/>
      </tp>
      <tp t="s">
        <v>#N/A Requesting Data...4002388588</v>
        <stp/>
        <stp>BDP|8753402488590281549</stp>
        <tr r="H411" s="2"/>
      </tp>
      <tp t="s">
        <v>#N/A Requesting Data...2349581352</v>
        <stp/>
        <stp>BDP|6962509550957221026</stp>
        <tr r="H315" s="2"/>
      </tp>
      <tp t="s">
        <v>#N/A Requesting Data...2600169532</v>
        <stp/>
        <stp>BDP|8486812976855821325</stp>
        <tr r="F125" s="2"/>
      </tp>
      <tp t="s">
        <v>#N/A Requesting Data...1349470799</v>
        <stp/>
        <stp>BDP|2736369088148077074</stp>
        <tr r="F291" s="2"/>
      </tp>
      <tp t="s">
        <v>#N/A Requesting Data...826227216</v>
        <stp/>
        <stp>BDP|6987523317802383117</stp>
        <tr r="E483" s="2"/>
      </tp>
      <tp t="s">
        <v>#N/A Requesting Data...2095604811</v>
        <stp/>
        <stp>BDP|9694584644608521116</stp>
        <tr r="F170" s="2"/>
      </tp>
      <tp t="s">
        <v>#N/A Requesting Data...357464066</v>
        <stp/>
        <stp>BDP|7587476266683333794</stp>
        <tr r="E204" s="2"/>
      </tp>
      <tp t="s">
        <v>#N/A Requesting Data...3203044686</v>
        <stp/>
        <stp>BDP|1407973897313977337</stp>
        <tr r="Z6" s="1"/>
      </tp>
      <tp t="s">
        <v>#N/A Requesting Data...2936284914</v>
        <stp/>
        <stp>BDP|5512691784298074266</stp>
        <tr r="H485" s="2"/>
      </tp>
      <tp t="s">
        <v>#N/A Requesting Data...3390886655</v>
        <stp/>
        <stp>BDP|1233584624155866285</stp>
        <tr r="G612" s="2"/>
      </tp>
      <tp t="s">
        <v>#N/A Requesting Data...2197486190</v>
        <stp/>
        <stp>BDP|5209376398556111826</stp>
        <tr r="E207" s="2"/>
      </tp>
      <tp t="s">
        <v>#N/A Requesting Data...2065496557</v>
        <stp/>
        <stp>BDP|6964477534230785022</stp>
        <tr r="G622" s="2"/>
      </tp>
      <tp t="s">
        <v>#N/A Requesting Data...2641363173</v>
        <stp/>
        <stp>BDP|7297640155116452380</stp>
        <tr r="AB48" s="1"/>
      </tp>
      <tp t="s">
        <v>#N/A Requesting Data...1278911798</v>
        <stp/>
        <stp>BDP|8942310476394774961</stp>
        <tr r="Z94" s="1"/>
      </tp>
      <tp t="s">
        <v>#N/A Requesting Data...4294619231</v>
        <stp/>
        <stp>BDP|8652207619112697869</stp>
        <tr r="H567" s="2"/>
      </tp>
      <tp t="s">
        <v>#N/A Requesting Data...818617402</v>
        <stp/>
        <stp>BDP|4128530929896073448</stp>
        <tr r="H54" s="2"/>
      </tp>
      <tp t="s">
        <v>#N/A Requesting Data...3789865226</v>
        <stp/>
        <stp>BDP|8057623751669933357</stp>
        <tr r="G81" s="2"/>
      </tp>
      <tp t="s">
        <v>#N/A Requesting Data...3445891503</v>
        <stp/>
        <stp>BDP|4097801985987805226</stp>
        <tr r="G5" s="2"/>
      </tp>
      <tp t="s">
        <v>#N/A Requesting Data...2686930427</v>
        <stp/>
        <stp>BDP|4731338317373595497</stp>
        <tr r="H494" s="2"/>
      </tp>
      <tp t="s">
        <v>#N/A Requesting Data...2672274030</v>
        <stp/>
        <stp>BDP|1007914106098012183</stp>
        <tr r="E608" s="2"/>
      </tp>
      <tp t="s">
        <v>#N/A Requesting Data...281438490</v>
        <stp/>
        <stp>BDP|1894458824317589101</stp>
        <tr r="H559" s="2"/>
      </tp>
      <tp t="s">
        <v>#N/A Requesting Data...986207015</v>
        <stp/>
        <stp>BDP|2150026886932194998</stp>
        <tr r="F140" s="2"/>
      </tp>
      <tp t="s">
        <v>#N/A Requesting Data...3865581213</v>
        <stp/>
        <stp>BDP|1689082109866943639</stp>
        <tr r="G391" s="2"/>
      </tp>
      <tp t="s">
        <v>#N/A Requesting Data...353836341</v>
        <stp/>
        <stp>BDP|7693109392328154687</stp>
        <tr r="H237" s="2"/>
      </tp>
      <tp t="s">
        <v>#N/A Requesting Data...1739685675</v>
        <stp/>
        <stp>BDP|7556300337613723581</stp>
        <tr r="H579" s="2"/>
      </tp>
      <tp t="s">
        <v>#N/A Requesting Data...1148386470</v>
        <stp/>
        <stp>BDP|4410457316226343696</stp>
        <tr r="G499" s="2"/>
      </tp>
      <tp t="s">
        <v>#N/A Requesting Data...564248363</v>
        <stp/>
        <stp>BDP|1626412230861197648</stp>
        <tr r="Z27" s="1"/>
      </tp>
      <tp t="s">
        <v>#N/A Requesting Data...971250610</v>
        <stp/>
        <stp>BDP|6170220170980921284</stp>
        <tr r="E281" s="2"/>
      </tp>
      <tp t="s">
        <v>#N/A Requesting Data...4138022866</v>
        <stp/>
        <stp>BDP|6383831537449256573</stp>
        <tr r="E428" s="2"/>
      </tp>
      <tp t="s">
        <v>#N/A Requesting Data...3360455731</v>
        <stp/>
        <stp>BDP|6566923248928526285</stp>
        <tr r="H507" s="2"/>
      </tp>
      <tp t="s">
        <v>#N/A Requesting Data...1592063524</v>
        <stp/>
        <stp>BDP|4517310691906614914</stp>
        <tr r="G575" s="2"/>
      </tp>
      <tp t="s">
        <v>#N/A Requesting Data...1296182527</v>
        <stp/>
        <stp>BDP|4302488777480603680</stp>
        <tr r="H396" s="2"/>
      </tp>
      <tp t="s">
        <v>#N/A Requesting Data...1412270527</v>
        <stp/>
        <stp>BDP|7899559918977630514</stp>
        <tr r="AB8" s="1"/>
      </tp>
      <tp t="s">
        <v>#N/A Requesting Data...2815819041</v>
        <stp/>
        <stp>BDP|7064982098225246303</stp>
        <tr r="G384" s="2"/>
      </tp>
      <tp t="s">
        <v>#N/A Requesting Data...2951154577</v>
        <stp/>
        <stp>BDP|4556103957919948898</stp>
        <tr r="H499" s="2"/>
      </tp>
      <tp t="s">
        <v>#N/A Requesting Data...2107940217</v>
        <stp/>
        <stp>BDP|6286728410372403360</stp>
        <tr r="F485" s="2"/>
      </tp>
      <tp t="s">
        <v>#N/A Requesting Data...2920428571</v>
        <stp/>
        <stp>BDP|7055208128903986538</stp>
        <tr r="H147" s="2"/>
      </tp>
      <tp t="s">
        <v>#N/A Requesting Data...1653186328</v>
        <stp/>
        <stp>BDP|1725648777999052861</stp>
        <tr r="F311" s="2"/>
      </tp>
      <tp t="s">
        <v>#N/A Requesting Data...1567266895</v>
        <stp/>
        <stp>BDP|5069540248850633594</stp>
        <tr r="F70" s="2"/>
      </tp>
      <tp t="s">
        <v>#N/A Requesting Data...1279995789</v>
        <stp/>
        <stp>BDP|4408221304506859196</stp>
        <tr r="G112" s="2"/>
      </tp>
      <tp t="s">
        <v>#N/A Requesting Data...2609525783</v>
        <stp/>
        <stp>BDP|5104212146645403729</stp>
        <tr r="E481" s="2"/>
      </tp>
      <tp t="s">
        <v>#N/A Requesting Data...1003944132</v>
        <stp/>
        <stp>BDP|9410256474105369863</stp>
        <tr r="H119" s="2"/>
      </tp>
      <tp t="s">
        <v>#N/A Requesting Data...2558115537</v>
        <stp/>
        <stp>BDP|3370615786299056546</stp>
        <tr r="E372" s="2"/>
      </tp>
      <tp t="s">
        <v>#N/A Requesting Data...2139415349</v>
        <stp/>
        <stp>BDP|1189331919045895736</stp>
        <tr r="E586" s="2"/>
      </tp>
      <tp t="s">
        <v>#N/A Requesting Data...1107190814</v>
        <stp/>
        <stp>BDP|5795670631137773676</stp>
        <tr r="G163" s="2"/>
      </tp>
      <tp t="s">
        <v>#N/A Requesting Data...289104231</v>
        <stp/>
        <stp>BDP|6902210521572158598</stp>
        <tr r="Z25" s="1"/>
      </tp>
      <tp t="s">
        <v>#N/A Requesting Data...346691945</v>
        <stp/>
        <stp>BDP|4237998085181926565</stp>
        <tr r="F388" s="2"/>
      </tp>
      <tp t="s">
        <v>#N/A Requesting Data...951080059</v>
        <stp/>
        <stp>BDP|2253179950672219564</stp>
        <tr r="Z76" s="1"/>
      </tp>
      <tp t="s">
        <v>#N/A Requesting Data...423798214</v>
        <stp/>
        <stp>BDP|4256445908590857170</stp>
        <tr r="G195" s="2"/>
      </tp>
      <tp t="s">
        <v>#N/A Requesting Data...2933395501</v>
        <stp/>
        <stp>BDP|1921146246225848020</stp>
        <tr r="E125" s="2"/>
      </tp>
      <tp t="s">
        <v>#N/A Requesting Data...3465023551</v>
        <stp/>
        <stp>BDP|6555045629091004497</stp>
        <tr r="E23" s="2"/>
      </tp>
      <tp t="s">
        <v>#N/A Requesting Data...655171985</v>
        <stp/>
        <stp>BDP|3589107273346127216</stp>
        <tr r="E80" s="2"/>
      </tp>
      <tp t="s">
        <v>#N/A Requesting Data...2508648006</v>
        <stp/>
        <stp>BDP|4287574897450677924</stp>
        <tr r="Z99" s="1"/>
      </tp>
      <tp t="s">
        <v>#N/A Requesting Data...3380261496</v>
        <stp/>
        <stp>BDP|1182359914636495423</stp>
        <tr r="G115" s="2"/>
      </tp>
      <tp t="s">
        <v>#N/A Requesting Data...3803933375</v>
        <stp/>
        <stp>BDP|4685964436988991793</stp>
        <tr r="H521" s="2"/>
      </tp>
      <tp t="s">
        <v>#N/A Requesting Data...1994002393</v>
        <stp/>
        <stp>BDP|2602195766430639497</stp>
        <tr r="F372" s="2"/>
      </tp>
      <tp t="s">
        <v>#N/A Requesting Data...2851861949</v>
        <stp/>
        <stp>BDP|5180455695141155872</stp>
        <tr r="AA56" s="1"/>
      </tp>
      <tp t="s">
        <v>#N/A Requesting Data...827189330</v>
        <stp/>
        <stp>BDP|6477379171732477115</stp>
        <tr r="E622" s="2"/>
      </tp>
      <tp t="s">
        <v>#N/A Requesting Data...243639121</v>
        <stp/>
        <stp>BDP|9890939909317720620</stp>
        <tr r="F57" s="2"/>
      </tp>
      <tp t="s">
        <v>#N/A Requesting Data...1405383246</v>
        <stp/>
        <stp>BDP|6994768678321685668</stp>
        <tr r="H588" s="2"/>
      </tp>
      <tp t="s">
        <v>#N/A Requesting Data...4097865259</v>
        <stp/>
        <stp>BDP|3707738113583036735</stp>
        <tr r="H382" s="2"/>
      </tp>
      <tp t="s">
        <v>#N/A Requesting Data...4057637387</v>
        <stp/>
        <stp>BDP|2735084424166899773</stp>
        <tr r="Z44" s="1"/>
      </tp>
      <tp t="s">
        <v>#N/A Requesting Data...1192383357</v>
        <stp/>
        <stp>BDP|7333006807584558254</stp>
        <tr r="H270" s="2"/>
      </tp>
      <tp t="s">
        <v>#N/A Requesting Data...2077278614</v>
        <stp/>
        <stp>BDP|2645764602527443324</stp>
        <tr r="G457" s="2"/>
      </tp>
      <tp t="s">
        <v>#N/A Requesting Data...4062283655</v>
        <stp/>
        <stp>BDP|5606151620964455338</stp>
        <tr r="AB16" s="1"/>
      </tp>
      <tp t="s">
        <v>#N/A Requesting Data...4121614185</v>
        <stp/>
        <stp>BDP|9471047024509764375</stp>
        <tr r="AB78" s="1"/>
      </tp>
      <tp t="s">
        <v>#N/A Requesting Data...2526714531</v>
        <stp/>
        <stp>BDP|3896745550498167898</stp>
        <tr r="E527" s="2"/>
      </tp>
      <tp t="s">
        <v>#N/A Requesting Data...1275137152</v>
        <stp/>
        <stp>BDP|2206202667852016502</stp>
        <tr r="AA2" s="1"/>
      </tp>
      <tp t="s">
        <v>#N/A Requesting Data...1196425277</v>
        <stp/>
        <stp>BDP|9478908776907690116</stp>
        <tr r="F428" s="2"/>
      </tp>
      <tp t="s">
        <v>#N/A Requesting Data...1356218167</v>
        <stp/>
        <stp>BDP|4683515608112845223</stp>
        <tr r="F19" s="2"/>
      </tp>
      <tp t="s">
        <v>#N/A Requesting Data...1163392779</v>
        <stp/>
        <stp>BDP|7621390252505992511</stp>
        <tr r="G215" s="2"/>
      </tp>
      <tp t="s">
        <v>#N/A Requesting Data...3598391964</v>
        <stp/>
        <stp>BDP|5092780935581872105</stp>
        <tr r="F353" s="2"/>
      </tp>
      <tp t="s">
        <v>#N/A Requesting Data...3427861733</v>
        <stp/>
        <stp>BDP|5751763326032311317</stp>
        <tr r="H457" s="2"/>
      </tp>
      <tp t="s">
        <v>#N/A Requesting Data...2178668516</v>
        <stp/>
        <stp>BDP|7426247143724176477</stp>
        <tr r="H427" s="2"/>
      </tp>
      <tp t="s">
        <v>#N/A Requesting Data...1305184800</v>
        <stp/>
        <stp>BDP|7672556553891395765</stp>
        <tr r="F376" s="2"/>
      </tp>
      <tp t="s">
        <v>#N/A Requesting Data...1456143801</v>
        <stp/>
        <stp>BDP|8397899831512778369</stp>
        <tr r="G480" s="2"/>
      </tp>
      <tp t="s">
        <v>#N/A Requesting Data...1309160591</v>
        <stp/>
        <stp>BDP|3934973099885804455</stp>
        <tr r="H240" s="2"/>
      </tp>
      <tp t="s">
        <v>#N/A Requesting Data...1893688318</v>
        <stp/>
        <stp>BDP|5880161304207658163</stp>
        <tr r="Z9" s="1"/>
      </tp>
      <tp t="s">
        <v>#N/A Requesting Data...995513435</v>
        <stp/>
        <stp>BDP|1961846999905876761</stp>
        <tr r="G509" s="2"/>
      </tp>
      <tp t="s">
        <v>#N/A Requesting Data...3337015151</v>
        <stp/>
        <stp>BDP|7427263432062880628</stp>
        <tr r="AA47" s="1"/>
      </tp>
      <tp t="s">
        <v>#N/A Requesting Data...1891853716</v>
        <stp/>
        <stp>BDP|1634520908013401520</stp>
        <tr r="E43" s="2"/>
      </tp>
      <tp t="s">
        <v>#N/A Requesting Data...3284793200</v>
        <stp/>
        <stp>BDP|6766254762642319292</stp>
        <tr r="F23" s="2"/>
      </tp>
      <tp t="s">
        <v>#N/A Requesting Data...504132543</v>
        <stp/>
        <stp>BDP|3069144156452171797</stp>
        <tr r="G314" s="2"/>
      </tp>
      <tp t="s">
        <v>#N/A Requesting Data...3736225689</v>
        <stp/>
        <stp>BDP|1655574052247194493</stp>
        <tr r="H159" s="2"/>
      </tp>
      <tp t="s">
        <v>#N/A Requesting Data...4284455744</v>
        <stp/>
        <stp>BDP|4055804281905319394</stp>
        <tr r="H557" s="2"/>
      </tp>
      <tp t="s">
        <v>#N/A Requesting Data...3067243300</v>
        <stp/>
        <stp>BDP|7675739979574174161</stp>
        <tr r="H129" s="2"/>
      </tp>
      <tp t="s">
        <v>#N/A Requesting Data...704634452</v>
        <stp/>
        <stp>BDP|5971054932581545538</stp>
        <tr r="H186" s="2"/>
      </tp>
      <tp t="s">
        <v>#N/A Requesting Data...592127224</v>
        <stp/>
        <stp>BDP|9965665180312786704</stp>
        <tr r="G60" s="2"/>
      </tp>
      <tp t="s">
        <v>#N/A Requesting Data...1617678626</v>
        <stp/>
        <stp>BDP|7463782825398732866</stp>
        <tr r="F466" s="2"/>
      </tp>
      <tp t="s">
        <v>#N/A Requesting Data...2174093946</v>
        <stp/>
        <stp>BDP|7025663838541752116</stp>
        <tr r="F551" s="2"/>
      </tp>
      <tp t="s">
        <v>#N/A Requesting Data...2173006615</v>
        <stp/>
        <stp>BDP|8504194493882016064</stp>
        <tr r="G453" s="2"/>
      </tp>
      <tp t="s">
        <v>#N/A Requesting Data...1309324718</v>
        <stp/>
        <stp>BDP|7210821648678887194</stp>
        <tr r="G531" s="2"/>
        <tr r="G626" s="2"/>
        <tr r="G628" s="2"/>
        <tr r="G630" s="2"/>
        <tr r="G634" s="2"/>
        <tr r="G638" s="2"/>
      </tp>
      <tp t="s">
        <v>#N/A Requesting Data...3334260038</v>
        <stp/>
        <stp>BDP|5745061598958153617</stp>
        <tr r="Z83" s="1"/>
      </tp>
      <tp t="s">
        <v>#N/A Requesting Data...3192603518</v>
        <stp/>
        <stp>BDP|1993226558290885426</stp>
        <tr r="H262" s="2"/>
      </tp>
      <tp t="s">
        <v>#N/A Requesting Data...882753178</v>
        <stp/>
        <stp>BDP|3130168075134374389</stp>
        <tr r="F224" s="2"/>
      </tp>
      <tp t="s">
        <v>#N/A Requesting Data...1435795448</v>
        <stp/>
        <stp>BDP|7229988057451133824</stp>
        <tr r="F455" s="2"/>
      </tp>
      <tp t="s">
        <v>#N/A Requesting Data...907258297</v>
        <stp/>
        <stp>BDP|8746878273304985146</stp>
        <tr r="H386" s="2"/>
      </tp>
      <tp t="s">
        <v>#N/A Requesting Data...3086304051</v>
        <stp/>
        <stp>BDP|4206171854816988461</stp>
        <tr r="E449" s="2"/>
      </tp>
      <tp t="s">
        <v>#N/A Requesting Data...2838109134</v>
        <stp/>
        <stp>BDP|7727049291805838947</stp>
        <tr r="F120" s="2"/>
      </tp>
      <tp t="s">
        <v>#N/A Requesting Data...3849981729</v>
        <stp/>
        <stp>BDP|4403836983256999025</stp>
        <tr r="E110" s="2"/>
      </tp>
      <tp t="s">
        <v>#N/A Requesting Data...3223112388</v>
        <stp/>
        <stp>BDP|2269394028414917556</stp>
        <tr r="E261" s="2"/>
      </tp>
      <tp t="s">
        <v>#N/A Requesting Data...2726332054</v>
        <stp/>
        <stp>BDP|6200395859652932041</stp>
        <tr r="E74" s="2"/>
      </tp>
      <tp t="s">
        <v>#N/A Requesting Data...3054732408</v>
        <stp/>
        <stp>BDP|9794086943698052700</stp>
        <tr r="E91" s="2"/>
      </tp>
      <tp t="s">
        <v>#N/A Requesting Data...1134735400</v>
        <stp/>
        <stp>BDP|2464777959780713211</stp>
        <tr r="H564" s="2"/>
      </tp>
      <tp t="s">
        <v>#N/A Requesting Data...3554643154</v>
        <stp/>
        <stp>BDP|4414087519986082191</stp>
        <tr r="H122" s="2"/>
      </tp>
      <tp t="s">
        <v>#N/A Requesting Data...3168648549</v>
        <stp/>
        <stp>BDP|7834355223211766549</stp>
        <tr r="F186" s="2"/>
      </tp>
      <tp t="s">
        <v>#N/A Requesting Data...3364935096</v>
        <stp/>
        <stp>BDP|9907400381380314762</stp>
        <tr r="H188" s="2"/>
      </tp>
      <tp t="s">
        <v>#N/A Requesting Data...460075701</v>
        <stp/>
        <stp>BDP|1663722841131003186</stp>
        <tr r="H448" s="2"/>
      </tp>
      <tp t="s">
        <v>#N/A Requesting Data...3156499960</v>
        <stp/>
        <stp>BDP|4688827611288153762</stp>
        <tr r="E188" s="2"/>
      </tp>
      <tp t="s">
        <v>#N/A Requesting Data...1289521392</v>
        <stp/>
        <stp>BDP|2493411176467242438</stp>
        <tr r="AB20" s="1"/>
      </tp>
      <tp t="s">
        <v>#N/A Requesting Data...3761290955</v>
        <stp/>
        <stp>BDP|2323885392585951424</stp>
        <tr r="G133" s="2"/>
      </tp>
      <tp t="s">
        <v>#N/A Requesting Data...2419951219</v>
        <stp/>
        <stp>BDP|3257060262212137551</stp>
        <tr r="AB69" s="1"/>
      </tp>
      <tp t="s">
        <v>#N/A Requesting Data...4238438291</v>
        <stp/>
        <stp>BDP|3745758990228907799</stp>
        <tr r="F220" s="2"/>
      </tp>
      <tp t="s">
        <v>#N/A Requesting Data...2126912639</v>
        <stp/>
        <stp>BDP|7091217772817608770</stp>
        <tr r="F387" s="2"/>
      </tp>
      <tp t="s">
        <v>#N/A Requesting Data...2209978012</v>
        <stp/>
        <stp>BDP|5633113241265494713</stp>
        <tr r="AA103" s="1"/>
      </tp>
      <tp t="s">
        <v>#N/A Requesting Data...1709261187</v>
        <stp/>
        <stp>BDP|3991212939462572272</stp>
        <tr r="E503" s="2"/>
      </tp>
      <tp t="s">
        <v>#N/A Requesting Data...478299124</v>
        <stp/>
        <stp>BDP|8113388698144729450</stp>
        <tr r="F571" s="2"/>
      </tp>
      <tp t="s">
        <v>#N/A Requesting Data...1504841900</v>
        <stp/>
        <stp>BDP|4043970943069457231</stp>
        <tr r="F285" s="2"/>
      </tp>
      <tp t="s">
        <v>#N/A Requesting Data...4054398640</v>
        <stp/>
        <stp>BDP|6824948336049339792</stp>
        <tr r="G422" s="2"/>
      </tp>
      <tp t="s">
        <v>#N/A Requesting Data...3565324058</v>
        <stp/>
        <stp>BDP|6824564109461055079</stp>
        <tr r="F611" s="2"/>
      </tp>
      <tp t="s">
        <v>#N/A Requesting Data...868180324</v>
        <stp/>
        <stp>BDP|3700118594378291102</stp>
        <tr r="F252" s="2"/>
      </tp>
      <tp t="s">
        <v>#N/A Requesting Data...2538827918</v>
        <stp/>
        <stp>BDP|4233067002375337356</stp>
        <tr r="F477" s="2"/>
      </tp>
      <tp t="s">
        <v>#N/A Requesting Data...2162870837</v>
        <stp/>
        <stp>BDP|9645280938458349251</stp>
        <tr r="G29" s="2"/>
      </tp>
      <tp t="s">
        <v>#N/A Requesting Data...2674609958</v>
        <stp/>
        <stp>BDP|5004124737391473415</stp>
        <tr r="E203" s="2"/>
      </tp>
      <tp t="s">
        <v>#N/A Requesting Data...3225791363</v>
        <stp/>
        <stp>BDP|7543750856900007775</stp>
        <tr r="E217" s="2"/>
      </tp>
      <tp t="s">
        <v>#N/A Requesting Data...1655631669</v>
        <stp/>
        <stp>BDP|1523647028062822506</stp>
        <tr r="F326" s="2"/>
      </tp>
      <tp t="s">
        <v>#N/A Requesting Data...3419814797</v>
        <stp/>
        <stp>BDP|5114829747939374265</stp>
        <tr r="H115" s="2"/>
      </tp>
      <tp t="s">
        <v>#N/A Requesting Data...4281465587</v>
        <stp/>
        <stp>BDP|6650958313805025914</stp>
        <tr r="Z56" s="1"/>
      </tp>
      <tp t="s">
        <v>#N/A Requesting Data...1809262341</v>
        <stp/>
        <stp>BDP|2965635690956967956</stp>
        <tr r="H56" s="2"/>
      </tp>
      <tp t="s">
        <v>#N/A Requesting Data...3666806023</v>
        <stp/>
        <stp>BDP|9043902022913122351</stp>
        <tr r="H304" s="2"/>
      </tp>
      <tp t="s">
        <v>#N/A Requesting Data...3952017186</v>
        <stp/>
        <stp>BDP|9944036682551905279</stp>
        <tr r="E206" s="2"/>
      </tp>
      <tp t="s">
        <v>#N/A Requesting Data...3035627092</v>
        <stp/>
        <stp>BDP|4570874853239499238</stp>
        <tr r="F535" s="2"/>
      </tp>
      <tp t="s">
        <v>#N/A Requesting Data...3902774025</v>
        <stp/>
        <stp>BDP|5105573229136968607</stp>
        <tr r="H218" s="2"/>
      </tp>
      <tp t="s">
        <v>#N/A Requesting Data...2108698191</v>
        <stp/>
        <stp>BDP|2719270137367939683</stp>
        <tr r="G538" s="2"/>
      </tp>
      <tp t="s">
        <v>#N/A Requesting Data...791827103</v>
        <stp/>
        <stp>BDP|5959331201116926242</stp>
        <tr r="F79" s="2"/>
      </tp>
      <tp t="s">
        <v>#N/A Requesting Data...3401114426</v>
        <stp/>
        <stp>BDP|7707345804613876590</stp>
        <tr r="E418" s="2"/>
      </tp>
      <tp t="s">
        <v>#N/A Requesting Data...1324194719</v>
        <stp/>
        <stp>BDP|2858826895545896407</stp>
        <tr r="F484" s="2"/>
      </tp>
      <tp t="s">
        <v>#N/A Requesting Data...2109358009</v>
        <stp/>
        <stp>BDP|9738269987393108204</stp>
        <tr r="F77" s="2"/>
      </tp>
      <tp t="s">
        <v>#N/A Requesting Data...2142434463</v>
        <stp/>
        <stp>BDP|5508664306184536577</stp>
        <tr r="AB30" s="1"/>
      </tp>
      <tp t="s">
        <v>#N/A Requesting Data...2313579697</v>
        <stp/>
        <stp>BDP|8404970763253368645</stp>
        <tr r="F201" s="2"/>
      </tp>
      <tp t="s">
        <v>#N/A Requesting Data...3883529037</v>
        <stp/>
        <stp>BDP|1183142410917262406</stp>
        <tr r="F121" s="2"/>
      </tp>
      <tp t="s">
        <v>#N/A Requesting Data...561754739</v>
        <stp/>
        <stp>BDP|8327764587087301265</stp>
        <tr r="F398" s="2"/>
      </tp>
      <tp t="s">
        <v>#N/A Requesting Data...4084002275</v>
        <stp/>
        <stp>BDP|1367636236971287733</stp>
        <tr r="G599" s="2"/>
      </tp>
      <tp t="s">
        <v>#N/A Requesting Data...2121142518</v>
        <stp/>
        <stp>BDP|8821364084255866454</stp>
        <tr r="H327" s="2"/>
      </tp>
      <tp t="s">
        <v>#N/A Requesting Data...4174327708</v>
        <stp/>
        <stp>BDP|1626623264952173156</stp>
        <tr r="G380" s="2"/>
      </tp>
      <tp t="s">
        <v>#N/A Requesting Data...2005839688</v>
        <stp/>
        <stp>BDP|9566912497032783904</stp>
        <tr r="E42" s="2"/>
      </tp>
      <tp t="s">
        <v>#N/A Requesting Data...879958026</v>
        <stp/>
        <stp>BDP|4596614900069673962</stp>
        <tr r="H177" s="2"/>
      </tp>
      <tp t="s">
        <v>#N/A Requesting Data...499248860</v>
        <stp/>
        <stp>BDP|5016980702848978673</stp>
        <tr r="E373" s="2"/>
      </tp>
      <tp t="s">
        <v>#N/A Requesting Data...497897429</v>
        <stp/>
        <stp>BDP|3282944881140584068</stp>
        <tr r="AA12" s="1"/>
      </tp>
      <tp t="s">
        <v>#N/A Requesting Data...450998816</v>
        <stp/>
        <stp>BDP|1366141392952205932</stp>
        <tr r="AB86" s="1"/>
      </tp>
      <tp t="s">
        <v>#N/A Requesting Data...3852369627</v>
        <stp/>
        <stp>BDP|3180532710221348452</stp>
        <tr r="E255" s="2"/>
      </tp>
      <tp t="s">
        <v>#N/A Requesting Data...1793739856</v>
        <stp/>
        <stp>BDP|9684446590257748118</stp>
        <tr r="F304" s="2"/>
      </tp>
      <tp t="s">
        <v>#N/A Requesting Data...3226077419</v>
        <stp/>
        <stp>BDP|8343414296036049106</stp>
        <tr r="E517" s="2"/>
      </tp>
      <tp t="s">
        <v>#N/A Requesting Data...398695690</v>
        <stp/>
        <stp>BDP|3964469054635902570</stp>
        <tr r="G474" s="2"/>
      </tp>
      <tp t="s">
        <v>#N/A Requesting Data...784393062</v>
        <stp/>
        <stp>BDP|7076461344231798403</stp>
        <tr r="H592" s="2"/>
      </tp>
      <tp t="s">
        <v>#N/A Requesting Data...2610802156</v>
        <stp/>
        <stp>BDP|4515847990090720735</stp>
        <tr r="F448" s="2"/>
      </tp>
      <tp t="s">
        <v>#N/A Requesting Data...1676348134</v>
        <stp/>
        <stp>BDP|3142265521258249916</stp>
        <tr r="G335" s="2"/>
      </tp>
      <tp t="s">
        <v>#N/A Requesting Data...525776669</v>
        <stp/>
        <stp>BDP|1830813488351609223</stp>
        <tr r="H134" s="2"/>
      </tp>
      <tp t="s">
        <v>#N/A Requesting Data...1705239843</v>
        <stp/>
        <stp>BDP|1459003022481765041</stp>
        <tr r="AB43" s="1"/>
      </tp>
      <tp t="s">
        <v>#N/A Requesting Data...2745957593</v>
        <stp/>
        <stp>BDP|3524127235583464033</stp>
        <tr r="G86" s="2"/>
      </tp>
      <tp t="s">
        <v>#N/A Requesting Data...4084940108</v>
        <stp/>
        <stp>BDP|8109182328960810830</stp>
        <tr r="F382" s="2"/>
      </tp>
      <tp t="s">
        <v>#N/A Requesting Data...1340867514</v>
        <stp/>
        <stp>BDP|6134028483525398896</stp>
        <tr r="H454" s="2"/>
      </tp>
      <tp t="s">
        <v>#N/A Requesting Data...2941628772</v>
        <stp/>
        <stp>BDP|1155275578227160054</stp>
        <tr r="E65" s="2"/>
      </tp>
      <tp t="s">
        <v>#N/A Requesting Data...3212915903</v>
        <stp/>
        <stp>BDP|1983405365678291841</stp>
        <tr r="E620" s="2"/>
      </tp>
      <tp t="s">
        <v>#N/A Requesting Data...937774365</v>
        <stp/>
        <stp>BDP|1098445201386841060</stp>
        <tr r="G617" s="2"/>
      </tp>
      <tp t="s">
        <v>#N/A Requesting Data...3860696648</v>
        <stp/>
        <stp>BDP|8994618182680246539</stp>
        <tr r="Z66" s="1"/>
      </tp>
      <tp t="s">
        <v>#N/A Requesting Data...4144672205</v>
        <stp/>
        <stp>BDP|9126223505540595883</stp>
        <tr r="H148" s="2"/>
      </tp>
      <tp t="s">
        <v>#N/A Requesting Data...3590406916</v>
        <stp/>
        <stp>BDP|4641687970796639035</stp>
        <tr r="G166" s="2"/>
      </tp>
      <tp t="s">
        <v>#N/A Requesting Data...1232472661</v>
        <stp/>
        <stp>BDP|7384020003825963102</stp>
        <tr r="G437" s="2"/>
      </tp>
      <tp t="s">
        <v>#N/A Requesting Data...3260951912</v>
        <stp/>
        <stp>BDP|6540265739425168107</stp>
        <tr r="F75" s="2"/>
      </tp>
      <tp t="s">
        <v>#N/A Requesting Data...3150232333</v>
        <stp/>
        <stp>BDP|7946229211567007021</stp>
        <tr r="H399" s="2"/>
      </tp>
      <tp t="s">
        <v>#N/A Requesting Data...4099965905</v>
        <stp/>
        <stp>BDP|5708339769074558707</stp>
        <tr r="G122" s="2"/>
      </tp>
      <tp t="s">
        <v>#N/A Requesting Data...443019624</v>
        <stp/>
        <stp>BDP|6387707830247809639</stp>
        <tr r="E247" s="2"/>
      </tp>
      <tp t="s">
        <v>#N/A Requesting Data...3098735892</v>
        <stp/>
        <stp>BDP|8310559494137389097</stp>
        <tr r="E122" s="2"/>
      </tp>
      <tp t="s">
        <v>#N/A Requesting Data...2485109473</v>
        <stp/>
        <stp>BDP|3273431769542289030</stp>
        <tr r="H81" s="2"/>
      </tp>
      <tp t="s">
        <v>#N/A Requesting Data...2137898294</v>
        <stp/>
        <stp>BDP|3690281016181249237</stp>
        <tr r="AB11" s="1"/>
      </tp>
      <tp t="s">
        <v>#N/A Requesting Data...3735340720</v>
        <stp/>
        <stp>BDP|5364942092295414386</stp>
        <tr r="AA104" s="1"/>
      </tp>
      <tp t="s">
        <v>#N/A Requesting Data...585151343</v>
        <stp/>
        <stp>BDP|3295628512540805731</stp>
        <tr r="G70" s="2"/>
      </tp>
      <tp t="s">
        <v>#N/A Requesting Data...3210227120</v>
        <stp/>
        <stp>BDP|5784751686329879059</stp>
        <tr r="H385" s="2"/>
      </tp>
      <tp t="s">
        <v>#N/A Requesting Data...1339345745</v>
        <stp/>
        <stp>BDP|6126600046193872463</stp>
        <tr r="G248" s="2"/>
      </tp>
      <tp t="s">
        <v>#N/A Requesting Data...2710217569</v>
        <stp/>
        <stp>BDP|1906136941622752552</stp>
        <tr r="F183" s="2"/>
      </tp>
      <tp t="s">
        <v>#N/A Requesting Data...2511137881</v>
        <stp/>
        <stp>BDP|5312530445891994629</stp>
        <tr r="H545" s="2"/>
      </tp>
      <tp t="s">
        <v>#N/A Requesting Data...2790335361</v>
        <stp/>
        <stp>BDP|9575825861337003389</stp>
        <tr r="AB103" s="1"/>
      </tp>
      <tp t="s">
        <v>#N/A Requesting Data...3367288441</v>
        <stp/>
        <stp>BDP|6385342944363939147</stp>
        <tr r="F48" s="2"/>
      </tp>
      <tp t="s">
        <v>#N/A Requesting Data...744195063</v>
        <stp/>
        <stp>BDP|8682097091291657366</stp>
        <tr r="H527" s="2"/>
      </tp>
      <tp t="s">
        <v>#N/A Requesting Data...1011381003</v>
        <stp/>
        <stp>BDP|4131613420227759496</stp>
        <tr r="G483" s="2"/>
      </tp>
      <tp t="s">
        <v>#N/A Requesting Data...1834275523</v>
        <stp/>
        <stp>BDP|2373807072816710889</stp>
        <tr r="E196" s="2"/>
      </tp>
      <tp t="s">
        <v>#N/A Requesting Data...3257274905</v>
        <stp/>
        <stp>BDP|3400789569960829134</stp>
        <tr r="G396" s="2"/>
      </tp>
      <tp t="s">
        <v>#N/A Requesting Data...3306024876</v>
        <stp/>
        <stp>BDP|7085396062437542617</stp>
        <tr r="Z17" s="1"/>
      </tp>
      <tp t="s">
        <v>#N/A Requesting Data...4026608468</v>
        <stp/>
        <stp>BDP|6426245111876620082</stp>
        <tr r="G529" s="2"/>
        <tr r="G632" s="2"/>
        <tr r="G636" s="2"/>
      </tp>
      <tp t="s">
        <v>#N/A Requesting Data...1064831532</v>
        <stp/>
        <stp>BDP|4237641554565838155</stp>
        <tr r="F272" s="2"/>
      </tp>
      <tp t="s">
        <v>#N/A Requesting Data...462820982</v>
        <stp/>
        <stp>BDP|5414111733325812115</stp>
        <tr r="E565" s="2"/>
      </tp>
      <tp t="s">
        <v>#N/A Requesting Data...2944965923</v>
        <stp/>
        <stp>BDP|6830783265036838224</stp>
        <tr r="G74" s="2"/>
      </tp>
      <tp t="s">
        <v>#N/A Requesting Data...2692305843</v>
        <stp/>
        <stp>BDP|4625381008975322196</stp>
        <tr r="AA42" s="1"/>
      </tp>
      <tp t="s">
        <v>#N/A Requesting Data...950983342</v>
        <stp/>
        <stp>BDP|6025044494528991443</stp>
        <tr r="F97" s="2"/>
      </tp>
      <tp t="s">
        <v>#N/A Requesting Data...3784156804</v>
        <stp/>
        <stp>BDP|2878509152941619016</stp>
        <tr r="G268" s="2"/>
      </tp>
      <tp t="s">
        <v>#N/A Requesting Data...2317405922</v>
        <stp/>
        <stp>BDP|3756791567739241865</stp>
        <tr r="E441" s="2"/>
      </tp>
      <tp t="s">
        <v>#N/A Requesting Data...3009316026</v>
        <stp/>
        <stp>BDP|4856282678545758725</stp>
        <tr r="E150" s="2"/>
      </tp>
      <tp t="s">
        <v>#N/A Requesting Data...3999165575</v>
        <stp/>
        <stp>BDP|4584291573253550178</stp>
        <tr r="E563" s="2"/>
      </tp>
      <tp t="s">
        <v>#N/A Requesting Data...2561061084</v>
        <stp/>
        <stp>BDP|4670956386035583320</stp>
        <tr r="G416" s="2"/>
      </tp>
      <tp t="s">
        <v>#N/A Requesting Data...2586083435</v>
        <stp/>
        <stp>BDP|4432589869626021277</stp>
        <tr r="E202" s="2"/>
      </tp>
      <tp t="s">
        <v>#N/A Requesting Data...2101451981</v>
        <stp/>
        <stp>BDP|7419432459785815044</stp>
        <tr r="E37" s="2"/>
      </tp>
      <tp t="s">
        <v>#N/A Requesting Data...1674514958</v>
        <stp/>
        <stp>BDP|2432552714512706705</stp>
        <tr r="E44" s="2"/>
      </tp>
      <tp t="s">
        <v>#N/A Requesting Data...758109633</v>
        <stp/>
        <stp>BDP|6946145048643343343</stp>
        <tr r="G466" s="2"/>
      </tp>
      <tp t="s">
        <v>#N/A Requesting Data...798090273</v>
        <stp/>
        <stp>BDP|3124324595848113247</stp>
        <tr r="F300" s="2"/>
      </tp>
      <tp t="s">
        <v>#N/A Requesting Data...2637454440</v>
        <stp/>
        <stp>BDP|8349593700826923807</stp>
        <tr r="H355" s="2"/>
      </tp>
      <tp t="s">
        <v>#N/A Requesting Data...3461752713</v>
        <stp/>
        <stp>BDP|8955906723321195187</stp>
        <tr r="F221" s="2"/>
      </tp>
      <tp t="s">
        <v>#N/A Requesting Data...4284841077</v>
        <stp/>
        <stp>BDP|6021788875825726093</stp>
        <tr r="E363" s="2"/>
      </tp>
      <tp t="s">
        <v>#N/A Requesting Data...3408846327</v>
        <stp/>
        <stp>BDP|3071295600071298389</stp>
        <tr r="G299" s="2"/>
      </tp>
      <tp t="s">
        <v>#N/A Requesting Data...2598536018</v>
        <stp/>
        <stp>BDP|5982662530207730485</stp>
        <tr r="F533" s="2"/>
      </tp>
      <tp t="s">
        <v>#N/A Requesting Data...3179989872</v>
        <stp/>
        <stp>BDP|7220470199051922851</stp>
        <tr r="G110" s="2"/>
      </tp>
      <tp t="s">
        <v>#N/A Requesting Data...4145340648</v>
        <stp/>
        <stp>BDP|6874472821002638186</stp>
        <tr r="F550" s="2"/>
      </tp>
      <tp t="s">
        <v>#N/A Requesting Data...3583959406</v>
        <stp/>
        <stp>BDP|8139587687715975371</stp>
        <tr r="H21" s="2"/>
      </tp>
      <tp t="s">
        <v>#N/A Requesting Data...3056221596</v>
        <stp/>
        <stp>BDP|2306702781447261907</stp>
        <tr r="E568" s="2"/>
      </tp>
      <tp t="s">
        <v>#N/A Requesting Data...406873398</v>
        <stp/>
        <stp>BDP|5675635159676458386</stp>
        <tr r="E574" s="2"/>
      </tp>
      <tp t="s">
        <v>#N/A Requesting Data...409640625</v>
        <stp/>
        <stp>BDP|4046769874004795352</stp>
        <tr r="H283" s="2"/>
      </tp>
      <tp t="s">
        <v>#N/A Requesting Data...635646957</v>
        <stp/>
        <stp>BDP|9846420471358890126</stp>
        <tr r="E319" s="2"/>
      </tp>
      <tp t="s">
        <v>#N/A Requesting Data...2686150393</v>
        <stp/>
        <stp>BDP|1561453151034599754</stp>
        <tr r="F511" s="2"/>
      </tp>
      <tp t="s">
        <v>#N/A Requesting Data...580245456</v>
        <stp/>
        <stp>BDP|3515025892888778130</stp>
        <tr r="G401" s="2"/>
      </tp>
      <tp t="s">
        <v>#N/A Requesting Data...684537793</v>
        <stp/>
        <stp>BDP|2455029806436234736</stp>
        <tr r="E495" s="2"/>
      </tp>
      <tp t="s">
        <v>#N/A Requesting Data...1288355050</v>
        <stp/>
        <stp>BDP|4789635222336754504</stp>
        <tr r="F34" s="2"/>
      </tp>
      <tp t="s">
        <v>#N/A Requesting Data...1891944677</v>
        <stp/>
        <stp>BDP|4673210870460379253</stp>
        <tr r="G182" s="2"/>
      </tp>
      <tp t="s">
        <v>#N/A Requesting Data...3932492805</v>
        <stp/>
        <stp>BDP|6571729076287343240</stp>
        <tr r="F148" s="2"/>
      </tp>
      <tp t="s">
        <v>#N/A Requesting Data...2143229736</v>
        <stp/>
        <stp>BDP|1762099226338662881</stp>
        <tr r="AA4" s="1"/>
      </tp>
      <tp t="s">
        <v>#N/A Requesting Data...2565523001</v>
        <stp/>
        <stp>BDP|7179665172387785247</stp>
        <tr r="F231" s="2"/>
      </tp>
      <tp t="s">
        <v>#N/A Requesting Data...1510079182</v>
        <stp/>
        <stp>BDP|2590595578992225105</stp>
        <tr r="E31" s="2"/>
      </tp>
      <tp t="s">
        <v>#N/A Requesting Data...4188968478</v>
        <stp/>
        <stp>BDP|2619190750711056491</stp>
        <tr r="E243" s="2"/>
      </tp>
      <tp t="s">
        <v>#N/A Requesting Data...4026403533</v>
        <stp/>
        <stp>BDP|4362781701073839346</stp>
        <tr r="E137" s="2"/>
      </tp>
      <tp t="s">
        <v>#N/A Requesting Data...792577009</v>
        <stp/>
        <stp>BDP|3748361072693528704</stp>
        <tr r="E157" s="2"/>
      </tp>
      <tp t="s">
        <v>#N/A Requesting Data...2111655903</v>
        <stp/>
        <stp>BDP|6392998531249551681</stp>
        <tr r="F615" s="2"/>
      </tp>
      <tp t="s">
        <v>#N/A Requesting Data...3516211807</v>
        <stp/>
        <stp>BDP|2671505636493352454</stp>
        <tr r="G436" s="2"/>
      </tp>
      <tp t="s">
        <v>#N/A Requesting Data...4183733525</v>
        <stp/>
        <stp>BDP|1052125434596301632</stp>
        <tr r="F258" s="2"/>
      </tp>
      <tp t="s">
        <v>#N/A Requesting Data...872332045</v>
        <stp/>
        <stp>BDP|3137598761167602482</stp>
        <tr r="AB93" s="1"/>
      </tp>
      <tp t="s">
        <v>#N/A Requesting Data...1094697372</v>
        <stp/>
        <stp>BDP|9599802086539359373</stp>
        <tr r="AB23" s="1"/>
      </tp>
      <tp t="s">
        <v>#N/A Requesting Data...2003942943</v>
        <stp/>
        <stp>BDP|9364149273035260916</stp>
        <tr r="F219" s="2"/>
      </tp>
      <tp t="s">
        <v>#N/A Requesting Data...2244135021</v>
        <stp/>
        <stp>BDP|9196910765972323711</stp>
        <tr r="Z63" s="1"/>
      </tp>
      <tp t="s">
        <v>#N/A Requesting Data...698964547</v>
        <stp/>
        <stp>BDP|2541904184844494425</stp>
        <tr r="F189" s="2"/>
      </tp>
      <tp t="s">
        <v>#N/A Requesting Data...2844621908</v>
        <stp/>
        <stp>BDP|9758772387747924296</stp>
        <tr r="H514" s="2"/>
      </tp>
      <tp t="s">
        <v>#N/A Requesting Data...953805379</v>
        <stp/>
        <stp>BDP|5539165966330259138</stp>
        <tr r="F150" s="2"/>
      </tp>
      <tp t="s">
        <v>#N/A Requesting Data...1044779233</v>
        <stp/>
        <stp>BDP|5880508106841903233</stp>
        <tr r="G511" s="2"/>
      </tp>
      <tp t="s">
        <v>#N/A Requesting Data...1186689730</v>
        <stp/>
        <stp>BDP|5648727436271393353</stp>
        <tr r="F395" s="2"/>
      </tp>
      <tp t="s">
        <v>#N/A Requesting Data...3663554230</v>
        <stp/>
        <stp>BDP|3177073725963342144</stp>
        <tr r="G363" s="2"/>
      </tp>
      <tp t="s">
        <v>#N/A Requesting Data...3275271320</v>
        <stp/>
        <stp>BDP|3560017632143787059</stp>
        <tr r="H323" s="2"/>
      </tp>
      <tp t="s">
        <v>#N/A Requesting Data...3549132073</v>
        <stp/>
        <stp>BDP|6475888159729702168</stp>
        <tr r="G463" s="2"/>
      </tp>
      <tp t="s">
        <v>#N/A Requesting Data...1992559190</v>
        <stp/>
        <stp>BDP|7234732120588423915</stp>
        <tr r="F102" s="2"/>
      </tp>
      <tp t="s">
        <v>#N/A Requesting Data...4161914370</v>
        <stp/>
        <stp>BDP|8510186698500524347</stp>
        <tr r="E610" s="2"/>
      </tp>
      <tp t="s">
        <v>#N/A Requesting Data...2043506235</v>
        <stp/>
        <stp>BDP|7756040164431443373</stp>
        <tr r="G227" s="2"/>
      </tp>
      <tp t="s">
        <v>#N/A Requesting Data...987888204</v>
        <stp/>
        <stp>BDP|4189727955904111128</stp>
        <tr r="F83" s="2"/>
      </tp>
      <tp t="s">
        <v>#N/A Requesting Data...641095658</v>
        <stp/>
        <stp>BDP|4263636234156695467</stp>
        <tr r="E522" s="2"/>
      </tp>
      <tp t="s">
        <v>#N/A Requesting Data...1492040088</v>
        <stp/>
        <stp>BDP|4317411476155067117</stp>
        <tr r="G417" s="2"/>
      </tp>
      <tp t="s">
        <v>#N/A Requesting Data...3545516891</v>
        <stp/>
        <stp>BDP|4817711845047025391</stp>
        <tr r="E364" s="2"/>
      </tp>
      <tp t="s">
        <v>#N/A Requesting Data...2821057162</v>
        <stp/>
        <stp>BDP|3386123165601701669</stp>
        <tr r="F14" s="2"/>
      </tp>
      <tp t="s">
        <v>#N/A Requesting Data...3857025406</v>
        <stp/>
        <stp>BDP|5254336683015676813</stp>
        <tr r="Z67" s="1"/>
      </tp>
      <tp t="s">
        <v>#N/A Requesting Data...2362428106</v>
        <stp/>
        <stp>BDP|8307260733759665357</stp>
        <tr r="H49" s="2"/>
      </tp>
      <tp t="s">
        <v>#N/A Requesting Data...1577952457</v>
        <stp/>
        <stp>BDP|37104990342483399</stp>
        <tr r="AA27" s="1"/>
      </tp>
      <tp t="s">
        <v>#N/A Requesting Data...1520250416</v>
        <stp/>
        <stp>BDP|53384591015504206</stp>
        <tr r="Z48" s="1"/>
      </tp>
      <tp t="s">
        <v>#N/A Requesting Data...1502328618</v>
        <stp/>
        <stp>BDP|28891151137008667</stp>
        <tr r="G226" s="2"/>
      </tp>
      <tp t="s">
        <v>#N/A Requesting Data...2651953865</v>
        <stp/>
        <stp>BDP|97335374160434898</stp>
        <tr r="G450" s="2"/>
      </tp>
      <tp t="s">
        <v>#N/A Requesting Data...592501262</v>
        <stp/>
        <stp>BDP|10757909259175141</stp>
        <tr r="Z85" s="1"/>
      </tp>
      <tp t="s">
        <v>#N/A Requesting Data...768789937</v>
        <stp/>
        <stp>BDP|26626454257008475</stp>
        <tr r="E351" s="2"/>
      </tp>
      <tp t="s">
        <v>#N/A Requesting Data...955414441</v>
        <stp/>
        <stp>BDP|43413961631405100</stp>
        <tr r="G331" s="2"/>
      </tp>
      <tp t="s">
        <v>#N/A Requesting Data...1244075544</v>
        <stp/>
        <stp>BDP|36643607025561761</stp>
        <tr r="F440" s="2"/>
      </tp>
      <tp t="s">
        <v>#N/A Requesting Data...1907548948</v>
        <stp/>
        <stp>BDP|46231783666301822</stp>
        <tr r="E20" s="2"/>
      </tp>
      <tp t="s">
        <v>#N/A Requesting Data...3151048931</v>
        <stp/>
        <stp>BDP|54045179628261878</stp>
        <tr r="G196" s="2"/>
      </tp>
      <tp t="s">
        <v>#N/A Requesting Data...1707778220</v>
        <stp/>
        <stp>BDP|88290401765722112</stp>
        <tr r="E237" s="2"/>
      </tp>
      <tp t="s">
        <v>#N/A Requesting Data...2577726979</v>
        <stp/>
        <stp>BDP|557731559754744358</stp>
        <tr r="H409" s="2"/>
      </tp>
      <tp t="s">
        <v>#N/A Requesting Data...448693563</v>
        <stp/>
        <stp>BDP|838570413330046117</stp>
        <tr r="E375" s="2"/>
      </tp>
      <tp t="s">
        <v>#N/A Requesting Data...1779545015</v>
        <stp/>
        <stp>BDP|989310701620582625</stp>
        <tr r="F521" s="2"/>
      </tp>
      <tp t="s">
        <v>#N/A Requesting Data...3758629952</v>
        <stp/>
        <stp>BDP|122470319901889195</stp>
        <tr r="F474" s="2"/>
      </tp>
      <tp t="s">
        <v>#N/A Requesting Data...723326495</v>
        <stp/>
        <stp>BDP|342558669414859261</stp>
        <tr r="F273" s="2"/>
      </tp>
      <tp t="s">
        <v>#N/A Requesting Data...1977910214</v>
        <stp/>
        <stp>BDP|258285989849058629</stp>
        <tr r="G203" s="2"/>
      </tp>
      <tp t="s">
        <v>#N/A Requesting Data...4080197792</v>
        <stp/>
        <stp>BDP|213408249477130285</stp>
        <tr r="E533" s="2"/>
      </tp>
      <tp t="s">
        <v>#N/A Requesting Data...3838273370</v>
        <stp/>
        <stp>BDP|797660206640329361</stp>
        <tr r="F547" s="2"/>
      </tp>
      <tp t="s">
        <v>#N/A Requesting Data...756689948</v>
        <stp/>
        <stp>BDP|698797560554931045</stp>
        <tr r="E544" s="2"/>
      </tp>
      <tp t="s">
        <v>#N/A Requesting Data...2134887900</v>
        <stp/>
        <stp>BDP|166862242848493133</stp>
        <tr r="F44" s="2"/>
      </tp>
      <tp t="s">
        <v>#N/A Requesting Data...2554596589</v>
        <stp/>
        <stp>BDP|357946218844272806</stp>
        <tr r="G130" s="2"/>
      </tp>
      <tp t="s">
        <v>#N/A Requesting Data...3261023301</v>
        <stp/>
        <stp>BDP|826669107131629328</stp>
        <tr r="G24" s="2"/>
      </tp>
      <tp t="s">
        <v>#N/A Requesting Data...440216213</v>
        <stp/>
        <stp>BDP|774173709801527437</stp>
        <tr r="H522" s="2"/>
      </tp>
      <tp t="s">
        <v>#N/A Requesting Data...1110519057</v>
        <stp/>
        <stp>BDP|470451890101888831</stp>
        <tr r="H406" s="2"/>
      </tp>
      <tp t="s">
        <v>#N/A Requesting Data...2849824776</v>
        <stp/>
        <stp>BDP|249974802994434995</stp>
        <tr r="G400" s="2"/>
      </tp>
      <tp t="s">
        <v>#N/A Requesting Data...3747927535</v>
        <stp/>
        <stp>BDP|642743269134723168</stp>
        <tr r="E534" s="2"/>
      </tp>
      <tp t="s">
        <v>#N/A Requesting Data...2270860294</v>
        <stp/>
        <stp>BDP|475847257829781067</stp>
        <tr r="H486" s="2"/>
      </tp>
      <tp t="s">
        <v>#N/A Requesting Data...3312700881</v>
        <stp/>
        <stp>BDP|293829682294471012</stp>
        <tr r="F419" s="2"/>
      </tp>
      <tp t="s">
        <v>#N/A Requesting Data...500000341</v>
        <stp/>
        <stp>BDP|331153129050708799</stp>
        <tr r="F526" s="2"/>
      </tp>
      <tp t="s">
        <v>#N/A Requesting Data...789055311</v>
        <stp/>
        <stp>BDP|860127663177875407</stp>
        <tr r="G92" s="2"/>
      </tp>
      <tp t="s">
        <v>#N/A Requesting Data...4140628471</v>
        <stp/>
        <stp>BDP|872676976814924126</stp>
        <tr r="E478" s="2"/>
      </tp>
      <tp t="s">
        <v>#N/A Requesting Data...2943853219</v>
        <stp/>
        <stp>BDP|819187302866763365</stp>
        <tr r="E87" s="2"/>
      </tp>
      <tp t="s">
        <v>#N/A Requesting Data...3370708238</v>
        <stp/>
        <stp>BDP|970293136400929639</stp>
        <tr r="F379" s="2"/>
      </tp>
      <tp t="s">
        <v>#N/A Requesting Data...4172614505</v>
        <stp/>
        <stp>BDP|111893592312339400</stp>
        <tr r="AA16" s="1"/>
      </tp>
      <tp t="s">
        <v>#N/A Requesting Data...1569025924</v>
        <stp/>
        <stp>BDP|186442247597143086</stp>
        <tr r="F570" s="2"/>
      </tp>
      <tp t="s">
        <v>#N/A Requesting Data...2738498173</v>
        <stp/>
        <stp>BDP|535859214129099733</stp>
        <tr r="F10" s="2"/>
      </tp>
      <tp t="s">
        <v>#N/A Requesting Data...3466774369</v>
        <stp/>
        <stp>BDP|755131572735144401</stp>
        <tr r="G116" s="2"/>
      </tp>
      <tp t="s">
        <v>#N/A Requesting Data...3764336698</v>
        <stp/>
        <stp>BDP|423435741192550509</stp>
        <tr r="F301" s="2"/>
      </tp>
      <tp t="s">
        <v>#N/A Requesting Data...1863954221</v>
        <stp/>
        <stp>BDP|818520824840804055</stp>
        <tr r="F40" s="2"/>
      </tp>
      <tp t="s">
        <v>#N/A Requesting Data...545299840</v>
        <stp/>
        <stp>BDP|728308913051097503</stp>
        <tr r="G109" s="2"/>
      </tp>
      <tp t="s">
        <v>#N/A Requesting Data...2885111343</v>
        <stp/>
        <stp>BDP|629739012921503176</stp>
        <tr r="F614" s="2"/>
      </tp>
      <tp t="s">
        <v>#N/A Requesting Data...3055582113</v>
        <stp/>
        <stp>BDP|557004913762887586</stp>
        <tr r="H150" s="2"/>
      </tp>
      <tp t="s">
        <v>#N/A Requesting Data...1281188268</v>
        <stp/>
        <stp>BDP|907501134908961823</stp>
        <tr r="H221" s="2"/>
      </tp>
      <tp t="s">
        <v>#N/A Requesting Data...3710665636</v>
        <stp/>
        <stp>BDP|346422477930280544</stp>
        <tr r="E222" s="2"/>
      </tp>
      <tp t="s">
        <v>#N/A Requesting Data...1991567887</v>
        <stp/>
        <stp>BDP|758908982680497733</stp>
        <tr r="G375" s="2"/>
      </tp>
      <tp t="s">
        <v>#N/A Requesting Data...3606229672</v>
        <stp/>
        <stp>BDP|714778000130084124</stp>
        <tr r="H508" s="2"/>
      </tp>
      <tp t="s">
        <v>#N/A Requesting Data...1626596313</v>
        <stp/>
        <stp>BDP|366419121356383634</stp>
        <tr r="G550" s="2"/>
      </tp>
      <tp t="s">
        <v>#N/A Requesting Data...2434357906</v>
        <stp/>
        <stp>BDP|580587700970602382</stp>
        <tr r="E119" s="2"/>
      </tp>
      <tp t="s">
        <v>#N/A Requesting Data...2187657709</v>
        <stp/>
        <stp>BDP|527098923340626359</stp>
        <tr r="F336" s="2"/>
      </tp>
      <tp t="s">
        <v>#N/A Requesting Data...1219918803</v>
        <stp/>
        <stp>BDP|457121561252901423</stp>
        <tr r="E190" s="2"/>
      </tp>
      <tp t="s">
        <v>#N/A Requesting Data...2221372520</v>
        <stp/>
        <stp>BDP|706062716354821462</stp>
        <tr r="F185" s="2"/>
      </tp>
      <tp t="s">
        <v>#N/A Requesting Data...3431716657</v>
        <stp/>
        <stp>BDP|839549479315468657</stp>
        <tr r="F486" s="2"/>
      </tp>
      <tp t="s">
        <v>#N/A Requesting Data...3108888737</v>
        <stp/>
        <stp>BDP|478942426512423875</stp>
        <tr r="E302" s="2"/>
      </tp>
      <tp t="s">
        <v>#N/A Requesting Data...2246420248</v>
        <stp/>
        <stp>BDP|217874860166310905</stp>
        <tr r="F35" s="2"/>
      </tp>
      <tp t="s">
        <v>#N/A Requesting Data...3152586162</v>
        <stp/>
        <stp>BDP|474713847406583471</stp>
        <tr r="F248" s="2"/>
      </tp>
      <tp t="s">
        <v>#N/A Requesting Data...3851127029</v>
        <stp/>
        <stp>BDP|730438608614801156</stp>
        <tr r="G427" s="2"/>
      </tp>
      <tp t="s">
        <v>#N/A Requesting Data...4259533605</v>
        <stp/>
        <stp>BDP|684438935440267635</stp>
        <tr r="H584" s="2"/>
      </tp>
      <tp t="s">
        <v>#N/A Requesting Data...2031008897</v>
        <stp/>
        <stp>BDP|394128773537480044</stp>
        <tr r="E94" s="2"/>
      </tp>
      <tp t="s">
        <v>#N/A Requesting Data...3722509833</v>
        <stp/>
        <stp>BDP|134273340320960616</stp>
        <tr r="E518" s="2"/>
      </tp>
      <tp t="s">
        <v>#N/A Requesting Data...3055865166</v>
        <stp/>
        <stp>BDP|808584757966641696</stp>
        <tr r="AA45" s="1"/>
      </tp>
      <tp t="s">
        <v>#N/A Requesting Data...1690872828</v>
        <stp/>
        <stp>BDP|805594132513355584</stp>
        <tr r="E161" s="2"/>
      </tp>
      <tp t="s">
        <v>#N/A Requesting Data...1222636356</v>
        <stp/>
        <stp>BDP|656739228517083273</stp>
        <tr r="H224" s="2"/>
      </tp>
      <tp t="s">
        <v>#N/A Requesting Data...874684510</v>
        <stp/>
        <stp>BDP|582903797083988312</stp>
        <tr r="H70" s="2"/>
      </tp>
      <tp t="s">
        <v>#N/A Requesting Data...3162177405</v>
        <stp/>
        <stp>BDP|560266730868970914</stp>
        <tr r="AA24" s="1"/>
      </tp>
      <tp t="s">
        <v>#N/A Requesting Data...2625404269</v>
        <stp/>
        <stp>BDP|540537954857265778</stp>
        <tr r="F281" s="2"/>
      </tp>
      <tp t="s">
        <v>#N/A Requesting Data...1278128895</v>
        <stp/>
        <stp>BDP|692144097140765821</stp>
        <tr r="G434" s="2"/>
      </tp>
      <tp t="s">
        <v>#N/A Requesting Data...4023341566</v>
        <stp/>
        <stp>BDP|541608685299967786</stp>
        <tr r="H241" s="2"/>
      </tp>
      <tp t="s">
        <v>#N/A Requesting Data...2660591059</v>
        <stp/>
        <stp>BDP|264462276454250721</stp>
        <tr r="G455" s="2"/>
      </tp>
      <tp t="s">
        <v>#N/A Requesting Data...2392259896</v>
        <stp/>
        <stp>BDP|625664433647520255</stp>
        <tr r="G192" s="2"/>
      </tp>
      <tp t="s">
        <v>#N/A Requesting Data...938402514</v>
        <stp/>
        <stp>BDP|646630824975437297</stp>
        <tr r="F582" s="2"/>
      </tp>
      <tp t="s">
        <v>#N/A Requesting Data...3537090472</v>
        <stp/>
        <stp>BDP|222560329005046131</stp>
        <tr r="G493" s="2"/>
      </tp>
      <tp t="s">
        <v>#N/A Requesting Data...592422044</v>
        <stp/>
        <stp>BDP|696582635017636245</stp>
        <tr r="F339" s="2"/>
      </tp>
      <tp t="s">
        <v>#N/A Requesting Data...2779490083</v>
        <stp/>
        <stp>BDP|878172220679913924</stp>
        <tr r="E357" s="2"/>
      </tp>
      <tp t="s">
        <v>#N/A Requesting Data...2096758498</v>
        <stp/>
        <stp>BDP|524870659209891746</stp>
        <tr r="E479" s="2"/>
      </tp>
      <tp t="s">
        <v>#N/A Requesting Data...2204359840</v>
        <stp/>
        <stp>BDP|693071862263118615</stp>
        <tr r="H63" s="2"/>
      </tp>
      <tp t="s">
        <v>#N/A Requesting Data...700190690</v>
        <stp/>
        <stp>BDP|723567980096730852</stp>
        <tr r="G598" s="2"/>
      </tp>
      <tp t="s">
        <v>#N/A Requesting Data...3701187817</v>
        <stp/>
        <stp>BDP|646705848186390738</stp>
        <tr r="E314" s="2"/>
      </tp>
      <tp t="s">
        <v>#N/A Requesting Data...2479015880</v>
        <stp/>
        <stp>BDP|924580553652810036</stp>
        <tr r="F341" s="2"/>
      </tp>
      <tp t="s">
        <v>#N/A Requesting Data...3584802432</v>
        <stp/>
        <stp>BDP|238812088293295135</stp>
        <tr r="F106" s="2"/>
      </tp>
      <tp t="s">
        <v>#N/A Requesting Data...3444477755</v>
        <stp/>
        <stp>BDP|765249172496704126</stp>
        <tr r="G596" s="2"/>
      </tp>
      <tp t="s">
        <v>#N/A Requesting Data...3686291538</v>
        <stp/>
        <stp>BDP|281174506510182365</stp>
        <tr r="H320" s="2"/>
      </tp>
      <tp t="s">
        <v>#N/A Requesting Data...1022259431</v>
        <stp/>
        <stp>BDP|712737165024184701</stp>
        <tr r="G69" s="2"/>
      </tp>
      <tp t="s">
        <v>#N/A Requesting Data...773444930</v>
        <stp/>
        <stp>BDP|469093030612497386</stp>
        <tr r="H153" s="2"/>
      </tp>
      <tp t="s">
        <v>#N/A Requesting Data...3769228212</v>
        <stp/>
        <stp>BDP|340580901961118952</stp>
        <tr r="H303" s="2"/>
      </tp>
      <tp t="s">
        <v>#N/A Requesting Data...2883668495</v>
        <stp/>
        <stp>BDP|336837654363260393</stp>
        <tr r="E617" s="2"/>
      </tp>
      <tp t="s">
        <v>#N/A Requesting Data...2483403560</v>
        <stp/>
        <stp>BDP|473780192026761513</stp>
        <tr r="G311" s="2"/>
      </tp>
      <tp t="s">
        <v>#N/A Requesting Data...1553858036</v>
        <stp/>
        <stp>BDP|735594221952004868</stp>
        <tr r="F340" s="2"/>
      </tp>
      <tp t="s">
        <v>#N/A Requesting Data...2230670897</v>
        <stp/>
        <stp>BDP|997511305100839801</stp>
        <tr r="H412" s="2"/>
      </tp>
      <tp t="s">
        <v>#N/A Requesting Data...1546044650</v>
        <stp/>
        <stp>BDP|485860696955005948</stp>
        <tr r="H436" s="2"/>
      </tp>
      <tp t="s">
        <v>#N/A Requesting Data...1853345539</v>
        <stp/>
        <stp>BDP|694561092333616256</stp>
        <tr r="H540" s="2"/>
      </tp>
      <tp t="s">
        <v>#N/A Requesting Data...3607927161</v>
        <stp/>
        <stp>BDP|819906501957095245</stp>
        <tr r="F494" s="2"/>
      </tp>
      <tp t="s">
        <v>#N/A Requesting Data...4255390713</v>
        <stp/>
        <stp>BDP|271666553949943661</stp>
        <tr r="F492" s="2"/>
      </tp>
      <tp t="s">
        <v>#N/A Requesting Data...1650502526</v>
        <stp/>
        <stp>BDP|976679456438759750</stp>
        <tr r="H467" s="2"/>
      </tp>
      <tp t="s">
        <v>#N/A Requesting Data...2501665098</v>
        <stp/>
        <stp>BDP|226640273718794560</stp>
        <tr r="H405" s="2"/>
      </tp>
      <tp t="s">
        <v>#N/A Requesting Data...3328920428</v>
        <stp/>
        <stp>BDP|549680408503535946</stp>
        <tr r="G56" s="2"/>
      </tp>
      <tp t="s">
        <v>#N/A Requesting Data...4184236469</v>
        <stp/>
        <stp>BDP|298465995405421408</stp>
        <tr r="E111" s="2"/>
      </tp>
      <tp t="s">
        <v>#N/A Requesting Data...2699475587</v>
        <stp/>
        <stp>BDP|362674383354263604</stp>
        <tr r="H244" s="2"/>
      </tp>
      <tp t="s">
        <v>#N/A Requesting Data...3128798958</v>
        <stp/>
        <stp>BDP|285242990242653573</stp>
        <tr r="G306" s="2"/>
      </tp>
      <tp t="s">
        <v>#N/A Requesting Data...3009191284</v>
        <stp/>
        <stp>BDP|463246327299147519</stp>
        <tr r="Z71" s="1"/>
      </tp>
      <tp t="s">
        <v>#N/A Requesting Data...2978019679</v>
        <stp/>
        <stp>BDP|852824150527377690</stp>
        <tr r="H450" s="2"/>
      </tp>
      <tp t="s">
        <v>#N/A Requesting Data...3149705607</v>
        <stp/>
        <stp>BDP|330047460139568332</stp>
        <tr r="G566" s="2"/>
      </tp>
      <tp t="s">
        <v>#N/A Requesting Data...2335595208</v>
        <stp/>
        <stp>BDP|108138898993953711</stp>
        <tr r="E555" s="2"/>
      </tp>
      <tp t="s">
        <v>#N/A Requesting Data...2164777383</v>
        <stp/>
        <stp>BDP|833743676287346860</stp>
        <tr r="AA84" s="1"/>
      </tp>
      <tp t="s">
        <v>#N/A Requesting Data...2866736180</v>
        <stp/>
        <stp>BDP|363890746537356476</stp>
        <tr r="G478" s="2"/>
      </tp>
      <tp t="s">
        <v>#N/A Requesting Data...3418393424</v>
        <stp/>
        <stp>BDP|432768328568279215</stp>
        <tr r="F370" s="2"/>
      </tp>
      <tp t="s">
        <v>#N/A Requesting Data...2587108894</v>
        <stp/>
        <stp>BDP|899751787155765591</stp>
        <tr r="H498" s="2"/>
      </tp>
      <tp t="s">
        <v>#N/A Requesting Data...3298279249</v>
        <stp/>
        <stp>BDP|620353922618500614</stp>
        <tr r="G32" s="2"/>
      </tp>
      <tp t="s">
        <v>#N/A Requesting Data...2324634437</v>
        <stp/>
        <stp>BDP|615694583603222288</stp>
        <tr r="E525" s="2"/>
      </tp>
      <tp t="s">
        <v>#N/A Requesting Data...2775974442</v>
        <stp/>
        <stp>BDP|326473320378126134</stp>
        <tr r="Z53" s="1"/>
      </tp>
      <tp t="s">
        <v>#N/A Requesting Data...1450117305</v>
        <stp/>
        <stp>BDP|508284771162773893</stp>
        <tr r="F457" s="2"/>
      </tp>
      <tp t="s">
        <v>#N/A Requesting Data...2409139530</v>
        <stp/>
        <stp>BDP|833737836212610993</stp>
        <tr r="G348" s="2"/>
      </tp>
      <tp t="s">
        <v>#N/A Requesting Data...1994678060</v>
        <stp/>
        <stp>BDP|955989223347826246</stp>
        <tr r="F157" s="2"/>
      </tp>
      <tp t="s">
        <v>#N/A Requesting Data...867279756</v>
        <stp/>
        <stp>BDP|499957821731781482</stp>
        <tr r="E448" s="2"/>
      </tp>
      <tp t="s">
        <v>#N/A Requesting Data...2140466061</v>
        <stp/>
        <stp>BDP|320222882014499024</stp>
        <tr r="G360" s="2"/>
      </tp>
      <tp t="s">
        <v>#N/A Requesting Data...2179509391</v>
        <stp/>
        <stp>BDP|742195282610607792</stp>
        <tr r="F451" s="2"/>
      </tp>
      <tp t="s">
        <v>#N/A Requesting Data...859953358</v>
        <stp/>
        <stp>BDP|862308476434796958</stp>
        <tr r="E221" s="2"/>
      </tp>
      <tp t="s">
        <v>#N/A Requesting Data...2986255413</v>
        <stp/>
        <stp>BDP|783286292531192341</stp>
        <tr r="G146" s="2"/>
      </tp>
      <tp t="s">
        <v>#N/A Requesting Data...4283164545</v>
        <stp/>
        <stp>BDP|247161790753328226</stp>
        <tr r="F401" s="2"/>
      </tp>
      <tp t="s">
        <v>#N/A Requesting Data...3587443878</v>
        <stp/>
        <stp>BDP|196336382854236646</stp>
        <tr r="G127" s="2"/>
      </tp>
      <tp t="s">
        <v>#N/A Requesting Data...3672875910</v>
        <stp/>
        <stp>BDP|393219368978235451</stp>
        <tr r="H139" s="2"/>
      </tp>
      <tp t="s">
        <v>#N/A Requesting Data...2591838583</v>
        <stp/>
        <stp>BDP|173962088630509948</stp>
        <tr r="E193" s="2"/>
      </tp>
      <tp t="s">
        <v>#N/A Requesting Data...1527140058</v>
        <stp/>
        <stp>BDP|556224538650566922</stp>
        <tr r="E241" s="2"/>
      </tp>
      <tp t="s">
        <v>#N/A Requesting Data...2082259664</v>
        <stp/>
        <stp>BDP|892001906119078170</stp>
        <tr r="F254" s="2"/>
      </tp>
      <tp t="s">
        <v>#N/A Requesting Data...3136473511</v>
        <stp/>
        <stp>BDP|345417951158875107</stp>
        <tr r="E156" s="2"/>
      </tp>
      <tp t="s">
        <v>#N/A Requesting Data...3827008431</v>
        <stp/>
        <stp>BDP|655762524284811980</stp>
        <tr r="G438" s="2"/>
      </tp>
      <tp t="s">
        <v>#N/A Requesting Data...2828685128</v>
        <stp/>
        <stp>BDP|230827077612703559</stp>
        <tr r="H610" s="2"/>
      </tp>
      <tp t="s">
        <v>#N/A Requesting Data...2869692799</v>
        <stp/>
        <stp>BDP|789942601998035932</stp>
        <tr r="Z20" s="1"/>
      </tp>
      <tp t="s">
        <v>#N/A Requesting Data...1733530303</v>
        <stp/>
        <stp>BDP|900028596012452036</stp>
        <tr r="G120" s="2"/>
      </tp>
      <tp t="s">
        <v>#N/A Requesting Data...1003188050</v>
        <stp/>
        <stp>BDP|987522405337085944</stp>
        <tr r="F421" s="2"/>
      </tp>
      <tp t="s">
        <v>#N/A Requesting Data...2993534893</v>
        <stp/>
        <stp>BDP|839864736580478077</stp>
        <tr r="G325" s="2"/>
      </tp>
      <tp t="s">
        <v>#N/A Requesting Data...2199356958</v>
        <stp/>
        <stp>BDP|643917779844842133</stp>
        <tr r="AA93" s="1"/>
      </tp>
      <tp t="s">
        <v>#N/A Requesting Data...2910895905</v>
        <stp/>
        <stp>BDP|608136280602073078</stp>
        <tr r="G265" s="2"/>
      </tp>
      <tp t="s">
        <v>#N/A Requesting Data...2917302503</v>
        <stp/>
        <stp>BDP|530729984731270537</stp>
        <tr r="AA105" s="1"/>
      </tp>
      <tp t="s">
        <v>#N/A Requesting Data...3359887352</v>
        <stp/>
        <stp>BDP|901824905337810441</stp>
        <tr r="E536" s="2"/>
      </tp>
      <tp t="s">
        <v>#N/A Requesting Data...3286220557</v>
        <stp/>
        <stp>BDP|985787504145048892</stp>
        <tr r="E282" s="2"/>
      </tp>
      <tp t="s">
        <v>#N/A Requesting Data...3159789765</v>
        <stp/>
        <stp>BDP|918832326189043917</stp>
        <tr r="H461" s="2"/>
      </tp>
      <tp t="s">
        <v>#N/A Requesting Data...2945366416</v>
        <stp/>
        <stp>BDP|510870618704262751</stp>
        <tr r="E604" s="2"/>
      </tp>
      <tp t="s">
        <v>#N/A Requesting Data...1634387893</v>
        <stp/>
        <stp>BDP|211789107268670504</stp>
        <tr r="G150" s="2"/>
      </tp>
      <tp t="s">
        <v>#N/A Requesting Data...1428832151</v>
        <stp/>
        <stp>BDP|917838248641362757</stp>
        <tr r="F255" s="2"/>
      </tp>
      <tp t="s">
        <v>#N/A Requesting Data...2086139443</v>
        <stp/>
        <stp>BDP|943871529021770153</stp>
        <tr r="H547" s="2"/>
      </tp>
      <tp t="s">
        <v>#N/A Requesting Data...1387625034</v>
        <stp/>
        <stp>BDP|137601867929955390</stp>
        <tr r="H336" s="2"/>
      </tp>
      <tp t="s">
        <v>#N/A Requesting Data...3111196718</v>
        <stp/>
        <stp>BDP|735510982733756450</stp>
        <tr r="H512" s="2"/>
      </tp>
      <tp t="s">
        <v>#N/A Requesting Data...3706372452</v>
        <stp/>
        <stp>BDP|195467073938092137</stp>
        <tr r="G349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6"/>
  <sheetViews>
    <sheetView tabSelected="1" topLeftCell="X1" workbookViewId="0">
      <selection activeCell="AI16" sqref="AI16"/>
    </sheetView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s="1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55</v>
      </c>
      <c r="N2" s="1" t="s">
        <v>55</v>
      </c>
      <c r="O2" s="1" t="s">
        <v>55</v>
      </c>
      <c r="P2" s="1" t="s">
        <v>55</v>
      </c>
      <c r="Q2" s="1" t="s">
        <v>55</v>
      </c>
      <c r="R2" s="1" t="s">
        <v>55</v>
      </c>
      <c r="S2" s="1" t="s">
        <v>55</v>
      </c>
      <c r="T2" s="1" t="s">
        <v>55</v>
      </c>
      <c r="U2" s="1" t="s">
        <v>55</v>
      </c>
      <c r="V2" s="1" t="s">
        <v>55</v>
      </c>
      <c r="W2" s="1" t="s">
        <v>55</v>
      </c>
      <c r="X2" s="1" t="s">
        <v>55</v>
      </c>
      <c r="Y2" s="1" t="s">
        <v>50</v>
      </c>
      <c r="Z2" t="str">
        <f>_xll.BDP($B2,"CUST_TRR_RETURN_HOLDING_PER","CUST_TRR_START_DT","20260401","CUST_TRR_END_DT","20260430","CUST_TRR_CRNCY","USD")</f>
        <v>#N/A N/A</v>
      </c>
      <c r="AA2" t="str">
        <f>_xll.BDP($B2,"CUST_TRR_RETURN_HOLDING_PER","CUST_TRR_START_DT","20260501","CUST_TRR_END_DT","20260531","CUST_TRR_CRNCY","USD")</f>
        <v>#N/A N/A</v>
      </c>
      <c r="AB2">
        <f>_xll.BDP($B2,"CUST_TRR_RETURN_HOLDING_PER","CUST_TRR_START_DT","20260601","CUST_TRR_END_DT","20260630","CUST_TRR_CRNCY","USD")</f>
        <v>21.600840000000002</v>
      </c>
      <c r="AC2" s="1" t="s">
        <v>56</v>
      </c>
      <c r="AD2" s="1" t="s">
        <v>56</v>
      </c>
      <c r="AE2" s="1" t="s">
        <v>56</v>
      </c>
      <c r="AF2" s="1" t="s">
        <v>56</v>
      </c>
      <c r="AG2" s="1" t="s">
        <v>56</v>
      </c>
      <c r="AH2" s="1" t="s">
        <v>56</v>
      </c>
      <c r="AI2" s="1" t="s">
        <v>57</v>
      </c>
      <c r="AJ2" s="1" t="s">
        <v>57</v>
      </c>
      <c r="AK2" s="1" t="s">
        <v>56</v>
      </c>
      <c r="AL2" s="1" t="s">
        <v>57</v>
      </c>
      <c r="AM2" s="1" t="s">
        <v>57</v>
      </c>
      <c r="AN2" s="1" t="s">
        <v>56</v>
      </c>
      <c r="AO2" s="1" t="s">
        <v>58</v>
      </c>
      <c r="AP2" s="1" t="s">
        <v>57</v>
      </c>
      <c r="AQ2" s="1" t="s">
        <v>56</v>
      </c>
      <c r="AR2" s="1" t="s">
        <v>59</v>
      </c>
      <c r="AS2" s="1" t="s">
        <v>60</v>
      </c>
    </row>
    <row r="3" spans="1:45" x14ac:dyDescent="0.25">
      <c r="A3" s="1" t="s">
        <v>61</v>
      </c>
      <c r="B3" s="1" t="s">
        <v>62</v>
      </c>
      <c r="C3" s="1" t="s">
        <v>47</v>
      </c>
      <c r="D3" s="1" t="s">
        <v>48</v>
      </c>
      <c r="E3" s="1" t="s">
        <v>49</v>
      </c>
      <c r="F3" s="1" t="s">
        <v>49</v>
      </c>
      <c r="G3" s="1" t="s">
        <v>50</v>
      </c>
      <c r="H3" s="1" t="s">
        <v>51</v>
      </c>
      <c r="I3" s="1" t="s">
        <v>63</v>
      </c>
      <c r="J3" s="1" t="s">
        <v>64</v>
      </c>
      <c r="K3" s="1" t="s">
        <v>65</v>
      </c>
      <c r="L3" s="1" t="s">
        <v>55</v>
      </c>
      <c r="M3" s="1" t="s">
        <v>55</v>
      </c>
      <c r="N3" s="1" t="s">
        <v>55</v>
      </c>
      <c r="O3" s="1" t="s">
        <v>55</v>
      </c>
      <c r="P3" s="1" t="s">
        <v>55</v>
      </c>
      <c r="Q3" s="1" t="s">
        <v>55</v>
      </c>
      <c r="R3" s="1" t="s">
        <v>55</v>
      </c>
      <c r="S3" s="1" t="s">
        <v>55</v>
      </c>
      <c r="T3" s="1" t="s">
        <v>55</v>
      </c>
      <c r="U3" s="1" t="s">
        <v>55</v>
      </c>
      <c r="V3" s="1" t="s">
        <v>55</v>
      </c>
      <c r="W3" s="1" t="s">
        <v>55</v>
      </c>
      <c r="X3" s="1" t="s">
        <v>55</v>
      </c>
      <c r="Y3" s="1" t="s">
        <v>50</v>
      </c>
      <c r="Z3" t="str">
        <f>_xll.BDP($B3,"CUST_TRR_RETURN_HOLDING_PER","CUST_TRR_START_DT","20260401","CUST_TRR_END_DT","20260430","CUST_TRR_CRNCY","USD")</f>
        <v>#N/A N/A</v>
      </c>
      <c r="AA3" t="str">
        <f>_xll.BDP($B3,"CUST_TRR_RETURN_HOLDING_PER","CUST_TRR_START_DT","20260501","CUST_TRR_END_DT","20260531","CUST_TRR_CRNCY","USD")</f>
        <v>#N/A N/A</v>
      </c>
      <c r="AB3">
        <f>_xll.BDP($B3,"CUST_TRR_RETURN_HOLDING_PER","CUST_TRR_START_DT","20260601","CUST_TRR_END_DT","20260630","CUST_TRR_CRNCY","USD")</f>
        <v>49.968490000000003</v>
      </c>
      <c r="AC3" s="1" t="s">
        <v>56</v>
      </c>
      <c r="AD3" s="1" t="s">
        <v>56</v>
      </c>
      <c r="AE3" s="1" t="s">
        <v>56</v>
      </c>
      <c r="AF3" s="1" t="s">
        <v>56</v>
      </c>
      <c r="AG3" s="1" t="s">
        <v>56</v>
      </c>
      <c r="AH3" s="1" t="s">
        <v>56</v>
      </c>
      <c r="AI3" s="1" t="s">
        <v>57</v>
      </c>
      <c r="AJ3" s="1" t="s">
        <v>57</v>
      </c>
      <c r="AK3" s="1" t="s">
        <v>56</v>
      </c>
      <c r="AL3" s="1" t="s">
        <v>57</v>
      </c>
      <c r="AM3" s="1" t="s">
        <v>57</v>
      </c>
      <c r="AN3" s="1" t="s">
        <v>56</v>
      </c>
      <c r="AO3" s="1" t="s">
        <v>58</v>
      </c>
      <c r="AP3" s="1" t="s">
        <v>57</v>
      </c>
      <c r="AQ3" s="1" t="s">
        <v>56</v>
      </c>
      <c r="AR3" s="1" t="s">
        <v>59</v>
      </c>
      <c r="AS3" s="1" t="s">
        <v>60</v>
      </c>
    </row>
    <row r="4" spans="1:45" x14ac:dyDescent="0.25">
      <c r="A4" s="1" t="s">
        <v>66</v>
      </c>
      <c r="B4" s="1" t="s">
        <v>67</v>
      </c>
      <c r="C4" s="1" t="s">
        <v>47</v>
      </c>
      <c r="D4" s="1" t="s">
        <v>48</v>
      </c>
      <c r="E4" s="1" t="s">
        <v>49</v>
      </c>
      <c r="F4" s="1" t="s">
        <v>49</v>
      </c>
      <c r="G4" s="1" t="s">
        <v>50</v>
      </c>
      <c r="H4" s="1" t="s">
        <v>51</v>
      </c>
      <c r="I4" s="1" t="s">
        <v>68</v>
      </c>
      <c r="J4" s="1" t="s">
        <v>57</v>
      </c>
      <c r="K4" s="1" t="s">
        <v>68</v>
      </c>
      <c r="L4" s="1" t="s">
        <v>55</v>
      </c>
      <c r="M4" s="1" t="s">
        <v>55</v>
      </c>
      <c r="N4" s="1" t="s">
        <v>55</v>
      </c>
      <c r="O4" s="1" t="s">
        <v>55</v>
      </c>
      <c r="P4" s="1" t="s">
        <v>55</v>
      </c>
      <c r="Q4" s="1" t="s">
        <v>55</v>
      </c>
      <c r="R4" s="1" t="s">
        <v>55</v>
      </c>
      <c r="S4" s="1" t="s">
        <v>55</v>
      </c>
      <c r="T4" s="1" t="s">
        <v>55</v>
      </c>
      <c r="U4" s="1" t="s">
        <v>55</v>
      </c>
      <c r="V4" s="1" t="s">
        <v>55</v>
      </c>
      <c r="W4" s="1" t="s">
        <v>55</v>
      </c>
      <c r="X4" s="1" t="s">
        <v>55</v>
      </c>
      <c r="Y4" s="1" t="s">
        <v>50</v>
      </c>
      <c r="Z4" t="str">
        <f>_xll.BDP($B4,"CUST_TRR_RETURN_HOLDING_PER","CUST_TRR_START_DT","20260401","CUST_TRR_END_DT","20260430","CUST_TRR_CRNCY","USD")</f>
        <v>#N/A N/A</v>
      </c>
      <c r="AA4">
        <f>_xll.BDP($B4,"CUST_TRR_RETURN_HOLDING_PER","CUST_TRR_START_DT","20260501","CUST_TRR_END_DT","20260531","CUST_TRR_CRNCY","USD")</f>
        <v>2.897745</v>
      </c>
      <c r="AB4">
        <f>_xll.BDP($B4,"CUST_TRR_RETURN_HOLDING_PER","CUST_TRR_START_DT","20260601","CUST_TRR_END_DT","20260630","CUST_TRR_CRNCY","USD")</f>
        <v>7.5441140000000004</v>
      </c>
      <c r="AC4" s="1" t="s">
        <v>56</v>
      </c>
      <c r="AD4" s="1" t="s">
        <v>56</v>
      </c>
      <c r="AE4" s="1" t="s">
        <v>56</v>
      </c>
      <c r="AF4" s="1" t="s">
        <v>56</v>
      </c>
      <c r="AG4" s="1" t="s">
        <v>56</v>
      </c>
      <c r="AH4" s="1" t="s">
        <v>56</v>
      </c>
      <c r="AI4" s="1" t="s">
        <v>57</v>
      </c>
      <c r="AJ4" s="1" t="s">
        <v>57</v>
      </c>
      <c r="AK4" s="1" t="s">
        <v>56</v>
      </c>
      <c r="AL4" s="1" t="s">
        <v>69</v>
      </c>
      <c r="AM4" s="1" t="s">
        <v>57</v>
      </c>
      <c r="AN4" s="1" t="s">
        <v>56</v>
      </c>
      <c r="AO4" s="1" t="s">
        <v>57</v>
      </c>
      <c r="AP4" s="1" t="s">
        <v>57</v>
      </c>
      <c r="AQ4" s="1" t="s">
        <v>56</v>
      </c>
      <c r="AR4" s="1" t="s">
        <v>59</v>
      </c>
      <c r="AS4" s="1" t="s">
        <v>60</v>
      </c>
    </row>
    <row r="5" spans="1:45" x14ac:dyDescent="0.25">
      <c r="A5" s="1" t="s">
        <v>70</v>
      </c>
      <c r="B5" s="1" t="s">
        <v>71</v>
      </c>
      <c r="C5" s="1" t="s">
        <v>47</v>
      </c>
      <c r="D5" s="1" t="s">
        <v>48</v>
      </c>
      <c r="E5" s="1" t="s">
        <v>49</v>
      </c>
      <c r="F5" s="1" t="s">
        <v>49</v>
      </c>
      <c r="G5" s="1" t="s">
        <v>50</v>
      </c>
      <c r="H5" s="1" t="s">
        <v>51</v>
      </c>
      <c r="I5" s="1" t="s">
        <v>72</v>
      </c>
      <c r="J5" s="1" t="s">
        <v>57</v>
      </c>
      <c r="K5" s="1" t="s">
        <v>72</v>
      </c>
      <c r="L5" s="1" t="s">
        <v>55</v>
      </c>
      <c r="M5" s="1" t="s">
        <v>55</v>
      </c>
      <c r="N5" s="1" t="s">
        <v>55</v>
      </c>
      <c r="O5" s="1" t="s">
        <v>55</v>
      </c>
      <c r="P5" s="1" t="s">
        <v>55</v>
      </c>
      <c r="Q5" s="1" t="s">
        <v>55</v>
      </c>
      <c r="R5" s="1" t="s">
        <v>55</v>
      </c>
      <c r="S5" s="1" t="s">
        <v>55</v>
      </c>
      <c r="T5" s="1" t="s">
        <v>55</v>
      </c>
      <c r="U5" s="1" t="s">
        <v>55</v>
      </c>
      <c r="V5" s="1" t="s">
        <v>55</v>
      </c>
      <c r="W5" s="1" t="s">
        <v>55</v>
      </c>
      <c r="X5" s="1" t="s">
        <v>55</v>
      </c>
      <c r="Y5" s="1" t="s">
        <v>50</v>
      </c>
      <c r="Z5" t="str">
        <f>_xll.BDP($B5,"CUST_TRR_RETURN_HOLDING_PER","CUST_TRR_START_DT","20260401","CUST_TRR_END_DT","20260430","CUST_TRR_CRNCY","USD")</f>
        <v>#N/A N/A</v>
      </c>
      <c r="AA5">
        <f>_xll.BDP($B5,"CUST_TRR_RETURN_HOLDING_PER","CUST_TRR_START_DT","20260501","CUST_TRR_END_DT","20260531","CUST_TRR_CRNCY","USD")</f>
        <v>8.4756689999999999</v>
      </c>
      <c r="AB5">
        <f>_xll.BDP($B5,"CUST_TRR_RETURN_HOLDING_PER","CUST_TRR_START_DT","20260601","CUST_TRR_END_DT","20260630","CUST_TRR_CRNCY","USD")</f>
        <v>-1.703813</v>
      </c>
      <c r="AC5" s="1" t="s">
        <v>56</v>
      </c>
      <c r="AD5" s="1" t="s">
        <v>56</v>
      </c>
      <c r="AE5" s="1" t="s">
        <v>56</v>
      </c>
      <c r="AF5" s="1" t="s">
        <v>56</v>
      </c>
      <c r="AG5" s="1" t="s">
        <v>56</v>
      </c>
      <c r="AH5" s="1" t="s">
        <v>56</v>
      </c>
      <c r="AI5" s="1" t="s">
        <v>57</v>
      </c>
      <c r="AJ5" s="1" t="s">
        <v>57</v>
      </c>
      <c r="AK5" s="1" t="s">
        <v>56</v>
      </c>
      <c r="AL5" s="1" t="s">
        <v>73</v>
      </c>
      <c r="AM5" s="1" t="s">
        <v>57</v>
      </c>
      <c r="AN5" s="1" t="s">
        <v>56</v>
      </c>
      <c r="AO5" s="1" t="s">
        <v>57</v>
      </c>
      <c r="AP5" s="1" t="s">
        <v>57</v>
      </c>
      <c r="AQ5" s="1" t="s">
        <v>56</v>
      </c>
      <c r="AR5" s="1" t="s">
        <v>59</v>
      </c>
      <c r="AS5" s="1" t="s">
        <v>60</v>
      </c>
    </row>
    <row r="6" spans="1:45" x14ac:dyDescent="0.25">
      <c r="A6" s="1" t="s">
        <v>74</v>
      </c>
      <c r="B6" s="1" t="s">
        <v>75</v>
      </c>
      <c r="C6" s="1" t="s">
        <v>47</v>
      </c>
      <c r="D6" s="1" t="s">
        <v>48</v>
      </c>
      <c r="E6" s="1" t="s">
        <v>49</v>
      </c>
      <c r="F6" s="1" t="s">
        <v>49</v>
      </c>
      <c r="G6" s="1" t="s">
        <v>50</v>
      </c>
      <c r="H6" s="1" t="s">
        <v>51</v>
      </c>
      <c r="I6" s="1" t="s">
        <v>76</v>
      </c>
      <c r="J6" s="1" t="s">
        <v>57</v>
      </c>
      <c r="K6" s="1" t="s">
        <v>76</v>
      </c>
      <c r="L6" s="1" t="s">
        <v>55</v>
      </c>
      <c r="M6" s="1" t="s">
        <v>55</v>
      </c>
      <c r="N6" s="1" t="s">
        <v>55</v>
      </c>
      <c r="O6" s="1" t="s">
        <v>55</v>
      </c>
      <c r="P6" s="1" t="s">
        <v>55</v>
      </c>
      <c r="Q6" s="1" t="s">
        <v>55</v>
      </c>
      <c r="R6" s="1" t="s">
        <v>55</v>
      </c>
      <c r="S6" s="1" t="s">
        <v>55</v>
      </c>
      <c r="T6" s="1" t="s">
        <v>55</v>
      </c>
      <c r="U6" s="1" t="s">
        <v>55</v>
      </c>
      <c r="V6" s="1" t="s">
        <v>55</v>
      </c>
      <c r="W6" s="1" t="s">
        <v>55</v>
      </c>
      <c r="X6" s="1" t="s">
        <v>55</v>
      </c>
      <c r="Y6" s="1" t="s">
        <v>50</v>
      </c>
      <c r="Z6" t="str">
        <f>_xll.BDP($B6,"CUST_TRR_RETURN_HOLDING_PER","CUST_TRR_START_DT","20260401","CUST_TRR_END_DT","20260430","CUST_TRR_CRNCY","USD")</f>
        <v>#N/A N/A</v>
      </c>
      <c r="AA6">
        <f>_xll.BDP($B6,"CUST_TRR_RETURN_HOLDING_PER","CUST_TRR_START_DT","20260501","CUST_TRR_END_DT","20260531","CUST_TRR_CRNCY","USD")</f>
        <v>0.54172560000000003</v>
      </c>
      <c r="AB6">
        <f>_xll.BDP($B6,"CUST_TRR_RETURN_HOLDING_PER","CUST_TRR_START_DT","20260601","CUST_TRR_END_DT","20260630","CUST_TRR_CRNCY","USD")</f>
        <v>-12.15518</v>
      </c>
      <c r="AC6" s="1" t="s">
        <v>56</v>
      </c>
      <c r="AD6" s="1" t="s">
        <v>56</v>
      </c>
      <c r="AE6" s="1" t="s">
        <v>56</v>
      </c>
      <c r="AF6" s="1" t="s">
        <v>56</v>
      </c>
      <c r="AG6" s="1" t="s">
        <v>56</v>
      </c>
      <c r="AH6" s="1" t="s">
        <v>56</v>
      </c>
      <c r="AI6" s="1" t="s">
        <v>57</v>
      </c>
      <c r="AJ6" s="1" t="s">
        <v>57</v>
      </c>
      <c r="AK6" s="1" t="s">
        <v>56</v>
      </c>
      <c r="AL6" s="1" t="s">
        <v>77</v>
      </c>
      <c r="AM6" s="1" t="s">
        <v>57</v>
      </c>
      <c r="AN6" s="1" t="s">
        <v>56</v>
      </c>
      <c r="AO6" s="1" t="s">
        <v>57</v>
      </c>
      <c r="AP6" s="1" t="s">
        <v>57</v>
      </c>
      <c r="AQ6" s="1" t="s">
        <v>56</v>
      </c>
      <c r="AR6" s="1" t="s">
        <v>59</v>
      </c>
      <c r="AS6" s="1" t="s">
        <v>60</v>
      </c>
    </row>
    <row r="7" spans="1:45" x14ac:dyDescent="0.25">
      <c r="A7" s="1" t="s">
        <v>78</v>
      </c>
      <c r="B7" s="1" t="s">
        <v>79</v>
      </c>
      <c r="C7" s="1" t="s">
        <v>47</v>
      </c>
      <c r="D7" s="1" t="s">
        <v>48</v>
      </c>
      <c r="E7" s="1" t="s">
        <v>49</v>
      </c>
      <c r="F7" s="1" t="s">
        <v>49</v>
      </c>
      <c r="G7" s="1" t="s">
        <v>50</v>
      </c>
      <c r="H7" s="1" t="s">
        <v>51</v>
      </c>
      <c r="I7" s="1" t="s">
        <v>80</v>
      </c>
      <c r="J7" s="1" t="s">
        <v>57</v>
      </c>
      <c r="K7" s="1" t="s">
        <v>80</v>
      </c>
      <c r="L7" s="1" t="s">
        <v>55</v>
      </c>
      <c r="M7" s="1" t="s">
        <v>55</v>
      </c>
      <c r="N7" s="1" t="s">
        <v>55</v>
      </c>
      <c r="O7" s="1" t="s">
        <v>55</v>
      </c>
      <c r="P7" s="1" t="s">
        <v>55</v>
      </c>
      <c r="Q7" s="1" t="s">
        <v>55</v>
      </c>
      <c r="R7" s="1" t="s">
        <v>55</v>
      </c>
      <c r="S7" s="1" t="s">
        <v>55</v>
      </c>
      <c r="T7" s="1" t="s">
        <v>55</v>
      </c>
      <c r="U7" s="1" t="s">
        <v>55</v>
      </c>
      <c r="V7" s="1" t="s">
        <v>55</v>
      </c>
      <c r="W7" s="1" t="s">
        <v>55</v>
      </c>
      <c r="X7" s="1" t="s">
        <v>55</v>
      </c>
      <c r="Y7" s="1" t="s">
        <v>50</v>
      </c>
      <c r="Z7" t="str">
        <f>_xll.BDP($B7,"CUST_TRR_RETURN_HOLDING_PER","CUST_TRR_START_DT","20260401","CUST_TRR_END_DT","20260430","CUST_TRR_CRNCY","USD")</f>
        <v>#N/A N/A</v>
      </c>
      <c r="AA7">
        <f>_xll.BDP($B7,"CUST_TRR_RETURN_HOLDING_PER","CUST_TRR_START_DT","20260501","CUST_TRR_END_DT","20260531","CUST_TRR_CRNCY","USD")</f>
        <v>3.4001070000000002</v>
      </c>
      <c r="AB7">
        <f>_xll.BDP($B7,"CUST_TRR_RETURN_HOLDING_PER","CUST_TRR_START_DT","20260601","CUST_TRR_END_DT","20260630","CUST_TRR_CRNCY","USD")</f>
        <v>3.8116810000000001</v>
      </c>
      <c r="AC7" s="1" t="s">
        <v>56</v>
      </c>
      <c r="AD7" s="1" t="s">
        <v>56</v>
      </c>
      <c r="AE7" s="1" t="s">
        <v>56</v>
      </c>
      <c r="AF7" s="1" t="s">
        <v>56</v>
      </c>
      <c r="AG7" s="1" t="s">
        <v>56</v>
      </c>
      <c r="AH7" s="1" t="s">
        <v>56</v>
      </c>
      <c r="AI7" s="1" t="s">
        <v>57</v>
      </c>
      <c r="AJ7" s="1" t="s">
        <v>57</v>
      </c>
      <c r="AK7" s="1" t="s">
        <v>56</v>
      </c>
      <c r="AL7" s="1" t="s">
        <v>81</v>
      </c>
      <c r="AM7" s="1" t="s">
        <v>57</v>
      </c>
      <c r="AN7" s="1" t="s">
        <v>56</v>
      </c>
      <c r="AO7" s="1" t="s">
        <v>57</v>
      </c>
      <c r="AP7" s="1" t="s">
        <v>57</v>
      </c>
      <c r="AQ7" s="1" t="s">
        <v>56</v>
      </c>
      <c r="AR7" s="1" t="s">
        <v>59</v>
      </c>
      <c r="AS7" s="1" t="s">
        <v>60</v>
      </c>
    </row>
    <row r="8" spans="1:45" x14ac:dyDescent="0.25">
      <c r="A8" s="1" t="s">
        <v>82</v>
      </c>
      <c r="B8" s="1" t="s">
        <v>83</v>
      </c>
      <c r="C8" s="1" t="s">
        <v>47</v>
      </c>
      <c r="D8" s="1" t="s">
        <v>48</v>
      </c>
      <c r="E8" s="1" t="s">
        <v>49</v>
      </c>
      <c r="F8" s="1" t="s">
        <v>49</v>
      </c>
      <c r="G8" s="1" t="s">
        <v>50</v>
      </c>
      <c r="H8" s="1" t="s">
        <v>51</v>
      </c>
      <c r="I8" s="1" t="s">
        <v>84</v>
      </c>
      <c r="J8" s="1" t="s">
        <v>85</v>
      </c>
      <c r="K8" s="1" t="s">
        <v>86</v>
      </c>
      <c r="L8" s="1" t="s">
        <v>55</v>
      </c>
      <c r="M8" s="1" t="s">
        <v>55</v>
      </c>
      <c r="N8" s="1" t="s">
        <v>55</v>
      </c>
      <c r="O8" s="1" t="s">
        <v>55</v>
      </c>
      <c r="P8" s="1" t="s">
        <v>55</v>
      </c>
      <c r="Q8" s="1" t="s">
        <v>55</v>
      </c>
      <c r="R8" s="1" t="s">
        <v>55</v>
      </c>
      <c r="S8" s="1" t="s">
        <v>55</v>
      </c>
      <c r="T8" s="1" t="s">
        <v>55</v>
      </c>
      <c r="U8" s="1" t="s">
        <v>55</v>
      </c>
      <c r="V8" s="1" t="s">
        <v>55</v>
      </c>
      <c r="W8" s="1" t="s">
        <v>55</v>
      </c>
      <c r="X8" s="1" t="s">
        <v>55</v>
      </c>
      <c r="Y8" s="1" t="s">
        <v>50</v>
      </c>
      <c r="Z8" t="str">
        <f>_xll.BDP($B8,"CUST_TRR_RETURN_HOLDING_PER","CUST_TRR_START_DT","20260401","CUST_TRR_END_DT","20260430","CUST_TRR_CRNCY","USD")</f>
        <v>#N/A N/A</v>
      </c>
      <c r="AA8" t="str">
        <f>_xll.BDP($B8,"CUST_TRR_RETURN_HOLDING_PER","CUST_TRR_START_DT","20260501","CUST_TRR_END_DT","20260531","CUST_TRR_CRNCY","USD")</f>
        <v>#N/A N/A</v>
      </c>
      <c r="AB8">
        <f>_xll.BDP($B8,"CUST_TRR_RETURN_HOLDING_PER","CUST_TRR_START_DT","20260601","CUST_TRR_END_DT","20260630","CUST_TRR_CRNCY","USD")</f>
        <v>0.49029869999999998</v>
      </c>
      <c r="AC8" s="1" t="s">
        <v>56</v>
      </c>
      <c r="AD8" s="1" t="s">
        <v>56</v>
      </c>
      <c r="AE8" s="1" t="s">
        <v>56</v>
      </c>
      <c r="AF8" s="1" t="s">
        <v>56</v>
      </c>
      <c r="AG8" s="1" t="s">
        <v>56</v>
      </c>
      <c r="AH8" s="1" t="s">
        <v>56</v>
      </c>
      <c r="AI8" s="1" t="s">
        <v>57</v>
      </c>
      <c r="AJ8" s="1" t="s">
        <v>57</v>
      </c>
      <c r="AK8" s="1" t="s">
        <v>56</v>
      </c>
      <c r="AL8" s="1" t="s">
        <v>57</v>
      </c>
      <c r="AM8" s="1" t="s">
        <v>57</v>
      </c>
      <c r="AN8" s="1" t="s">
        <v>56</v>
      </c>
      <c r="AO8" s="1" t="s">
        <v>87</v>
      </c>
      <c r="AP8" s="1" t="s">
        <v>88</v>
      </c>
      <c r="AQ8" s="1" t="s">
        <v>56</v>
      </c>
      <c r="AR8" s="1" t="s">
        <v>89</v>
      </c>
      <c r="AS8" s="1" t="s">
        <v>90</v>
      </c>
    </row>
    <row r="9" spans="1:45" x14ac:dyDescent="0.25">
      <c r="A9" s="1" t="s">
        <v>91</v>
      </c>
      <c r="B9" s="1" t="s">
        <v>92</v>
      </c>
      <c r="C9" s="1" t="s">
        <v>47</v>
      </c>
      <c r="D9" s="1" t="s">
        <v>48</v>
      </c>
      <c r="E9" s="1" t="s">
        <v>49</v>
      </c>
      <c r="F9" s="1" t="s">
        <v>49</v>
      </c>
      <c r="G9" s="1" t="s">
        <v>50</v>
      </c>
      <c r="H9" s="1" t="s">
        <v>51</v>
      </c>
      <c r="I9" s="1" t="s">
        <v>93</v>
      </c>
      <c r="J9" s="1" t="s">
        <v>57</v>
      </c>
      <c r="K9" s="1" t="s">
        <v>93</v>
      </c>
      <c r="L9" s="1" t="s">
        <v>55</v>
      </c>
      <c r="M9" s="1" t="s">
        <v>55</v>
      </c>
      <c r="N9" s="1" t="s">
        <v>55</v>
      </c>
      <c r="O9" s="1" t="s">
        <v>55</v>
      </c>
      <c r="P9" s="1" t="s">
        <v>55</v>
      </c>
      <c r="Q9" s="1" t="s">
        <v>55</v>
      </c>
      <c r="R9" s="1" t="s">
        <v>55</v>
      </c>
      <c r="S9" s="1" t="s">
        <v>55</v>
      </c>
      <c r="T9" s="1" t="s">
        <v>55</v>
      </c>
      <c r="U9" s="1" t="s">
        <v>55</v>
      </c>
      <c r="V9" s="1" t="s">
        <v>55</v>
      </c>
      <c r="W9" s="1" t="s">
        <v>55</v>
      </c>
      <c r="X9" s="1" t="s">
        <v>55</v>
      </c>
      <c r="Y9" s="1" t="s">
        <v>50</v>
      </c>
      <c r="Z9" t="str">
        <f>_xll.BDP($B9,"CUST_TRR_RETURN_HOLDING_PER","CUST_TRR_START_DT","20260401","CUST_TRR_END_DT","20260430","CUST_TRR_CRNCY","USD")</f>
        <v>#N/A N/A</v>
      </c>
      <c r="AA9">
        <f>_xll.BDP($B9,"CUST_TRR_RETURN_HOLDING_PER","CUST_TRR_START_DT","20260501","CUST_TRR_END_DT","20260531","CUST_TRR_CRNCY","USD")</f>
        <v>14.46884</v>
      </c>
      <c r="AB9">
        <f>_xll.BDP($B9,"CUST_TRR_RETURN_HOLDING_PER","CUST_TRR_START_DT","20260601","CUST_TRR_END_DT","20260630","CUST_TRR_CRNCY","USD")</f>
        <v>-12.982089999999999</v>
      </c>
      <c r="AC9" s="1" t="s">
        <v>56</v>
      </c>
      <c r="AD9" s="1" t="s">
        <v>56</v>
      </c>
      <c r="AE9" s="1" t="s">
        <v>56</v>
      </c>
      <c r="AF9" s="1" t="s">
        <v>56</v>
      </c>
      <c r="AG9" s="1" t="s">
        <v>56</v>
      </c>
      <c r="AH9" s="1" t="s">
        <v>56</v>
      </c>
      <c r="AI9" s="1" t="s">
        <v>57</v>
      </c>
      <c r="AJ9" s="1" t="s">
        <v>57</v>
      </c>
      <c r="AK9" s="1" t="s">
        <v>56</v>
      </c>
      <c r="AL9" s="1" t="s">
        <v>94</v>
      </c>
      <c r="AM9" s="1" t="s">
        <v>57</v>
      </c>
      <c r="AN9" s="1" t="s">
        <v>56</v>
      </c>
      <c r="AO9" s="1" t="s">
        <v>95</v>
      </c>
      <c r="AP9" s="1" t="s">
        <v>57</v>
      </c>
      <c r="AQ9" s="1" t="s">
        <v>56</v>
      </c>
      <c r="AR9" s="1" t="s">
        <v>59</v>
      </c>
      <c r="AS9" s="1" t="s">
        <v>60</v>
      </c>
    </row>
    <row r="10" spans="1:45" x14ac:dyDescent="0.25">
      <c r="A10" s="1" t="s">
        <v>96</v>
      </c>
      <c r="B10" s="1" t="s">
        <v>97</v>
      </c>
      <c r="C10" s="1" t="s">
        <v>47</v>
      </c>
      <c r="D10" s="1" t="s">
        <v>48</v>
      </c>
      <c r="E10" s="1" t="s">
        <v>49</v>
      </c>
      <c r="F10" s="1" t="s">
        <v>49</v>
      </c>
      <c r="G10" s="1" t="s">
        <v>50</v>
      </c>
      <c r="H10" s="1" t="s">
        <v>51</v>
      </c>
      <c r="I10" s="1" t="s">
        <v>98</v>
      </c>
      <c r="J10" s="1" t="s">
        <v>99</v>
      </c>
      <c r="K10" s="1" t="s">
        <v>100</v>
      </c>
      <c r="L10" s="1" t="s">
        <v>55</v>
      </c>
      <c r="M10" s="1" t="s">
        <v>55</v>
      </c>
      <c r="N10" s="1" t="s">
        <v>55</v>
      </c>
      <c r="O10" s="1" t="s">
        <v>55</v>
      </c>
      <c r="P10" s="1" t="s">
        <v>55</v>
      </c>
      <c r="Q10" s="1" t="s">
        <v>55</v>
      </c>
      <c r="R10" s="1" t="s">
        <v>55</v>
      </c>
      <c r="S10" s="1" t="s">
        <v>55</v>
      </c>
      <c r="T10" s="1" t="s">
        <v>55</v>
      </c>
      <c r="U10" s="1" t="s">
        <v>55</v>
      </c>
      <c r="V10" s="1" t="s">
        <v>55</v>
      </c>
      <c r="W10" s="1" t="s">
        <v>55</v>
      </c>
      <c r="X10" s="1" t="s">
        <v>55</v>
      </c>
      <c r="Y10" s="1" t="s">
        <v>50</v>
      </c>
      <c r="Z10" t="str">
        <f>_xll.BDP($B10,"CUST_TRR_RETURN_HOLDING_PER","CUST_TRR_START_DT","20260401","CUST_TRR_END_DT","20260430","CUST_TRR_CRNCY","USD")</f>
        <v>#N/A N/A</v>
      </c>
      <c r="AA10" t="str">
        <f>_xll.BDP($B10,"CUST_TRR_RETURN_HOLDING_PER","CUST_TRR_START_DT","20260501","CUST_TRR_END_DT","20260531","CUST_TRR_CRNCY","USD")</f>
        <v>#N/A N/A</v>
      </c>
      <c r="AB10">
        <f>_xll.BDP($B10,"CUST_TRR_RETURN_HOLDING_PER","CUST_TRR_START_DT","20260601","CUST_TRR_END_DT","20260630","CUST_TRR_CRNCY","USD")</f>
        <v>-15.71902</v>
      </c>
      <c r="AC10" s="1" t="s">
        <v>56</v>
      </c>
      <c r="AD10" s="1" t="s">
        <v>56</v>
      </c>
      <c r="AE10" s="1" t="s">
        <v>56</v>
      </c>
      <c r="AF10" s="1" t="s">
        <v>56</v>
      </c>
      <c r="AG10" s="1" t="s">
        <v>56</v>
      </c>
      <c r="AH10" s="1" t="s">
        <v>56</v>
      </c>
      <c r="AI10" s="1" t="s">
        <v>57</v>
      </c>
      <c r="AJ10" s="1" t="s">
        <v>57</v>
      </c>
      <c r="AK10" s="1" t="s">
        <v>56</v>
      </c>
      <c r="AL10" s="1" t="s">
        <v>57</v>
      </c>
      <c r="AM10" s="1" t="s">
        <v>57</v>
      </c>
      <c r="AN10" s="1" t="s">
        <v>56</v>
      </c>
      <c r="AO10" s="1" t="s">
        <v>58</v>
      </c>
      <c r="AP10" s="1" t="s">
        <v>57</v>
      </c>
      <c r="AQ10" s="1" t="s">
        <v>56</v>
      </c>
      <c r="AR10" s="1" t="s">
        <v>59</v>
      </c>
      <c r="AS10" s="1" t="s">
        <v>60</v>
      </c>
    </row>
    <row r="11" spans="1:45" x14ac:dyDescent="0.25">
      <c r="A11" s="1" t="s">
        <v>101</v>
      </c>
      <c r="B11" s="1" t="s">
        <v>102</v>
      </c>
      <c r="C11" s="1" t="s">
        <v>47</v>
      </c>
      <c r="D11" s="1" t="s">
        <v>48</v>
      </c>
      <c r="E11" s="1" t="s">
        <v>49</v>
      </c>
      <c r="F11" s="1" t="s">
        <v>49</v>
      </c>
      <c r="G11" s="1" t="s">
        <v>50</v>
      </c>
      <c r="H11" s="1" t="s">
        <v>51</v>
      </c>
      <c r="I11" s="1" t="s">
        <v>103</v>
      </c>
      <c r="J11" s="1" t="s">
        <v>104</v>
      </c>
      <c r="K11" s="1" t="s">
        <v>105</v>
      </c>
      <c r="L11" s="1" t="s">
        <v>55</v>
      </c>
      <c r="M11" s="1" t="s">
        <v>55</v>
      </c>
      <c r="N11" s="1" t="s">
        <v>55</v>
      </c>
      <c r="O11" s="1" t="s">
        <v>55</v>
      </c>
      <c r="P11" s="1" t="s">
        <v>55</v>
      </c>
      <c r="Q11" s="1" t="s">
        <v>55</v>
      </c>
      <c r="R11" s="1" t="s">
        <v>55</v>
      </c>
      <c r="S11" s="1" t="s">
        <v>55</v>
      </c>
      <c r="T11" s="1" t="s">
        <v>55</v>
      </c>
      <c r="U11" s="1" t="s">
        <v>55</v>
      </c>
      <c r="V11" s="1" t="s">
        <v>55</v>
      </c>
      <c r="W11" s="1" t="s">
        <v>55</v>
      </c>
      <c r="X11" s="1" t="s">
        <v>55</v>
      </c>
      <c r="Y11" s="1" t="s">
        <v>50</v>
      </c>
      <c r="Z11" t="str">
        <f>_xll.BDP($B11,"CUST_TRR_RETURN_HOLDING_PER","CUST_TRR_START_DT","20260401","CUST_TRR_END_DT","20260430","CUST_TRR_CRNCY","USD")</f>
        <v>#N/A N/A</v>
      </c>
      <c r="AA11" t="str">
        <f>_xll.BDP($B11,"CUST_TRR_RETURN_HOLDING_PER","CUST_TRR_START_DT","20260501","CUST_TRR_END_DT","20260531","CUST_TRR_CRNCY","USD")</f>
        <v>#N/A N/A</v>
      </c>
      <c r="AB11">
        <f>_xll.BDP($B11,"CUST_TRR_RETURN_HOLDING_PER","CUST_TRR_START_DT","20260601","CUST_TRR_END_DT","20260630","CUST_TRR_CRNCY","USD")</f>
        <v>2.6448550000000002</v>
      </c>
      <c r="AC11" s="1" t="s">
        <v>56</v>
      </c>
      <c r="AD11" s="1" t="s">
        <v>56</v>
      </c>
      <c r="AE11" s="1" t="s">
        <v>56</v>
      </c>
      <c r="AF11" s="1" t="s">
        <v>56</v>
      </c>
      <c r="AG11" s="1" t="s">
        <v>56</v>
      </c>
      <c r="AH11" s="1" t="s">
        <v>56</v>
      </c>
      <c r="AI11" s="1" t="s">
        <v>57</v>
      </c>
      <c r="AJ11" s="1" t="s">
        <v>57</v>
      </c>
      <c r="AK11" s="1" t="s">
        <v>56</v>
      </c>
      <c r="AL11" s="1" t="s">
        <v>57</v>
      </c>
      <c r="AM11" s="1" t="s">
        <v>57</v>
      </c>
      <c r="AN11" s="1" t="s">
        <v>56</v>
      </c>
      <c r="AO11" s="1" t="s">
        <v>58</v>
      </c>
      <c r="AP11" s="1" t="s">
        <v>57</v>
      </c>
      <c r="AQ11" s="1" t="s">
        <v>56</v>
      </c>
      <c r="AR11" s="1" t="s">
        <v>59</v>
      </c>
      <c r="AS11" s="1" t="s">
        <v>60</v>
      </c>
    </row>
    <row r="12" spans="1:45" x14ac:dyDescent="0.25">
      <c r="A12" s="1" t="s">
        <v>106</v>
      </c>
      <c r="B12" s="1" t="s">
        <v>107</v>
      </c>
      <c r="C12" s="1" t="s">
        <v>47</v>
      </c>
      <c r="D12" s="1" t="s">
        <v>48</v>
      </c>
      <c r="E12" s="1" t="s">
        <v>49</v>
      </c>
      <c r="F12" s="1" t="s">
        <v>49</v>
      </c>
      <c r="G12" s="1" t="s">
        <v>50</v>
      </c>
      <c r="H12" s="1" t="s">
        <v>51</v>
      </c>
      <c r="I12" s="1" t="s">
        <v>108</v>
      </c>
      <c r="J12" s="1" t="s">
        <v>109</v>
      </c>
      <c r="K12" s="1" t="s">
        <v>110</v>
      </c>
      <c r="L12" s="1" t="s">
        <v>55</v>
      </c>
      <c r="M12" s="1" t="s">
        <v>55</v>
      </c>
      <c r="N12" s="1" t="s">
        <v>55</v>
      </c>
      <c r="O12" s="1" t="s">
        <v>55</v>
      </c>
      <c r="P12" s="1" t="s">
        <v>55</v>
      </c>
      <c r="Q12" s="1" t="s">
        <v>55</v>
      </c>
      <c r="R12" s="1" t="s">
        <v>55</v>
      </c>
      <c r="S12" s="1" t="s">
        <v>55</v>
      </c>
      <c r="T12" s="1" t="s">
        <v>55</v>
      </c>
      <c r="U12" s="1" t="s">
        <v>55</v>
      </c>
      <c r="V12" s="1" t="s">
        <v>55</v>
      </c>
      <c r="W12" s="1" t="s">
        <v>55</v>
      </c>
      <c r="X12" s="1" t="s">
        <v>55</v>
      </c>
      <c r="Y12" s="1" t="s">
        <v>50</v>
      </c>
      <c r="Z12" t="str">
        <f>_xll.BDP($B12,"CUST_TRR_RETURN_HOLDING_PER","CUST_TRR_START_DT","20260401","CUST_TRR_END_DT","20260430","CUST_TRR_CRNCY","USD")</f>
        <v>#N/A N/A</v>
      </c>
      <c r="AA12" t="str">
        <f>_xll.BDP($B12,"CUST_TRR_RETURN_HOLDING_PER","CUST_TRR_START_DT","20260501","CUST_TRR_END_DT","20260531","CUST_TRR_CRNCY","USD")</f>
        <v>#N/A N/A</v>
      </c>
      <c r="AB12">
        <f>_xll.BDP($B12,"CUST_TRR_RETURN_HOLDING_PER","CUST_TRR_START_DT","20260601","CUST_TRR_END_DT","20260630","CUST_TRR_CRNCY","USD")</f>
        <v>0.28166089999999999</v>
      </c>
      <c r="AC12" s="1" t="s">
        <v>56</v>
      </c>
      <c r="AD12" s="1" t="s">
        <v>56</v>
      </c>
      <c r="AE12" s="1" t="s">
        <v>56</v>
      </c>
      <c r="AF12" s="1" t="s">
        <v>56</v>
      </c>
      <c r="AG12" s="1" t="s">
        <v>56</v>
      </c>
      <c r="AH12" s="1" t="s">
        <v>56</v>
      </c>
      <c r="AI12" s="1" t="s">
        <v>57</v>
      </c>
      <c r="AJ12" s="1" t="s">
        <v>57</v>
      </c>
      <c r="AK12" s="1" t="s">
        <v>56</v>
      </c>
      <c r="AL12" s="1" t="s">
        <v>57</v>
      </c>
      <c r="AM12" s="1" t="s">
        <v>57</v>
      </c>
      <c r="AN12" s="1" t="s">
        <v>56</v>
      </c>
      <c r="AO12" s="1" t="s">
        <v>111</v>
      </c>
      <c r="AP12" s="1" t="s">
        <v>57</v>
      </c>
      <c r="AQ12" s="1" t="s">
        <v>56</v>
      </c>
      <c r="AR12" s="1" t="s">
        <v>112</v>
      </c>
      <c r="AS12" s="1" t="s">
        <v>113</v>
      </c>
    </row>
    <row r="13" spans="1:45" x14ac:dyDescent="0.25">
      <c r="A13" s="1" t="s">
        <v>114</v>
      </c>
      <c r="B13" s="1" t="s">
        <v>115</v>
      </c>
      <c r="C13" s="1" t="s">
        <v>47</v>
      </c>
      <c r="D13" s="1" t="s">
        <v>48</v>
      </c>
      <c r="E13" s="1" t="s">
        <v>49</v>
      </c>
      <c r="F13" s="1" t="s">
        <v>49</v>
      </c>
      <c r="G13" s="1" t="s">
        <v>50</v>
      </c>
      <c r="H13" s="1" t="s">
        <v>51</v>
      </c>
      <c r="I13" s="1" t="s">
        <v>116</v>
      </c>
      <c r="J13" s="1" t="s">
        <v>117</v>
      </c>
      <c r="K13" s="1" t="s">
        <v>118</v>
      </c>
      <c r="L13" s="1" t="s">
        <v>55</v>
      </c>
      <c r="M13" s="1" t="s">
        <v>55</v>
      </c>
      <c r="N13" s="1" t="s">
        <v>55</v>
      </c>
      <c r="O13" s="1" t="s">
        <v>55</v>
      </c>
      <c r="P13" s="1" t="s">
        <v>55</v>
      </c>
      <c r="Q13" s="1" t="s">
        <v>55</v>
      </c>
      <c r="R13" s="1" t="s">
        <v>55</v>
      </c>
      <c r="S13" s="1" t="s">
        <v>55</v>
      </c>
      <c r="T13" s="1" t="s">
        <v>55</v>
      </c>
      <c r="U13" s="1" t="s">
        <v>55</v>
      </c>
      <c r="V13" s="1" t="s">
        <v>55</v>
      </c>
      <c r="W13" s="1" t="s">
        <v>55</v>
      </c>
      <c r="X13" s="1" t="s">
        <v>55</v>
      </c>
      <c r="Y13" s="1" t="s">
        <v>50</v>
      </c>
      <c r="Z13" t="str">
        <f>_xll.BDP($B13,"CUST_TRR_RETURN_HOLDING_PER","CUST_TRR_START_DT","20260401","CUST_TRR_END_DT","20260430","CUST_TRR_CRNCY","USD")</f>
        <v>#N/A N/A</v>
      </c>
      <c r="AA13">
        <f>_xll.BDP($B13,"CUST_TRR_RETURN_HOLDING_PER","CUST_TRR_START_DT","20260501","CUST_TRR_END_DT","20260531","CUST_TRR_CRNCY","USD")</f>
        <v>1.408709</v>
      </c>
      <c r="AB13">
        <f>_xll.BDP($B13,"CUST_TRR_RETURN_HOLDING_PER","CUST_TRR_START_DT","20260601","CUST_TRR_END_DT","20260630","CUST_TRR_CRNCY","USD")</f>
        <v>-6.7950699999999999</v>
      </c>
      <c r="AC13" s="1" t="s">
        <v>56</v>
      </c>
      <c r="AD13" s="1" t="s">
        <v>56</v>
      </c>
      <c r="AE13" s="1" t="s">
        <v>56</v>
      </c>
      <c r="AF13" s="1" t="s">
        <v>56</v>
      </c>
      <c r="AG13" s="1" t="s">
        <v>56</v>
      </c>
      <c r="AH13" s="1" t="s">
        <v>56</v>
      </c>
      <c r="AI13" s="1" t="s">
        <v>57</v>
      </c>
      <c r="AJ13" s="1" t="s">
        <v>57</v>
      </c>
      <c r="AK13" s="1" t="s">
        <v>56</v>
      </c>
      <c r="AL13" s="1" t="s">
        <v>119</v>
      </c>
      <c r="AM13" s="1" t="s">
        <v>57</v>
      </c>
      <c r="AN13" s="1" t="s">
        <v>56</v>
      </c>
      <c r="AO13" s="1" t="s">
        <v>120</v>
      </c>
      <c r="AP13" s="1" t="s">
        <v>57</v>
      </c>
      <c r="AQ13" s="1" t="s">
        <v>56</v>
      </c>
      <c r="AR13" s="1" t="s">
        <v>59</v>
      </c>
      <c r="AS13" s="1" t="s">
        <v>60</v>
      </c>
    </row>
    <row r="14" spans="1:45" x14ac:dyDescent="0.25">
      <c r="A14" s="1" t="s">
        <v>121</v>
      </c>
      <c r="B14" s="1" t="s">
        <v>122</v>
      </c>
      <c r="C14" s="1" t="s">
        <v>47</v>
      </c>
      <c r="D14" s="1" t="s">
        <v>48</v>
      </c>
      <c r="E14" s="1" t="s">
        <v>49</v>
      </c>
      <c r="F14" s="1" t="s">
        <v>49</v>
      </c>
      <c r="G14" s="1" t="s">
        <v>50</v>
      </c>
      <c r="H14" s="1" t="s">
        <v>51</v>
      </c>
      <c r="I14" s="1" t="s">
        <v>123</v>
      </c>
      <c r="J14" s="1" t="s">
        <v>124</v>
      </c>
      <c r="K14" s="1" t="s">
        <v>125</v>
      </c>
      <c r="L14" s="1" t="s">
        <v>55</v>
      </c>
      <c r="M14" s="1" t="s">
        <v>55</v>
      </c>
      <c r="N14" s="1" t="s">
        <v>55</v>
      </c>
      <c r="O14" s="1" t="s">
        <v>55</v>
      </c>
      <c r="P14" s="1" t="s">
        <v>55</v>
      </c>
      <c r="Q14" s="1" t="s">
        <v>55</v>
      </c>
      <c r="R14" s="1" t="s">
        <v>55</v>
      </c>
      <c r="S14" s="1" t="s">
        <v>55</v>
      </c>
      <c r="T14" s="1" t="s">
        <v>55</v>
      </c>
      <c r="U14" s="1" t="s">
        <v>55</v>
      </c>
      <c r="V14" s="1" t="s">
        <v>55</v>
      </c>
      <c r="W14" s="1" t="s">
        <v>55</v>
      </c>
      <c r="X14" s="1" t="s">
        <v>55</v>
      </c>
      <c r="Y14" s="1" t="s">
        <v>50</v>
      </c>
      <c r="Z14" t="str">
        <f>_xll.BDP($B14,"CUST_TRR_RETURN_HOLDING_PER","CUST_TRR_START_DT","20260401","CUST_TRR_END_DT","20260430","CUST_TRR_CRNCY","USD")</f>
        <v>#N/A N/A</v>
      </c>
      <c r="AA14" t="str">
        <f>_xll.BDP($B14,"CUST_TRR_RETURN_HOLDING_PER","CUST_TRR_START_DT","20260501","CUST_TRR_END_DT","20260531","CUST_TRR_CRNCY","USD")</f>
        <v>#N/A N/A</v>
      </c>
      <c r="AB14">
        <f>_xll.BDP($B14,"CUST_TRR_RETURN_HOLDING_PER","CUST_TRR_START_DT","20260601","CUST_TRR_END_DT","20260630","CUST_TRR_CRNCY","USD")</f>
        <v>-19.91525</v>
      </c>
      <c r="AC14" s="1" t="s">
        <v>56</v>
      </c>
      <c r="AD14" s="1" t="s">
        <v>56</v>
      </c>
      <c r="AE14" s="1" t="s">
        <v>56</v>
      </c>
      <c r="AF14" s="1" t="s">
        <v>56</v>
      </c>
      <c r="AG14" s="1" t="s">
        <v>56</v>
      </c>
      <c r="AH14" s="1" t="s">
        <v>56</v>
      </c>
      <c r="AI14" s="1" t="s">
        <v>57</v>
      </c>
      <c r="AJ14" s="1" t="s">
        <v>57</v>
      </c>
      <c r="AK14" s="1" t="s">
        <v>56</v>
      </c>
      <c r="AL14" s="1" t="s">
        <v>57</v>
      </c>
      <c r="AM14" s="1" t="s">
        <v>57</v>
      </c>
      <c r="AN14" s="1" t="s">
        <v>56</v>
      </c>
      <c r="AO14" s="1" t="s">
        <v>126</v>
      </c>
      <c r="AP14" s="1" t="s">
        <v>57</v>
      </c>
      <c r="AQ14" s="1" t="s">
        <v>56</v>
      </c>
      <c r="AR14" s="1" t="s">
        <v>89</v>
      </c>
      <c r="AS14" s="1" t="s">
        <v>90</v>
      </c>
    </row>
    <row r="15" spans="1:45" x14ac:dyDescent="0.25">
      <c r="A15" s="1" t="s">
        <v>127</v>
      </c>
      <c r="B15" s="1" t="s">
        <v>128</v>
      </c>
      <c r="C15" s="1" t="s">
        <v>47</v>
      </c>
      <c r="D15" s="1" t="s">
        <v>48</v>
      </c>
      <c r="E15" s="1" t="s">
        <v>49</v>
      </c>
      <c r="F15" s="1" t="s">
        <v>49</v>
      </c>
      <c r="G15" s="1" t="s">
        <v>50</v>
      </c>
      <c r="H15" s="1" t="s">
        <v>51</v>
      </c>
      <c r="I15" s="1" t="s">
        <v>129</v>
      </c>
      <c r="J15" s="1" t="s">
        <v>57</v>
      </c>
      <c r="K15" s="1" t="s">
        <v>129</v>
      </c>
      <c r="L15" s="1" t="s">
        <v>55</v>
      </c>
      <c r="M15" s="1" t="s">
        <v>55</v>
      </c>
      <c r="N15" s="1" t="s">
        <v>55</v>
      </c>
      <c r="O15" s="1" t="s">
        <v>55</v>
      </c>
      <c r="P15" s="1" t="s">
        <v>55</v>
      </c>
      <c r="Q15" s="1" t="s">
        <v>55</v>
      </c>
      <c r="R15" s="1" t="s">
        <v>55</v>
      </c>
      <c r="S15" s="1" t="s">
        <v>55</v>
      </c>
      <c r="T15" s="1" t="s">
        <v>55</v>
      </c>
      <c r="U15" s="1" t="s">
        <v>55</v>
      </c>
      <c r="V15" s="1" t="s">
        <v>55</v>
      </c>
      <c r="W15" s="1" t="s">
        <v>55</v>
      </c>
      <c r="X15" s="1" t="s">
        <v>55</v>
      </c>
      <c r="Y15" s="1" t="s">
        <v>50</v>
      </c>
      <c r="Z15" t="str">
        <f>_xll.BDP($B15,"CUST_TRR_RETURN_HOLDING_PER","CUST_TRR_START_DT","20260401","CUST_TRR_END_DT","20260430","CUST_TRR_CRNCY","USD")</f>
        <v>#N/A N/A</v>
      </c>
      <c r="AA15" t="str">
        <f>_xll.BDP($B15,"CUST_TRR_RETURN_HOLDING_PER","CUST_TRR_START_DT","20260501","CUST_TRR_END_DT","20260531","CUST_TRR_CRNCY","USD")</f>
        <v>#N/A N/A</v>
      </c>
      <c r="AB15">
        <f>_xll.BDP($B15,"CUST_TRR_RETURN_HOLDING_PER","CUST_TRR_START_DT","20260601","CUST_TRR_END_DT","20260630","CUST_TRR_CRNCY","USD")</f>
        <v>0.28416180000000002</v>
      </c>
      <c r="AC15" s="1" t="s">
        <v>56</v>
      </c>
      <c r="AD15" s="1" t="s">
        <v>56</v>
      </c>
      <c r="AE15" s="1" t="s">
        <v>56</v>
      </c>
      <c r="AF15" s="1" t="s">
        <v>56</v>
      </c>
      <c r="AG15" s="1" t="s">
        <v>56</v>
      </c>
      <c r="AH15" s="1" t="s">
        <v>56</v>
      </c>
      <c r="AI15" s="1" t="s">
        <v>57</v>
      </c>
      <c r="AJ15" s="1" t="s">
        <v>57</v>
      </c>
      <c r="AK15" s="1" t="s">
        <v>56</v>
      </c>
      <c r="AL15" s="1" t="s">
        <v>57</v>
      </c>
      <c r="AM15" s="1" t="s">
        <v>57</v>
      </c>
      <c r="AN15" s="1" t="s">
        <v>56</v>
      </c>
      <c r="AO15" s="1" t="s">
        <v>130</v>
      </c>
      <c r="AP15" s="1" t="s">
        <v>57</v>
      </c>
      <c r="AQ15" s="1" t="s">
        <v>56</v>
      </c>
      <c r="AR15" s="1" t="s">
        <v>131</v>
      </c>
      <c r="AS15" s="1" t="s">
        <v>132</v>
      </c>
    </row>
    <row r="16" spans="1:45" x14ac:dyDescent="0.25">
      <c r="A16" s="1" t="s">
        <v>133</v>
      </c>
      <c r="B16" s="1" t="s">
        <v>134</v>
      </c>
      <c r="C16" s="1" t="s">
        <v>47</v>
      </c>
      <c r="D16" s="1" t="s">
        <v>48</v>
      </c>
      <c r="E16" s="1" t="s">
        <v>49</v>
      </c>
      <c r="F16" s="1" t="s">
        <v>49</v>
      </c>
      <c r="G16" s="1" t="s">
        <v>50</v>
      </c>
      <c r="H16" s="1" t="s">
        <v>51</v>
      </c>
      <c r="I16" s="1" t="s">
        <v>135</v>
      </c>
      <c r="J16" s="1" t="s">
        <v>57</v>
      </c>
      <c r="K16" s="1" t="s">
        <v>135</v>
      </c>
      <c r="L16" s="1" t="s">
        <v>55</v>
      </c>
      <c r="M16" s="1" t="s">
        <v>55</v>
      </c>
      <c r="N16" s="1" t="s">
        <v>55</v>
      </c>
      <c r="O16" s="1" t="s">
        <v>55</v>
      </c>
      <c r="P16" s="1" t="s">
        <v>55</v>
      </c>
      <c r="Q16" s="1" t="s">
        <v>55</v>
      </c>
      <c r="R16" s="1" t="s">
        <v>55</v>
      </c>
      <c r="S16" s="1" t="s">
        <v>55</v>
      </c>
      <c r="T16" s="1" t="s">
        <v>55</v>
      </c>
      <c r="U16" s="1" t="s">
        <v>55</v>
      </c>
      <c r="V16" s="1" t="s">
        <v>55</v>
      </c>
      <c r="W16" s="1" t="s">
        <v>55</v>
      </c>
      <c r="X16" s="1" t="s">
        <v>55</v>
      </c>
      <c r="Y16" s="1" t="s">
        <v>50</v>
      </c>
      <c r="Z16" t="str">
        <f>_xll.BDP($B16,"CUST_TRR_RETURN_HOLDING_PER","CUST_TRR_START_DT","20260401","CUST_TRR_END_DT","20260430","CUST_TRR_CRNCY","USD")</f>
        <v>#N/A N/A</v>
      </c>
      <c r="AA16" t="str">
        <f>_xll.BDP($B16,"CUST_TRR_RETURN_HOLDING_PER","CUST_TRR_START_DT","20260501","CUST_TRR_END_DT","20260531","CUST_TRR_CRNCY","USD")</f>
        <v>#N/A N/A</v>
      </c>
      <c r="AB16">
        <f>_xll.BDP($B16,"CUST_TRR_RETURN_HOLDING_PER","CUST_TRR_START_DT","20260601","CUST_TRR_END_DT","20260630","CUST_TRR_CRNCY","USD")</f>
        <v>1.998401E-2</v>
      </c>
      <c r="AC16" s="1" t="s">
        <v>56</v>
      </c>
      <c r="AD16" s="1" t="s">
        <v>56</v>
      </c>
      <c r="AE16" s="1" t="s">
        <v>56</v>
      </c>
      <c r="AF16" s="1" t="s">
        <v>56</v>
      </c>
      <c r="AG16" s="1" t="s">
        <v>56</v>
      </c>
      <c r="AH16" s="1" t="s">
        <v>56</v>
      </c>
      <c r="AI16" s="1" t="s">
        <v>57</v>
      </c>
      <c r="AJ16" s="1" t="s">
        <v>57</v>
      </c>
      <c r="AK16" s="1" t="s">
        <v>56</v>
      </c>
      <c r="AL16" s="1" t="s">
        <v>57</v>
      </c>
      <c r="AM16" s="1" t="s">
        <v>57</v>
      </c>
      <c r="AN16" s="1" t="s">
        <v>56</v>
      </c>
      <c r="AO16" s="1" t="s">
        <v>136</v>
      </c>
      <c r="AP16" s="1" t="s">
        <v>57</v>
      </c>
      <c r="AQ16" s="1" t="s">
        <v>56</v>
      </c>
      <c r="AR16" s="1" t="s">
        <v>137</v>
      </c>
      <c r="AS16" s="1" t="s">
        <v>138</v>
      </c>
    </row>
    <row r="17" spans="1:45" x14ac:dyDescent="0.25">
      <c r="A17" s="1" t="s">
        <v>139</v>
      </c>
      <c r="B17" s="1" t="s">
        <v>140</v>
      </c>
      <c r="C17" s="1" t="s">
        <v>47</v>
      </c>
      <c r="D17" s="1" t="s">
        <v>48</v>
      </c>
      <c r="E17" s="1" t="s">
        <v>49</v>
      </c>
      <c r="F17" s="1" t="s">
        <v>49</v>
      </c>
      <c r="G17" s="1" t="s">
        <v>50</v>
      </c>
      <c r="H17" s="1" t="s">
        <v>51</v>
      </c>
      <c r="I17" s="1" t="s">
        <v>141</v>
      </c>
      <c r="J17" s="1" t="s">
        <v>57</v>
      </c>
      <c r="K17" s="1" t="s">
        <v>141</v>
      </c>
      <c r="L17" s="1" t="s">
        <v>55</v>
      </c>
      <c r="M17" s="1" t="s">
        <v>55</v>
      </c>
      <c r="N17" s="1" t="s">
        <v>55</v>
      </c>
      <c r="O17" s="1" t="s">
        <v>55</v>
      </c>
      <c r="P17" s="1" t="s">
        <v>55</v>
      </c>
      <c r="Q17" s="1" t="s">
        <v>55</v>
      </c>
      <c r="R17" s="1" t="s">
        <v>55</v>
      </c>
      <c r="S17" s="1" t="s">
        <v>55</v>
      </c>
      <c r="T17" s="1" t="s">
        <v>55</v>
      </c>
      <c r="U17" s="1" t="s">
        <v>55</v>
      </c>
      <c r="V17" s="1" t="s">
        <v>55</v>
      </c>
      <c r="W17" s="1" t="s">
        <v>55</v>
      </c>
      <c r="X17" s="1" t="s">
        <v>55</v>
      </c>
      <c r="Y17" s="1" t="s">
        <v>50</v>
      </c>
      <c r="Z17" t="str">
        <f>_xll.BDP($B17,"CUST_TRR_RETURN_HOLDING_PER","CUST_TRR_START_DT","20260401","CUST_TRR_END_DT","20260430","CUST_TRR_CRNCY","USD")</f>
        <v>#N/A N/A</v>
      </c>
      <c r="AA17" t="str">
        <f>_xll.BDP($B17,"CUST_TRR_RETURN_HOLDING_PER","CUST_TRR_START_DT","20260501","CUST_TRR_END_DT","20260531","CUST_TRR_CRNCY","USD")</f>
        <v>#N/A N/A</v>
      </c>
      <c r="AB17">
        <f>_xll.BDP($B17,"CUST_TRR_RETURN_HOLDING_PER","CUST_TRR_START_DT","20260601","CUST_TRR_END_DT","20260630","CUST_TRR_CRNCY","USD")</f>
        <v>0.43460199999999999</v>
      </c>
      <c r="AC17" s="1" t="s">
        <v>56</v>
      </c>
      <c r="AD17" s="1" t="s">
        <v>56</v>
      </c>
      <c r="AE17" s="1" t="s">
        <v>56</v>
      </c>
      <c r="AF17" s="1" t="s">
        <v>56</v>
      </c>
      <c r="AG17" s="1" t="s">
        <v>56</v>
      </c>
      <c r="AH17" s="1" t="s">
        <v>56</v>
      </c>
      <c r="AI17" s="1" t="s">
        <v>57</v>
      </c>
      <c r="AJ17" s="1" t="s">
        <v>57</v>
      </c>
      <c r="AK17" s="1" t="s">
        <v>56</v>
      </c>
      <c r="AL17" s="1" t="s">
        <v>57</v>
      </c>
      <c r="AM17" s="1" t="s">
        <v>57</v>
      </c>
      <c r="AN17" s="1" t="s">
        <v>56</v>
      </c>
      <c r="AO17" s="1" t="s">
        <v>142</v>
      </c>
      <c r="AP17" s="1" t="s">
        <v>57</v>
      </c>
      <c r="AQ17" s="1" t="s">
        <v>56</v>
      </c>
      <c r="AR17" s="1" t="s">
        <v>143</v>
      </c>
      <c r="AS17" s="1" t="s">
        <v>144</v>
      </c>
    </row>
    <row r="18" spans="1:45" x14ac:dyDescent="0.25">
      <c r="A18" s="1" t="s">
        <v>145</v>
      </c>
      <c r="B18" s="1" t="s">
        <v>146</v>
      </c>
      <c r="C18" s="1" t="s">
        <v>47</v>
      </c>
      <c r="D18" s="1" t="s">
        <v>48</v>
      </c>
      <c r="E18" s="1" t="s">
        <v>49</v>
      </c>
      <c r="F18" s="1" t="s">
        <v>49</v>
      </c>
      <c r="G18" s="1" t="s">
        <v>50</v>
      </c>
      <c r="H18" s="1" t="s">
        <v>51</v>
      </c>
      <c r="I18" s="1" t="s">
        <v>147</v>
      </c>
      <c r="J18" s="1" t="s">
        <v>57</v>
      </c>
      <c r="K18" s="1" t="s">
        <v>147</v>
      </c>
      <c r="L18" s="1" t="s">
        <v>55</v>
      </c>
      <c r="M18" s="1" t="s">
        <v>55</v>
      </c>
      <c r="N18" s="1" t="s">
        <v>55</v>
      </c>
      <c r="O18" s="1" t="s">
        <v>55</v>
      </c>
      <c r="P18" s="1" t="s">
        <v>55</v>
      </c>
      <c r="Q18" s="1" t="s">
        <v>55</v>
      </c>
      <c r="R18" s="1" t="s">
        <v>55</v>
      </c>
      <c r="S18" s="1" t="s">
        <v>55</v>
      </c>
      <c r="T18" s="1" t="s">
        <v>55</v>
      </c>
      <c r="U18" s="1" t="s">
        <v>55</v>
      </c>
      <c r="V18" s="1" t="s">
        <v>55</v>
      </c>
      <c r="W18" s="1" t="s">
        <v>55</v>
      </c>
      <c r="X18" s="1" t="s">
        <v>55</v>
      </c>
      <c r="Y18" s="1" t="s">
        <v>50</v>
      </c>
      <c r="Z18" t="str">
        <f>_xll.BDP($B18,"CUST_TRR_RETURN_HOLDING_PER","CUST_TRR_START_DT","20260401","CUST_TRR_END_DT","20260430","CUST_TRR_CRNCY","USD")</f>
        <v>#N/A N/A</v>
      </c>
      <c r="AA18" t="str">
        <f>_xll.BDP($B18,"CUST_TRR_RETURN_HOLDING_PER","CUST_TRR_START_DT","20260501","CUST_TRR_END_DT","20260531","CUST_TRR_CRNCY","USD")</f>
        <v>#N/A N/A</v>
      </c>
      <c r="AB18">
        <f>_xll.BDP($B18,"CUST_TRR_RETURN_HOLDING_PER","CUST_TRR_START_DT","20260601","CUST_TRR_END_DT","20260630","CUST_TRR_CRNCY","USD")</f>
        <v>0.26858080000000001</v>
      </c>
      <c r="AC18" s="1" t="s">
        <v>56</v>
      </c>
      <c r="AD18" s="1" t="s">
        <v>56</v>
      </c>
      <c r="AE18" s="1" t="s">
        <v>56</v>
      </c>
      <c r="AF18" s="1" t="s">
        <v>56</v>
      </c>
      <c r="AG18" s="1" t="s">
        <v>56</v>
      </c>
      <c r="AH18" s="1" t="s">
        <v>56</v>
      </c>
      <c r="AI18" s="1" t="s">
        <v>57</v>
      </c>
      <c r="AJ18" s="1" t="s">
        <v>57</v>
      </c>
      <c r="AK18" s="1" t="s">
        <v>56</v>
      </c>
      <c r="AL18" s="1" t="s">
        <v>57</v>
      </c>
      <c r="AM18" s="1" t="s">
        <v>57</v>
      </c>
      <c r="AN18" s="1" t="s">
        <v>56</v>
      </c>
      <c r="AO18" s="1" t="s">
        <v>148</v>
      </c>
      <c r="AP18" s="1" t="s">
        <v>57</v>
      </c>
      <c r="AQ18" s="1" t="s">
        <v>56</v>
      </c>
      <c r="AR18" s="1" t="s">
        <v>149</v>
      </c>
      <c r="AS18" s="1" t="s">
        <v>150</v>
      </c>
    </row>
    <row r="19" spans="1:45" x14ac:dyDescent="0.25">
      <c r="A19" s="1" t="s">
        <v>151</v>
      </c>
      <c r="B19" s="1" t="s">
        <v>152</v>
      </c>
      <c r="C19" s="1" t="s">
        <v>47</v>
      </c>
      <c r="D19" s="1" t="s">
        <v>48</v>
      </c>
      <c r="E19" s="1" t="s">
        <v>49</v>
      </c>
      <c r="F19" s="1" t="s">
        <v>49</v>
      </c>
      <c r="G19" s="1" t="s">
        <v>50</v>
      </c>
      <c r="H19" s="1" t="s">
        <v>51</v>
      </c>
      <c r="I19" s="1" t="s">
        <v>153</v>
      </c>
      <c r="J19" s="1" t="s">
        <v>154</v>
      </c>
      <c r="K19" s="1" t="s">
        <v>155</v>
      </c>
      <c r="L19" s="1" t="s">
        <v>55</v>
      </c>
      <c r="M19" s="1" t="s">
        <v>55</v>
      </c>
      <c r="N19" s="1" t="s">
        <v>55</v>
      </c>
      <c r="O19" s="1" t="s">
        <v>55</v>
      </c>
      <c r="P19" s="1" t="s">
        <v>55</v>
      </c>
      <c r="Q19" s="1" t="s">
        <v>55</v>
      </c>
      <c r="R19" s="1" t="s">
        <v>55</v>
      </c>
      <c r="S19" s="1" t="s">
        <v>55</v>
      </c>
      <c r="T19" s="1" t="s">
        <v>55</v>
      </c>
      <c r="U19" s="1" t="s">
        <v>55</v>
      </c>
      <c r="V19" s="1" t="s">
        <v>55</v>
      </c>
      <c r="W19" s="1" t="s">
        <v>55</v>
      </c>
      <c r="X19" s="1" t="s">
        <v>55</v>
      </c>
      <c r="Y19" s="1" t="s">
        <v>50</v>
      </c>
      <c r="Z19" t="str">
        <f>_xll.BDP($B19,"CUST_TRR_RETURN_HOLDING_PER","CUST_TRR_START_DT","20260401","CUST_TRR_END_DT","20260430","CUST_TRR_CRNCY","USD")</f>
        <v>#N/A N/A</v>
      </c>
      <c r="AA19" t="str">
        <f>_xll.BDP($B19,"CUST_TRR_RETURN_HOLDING_PER","CUST_TRR_START_DT","20260501","CUST_TRR_END_DT","20260531","CUST_TRR_CRNCY","USD")</f>
        <v>#N/A N/A</v>
      </c>
      <c r="AB19">
        <f>_xll.BDP($B19,"CUST_TRR_RETURN_HOLDING_PER","CUST_TRR_START_DT","20260601","CUST_TRR_END_DT","20260630","CUST_TRR_CRNCY","USD")</f>
        <v>-0.3785615</v>
      </c>
      <c r="AC19" s="1" t="s">
        <v>56</v>
      </c>
      <c r="AD19" s="1" t="s">
        <v>56</v>
      </c>
      <c r="AE19" s="1" t="s">
        <v>56</v>
      </c>
      <c r="AF19" s="1" t="s">
        <v>56</v>
      </c>
      <c r="AG19" s="1" t="s">
        <v>56</v>
      </c>
      <c r="AH19" s="1" t="s">
        <v>56</v>
      </c>
      <c r="AI19" s="1" t="s">
        <v>57</v>
      </c>
      <c r="AJ19" s="1" t="s">
        <v>57</v>
      </c>
      <c r="AK19" s="1" t="s">
        <v>56</v>
      </c>
      <c r="AL19" s="1" t="s">
        <v>57</v>
      </c>
      <c r="AM19" s="1" t="s">
        <v>57</v>
      </c>
      <c r="AN19" s="1" t="s">
        <v>56</v>
      </c>
      <c r="AO19" s="1" t="s">
        <v>156</v>
      </c>
      <c r="AP19" s="1" t="s">
        <v>57</v>
      </c>
      <c r="AQ19" s="1" t="s">
        <v>56</v>
      </c>
      <c r="AR19" s="1" t="s">
        <v>59</v>
      </c>
      <c r="AS19" s="1" t="s">
        <v>60</v>
      </c>
    </row>
    <row r="20" spans="1:45" x14ac:dyDescent="0.25">
      <c r="A20" s="1" t="s">
        <v>157</v>
      </c>
      <c r="B20" s="1" t="s">
        <v>158</v>
      </c>
      <c r="C20" s="1" t="s">
        <v>47</v>
      </c>
      <c r="D20" s="1" t="s">
        <v>48</v>
      </c>
      <c r="E20" s="1" t="s">
        <v>49</v>
      </c>
      <c r="F20" s="1" t="s">
        <v>49</v>
      </c>
      <c r="G20" s="1" t="s">
        <v>50</v>
      </c>
      <c r="H20" s="1" t="s">
        <v>51</v>
      </c>
      <c r="I20" s="1" t="s">
        <v>159</v>
      </c>
      <c r="J20" s="1" t="s">
        <v>160</v>
      </c>
      <c r="K20" s="1" t="s">
        <v>161</v>
      </c>
      <c r="L20" s="1" t="s">
        <v>55</v>
      </c>
      <c r="M20" s="1" t="s">
        <v>55</v>
      </c>
      <c r="N20" s="1" t="s">
        <v>55</v>
      </c>
      <c r="O20" s="1" t="s">
        <v>55</v>
      </c>
      <c r="P20" s="1" t="s">
        <v>55</v>
      </c>
      <c r="Q20" s="1" t="s">
        <v>55</v>
      </c>
      <c r="R20" s="1" t="s">
        <v>55</v>
      </c>
      <c r="S20" s="1" t="s">
        <v>55</v>
      </c>
      <c r="T20" s="1" t="s">
        <v>55</v>
      </c>
      <c r="U20" s="1" t="s">
        <v>55</v>
      </c>
      <c r="V20" s="1" t="s">
        <v>55</v>
      </c>
      <c r="W20" s="1" t="s">
        <v>55</v>
      </c>
      <c r="X20" s="1" t="s">
        <v>55</v>
      </c>
      <c r="Y20" s="1" t="s">
        <v>50</v>
      </c>
      <c r="Z20" t="str">
        <f>_xll.BDP($B20,"CUST_TRR_RETURN_HOLDING_PER","CUST_TRR_START_DT","20260401","CUST_TRR_END_DT","20260430","CUST_TRR_CRNCY","USD")</f>
        <v>#N/A N/A</v>
      </c>
      <c r="AA20">
        <f>_xll.BDP($B20,"CUST_TRR_RETURN_HOLDING_PER","CUST_TRR_START_DT","20260501","CUST_TRR_END_DT","20260531","CUST_TRR_CRNCY","USD")</f>
        <v>3.1092019999999998</v>
      </c>
      <c r="AB20">
        <f>_xll.BDP($B20,"CUST_TRR_RETURN_HOLDING_PER","CUST_TRR_START_DT","20260601","CUST_TRR_END_DT","20260630","CUST_TRR_CRNCY","USD")</f>
        <v>-8.7255249999999993</v>
      </c>
      <c r="AC20" s="1" t="s">
        <v>56</v>
      </c>
      <c r="AD20" s="1" t="s">
        <v>56</v>
      </c>
      <c r="AE20" s="1" t="s">
        <v>56</v>
      </c>
      <c r="AF20" s="1" t="s">
        <v>56</v>
      </c>
      <c r="AG20" s="1" t="s">
        <v>56</v>
      </c>
      <c r="AH20" s="1" t="s">
        <v>56</v>
      </c>
      <c r="AI20" s="1" t="s">
        <v>57</v>
      </c>
      <c r="AJ20" s="1" t="s">
        <v>57</v>
      </c>
      <c r="AK20" s="1" t="s">
        <v>56</v>
      </c>
      <c r="AL20" s="1" t="s">
        <v>162</v>
      </c>
      <c r="AM20" s="1" t="s">
        <v>57</v>
      </c>
      <c r="AN20" s="1" t="s">
        <v>56</v>
      </c>
      <c r="AO20" s="1" t="s">
        <v>163</v>
      </c>
      <c r="AP20" s="1" t="s">
        <v>57</v>
      </c>
      <c r="AQ20" s="1" t="s">
        <v>56</v>
      </c>
      <c r="AR20" s="1" t="s">
        <v>59</v>
      </c>
      <c r="AS20" s="1" t="s">
        <v>60</v>
      </c>
    </row>
    <row r="21" spans="1:45" x14ac:dyDescent="0.25">
      <c r="A21" s="1" t="s">
        <v>164</v>
      </c>
      <c r="B21" s="1" t="s">
        <v>165</v>
      </c>
      <c r="C21" s="1" t="s">
        <v>47</v>
      </c>
      <c r="D21" s="1" t="s">
        <v>48</v>
      </c>
      <c r="E21" s="1" t="s">
        <v>49</v>
      </c>
      <c r="F21" s="1" t="s">
        <v>49</v>
      </c>
      <c r="G21" s="1" t="s">
        <v>50</v>
      </c>
      <c r="H21" s="1" t="s">
        <v>51</v>
      </c>
      <c r="I21" s="1" t="s">
        <v>166</v>
      </c>
      <c r="J21" s="1" t="s">
        <v>167</v>
      </c>
      <c r="K21" s="1" t="s">
        <v>168</v>
      </c>
      <c r="L21" s="1" t="s">
        <v>55</v>
      </c>
      <c r="M21" s="1" t="s">
        <v>55</v>
      </c>
      <c r="N21" s="1" t="s">
        <v>55</v>
      </c>
      <c r="O21" s="1" t="s">
        <v>55</v>
      </c>
      <c r="P21" s="1" t="s">
        <v>55</v>
      </c>
      <c r="Q21" s="1" t="s">
        <v>55</v>
      </c>
      <c r="R21" s="1" t="s">
        <v>55</v>
      </c>
      <c r="S21" s="1" t="s">
        <v>55</v>
      </c>
      <c r="T21" s="1" t="s">
        <v>55</v>
      </c>
      <c r="U21" s="1" t="s">
        <v>55</v>
      </c>
      <c r="V21" s="1" t="s">
        <v>55</v>
      </c>
      <c r="W21" s="1" t="s">
        <v>55</v>
      </c>
      <c r="X21" s="1" t="s">
        <v>55</v>
      </c>
      <c r="Y21" s="1" t="s">
        <v>50</v>
      </c>
      <c r="Z21" t="str">
        <f>_xll.BDP($B21,"CUST_TRR_RETURN_HOLDING_PER","CUST_TRR_START_DT","20260401","CUST_TRR_END_DT","20260430","CUST_TRR_CRNCY","USD")</f>
        <v>#N/A N/A</v>
      </c>
      <c r="AA21">
        <f>_xll.BDP($B21,"CUST_TRR_RETURN_HOLDING_PER","CUST_TRR_START_DT","20260501","CUST_TRR_END_DT","20260531","CUST_TRR_CRNCY","USD")</f>
        <v>1.9713769999999999</v>
      </c>
      <c r="AB21">
        <f>_xll.BDP($B21,"CUST_TRR_RETURN_HOLDING_PER","CUST_TRR_START_DT","20260601","CUST_TRR_END_DT","20260630","CUST_TRR_CRNCY","USD")</f>
        <v>0.1213933</v>
      </c>
      <c r="AC21" s="1" t="s">
        <v>56</v>
      </c>
      <c r="AD21" s="1" t="s">
        <v>56</v>
      </c>
      <c r="AE21" s="1" t="s">
        <v>56</v>
      </c>
      <c r="AF21" s="1" t="s">
        <v>56</v>
      </c>
      <c r="AG21" s="1" t="s">
        <v>56</v>
      </c>
      <c r="AH21" s="1" t="s">
        <v>56</v>
      </c>
      <c r="AI21" s="1" t="s">
        <v>169</v>
      </c>
      <c r="AJ21" s="1" t="s">
        <v>57</v>
      </c>
      <c r="AK21" s="1" t="s">
        <v>56</v>
      </c>
      <c r="AL21" s="1" t="s">
        <v>170</v>
      </c>
      <c r="AM21" s="1" t="s">
        <v>57</v>
      </c>
      <c r="AN21" s="1" t="s">
        <v>56</v>
      </c>
      <c r="AO21" s="1" t="s">
        <v>171</v>
      </c>
      <c r="AP21" s="1" t="s">
        <v>172</v>
      </c>
      <c r="AQ21" s="1" t="s">
        <v>56</v>
      </c>
      <c r="AR21" s="1" t="s">
        <v>173</v>
      </c>
      <c r="AS21" s="1" t="s">
        <v>174</v>
      </c>
    </row>
    <row r="22" spans="1:45" x14ac:dyDescent="0.25">
      <c r="A22" s="1" t="s">
        <v>175</v>
      </c>
      <c r="B22" s="1" t="s">
        <v>176</v>
      </c>
      <c r="C22" s="1" t="s">
        <v>47</v>
      </c>
      <c r="D22" s="1" t="s">
        <v>48</v>
      </c>
      <c r="E22" s="1" t="s">
        <v>49</v>
      </c>
      <c r="F22" s="1" t="s">
        <v>49</v>
      </c>
      <c r="G22" s="1" t="s">
        <v>50</v>
      </c>
      <c r="H22" s="1" t="s">
        <v>51</v>
      </c>
      <c r="I22" s="1" t="s">
        <v>177</v>
      </c>
      <c r="J22" s="1" t="s">
        <v>178</v>
      </c>
      <c r="K22" s="1" t="s">
        <v>179</v>
      </c>
      <c r="L22" s="1" t="s">
        <v>55</v>
      </c>
      <c r="M22" s="1" t="s">
        <v>55</v>
      </c>
      <c r="N22" s="1" t="s">
        <v>55</v>
      </c>
      <c r="O22" s="1" t="s">
        <v>55</v>
      </c>
      <c r="P22" s="1" t="s">
        <v>55</v>
      </c>
      <c r="Q22" s="1" t="s">
        <v>55</v>
      </c>
      <c r="R22" s="1" t="s">
        <v>55</v>
      </c>
      <c r="S22" s="1" t="s">
        <v>55</v>
      </c>
      <c r="T22" s="1" t="s">
        <v>55</v>
      </c>
      <c r="U22" s="1" t="s">
        <v>55</v>
      </c>
      <c r="V22" s="1" t="s">
        <v>55</v>
      </c>
      <c r="W22" s="1" t="s">
        <v>55</v>
      </c>
      <c r="X22" s="1" t="s">
        <v>55</v>
      </c>
      <c r="Y22" s="1" t="s">
        <v>50</v>
      </c>
      <c r="Z22" t="str">
        <f>_xll.BDP($B22,"CUST_TRR_RETURN_HOLDING_PER","CUST_TRR_START_DT","20260401","CUST_TRR_END_DT","20260430","CUST_TRR_CRNCY","USD")</f>
        <v>#N/A N/A</v>
      </c>
      <c r="AA22">
        <f>_xll.BDP($B22,"CUST_TRR_RETURN_HOLDING_PER","CUST_TRR_START_DT","20260501","CUST_TRR_END_DT","20260531","CUST_TRR_CRNCY","USD")</f>
        <v>22.87913</v>
      </c>
      <c r="AB22">
        <f>_xll.BDP($B22,"CUST_TRR_RETURN_HOLDING_PER","CUST_TRR_START_DT","20260601","CUST_TRR_END_DT","20260630","CUST_TRR_CRNCY","USD")</f>
        <v>-6.670356</v>
      </c>
      <c r="AC22" s="1" t="s">
        <v>56</v>
      </c>
      <c r="AD22" s="1" t="s">
        <v>56</v>
      </c>
      <c r="AE22" s="1" t="s">
        <v>56</v>
      </c>
      <c r="AF22" s="1" t="s">
        <v>56</v>
      </c>
      <c r="AG22" s="1" t="s">
        <v>56</v>
      </c>
      <c r="AH22" s="1" t="s">
        <v>56</v>
      </c>
      <c r="AI22" s="1" t="s">
        <v>57</v>
      </c>
      <c r="AJ22" s="1" t="s">
        <v>57</v>
      </c>
      <c r="AK22" s="1" t="s">
        <v>56</v>
      </c>
      <c r="AL22" s="1" t="s">
        <v>180</v>
      </c>
      <c r="AM22" s="1" t="s">
        <v>57</v>
      </c>
      <c r="AN22" s="1" t="s">
        <v>56</v>
      </c>
      <c r="AO22" s="1" t="s">
        <v>181</v>
      </c>
      <c r="AP22" s="1" t="s">
        <v>57</v>
      </c>
      <c r="AQ22" s="1" t="s">
        <v>56</v>
      </c>
      <c r="AR22" s="1" t="s">
        <v>59</v>
      </c>
      <c r="AS22" s="1" t="s">
        <v>60</v>
      </c>
    </row>
    <row r="23" spans="1:45" x14ac:dyDescent="0.25">
      <c r="A23" s="1" t="s">
        <v>182</v>
      </c>
      <c r="B23" s="1" t="s">
        <v>183</v>
      </c>
      <c r="C23" s="1" t="s">
        <v>47</v>
      </c>
      <c r="D23" s="1" t="s">
        <v>48</v>
      </c>
      <c r="E23" s="1" t="s">
        <v>49</v>
      </c>
      <c r="F23" s="1" t="s">
        <v>49</v>
      </c>
      <c r="G23" s="1" t="s">
        <v>50</v>
      </c>
      <c r="H23" s="1" t="s">
        <v>51</v>
      </c>
      <c r="I23" s="1" t="s">
        <v>184</v>
      </c>
      <c r="J23" s="1" t="s">
        <v>185</v>
      </c>
      <c r="K23" s="1" t="s">
        <v>186</v>
      </c>
      <c r="L23" s="1" t="s">
        <v>55</v>
      </c>
      <c r="M23" s="1" t="s">
        <v>55</v>
      </c>
      <c r="N23" s="1" t="s">
        <v>55</v>
      </c>
      <c r="O23" s="1" t="s">
        <v>55</v>
      </c>
      <c r="P23" s="1" t="s">
        <v>55</v>
      </c>
      <c r="Q23" s="1" t="s">
        <v>55</v>
      </c>
      <c r="R23" s="1" t="s">
        <v>55</v>
      </c>
      <c r="S23" s="1" t="s">
        <v>55</v>
      </c>
      <c r="T23" s="1" t="s">
        <v>55</v>
      </c>
      <c r="U23" s="1" t="s">
        <v>55</v>
      </c>
      <c r="V23" s="1" t="s">
        <v>55</v>
      </c>
      <c r="W23" s="1" t="s">
        <v>55</v>
      </c>
      <c r="X23" s="1" t="s">
        <v>55</v>
      </c>
      <c r="Y23" s="1" t="s">
        <v>50</v>
      </c>
      <c r="Z23" t="str">
        <f>_xll.BDP($B23,"CUST_TRR_RETURN_HOLDING_PER","CUST_TRR_START_DT","20260401","CUST_TRR_END_DT","20260430","CUST_TRR_CRNCY","USD")</f>
        <v>#N/A N/A</v>
      </c>
      <c r="AA23" t="str">
        <f>_xll.BDP($B23,"CUST_TRR_RETURN_HOLDING_PER","CUST_TRR_START_DT","20260501","CUST_TRR_END_DT","20260531","CUST_TRR_CRNCY","USD")</f>
        <v>#N/A N/A</v>
      </c>
      <c r="AB23">
        <f>_xll.BDP($B23,"CUST_TRR_RETURN_HOLDING_PER","CUST_TRR_START_DT","20260601","CUST_TRR_END_DT","20260630","CUST_TRR_CRNCY","USD")</f>
        <v>-14.54753</v>
      </c>
      <c r="AC23" s="1" t="s">
        <v>56</v>
      </c>
      <c r="AD23" s="1" t="s">
        <v>56</v>
      </c>
      <c r="AE23" s="1" t="s">
        <v>56</v>
      </c>
      <c r="AF23" s="1" t="s">
        <v>56</v>
      </c>
      <c r="AG23" s="1" t="s">
        <v>56</v>
      </c>
      <c r="AH23" s="1" t="s">
        <v>56</v>
      </c>
      <c r="AI23" s="1" t="s">
        <v>57</v>
      </c>
      <c r="AJ23" s="1" t="s">
        <v>57</v>
      </c>
      <c r="AK23" s="1" t="s">
        <v>56</v>
      </c>
      <c r="AL23" s="1" t="s">
        <v>57</v>
      </c>
      <c r="AM23" s="1" t="s">
        <v>57</v>
      </c>
      <c r="AN23" s="1" t="s">
        <v>56</v>
      </c>
      <c r="AO23" s="1" t="s">
        <v>58</v>
      </c>
      <c r="AP23" s="1" t="s">
        <v>57</v>
      </c>
      <c r="AQ23" s="1" t="s">
        <v>56</v>
      </c>
      <c r="AR23" s="1" t="s">
        <v>59</v>
      </c>
      <c r="AS23" s="1" t="s">
        <v>60</v>
      </c>
    </row>
    <row r="24" spans="1:45" x14ac:dyDescent="0.25">
      <c r="A24" s="1" t="s">
        <v>187</v>
      </c>
      <c r="B24" s="1" t="s">
        <v>188</v>
      </c>
      <c r="C24" s="1" t="s">
        <v>47</v>
      </c>
      <c r="D24" s="1" t="s">
        <v>48</v>
      </c>
      <c r="E24" s="1" t="s">
        <v>49</v>
      </c>
      <c r="F24" s="1" t="s">
        <v>49</v>
      </c>
      <c r="G24" s="1" t="s">
        <v>50</v>
      </c>
      <c r="H24" s="1" t="s">
        <v>51</v>
      </c>
      <c r="I24" s="1" t="s">
        <v>189</v>
      </c>
      <c r="J24" s="1" t="s">
        <v>190</v>
      </c>
      <c r="K24" s="1" t="s">
        <v>191</v>
      </c>
      <c r="L24" s="1" t="s">
        <v>55</v>
      </c>
      <c r="M24" s="1" t="s">
        <v>55</v>
      </c>
      <c r="N24" s="1" t="s">
        <v>55</v>
      </c>
      <c r="O24" s="1" t="s">
        <v>55</v>
      </c>
      <c r="P24" s="1" t="s">
        <v>55</v>
      </c>
      <c r="Q24" s="1" t="s">
        <v>55</v>
      </c>
      <c r="R24" s="1" t="s">
        <v>55</v>
      </c>
      <c r="S24" s="1" t="s">
        <v>55</v>
      </c>
      <c r="T24" s="1" t="s">
        <v>55</v>
      </c>
      <c r="U24" s="1" t="s">
        <v>55</v>
      </c>
      <c r="V24" s="1" t="s">
        <v>55</v>
      </c>
      <c r="W24" s="1" t="s">
        <v>55</v>
      </c>
      <c r="X24" s="1" t="s">
        <v>55</v>
      </c>
      <c r="Y24" s="1" t="s">
        <v>50</v>
      </c>
      <c r="Z24" t="str">
        <f>_xll.BDP($B24,"CUST_TRR_RETURN_HOLDING_PER","CUST_TRR_START_DT","20260401","CUST_TRR_END_DT","20260430","CUST_TRR_CRNCY","USD")</f>
        <v>#N/A N/A</v>
      </c>
      <c r="AA24" t="str">
        <f>_xll.BDP($B24,"CUST_TRR_RETURN_HOLDING_PER","CUST_TRR_START_DT","20260501","CUST_TRR_END_DT","20260531","CUST_TRR_CRNCY","USD")</f>
        <v>#N/A N/A</v>
      </c>
      <c r="AB24">
        <f>_xll.BDP($B24,"CUST_TRR_RETURN_HOLDING_PER","CUST_TRR_START_DT","20260601","CUST_TRR_END_DT","20260630","CUST_TRR_CRNCY","USD")</f>
        <v>-1.2039070000000001</v>
      </c>
      <c r="AC24" s="1" t="s">
        <v>56</v>
      </c>
      <c r="AD24" s="1" t="s">
        <v>56</v>
      </c>
      <c r="AE24" s="1" t="s">
        <v>56</v>
      </c>
      <c r="AF24" s="1" t="s">
        <v>56</v>
      </c>
      <c r="AG24" s="1" t="s">
        <v>56</v>
      </c>
      <c r="AH24" s="1" t="s">
        <v>56</v>
      </c>
      <c r="AI24" s="1" t="s">
        <v>57</v>
      </c>
      <c r="AJ24" s="1" t="s">
        <v>57</v>
      </c>
      <c r="AK24" s="1" t="s">
        <v>56</v>
      </c>
      <c r="AL24" s="1" t="s">
        <v>57</v>
      </c>
      <c r="AM24" s="1" t="s">
        <v>57</v>
      </c>
      <c r="AN24" s="1" t="s">
        <v>56</v>
      </c>
      <c r="AO24" s="1" t="s">
        <v>169</v>
      </c>
      <c r="AP24" s="1" t="s">
        <v>57</v>
      </c>
      <c r="AQ24" s="1" t="s">
        <v>56</v>
      </c>
      <c r="AR24" s="1" t="s">
        <v>59</v>
      </c>
      <c r="AS24" s="1" t="s">
        <v>60</v>
      </c>
    </row>
    <row r="25" spans="1:45" x14ac:dyDescent="0.25">
      <c r="A25" s="1" t="s">
        <v>192</v>
      </c>
      <c r="B25" s="1" t="s">
        <v>193</v>
      </c>
      <c r="C25" s="1" t="s">
        <v>47</v>
      </c>
      <c r="D25" s="1" t="s">
        <v>48</v>
      </c>
      <c r="E25" s="1" t="s">
        <v>49</v>
      </c>
      <c r="F25" s="1" t="s">
        <v>49</v>
      </c>
      <c r="G25" s="1" t="s">
        <v>50</v>
      </c>
      <c r="H25" s="1" t="s">
        <v>51</v>
      </c>
      <c r="I25" s="1" t="s">
        <v>194</v>
      </c>
      <c r="J25" s="1" t="s">
        <v>195</v>
      </c>
      <c r="K25" s="1" t="s">
        <v>196</v>
      </c>
      <c r="L25" s="1" t="s">
        <v>55</v>
      </c>
      <c r="M25" s="1" t="s">
        <v>55</v>
      </c>
      <c r="N25" s="1" t="s">
        <v>55</v>
      </c>
      <c r="O25" s="1" t="s">
        <v>55</v>
      </c>
      <c r="P25" s="1" t="s">
        <v>55</v>
      </c>
      <c r="Q25" s="1" t="s">
        <v>55</v>
      </c>
      <c r="R25" s="1" t="s">
        <v>55</v>
      </c>
      <c r="S25" s="1" t="s">
        <v>55</v>
      </c>
      <c r="T25" s="1" t="s">
        <v>55</v>
      </c>
      <c r="U25" s="1" t="s">
        <v>55</v>
      </c>
      <c r="V25" s="1" t="s">
        <v>55</v>
      </c>
      <c r="W25" s="1" t="s">
        <v>55</v>
      </c>
      <c r="X25" s="1" t="s">
        <v>55</v>
      </c>
      <c r="Y25" s="1" t="s">
        <v>50</v>
      </c>
      <c r="Z25" t="str">
        <f>_xll.BDP($B25,"CUST_TRR_RETURN_HOLDING_PER","CUST_TRR_START_DT","20260401","CUST_TRR_END_DT","20260430","CUST_TRR_CRNCY","USD")</f>
        <v>#N/A N/A</v>
      </c>
      <c r="AA25">
        <f>_xll.BDP($B25,"CUST_TRR_RETURN_HOLDING_PER","CUST_TRR_START_DT","20260501","CUST_TRR_END_DT","20260531","CUST_TRR_CRNCY","USD")</f>
        <v>1.269536</v>
      </c>
      <c r="AB25">
        <f>_xll.BDP($B25,"CUST_TRR_RETURN_HOLDING_PER","CUST_TRR_START_DT","20260601","CUST_TRR_END_DT","20260630","CUST_TRR_CRNCY","USD")</f>
        <v>-0.76963079999999995</v>
      </c>
      <c r="AC25" s="1" t="s">
        <v>56</v>
      </c>
      <c r="AD25" s="1" t="s">
        <v>56</v>
      </c>
      <c r="AE25" s="1" t="s">
        <v>56</v>
      </c>
      <c r="AF25" s="1" t="s">
        <v>56</v>
      </c>
      <c r="AG25" s="1" t="s">
        <v>56</v>
      </c>
      <c r="AH25" s="1" t="s">
        <v>56</v>
      </c>
      <c r="AI25" s="1" t="s">
        <v>57</v>
      </c>
      <c r="AJ25" s="1" t="s">
        <v>57</v>
      </c>
      <c r="AK25" s="1" t="s">
        <v>56</v>
      </c>
      <c r="AL25" s="1" t="s">
        <v>197</v>
      </c>
      <c r="AM25" s="1" t="s">
        <v>57</v>
      </c>
      <c r="AN25" s="1" t="s">
        <v>56</v>
      </c>
      <c r="AO25" s="1" t="s">
        <v>198</v>
      </c>
      <c r="AP25" s="1" t="s">
        <v>199</v>
      </c>
      <c r="AQ25" s="1" t="s">
        <v>56</v>
      </c>
      <c r="AR25" s="1" t="s">
        <v>56</v>
      </c>
      <c r="AS25" s="1" t="s">
        <v>56</v>
      </c>
    </row>
    <row r="26" spans="1:45" x14ac:dyDescent="0.25">
      <c r="A26" s="1" t="s">
        <v>200</v>
      </c>
      <c r="B26" s="1" t="s">
        <v>201</v>
      </c>
      <c r="C26" s="1" t="s">
        <v>47</v>
      </c>
      <c r="D26" s="1" t="s">
        <v>48</v>
      </c>
      <c r="E26" s="1" t="s">
        <v>49</v>
      </c>
      <c r="F26" s="1" t="s">
        <v>49</v>
      </c>
      <c r="G26" s="1" t="s">
        <v>50</v>
      </c>
      <c r="H26" s="1" t="s">
        <v>51</v>
      </c>
      <c r="I26" s="1" t="s">
        <v>202</v>
      </c>
      <c r="J26" s="1" t="s">
        <v>57</v>
      </c>
      <c r="K26" s="1" t="s">
        <v>202</v>
      </c>
      <c r="L26" s="1" t="s">
        <v>55</v>
      </c>
      <c r="M26" s="1" t="s">
        <v>55</v>
      </c>
      <c r="N26" s="1" t="s">
        <v>55</v>
      </c>
      <c r="O26" s="1" t="s">
        <v>55</v>
      </c>
      <c r="P26" s="1" t="s">
        <v>55</v>
      </c>
      <c r="Q26" s="1" t="s">
        <v>55</v>
      </c>
      <c r="R26" s="1" t="s">
        <v>55</v>
      </c>
      <c r="S26" s="1" t="s">
        <v>55</v>
      </c>
      <c r="T26" s="1" t="s">
        <v>55</v>
      </c>
      <c r="U26" s="1" t="s">
        <v>55</v>
      </c>
      <c r="V26" s="1" t="s">
        <v>55</v>
      </c>
      <c r="W26" s="1" t="s">
        <v>55</v>
      </c>
      <c r="X26" s="1" t="s">
        <v>55</v>
      </c>
      <c r="Y26" s="1" t="s">
        <v>50</v>
      </c>
      <c r="Z26" t="str">
        <f>_xll.BDP($B26,"CUST_TRR_RETURN_HOLDING_PER","CUST_TRR_START_DT","20260401","CUST_TRR_END_DT","20260430","CUST_TRR_CRNCY","USD")</f>
        <v>#N/A N/A</v>
      </c>
      <c r="AA26" t="str">
        <f>_xll.BDP($B26,"CUST_TRR_RETURN_HOLDING_PER","CUST_TRR_START_DT","20260501","CUST_TRR_END_DT","20260531","CUST_TRR_CRNCY","USD")</f>
        <v>#N/A N/A</v>
      </c>
      <c r="AB26">
        <f>_xll.BDP($B26,"CUST_TRR_RETURN_HOLDING_PER","CUST_TRR_START_DT","20260601","CUST_TRR_END_DT","20260630","CUST_TRR_CRNCY","USD")</f>
        <v>0.17566280000000001</v>
      </c>
      <c r="AC26" s="1" t="s">
        <v>56</v>
      </c>
      <c r="AD26" s="1" t="s">
        <v>56</v>
      </c>
      <c r="AE26" s="1" t="s">
        <v>56</v>
      </c>
      <c r="AF26" s="1" t="s">
        <v>56</v>
      </c>
      <c r="AG26" s="1" t="s">
        <v>56</v>
      </c>
      <c r="AH26" s="1" t="s">
        <v>56</v>
      </c>
      <c r="AI26" s="1" t="s">
        <v>57</v>
      </c>
      <c r="AJ26" s="1" t="s">
        <v>57</v>
      </c>
      <c r="AK26" s="1" t="s">
        <v>56</v>
      </c>
      <c r="AL26" s="1" t="s">
        <v>57</v>
      </c>
      <c r="AM26" s="1" t="s">
        <v>57</v>
      </c>
      <c r="AN26" s="1" t="s">
        <v>56</v>
      </c>
      <c r="AO26" s="1" t="s">
        <v>203</v>
      </c>
      <c r="AP26" s="1" t="s">
        <v>57</v>
      </c>
      <c r="AQ26" s="1" t="s">
        <v>56</v>
      </c>
      <c r="AR26" s="1" t="s">
        <v>204</v>
      </c>
      <c r="AS26" s="1" t="s">
        <v>205</v>
      </c>
    </row>
    <row r="27" spans="1:45" x14ac:dyDescent="0.25">
      <c r="A27" s="1" t="s">
        <v>206</v>
      </c>
      <c r="B27" s="1" t="s">
        <v>207</v>
      </c>
      <c r="C27" s="1" t="s">
        <v>47</v>
      </c>
      <c r="D27" s="1" t="s">
        <v>48</v>
      </c>
      <c r="E27" s="1" t="s">
        <v>49</v>
      </c>
      <c r="F27" s="1" t="s">
        <v>49</v>
      </c>
      <c r="G27" s="1" t="s">
        <v>50</v>
      </c>
      <c r="H27" s="1" t="s">
        <v>51</v>
      </c>
      <c r="I27" s="1" t="s">
        <v>208</v>
      </c>
      <c r="J27" s="1" t="s">
        <v>57</v>
      </c>
      <c r="K27" s="1" t="s">
        <v>208</v>
      </c>
      <c r="L27" s="1" t="s">
        <v>55</v>
      </c>
      <c r="M27" s="1" t="s">
        <v>55</v>
      </c>
      <c r="N27" s="1" t="s">
        <v>55</v>
      </c>
      <c r="O27" s="1" t="s">
        <v>55</v>
      </c>
      <c r="P27" s="1" t="s">
        <v>55</v>
      </c>
      <c r="Q27" s="1" t="s">
        <v>55</v>
      </c>
      <c r="R27" s="1" t="s">
        <v>55</v>
      </c>
      <c r="S27" s="1" t="s">
        <v>55</v>
      </c>
      <c r="T27" s="1" t="s">
        <v>55</v>
      </c>
      <c r="U27" s="1" t="s">
        <v>55</v>
      </c>
      <c r="V27" s="1" t="s">
        <v>55</v>
      </c>
      <c r="W27" s="1" t="s">
        <v>55</v>
      </c>
      <c r="X27" s="1" t="s">
        <v>55</v>
      </c>
      <c r="Y27" s="1" t="s">
        <v>50</v>
      </c>
      <c r="Z27" t="str">
        <f>_xll.BDP($B27,"CUST_TRR_RETURN_HOLDING_PER","CUST_TRR_START_DT","20260401","CUST_TRR_END_DT","20260430","CUST_TRR_CRNCY","USD")</f>
        <v>#N/A N/A</v>
      </c>
      <c r="AA27">
        <f>_xll.BDP($B27,"CUST_TRR_RETURN_HOLDING_PER","CUST_TRR_START_DT","20260501","CUST_TRR_END_DT","20260531","CUST_TRR_CRNCY","USD")</f>
        <v>27.94623</v>
      </c>
      <c r="AB27">
        <f>_xll.BDP($B27,"CUST_TRR_RETURN_HOLDING_PER","CUST_TRR_START_DT","20260601","CUST_TRR_END_DT","20260630","CUST_TRR_CRNCY","USD")</f>
        <v>-15.698589999999999</v>
      </c>
      <c r="AC27" s="1" t="s">
        <v>56</v>
      </c>
      <c r="AD27" s="1" t="s">
        <v>56</v>
      </c>
      <c r="AE27" s="1" t="s">
        <v>56</v>
      </c>
      <c r="AF27" s="1" t="s">
        <v>56</v>
      </c>
      <c r="AG27" s="1" t="s">
        <v>56</v>
      </c>
      <c r="AH27" s="1" t="s">
        <v>56</v>
      </c>
      <c r="AI27" s="1" t="s">
        <v>57</v>
      </c>
      <c r="AJ27" s="1" t="s">
        <v>57</v>
      </c>
      <c r="AK27" s="1" t="s">
        <v>56</v>
      </c>
      <c r="AL27" s="1" t="s">
        <v>209</v>
      </c>
      <c r="AM27" s="1" t="s">
        <v>57</v>
      </c>
      <c r="AN27" s="1" t="s">
        <v>56</v>
      </c>
      <c r="AO27" s="1" t="s">
        <v>57</v>
      </c>
      <c r="AP27" s="1" t="s">
        <v>57</v>
      </c>
      <c r="AQ27" s="1" t="s">
        <v>56</v>
      </c>
      <c r="AR27" s="1" t="s">
        <v>59</v>
      </c>
      <c r="AS27" s="1" t="s">
        <v>60</v>
      </c>
    </row>
    <row r="28" spans="1:45" x14ac:dyDescent="0.25">
      <c r="A28" s="1" t="s">
        <v>210</v>
      </c>
      <c r="B28" s="1" t="s">
        <v>211</v>
      </c>
      <c r="C28" s="1" t="s">
        <v>47</v>
      </c>
      <c r="D28" s="1" t="s">
        <v>48</v>
      </c>
      <c r="E28" s="1" t="s">
        <v>49</v>
      </c>
      <c r="F28" s="1" t="s">
        <v>49</v>
      </c>
      <c r="G28" s="1" t="s">
        <v>50</v>
      </c>
      <c r="H28" s="1" t="s">
        <v>51</v>
      </c>
      <c r="I28" s="1" t="s">
        <v>212</v>
      </c>
      <c r="J28" s="1" t="s">
        <v>57</v>
      </c>
      <c r="K28" s="1" t="s">
        <v>212</v>
      </c>
      <c r="L28" s="1" t="s">
        <v>55</v>
      </c>
      <c r="M28" s="1" t="s">
        <v>55</v>
      </c>
      <c r="N28" s="1" t="s">
        <v>55</v>
      </c>
      <c r="O28" s="1" t="s">
        <v>55</v>
      </c>
      <c r="P28" s="1" t="s">
        <v>55</v>
      </c>
      <c r="Q28" s="1" t="s">
        <v>55</v>
      </c>
      <c r="R28" s="1" t="s">
        <v>55</v>
      </c>
      <c r="S28" s="1" t="s">
        <v>55</v>
      </c>
      <c r="T28" s="1" t="s">
        <v>55</v>
      </c>
      <c r="U28" s="1" t="s">
        <v>55</v>
      </c>
      <c r="V28" s="1" t="s">
        <v>55</v>
      </c>
      <c r="W28" s="1" t="s">
        <v>55</v>
      </c>
      <c r="X28" s="1" t="s">
        <v>55</v>
      </c>
      <c r="Y28" s="1" t="s">
        <v>50</v>
      </c>
      <c r="Z28" t="str">
        <f>_xll.BDP($B28,"CUST_TRR_RETURN_HOLDING_PER","CUST_TRR_START_DT","20260401","CUST_TRR_END_DT","20260430","CUST_TRR_CRNCY","USD")</f>
        <v>#N/A N/A</v>
      </c>
      <c r="AA28">
        <f>_xll.BDP($B28,"CUST_TRR_RETURN_HOLDING_PER","CUST_TRR_START_DT","20260501","CUST_TRR_END_DT","20260531","CUST_TRR_CRNCY","USD")</f>
        <v>1.810934</v>
      </c>
      <c r="AB28">
        <f>_xll.BDP($B28,"CUST_TRR_RETURN_HOLDING_PER","CUST_TRR_START_DT","20260601","CUST_TRR_END_DT","20260630","CUST_TRR_CRNCY","USD")</f>
        <v>0.82427819999999996</v>
      </c>
      <c r="AC28" s="1" t="s">
        <v>56</v>
      </c>
      <c r="AD28" s="1" t="s">
        <v>56</v>
      </c>
      <c r="AE28" s="1" t="s">
        <v>56</v>
      </c>
      <c r="AF28" s="1" t="s">
        <v>56</v>
      </c>
      <c r="AG28" s="1" t="s">
        <v>56</v>
      </c>
      <c r="AH28" s="1" t="s">
        <v>56</v>
      </c>
      <c r="AI28" s="1" t="s">
        <v>57</v>
      </c>
      <c r="AJ28" s="1" t="s">
        <v>57</v>
      </c>
      <c r="AK28" s="1" t="s">
        <v>56</v>
      </c>
      <c r="AL28" s="1" t="s">
        <v>213</v>
      </c>
      <c r="AM28" s="1" t="s">
        <v>57</v>
      </c>
      <c r="AN28" s="1" t="s">
        <v>56</v>
      </c>
      <c r="AO28" s="1" t="s">
        <v>57</v>
      </c>
      <c r="AP28" s="1" t="s">
        <v>57</v>
      </c>
      <c r="AQ28" s="1" t="s">
        <v>56</v>
      </c>
      <c r="AR28" s="1" t="s">
        <v>56</v>
      </c>
      <c r="AS28" s="1" t="s">
        <v>56</v>
      </c>
    </row>
    <row r="29" spans="1:45" x14ac:dyDescent="0.25">
      <c r="A29" s="1" t="s">
        <v>214</v>
      </c>
      <c r="B29" s="1" t="s">
        <v>215</v>
      </c>
      <c r="C29" s="1" t="s">
        <v>47</v>
      </c>
      <c r="D29" s="1" t="s">
        <v>48</v>
      </c>
      <c r="E29" s="1" t="s">
        <v>49</v>
      </c>
      <c r="F29" s="1" t="s">
        <v>49</v>
      </c>
      <c r="G29" s="1" t="s">
        <v>50</v>
      </c>
      <c r="H29" s="1" t="s">
        <v>51</v>
      </c>
      <c r="I29" s="1" t="s">
        <v>216</v>
      </c>
      <c r="J29" s="1" t="s">
        <v>217</v>
      </c>
      <c r="K29" s="1" t="s">
        <v>218</v>
      </c>
      <c r="L29" s="1" t="s">
        <v>55</v>
      </c>
      <c r="M29" s="1" t="s">
        <v>55</v>
      </c>
      <c r="N29" s="1" t="s">
        <v>55</v>
      </c>
      <c r="O29" s="1" t="s">
        <v>55</v>
      </c>
      <c r="P29" s="1" t="s">
        <v>55</v>
      </c>
      <c r="Q29" s="1" t="s">
        <v>55</v>
      </c>
      <c r="R29" s="1" t="s">
        <v>55</v>
      </c>
      <c r="S29" s="1" t="s">
        <v>55</v>
      </c>
      <c r="T29" s="1" t="s">
        <v>55</v>
      </c>
      <c r="U29" s="1" t="s">
        <v>55</v>
      </c>
      <c r="V29" s="1" t="s">
        <v>55</v>
      </c>
      <c r="W29" s="1" t="s">
        <v>55</v>
      </c>
      <c r="X29" s="1" t="s">
        <v>55</v>
      </c>
      <c r="Y29" s="1" t="s">
        <v>50</v>
      </c>
      <c r="Z29" t="str">
        <f>_xll.BDP($B29,"CUST_TRR_RETURN_HOLDING_PER","CUST_TRR_START_DT","20260401","CUST_TRR_END_DT","20260430","CUST_TRR_CRNCY","USD")</f>
        <v>#N/A N/A</v>
      </c>
      <c r="AA29" t="str">
        <f>_xll.BDP($B29,"CUST_TRR_RETURN_HOLDING_PER","CUST_TRR_START_DT","20260501","CUST_TRR_END_DT","20260531","CUST_TRR_CRNCY","USD")</f>
        <v>#N/A N/A</v>
      </c>
      <c r="AB29">
        <f>_xll.BDP($B29,"CUST_TRR_RETURN_HOLDING_PER","CUST_TRR_START_DT","20260601","CUST_TRR_END_DT","20260630","CUST_TRR_CRNCY","USD")</f>
        <v>-2.7435420000000001</v>
      </c>
      <c r="AC29" s="1" t="s">
        <v>56</v>
      </c>
      <c r="AD29" s="1" t="s">
        <v>56</v>
      </c>
      <c r="AE29" s="1" t="s">
        <v>56</v>
      </c>
      <c r="AF29" s="1" t="s">
        <v>56</v>
      </c>
      <c r="AG29" s="1" t="s">
        <v>56</v>
      </c>
      <c r="AH29" s="1" t="s">
        <v>56</v>
      </c>
      <c r="AI29" s="1" t="s">
        <v>57</v>
      </c>
      <c r="AJ29" s="1" t="s">
        <v>57</v>
      </c>
      <c r="AK29" s="1" t="s">
        <v>56</v>
      </c>
      <c r="AL29" s="1" t="s">
        <v>57</v>
      </c>
      <c r="AM29" s="1" t="s">
        <v>57</v>
      </c>
      <c r="AN29" s="1" t="s">
        <v>56</v>
      </c>
      <c r="AO29" s="1" t="s">
        <v>219</v>
      </c>
      <c r="AP29" s="1" t="s">
        <v>57</v>
      </c>
      <c r="AQ29" s="1" t="s">
        <v>56</v>
      </c>
      <c r="AR29" s="1" t="s">
        <v>220</v>
      </c>
      <c r="AS29" s="1" t="s">
        <v>221</v>
      </c>
    </row>
    <row r="30" spans="1:45" x14ac:dyDescent="0.25">
      <c r="A30" s="1" t="s">
        <v>222</v>
      </c>
      <c r="B30" s="1" t="s">
        <v>223</v>
      </c>
      <c r="C30" s="1" t="s">
        <v>47</v>
      </c>
      <c r="D30" s="1" t="s">
        <v>48</v>
      </c>
      <c r="E30" s="1" t="s">
        <v>49</v>
      </c>
      <c r="F30" s="1" t="s">
        <v>49</v>
      </c>
      <c r="G30" s="1" t="s">
        <v>50</v>
      </c>
      <c r="H30" s="1" t="s">
        <v>51</v>
      </c>
      <c r="I30" s="1" t="s">
        <v>224</v>
      </c>
      <c r="J30" s="1" t="s">
        <v>225</v>
      </c>
      <c r="K30" s="1" t="s">
        <v>226</v>
      </c>
      <c r="L30" s="1" t="s">
        <v>55</v>
      </c>
      <c r="M30" s="1" t="s">
        <v>55</v>
      </c>
      <c r="N30" s="1" t="s">
        <v>55</v>
      </c>
      <c r="O30" s="1" t="s">
        <v>55</v>
      </c>
      <c r="P30" s="1" t="s">
        <v>55</v>
      </c>
      <c r="Q30" s="1" t="s">
        <v>55</v>
      </c>
      <c r="R30" s="1" t="s">
        <v>55</v>
      </c>
      <c r="S30" s="1" t="s">
        <v>55</v>
      </c>
      <c r="T30" s="1" t="s">
        <v>55</v>
      </c>
      <c r="U30" s="1" t="s">
        <v>55</v>
      </c>
      <c r="V30" s="1" t="s">
        <v>55</v>
      </c>
      <c r="W30" s="1" t="s">
        <v>55</v>
      </c>
      <c r="X30" s="1" t="s">
        <v>55</v>
      </c>
      <c r="Y30" s="1" t="s">
        <v>50</v>
      </c>
      <c r="Z30" t="str">
        <f>_xll.BDP($B30,"CUST_TRR_RETURN_HOLDING_PER","CUST_TRR_START_DT","20260401","CUST_TRR_END_DT","20260430","CUST_TRR_CRNCY","USD")</f>
        <v>#N/A N/A</v>
      </c>
      <c r="AA30">
        <f>_xll.BDP($B30,"CUST_TRR_RETURN_HOLDING_PER","CUST_TRR_START_DT","20260501","CUST_TRR_END_DT","20260531","CUST_TRR_CRNCY","USD")</f>
        <v>-1.4445460000000001</v>
      </c>
      <c r="AB30">
        <f>_xll.BDP($B30,"CUST_TRR_RETURN_HOLDING_PER","CUST_TRR_START_DT","20260601","CUST_TRR_END_DT","20260630","CUST_TRR_CRNCY","USD")</f>
        <v>-1.027336</v>
      </c>
      <c r="AC30" s="1" t="s">
        <v>56</v>
      </c>
      <c r="AD30" s="1" t="s">
        <v>56</v>
      </c>
      <c r="AE30" s="1" t="s">
        <v>56</v>
      </c>
      <c r="AF30" s="1" t="s">
        <v>56</v>
      </c>
      <c r="AG30" s="1" t="s">
        <v>56</v>
      </c>
      <c r="AH30" s="1" t="s">
        <v>56</v>
      </c>
      <c r="AI30" s="1" t="s">
        <v>57</v>
      </c>
      <c r="AJ30" s="1" t="s">
        <v>57</v>
      </c>
      <c r="AK30" s="1" t="s">
        <v>56</v>
      </c>
      <c r="AL30" s="1" t="s">
        <v>227</v>
      </c>
      <c r="AM30" s="1" t="s">
        <v>228</v>
      </c>
      <c r="AN30" s="1" t="s">
        <v>56</v>
      </c>
      <c r="AO30" s="1" t="s">
        <v>229</v>
      </c>
      <c r="AP30" s="1" t="s">
        <v>230</v>
      </c>
      <c r="AQ30" s="1" t="s">
        <v>56</v>
      </c>
      <c r="AR30" s="1" t="s">
        <v>220</v>
      </c>
      <c r="AS30" s="1" t="s">
        <v>221</v>
      </c>
    </row>
    <row r="31" spans="1:45" x14ac:dyDescent="0.25">
      <c r="A31" s="1" t="s">
        <v>231</v>
      </c>
      <c r="B31" s="1" t="s">
        <v>232</v>
      </c>
      <c r="C31" s="1" t="s">
        <v>47</v>
      </c>
      <c r="D31" s="1" t="s">
        <v>48</v>
      </c>
      <c r="E31" s="1" t="s">
        <v>49</v>
      </c>
      <c r="F31" s="1" t="s">
        <v>49</v>
      </c>
      <c r="G31" s="1" t="s">
        <v>50</v>
      </c>
      <c r="H31" s="1" t="s">
        <v>51</v>
      </c>
      <c r="I31" s="1" t="s">
        <v>233</v>
      </c>
      <c r="J31" s="1" t="s">
        <v>234</v>
      </c>
      <c r="K31" s="1" t="s">
        <v>235</v>
      </c>
      <c r="L31" s="1" t="s">
        <v>55</v>
      </c>
      <c r="M31" s="1" t="s">
        <v>55</v>
      </c>
      <c r="N31" s="1" t="s">
        <v>55</v>
      </c>
      <c r="O31" s="1" t="s">
        <v>55</v>
      </c>
      <c r="P31" s="1" t="s">
        <v>55</v>
      </c>
      <c r="Q31" s="1" t="s">
        <v>55</v>
      </c>
      <c r="R31" s="1" t="s">
        <v>55</v>
      </c>
      <c r="S31" s="1" t="s">
        <v>55</v>
      </c>
      <c r="T31" s="1" t="s">
        <v>55</v>
      </c>
      <c r="U31" s="1" t="s">
        <v>55</v>
      </c>
      <c r="V31" s="1" t="s">
        <v>55</v>
      </c>
      <c r="W31" s="1" t="s">
        <v>55</v>
      </c>
      <c r="X31" s="1" t="s">
        <v>55</v>
      </c>
      <c r="Y31" s="1" t="s">
        <v>50</v>
      </c>
      <c r="Z31" t="str">
        <f>_xll.BDP($B31,"CUST_TRR_RETURN_HOLDING_PER","CUST_TRR_START_DT","20260401","CUST_TRR_END_DT","20260430","CUST_TRR_CRNCY","USD")</f>
        <v>#N/A N/A</v>
      </c>
      <c r="AA31" t="str">
        <f>_xll.BDP($B31,"CUST_TRR_RETURN_HOLDING_PER","CUST_TRR_START_DT","20260501","CUST_TRR_END_DT","20260531","CUST_TRR_CRNCY","USD")</f>
        <v>#N/A N/A</v>
      </c>
      <c r="AB31">
        <f>_xll.BDP($B31,"CUST_TRR_RETURN_HOLDING_PER","CUST_TRR_START_DT","20260601","CUST_TRR_END_DT","20260630","CUST_TRR_CRNCY","USD")</f>
        <v>-4.7529199999999996</v>
      </c>
      <c r="AC31" s="1" t="s">
        <v>56</v>
      </c>
      <c r="AD31" s="1" t="s">
        <v>56</v>
      </c>
      <c r="AE31" s="1" t="s">
        <v>56</v>
      </c>
      <c r="AF31" s="1" t="s">
        <v>56</v>
      </c>
      <c r="AG31" s="1" t="s">
        <v>56</v>
      </c>
      <c r="AH31" s="1" t="s">
        <v>56</v>
      </c>
      <c r="AI31" s="1" t="s">
        <v>57</v>
      </c>
      <c r="AJ31" s="1" t="s">
        <v>57</v>
      </c>
      <c r="AK31" s="1" t="s">
        <v>56</v>
      </c>
      <c r="AL31" s="1" t="s">
        <v>57</v>
      </c>
      <c r="AM31" s="1" t="s">
        <v>57</v>
      </c>
      <c r="AN31" s="1" t="s">
        <v>56</v>
      </c>
      <c r="AO31" s="1" t="s">
        <v>236</v>
      </c>
      <c r="AP31" s="1" t="s">
        <v>57</v>
      </c>
      <c r="AQ31" s="1" t="s">
        <v>56</v>
      </c>
      <c r="AR31" s="1" t="s">
        <v>89</v>
      </c>
      <c r="AS31" s="1" t="s">
        <v>90</v>
      </c>
    </row>
    <row r="32" spans="1:45" x14ac:dyDescent="0.25">
      <c r="A32" s="1" t="s">
        <v>237</v>
      </c>
      <c r="B32" s="1" t="s">
        <v>238</v>
      </c>
      <c r="C32" s="1" t="s">
        <v>47</v>
      </c>
      <c r="D32" s="1" t="s">
        <v>48</v>
      </c>
      <c r="E32" s="1" t="s">
        <v>49</v>
      </c>
      <c r="F32" s="1" t="s">
        <v>49</v>
      </c>
      <c r="G32" s="1" t="s">
        <v>50</v>
      </c>
      <c r="H32" s="1" t="s">
        <v>51</v>
      </c>
      <c r="I32" s="1" t="s">
        <v>239</v>
      </c>
      <c r="J32" s="1" t="s">
        <v>57</v>
      </c>
      <c r="K32" s="1" t="s">
        <v>239</v>
      </c>
      <c r="L32" s="1" t="s">
        <v>55</v>
      </c>
      <c r="M32" s="1" t="s">
        <v>55</v>
      </c>
      <c r="N32" s="1" t="s">
        <v>55</v>
      </c>
      <c r="O32" s="1" t="s">
        <v>55</v>
      </c>
      <c r="P32" s="1" t="s">
        <v>55</v>
      </c>
      <c r="Q32" s="1" t="s">
        <v>55</v>
      </c>
      <c r="R32" s="1" t="s">
        <v>55</v>
      </c>
      <c r="S32" s="1" t="s">
        <v>55</v>
      </c>
      <c r="T32" s="1" t="s">
        <v>55</v>
      </c>
      <c r="U32" s="1" t="s">
        <v>55</v>
      </c>
      <c r="V32" s="1" t="s">
        <v>55</v>
      </c>
      <c r="W32" s="1" t="s">
        <v>55</v>
      </c>
      <c r="X32" s="1" t="s">
        <v>55</v>
      </c>
      <c r="Y32" s="1" t="s">
        <v>50</v>
      </c>
      <c r="Z32" t="str">
        <f>_xll.BDP($B32,"CUST_TRR_RETURN_HOLDING_PER","CUST_TRR_START_DT","20260401","CUST_TRR_END_DT","20260430","CUST_TRR_CRNCY","USD")</f>
        <v>#N/A N/A</v>
      </c>
      <c r="AA32">
        <f>_xll.BDP($B32,"CUST_TRR_RETURN_HOLDING_PER","CUST_TRR_START_DT","20260501","CUST_TRR_END_DT","20260531","CUST_TRR_CRNCY","USD")</f>
        <v>2.001525</v>
      </c>
      <c r="AB32">
        <f>_xll.BDP($B32,"CUST_TRR_RETURN_HOLDING_PER","CUST_TRR_START_DT","20260601","CUST_TRR_END_DT","20260630","CUST_TRR_CRNCY","USD")</f>
        <v>16.91799</v>
      </c>
      <c r="AC32" s="1" t="s">
        <v>56</v>
      </c>
      <c r="AD32" s="1" t="s">
        <v>56</v>
      </c>
      <c r="AE32" s="1" t="s">
        <v>56</v>
      </c>
      <c r="AF32" s="1" t="s">
        <v>56</v>
      </c>
      <c r="AG32" s="1" t="s">
        <v>56</v>
      </c>
      <c r="AH32" s="1" t="s">
        <v>56</v>
      </c>
      <c r="AI32" s="1" t="s">
        <v>57</v>
      </c>
      <c r="AJ32" s="1" t="s">
        <v>57</v>
      </c>
      <c r="AK32" s="1" t="s">
        <v>56</v>
      </c>
      <c r="AL32" s="1" t="s">
        <v>240</v>
      </c>
      <c r="AM32" s="1" t="s">
        <v>241</v>
      </c>
      <c r="AN32" s="1" t="s">
        <v>56</v>
      </c>
      <c r="AO32" s="1" t="s">
        <v>242</v>
      </c>
      <c r="AP32" s="1" t="s">
        <v>243</v>
      </c>
      <c r="AQ32" s="1" t="s">
        <v>56</v>
      </c>
      <c r="AR32" s="1" t="s">
        <v>59</v>
      </c>
      <c r="AS32" s="1" t="s">
        <v>60</v>
      </c>
    </row>
    <row r="33" spans="1:45" x14ac:dyDescent="0.25">
      <c r="A33" s="1" t="s">
        <v>244</v>
      </c>
      <c r="B33" s="1" t="s">
        <v>245</v>
      </c>
      <c r="C33" s="1" t="s">
        <v>47</v>
      </c>
      <c r="D33" s="1" t="s">
        <v>48</v>
      </c>
      <c r="E33" s="1" t="s">
        <v>49</v>
      </c>
      <c r="F33" s="1" t="s">
        <v>49</v>
      </c>
      <c r="G33" s="1" t="s">
        <v>50</v>
      </c>
      <c r="H33" s="1" t="s">
        <v>51</v>
      </c>
      <c r="I33" s="1" t="s">
        <v>246</v>
      </c>
      <c r="J33" s="1" t="s">
        <v>247</v>
      </c>
      <c r="K33" s="1" t="s">
        <v>248</v>
      </c>
      <c r="L33" s="1" t="s">
        <v>55</v>
      </c>
      <c r="M33" s="1" t="s">
        <v>55</v>
      </c>
      <c r="N33" s="1" t="s">
        <v>55</v>
      </c>
      <c r="O33" s="1" t="s">
        <v>55</v>
      </c>
      <c r="P33" s="1" t="s">
        <v>55</v>
      </c>
      <c r="Q33" s="1" t="s">
        <v>55</v>
      </c>
      <c r="R33" s="1" t="s">
        <v>55</v>
      </c>
      <c r="S33" s="1" t="s">
        <v>55</v>
      </c>
      <c r="T33" s="1" t="s">
        <v>55</v>
      </c>
      <c r="U33" s="1" t="s">
        <v>55</v>
      </c>
      <c r="V33" s="1" t="s">
        <v>55</v>
      </c>
      <c r="W33" s="1" t="s">
        <v>55</v>
      </c>
      <c r="X33" s="1" t="s">
        <v>55</v>
      </c>
      <c r="Y33" s="1" t="s">
        <v>50</v>
      </c>
      <c r="Z33" t="str">
        <f>_xll.BDP($B33,"CUST_TRR_RETURN_HOLDING_PER","CUST_TRR_START_DT","20260401","CUST_TRR_END_DT","20260430","CUST_TRR_CRNCY","USD")</f>
        <v>#N/A N/A</v>
      </c>
      <c r="AA33" t="str">
        <f>_xll.BDP($B33,"CUST_TRR_RETURN_HOLDING_PER","CUST_TRR_START_DT","20260501","CUST_TRR_END_DT","20260531","CUST_TRR_CRNCY","USD")</f>
        <v>#N/A N/A</v>
      </c>
      <c r="AB33">
        <f>_xll.BDP($B33,"CUST_TRR_RETURN_HOLDING_PER","CUST_TRR_START_DT","20260601","CUST_TRR_END_DT","20260630","CUST_TRR_CRNCY","USD")</f>
        <v>14.204079999999999</v>
      </c>
      <c r="AC33" s="1" t="s">
        <v>56</v>
      </c>
      <c r="AD33" s="1" t="s">
        <v>56</v>
      </c>
      <c r="AE33" s="1" t="s">
        <v>56</v>
      </c>
      <c r="AF33" s="1" t="s">
        <v>56</v>
      </c>
      <c r="AG33" s="1" t="s">
        <v>56</v>
      </c>
      <c r="AH33" s="1" t="s">
        <v>56</v>
      </c>
      <c r="AI33" s="1" t="s">
        <v>57</v>
      </c>
      <c r="AJ33" s="1" t="s">
        <v>57</v>
      </c>
      <c r="AK33" s="1" t="s">
        <v>56</v>
      </c>
      <c r="AL33" s="1" t="s">
        <v>57</v>
      </c>
      <c r="AM33" s="1" t="s">
        <v>57</v>
      </c>
      <c r="AN33" s="1" t="s">
        <v>56</v>
      </c>
      <c r="AO33" s="1" t="s">
        <v>249</v>
      </c>
      <c r="AP33" s="1" t="s">
        <v>57</v>
      </c>
      <c r="AQ33" s="1" t="s">
        <v>56</v>
      </c>
      <c r="AR33" s="1" t="s">
        <v>59</v>
      </c>
      <c r="AS33" s="1" t="s">
        <v>60</v>
      </c>
    </row>
    <row r="34" spans="1:45" x14ac:dyDescent="0.25">
      <c r="A34" s="1" t="s">
        <v>250</v>
      </c>
      <c r="B34" s="1" t="s">
        <v>251</v>
      </c>
      <c r="C34" s="1" t="s">
        <v>47</v>
      </c>
      <c r="D34" s="1" t="s">
        <v>48</v>
      </c>
      <c r="E34" s="1" t="s">
        <v>49</v>
      </c>
      <c r="F34" s="1" t="s">
        <v>49</v>
      </c>
      <c r="G34" s="1" t="s">
        <v>50</v>
      </c>
      <c r="H34" s="1" t="s">
        <v>51</v>
      </c>
      <c r="I34" s="1" t="s">
        <v>252</v>
      </c>
      <c r="J34" s="1" t="s">
        <v>57</v>
      </c>
      <c r="K34" s="1" t="s">
        <v>252</v>
      </c>
      <c r="L34" s="1" t="s">
        <v>55</v>
      </c>
      <c r="M34" s="1" t="s">
        <v>55</v>
      </c>
      <c r="N34" s="1" t="s">
        <v>55</v>
      </c>
      <c r="O34" s="1" t="s">
        <v>55</v>
      </c>
      <c r="P34" s="1" t="s">
        <v>55</v>
      </c>
      <c r="Q34" s="1" t="s">
        <v>55</v>
      </c>
      <c r="R34" s="1" t="s">
        <v>55</v>
      </c>
      <c r="S34" s="1" t="s">
        <v>55</v>
      </c>
      <c r="T34" s="1" t="s">
        <v>55</v>
      </c>
      <c r="U34" s="1" t="s">
        <v>55</v>
      </c>
      <c r="V34" s="1" t="s">
        <v>55</v>
      </c>
      <c r="W34" s="1" t="s">
        <v>55</v>
      </c>
      <c r="X34" s="1" t="s">
        <v>55</v>
      </c>
      <c r="Y34" s="1" t="s">
        <v>50</v>
      </c>
      <c r="Z34" t="str">
        <f>_xll.BDP($B34,"CUST_TRR_RETURN_HOLDING_PER","CUST_TRR_START_DT","20260401","CUST_TRR_END_DT","20260430","CUST_TRR_CRNCY","USD")</f>
        <v>#N/A N/A</v>
      </c>
      <c r="AA34">
        <f>_xll.BDP($B34,"CUST_TRR_RETURN_HOLDING_PER","CUST_TRR_START_DT","20260501","CUST_TRR_END_DT","20260531","CUST_TRR_CRNCY","USD")</f>
        <v>11.086819999999999</v>
      </c>
      <c r="AB34">
        <f>_xll.BDP($B34,"CUST_TRR_RETURN_HOLDING_PER","CUST_TRR_START_DT","20260601","CUST_TRR_END_DT","20260630","CUST_TRR_CRNCY","USD")</f>
        <v>-10.20229</v>
      </c>
      <c r="AC34" s="1" t="s">
        <v>56</v>
      </c>
      <c r="AD34" s="1" t="s">
        <v>56</v>
      </c>
      <c r="AE34" s="1" t="s">
        <v>56</v>
      </c>
      <c r="AF34" s="1" t="s">
        <v>56</v>
      </c>
      <c r="AG34" s="1" t="s">
        <v>56</v>
      </c>
      <c r="AH34" s="1" t="s">
        <v>56</v>
      </c>
      <c r="AI34" s="1" t="s">
        <v>57</v>
      </c>
      <c r="AJ34" s="1" t="s">
        <v>57</v>
      </c>
      <c r="AK34" s="1" t="s">
        <v>56</v>
      </c>
      <c r="AL34" s="1" t="s">
        <v>253</v>
      </c>
      <c r="AM34" s="1" t="s">
        <v>57</v>
      </c>
      <c r="AN34" s="1" t="s">
        <v>56</v>
      </c>
      <c r="AO34" s="1" t="s">
        <v>57</v>
      </c>
      <c r="AP34" s="1" t="s">
        <v>57</v>
      </c>
      <c r="AQ34" s="1" t="s">
        <v>56</v>
      </c>
      <c r="AR34" s="1" t="s">
        <v>59</v>
      </c>
      <c r="AS34" s="1" t="s">
        <v>60</v>
      </c>
    </row>
    <row r="35" spans="1:45" x14ac:dyDescent="0.25">
      <c r="A35" s="1" t="s">
        <v>254</v>
      </c>
      <c r="B35" s="1" t="s">
        <v>255</v>
      </c>
      <c r="C35" s="1" t="s">
        <v>47</v>
      </c>
      <c r="D35" s="1" t="s">
        <v>48</v>
      </c>
      <c r="E35" s="1" t="s">
        <v>49</v>
      </c>
      <c r="F35" s="1" t="s">
        <v>49</v>
      </c>
      <c r="G35" s="1" t="s">
        <v>50</v>
      </c>
      <c r="H35" s="1" t="s">
        <v>51</v>
      </c>
      <c r="I35" s="1" t="s">
        <v>256</v>
      </c>
      <c r="J35" s="1" t="s">
        <v>57</v>
      </c>
      <c r="K35" s="1" t="s">
        <v>256</v>
      </c>
      <c r="L35" s="1" t="s">
        <v>55</v>
      </c>
      <c r="M35" s="1" t="s">
        <v>55</v>
      </c>
      <c r="N35" s="1" t="s">
        <v>55</v>
      </c>
      <c r="O35" s="1" t="s">
        <v>55</v>
      </c>
      <c r="P35" s="1" t="s">
        <v>55</v>
      </c>
      <c r="Q35" s="1" t="s">
        <v>55</v>
      </c>
      <c r="R35" s="1" t="s">
        <v>55</v>
      </c>
      <c r="S35" s="1" t="s">
        <v>55</v>
      </c>
      <c r="T35" s="1" t="s">
        <v>55</v>
      </c>
      <c r="U35" s="1" t="s">
        <v>55</v>
      </c>
      <c r="V35" s="1" t="s">
        <v>55</v>
      </c>
      <c r="W35" s="1" t="s">
        <v>55</v>
      </c>
      <c r="X35" s="1" t="s">
        <v>55</v>
      </c>
      <c r="Y35" s="1" t="s">
        <v>50</v>
      </c>
      <c r="Z35">
        <f>_xll.BDP($B35,"CUST_TRR_RETURN_HOLDING_PER","CUST_TRR_START_DT","20260401","CUST_TRR_END_DT","20260430","CUST_TRR_CRNCY","USD")</f>
        <v>8.414873</v>
      </c>
      <c r="AA35">
        <f>_xll.BDP($B35,"CUST_TRR_RETURN_HOLDING_PER","CUST_TRR_START_DT","20260501","CUST_TRR_END_DT","20260531","CUST_TRR_CRNCY","USD")</f>
        <v>11.323270000000001</v>
      </c>
      <c r="AB35">
        <f>_xll.BDP($B35,"CUST_TRR_RETURN_HOLDING_PER","CUST_TRR_START_DT","20260601","CUST_TRR_END_DT","20260630","CUST_TRR_CRNCY","USD")</f>
        <v>-9.4346999999999994</v>
      </c>
      <c r="AC35" s="1" t="s">
        <v>56</v>
      </c>
      <c r="AD35" s="1" t="s">
        <v>56</v>
      </c>
      <c r="AE35" s="1" t="s">
        <v>56</v>
      </c>
      <c r="AF35" s="1" t="s">
        <v>56</v>
      </c>
      <c r="AG35" s="1" t="s">
        <v>56</v>
      </c>
      <c r="AH35" s="1" t="s">
        <v>56</v>
      </c>
      <c r="AI35" s="1" t="s">
        <v>257</v>
      </c>
      <c r="AJ35" s="1" t="s">
        <v>57</v>
      </c>
      <c r="AK35" s="1" t="s">
        <v>56</v>
      </c>
      <c r="AL35" s="1" t="s">
        <v>258</v>
      </c>
      <c r="AM35" s="1" t="s">
        <v>259</v>
      </c>
      <c r="AN35" s="1" t="s">
        <v>56</v>
      </c>
      <c r="AO35" s="1" t="s">
        <v>260</v>
      </c>
      <c r="AP35" s="1" t="s">
        <v>261</v>
      </c>
      <c r="AQ35" s="1" t="s">
        <v>56</v>
      </c>
      <c r="AR35" s="1" t="s">
        <v>173</v>
      </c>
      <c r="AS35" s="1" t="s">
        <v>174</v>
      </c>
    </row>
    <row r="36" spans="1:45" x14ac:dyDescent="0.25">
      <c r="A36" s="1" t="s">
        <v>262</v>
      </c>
      <c r="B36" s="1" t="s">
        <v>263</v>
      </c>
      <c r="C36" s="1" t="s">
        <v>47</v>
      </c>
      <c r="D36" s="1" t="s">
        <v>48</v>
      </c>
      <c r="E36" s="1" t="s">
        <v>49</v>
      </c>
      <c r="F36" s="1" t="s">
        <v>49</v>
      </c>
      <c r="G36" s="1" t="s">
        <v>50</v>
      </c>
      <c r="H36" s="1" t="s">
        <v>51</v>
      </c>
      <c r="I36" s="1" t="s">
        <v>264</v>
      </c>
      <c r="J36" s="1" t="s">
        <v>265</v>
      </c>
      <c r="K36" s="1" t="s">
        <v>266</v>
      </c>
      <c r="L36" s="1" t="s">
        <v>55</v>
      </c>
      <c r="M36" s="1" t="s">
        <v>55</v>
      </c>
      <c r="N36" s="1" t="s">
        <v>55</v>
      </c>
      <c r="O36" s="1" t="s">
        <v>55</v>
      </c>
      <c r="P36" s="1" t="s">
        <v>55</v>
      </c>
      <c r="Q36" s="1" t="s">
        <v>55</v>
      </c>
      <c r="R36" s="1" t="s">
        <v>55</v>
      </c>
      <c r="S36" s="1" t="s">
        <v>55</v>
      </c>
      <c r="T36" s="1" t="s">
        <v>55</v>
      </c>
      <c r="U36" s="1" t="s">
        <v>55</v>
      </c>
      <c r="V36" s="1" t="s">
        <v>55</v>
      </c>
      <c r="W36" s="1" t="s">
        <v>55</v>
      </c>
      <c r="X36" s="1" t="s">
        <v>55</v>
      </c>
      <c r="Y36" s="1" t="s">
        <v>50</v>
      </c>
      <c r="Z36">
        <f>_xll.BDP($B36,"CUST_TRR_RETURN_HOLDING_PER","CUST_TRR_START_DT","20260401","CUST_TRR_END_DT","20260430","CUST_TRR_CRNCY","USD")</f>
        <v>16.450610000000001</v>
      </c>
      <c r="AA36">
        <f>_xll.BDP($B36,"CUST_TRR_RETURN_HOLDING_PER","CUST_TRR_START_DT","20260501","CUST_TRR_END_DT","20260531","CUST_TRR_CRNCY","USD")</f>
        <v>22.187529999999999</v>
      </c>
      <c r="AB36">
        <f>_xll.BDP($B36,"CUST_TRR_RETURN_HOLDING_PER","CUST_TRR_START_DT","20260601","CUST_TRR_END_DT","20260630","CUST_TRR_CRNCY","USD")</f>
        <v>-19.467580000000002</v>
      </c>
      <c r="AC36" s="1" t="s">
        <v>56</v>
      </c>
      <c r="AD36" s="1" t="s">
        <v>56</v>
      </c>
      <c r="AE36" s="1" t="s">
        <v>56</v>
      </c>
      <c r="AF36" s="1" t="s">
        <v>56</v>
      </c>
      <c r="AG36" s="1" t="s">
        <v>56</v>
      </c>
      <c r="AH36" s="1" t="s">
        <v>56</v>
      </c>
      <c r="AI36" s="1" t="s">
        <v>267</v>
      </c>
      <c r="AJ36" s="1" t="s">
        <v>57</v>
      </c>
      <c r="AK36" s="1" t="s">
        <v>56</v>
      </c>
      <c r="AL36" s="1" t="s">
        <v>268</v>
      </c>
      <c r="AM36" s="1" t="s">
        <v>57</v>
      </c>
      <c r="AN36" s="1" t="s">
        <v>56</v>
      </c>
      <c r="AO36" s="1" t="s">
        <v>57</v>
      </c>
      <c r="AP36" s="1" t="s">
        <v>269</v>
      </c>
      <c r="AQ36" s="1" t="s">
        <v>56</v>
      </c>
      <c r="AR36" s="1" t="s">
        <v>56</v>
      </c>
      <c r="AS36" s="1" t="s">
        <v>56</v>
      </c>
    </row>
    <row r="37" spans="1:45" x14ac:dyDescent="0.25">
      <c r="A37" s="1" t="s">
        <v>270</v>
      </c>
      <c r="B37" s="1" t="s">
        <v>271</v>
      </c>
      <c r="C37" s="1" t="s">
        <v>47</v>
      </c>
      <c r="D37" s="1" t="s">
        <v>48</v>
      </c>
      <c r="E37" s="1" t="s">
        <v>49</v>
      </c>
      <c r="F37" s="1" t="s">
        <v>49</v>
      </c>
      <c r="G37" s="1" t="s">
        <v>50</v>
      </c>
      <c r="H37" s="1" t="s">
        <v>51</v>
      </c>
      <c r="I37" s="1" t="s">
        <v>272</v>
      </c>
      <c r="J37" s="1" t="s">
        <v>273</v>
      </c>
      <c r="K37" s="1" t="s">
        <v>274</v>
      </c>
      <c r="L37" s="1" t="s">
        <v>55</v>
      </c>
      <c r="M37" s="1" t="s">
        <v>55</v>
      </c>
      <c r="N37" s="1" t="s">
        <v>55</v>
      </c>
      <c r="O37" s="1" t="s">
        <v>55</v>
      </c>
      <c r="P37" s="1" t="s">
        <v>55</v>
      </c>
      <c r="Q37" s="1" t="s">
        <v>55</v>
      </c>
      <c r="R37" s="1" t="s">
        <v>55</v>
      </c>
      <c r="S37" s="1" t="s">
        <v>55</v>
      </c>
      <c r="T37" s="1" t="s">
        <v>55</v>
      </c>
      <c r="U37" s="1" t="s">
        <v>55</v>
      </c>
      <c r="V37" s="1" t="s">
        <v>55</v>
      </c>
      <c r="W37" s="1" t="s">
        <v>55</v>
      </c>
      <c r="X37" s="1" t="s">
        <v>55</v>
      </c>
      <c r="Y37" s="1" t="s">
        <v>50</v>
      </c>
      <c r="Z37" t="str">
        <f>_xll.BDP($B37,"CUST_TRR_RETURN_HOLDING_PER","CUST_TRR_START_DT","20260401","CUST_TRR_END_DT","20260430","CUST_TRR_CRNCY","USD")</f>
        <v>#N/A N/A</v>
      </c>
      <c r="AA37">
        <f>_xll.BDP($B37,"CUST_TRR_RETURN_HOLDING_PER","CUST_TRR_START_DT","20260501","CUST_TRR_END_DT","20260531","CUST_TRR_CRNCY","USD")</f>
        <v>-6.8443620000000003</v>
      </c>
      <c r="AB37">
        <f>_xll.BDP($B37,"CUST_TRR_RETURN_HOLDING_PER","CUST_TRR_START_DT","20260601","CUST_TRR_END_DT","20260630","CUST_TRR_CRNCY","USD")</f>
        <v>10.561439999999999</v>
      </c>
      <c r="AC37" s="1" t="s">
        <v>56</v>
      </c>
      <c r="AD37" s="1" t="s">
        <v>56</v>
      </c>
      <c r="AE37" s="1" t="s">
        <v>56</v>
      </c>
      <c r="AF37" s="1" t="s">
        <v>56</v>
      </c>
      <c r="AG37" s="1" t="s">
        <v>56</v>
      </c>
      <c r="AH37" s="1" t="s">
        <v>56</v>
      </c>
      <c r="AI37" s="1" t="s">
        <v>57</v>
      </c>
      <c r="AJ37" s="1" t="s">
        <v>57</v>
      </c>
      <c r="AK37" s="1" t="s">
        <v>56</v>
      </c>
      <c r="AL37" s="1" t="s">
        <v>275</v>
      </c>
      <c r="AM37" s="1" t="s">
        <v>57</v>
      </c>
      <c r="AN37" s="1" t="s">
        <v>56</v>
      </c>
      <c r="AO37" s="1" t="s">
        <v>276</v>
      </c>
      <c r="AP37" s="1" t="s">
        <v>57</v>
      </c>
      <c r="AQ37" s="1" t="s">
        <v>56</v>
      </c>
      <c r="AR37" s="1" t="s">
        <v>59</v>
      </c>
      <c r="AS37" s="1" t="s">
        <v>60</v>
      </c>
    </row>
    <row r="38" spans="1:45" x14ac:dyDescent="0.25">
      <c r="A38" s="1" t="s">
        <v>277</v>
      </c>
      <c r="B38" s="1" t="s">
        <v>278</v>
      </c>
      <c r="C38" s="1" t="s">
        <v>47</v>
      </c>
      <c r="D38" s="1" t="s">
        <v>48</v>
      </c>
      <c r="E38" s="1" t="s">
        <v>49</v>
      </c>
      <c r="F38" s="1" t="s">
        <v>49</v>
      </c>
      <c r="G38" s="1" t="s">
        <v>50</v>
      </c>
      <c r="H38" s="1" t="s">
        <v>51</v>
      </c>
      <c r="I38" s="1" t="s">
        <v>279</v>
      </c>
      <c r="J38" s="1" t="s">
        <v>57</v>
      </c>
      <c r="K38" s="1" t="s">
        <v>279</v>
      </c>
      <c r="L38" s="1" t="s">
        <v>55</v>
      </c>
      <c r="M38" s="1" t="s">
        <v>55</v>
      </c>
      <c r="N38" s="1" t="s">
        <v>55</v>
      </c>
      <c r="O38" s="1" t="s">
        <v>55</v>
      </c>
      <c r="P38" s="1" t="s">
        <v>55</v>
      </c>
      <c r="Q38" s="1" t="s">
        <v>55</v>
      </c>
      <c r="R38" s="1" t="s">
        <v>55</v>
      </c>
      <c r="S38" s="1" t="s">
        <v>55</v>
      </c>
      <c r="T38" s="1" t="s">
        <v>55</v>
      </c>
      <c r="U38" s="1" t="s">
        <v>55</v>
      </c>
      <c r="V38" s="1" t="s">
        <v>55</v>
      </c>
      <c r="W38" s="1" t="s">
        <v>55</v>
      </c>
      <c r="X38" s="1" t="s">
        <v>55</v>
      </c>
      <c r="Y38" s="1" t="s">
        <v>50</v>
      </c>
      <c r="Z38" t="str">
        <f>_xll.BDP($B38,"CUST_TRR_RETURN_HOLDING_PER","CUST_TRR_START_DT","20260401","CUST_TRR_END_DT","20260430","CUST_TRR_CRNCY","USD")</f>
        <v>#N/A N/A</v>
      </c>
      <c r="AA38">
        <f>_xll.BDP($B38,"CUST_TRR_RETURN_HOLDING_PER","CUST_TRR_START_DT","20260501","CUST_TRR_END_DT","20260531","CUST_TRR_CRNCY","USD")</f>
        <v>-1.1241209999999999</v>
      </c>
      <c r="AB38">
        <f>_xll.BDP($B38,"CUST_TRR_RETURN_HOLDING_PER","CUST_TRR_START_DT","20260601","CUST_TRR_END_DT","20260630","CUST_TRR_CRNCY","USD")</f>
        <v>9.0228529999999996</v>
      </c>
      <c r="AC38" s="1" t="s">
        <v>56</v>
      </c>
      <c r="AD38" s="1" t="s">
        <v>56</v>
      </c>
      <c r="AE38" s="1" t="s">
        <v>56</v>
      </c>
      <c r="AF38" s="1" t="s">
        <v>56</v>
      </c>
      <c r="AG38" s="1" t="s">
        <v>56</v>
      </c>
      <c r="AH38" s="1" t="s">
        <v>56</v>
      </c>
      <c r="AI38" s="1" t="s">
        <v>57</v>
      </c>
      <c r="AJ38" s="1" t="s">
        <v>57</v>
      </c>
      <c r="AK38" s="1" t="s">
        <v>56</v>
      </c>
      <c r="AL38" s="1" t="s">
        <v>280</v>
      </c>
      <c r="AM38" s="1" t="s">
        <v>57</v>
      </c>
      <c r="AN38" s="1" t="s">
        <v>56</v>
      </c>
      <c r="AO38" s="1" t="s">
        <v>57</v>
      </c>
      <c r="AP38" s="1" t="s">
        <v>57</v>
      </c>
      <c r="AQ38" s="1" t="s">
        <v>56</v>
      </c>
      <c r="AR38" s="1" t="s">
        <v>59</v>
      </c>
      <c r="AS38" s="1" t="s">
        <v>60</v>
      </c>
    </row>
    <row r="39" spans="1:45" x14ac:dyDescent="0.25">
      <c r="A39" s="1" t="s">
        <v>281</v>
      </c>
      <c r="B39" s="1" t="s">
        <v>282</v>
      </c>
      <c r="C39" s="1" t="s">
        <v>47</v>
      </c>
      <c r="D39" s="1" t="s">
        <v>48</v>
      </c>
      <c r="E39" s="1" t="s">
        <v>49</v>
      </c>
      <c r="F39" s="1" t="s">
        <v>49</v>
      </c>
      <c r="G39" s="1" t="s">
        <v>50</v>
      </c>
      <c r="H39" s="1" t="s">
        <v>51</v>
      </c>
      <c r="I39" s="1" t="s">
        <v>283</v>
      </c>
      <c r="J39" s="1" t="s">
        <v>284</v>
      </c>
      <c r="K39" s="1" t="s">
        <v>285</v>
      </c>
      <c r="L39" s="1" t="s">
        <v>55</v>
      </c>
      <c r="M39" s="1" t="s">
        <v>55</v>
      </c>
      <c r="N39" s="1" t="s">
        <v>55</v>
      </c>
      <c r="O39" s="1" t="s">
        <v>55</v>
      </c>
      <c r="P39" s="1" t="s">
        <v>55</v>
      </c>
      <c r="Q39" s="1" t="s">
        <v>55</v>
      </c>
      <c r="R39" s="1" t="s">
        <v>55</v>
      </c>
      <c r="S39" s="1" t="s">
        <v>55</v>
      </c>
      <c r="T39" s="1" t="s">
        <v>55</v>
      </c>
      <c r="U39" s="1" t="s">
        <v>55</v>
      </c>
      <c r="V39" s="1" t="s">
        <v>55</v>
      </c>
      <c r="W39" s="1" t="s">
        <v>55</v>
      </c>
      <c r="X39" s="1" t="s">
        <v>55</v>
      </c>
      <c r="Y39" s="1" t="s">
        <v>50</v>
      </c>
      <c r="Z39" t="str">
        <f>_xll.BDP($B39,"CUST_TRR_RETURN_HOLDING_PER","CUST_TRR_START_DT","20260401","CUST_TRR_END_DT","20260430","CUST_TRR_CRNCY","USD")</f>
        <v>#N/A N/A</v>
      </c>
      <c r="AA39">
        <f>_xll.BDP($B39,"CUST_TRR_RETURN_HOLDING_PER","CUST_TRR_START_DT","20260501","CUST_TRR_END_DT","20260531","CUST_TRR_CRNCY","USD")</f>
        <v>5.0205789999999997</v>
      </c>
      <c r="AB39">
        <f>_xll.BDP($B39,"CUST_TRR_RETURN_HOLDING_PER","CUST_TRR_START_DT","20260601","CUST_TRR_END_DT","20260630","CUST_TRR_CRNCY","USD")</f>
        <v>16.717590000000001</v>
      </c>
      <c r="AC39" s="1" t="s">
        <v>56</v>
      </c>
      <c r="AD39" s="1" t="s">
        <v>56</v>
      </c>
      <c r="AE39" s="1" t="s">
        <v>56</v>
      </c>
      <c r="AF39" s="1" t="s">
        <v>56</v>
      </c>
      <c r="AG39" s="1" t="s">
        <v>56</v>
      </c>
      <c r="AH39" s="1" t="s">
        <v>56</v>
      </c>
      <c r="AI39" s="1" t="s">
        <v>57</v>
      </c>
      <c r="AJ39" s="1" t="s">
        <v>57</v>
      </c>
      <c r="AK39" s="1" t="s">
        <v>56</v>
      </c>
      <c r="AL39" s="1" t="s">
        <v>286</v>
      </c>
      <c r="AM39" s="1" t="s">
        <v>57</v>
      </c>
      <c r="AN39" s="1" t="s">
        <v>56</v>
      </c>
      <c r="AO39" s="1" t="s">
        <v>57</v>
      </c>
      <c r="AP39" s="1" t="s">
        <v>57</v>
      </c>
      <c r="AQ39" s="1" t="s">
        <v>56</v>
      </c>
      <c r="AR39" s="1" t="s">
        <v>59</v>
      </c>
      <c r="AS39" s="1" t="s">
        <v>60</v>
      </c>
    </row>
    <row r="40" spans="1:45" x14ac:dyDescent="0.25">
      <c r="A40" s="1" t="s">
        <v>287</v>
      </c>
      <c r="B40" s="1" t="s">
        <v>288</v>
      </c>
      <c r="C40" s="1" t="s">
        <v>47</v>
      </c>
      <c r="D40" s="1" t="s">
        <v>48</v>
      </c>
      <c r="E40" s="1" t="s">
        <v>49</v>
      </c>
      <c r="F40" s="1" t="s">
        <v>49</v>
      </c>
      <c r="G40" s="1" t="s">
        <v>50</v>
      </c>
      <c r="H40" s="1" t="s">
        <v>51</v>
      </c>
      <c r="I40" s="1" t="s">
        <v>289</v>
      </c>
      <c r="J40" s="1" t="s">
        <v>57</v>
      </c>
      <c r="K40" s="1" t="s">
        <v>289</v>
      </c>
      <c r="L40" s="1" t="s">
        <v>55</v>
      </c>
      <c r="M40" s="1" t="s">
        <v>55</v>
      </c>
      <c r="N40" s="1" t="s">
        <v>55</v>
      </c>
      <c r="O40" s="1" t="s">
        <v>55</v>
      </c>
      <c r="P40" s="1" t="s">
        <v>55</v>
      </c>
      <c r="Q40" s="1" t="s">
        <v>55</v>
      </c>
      <c r="R40" s="1" t="s">
        <v>55</v>
      </c>
      <c r="S40" s="1" t="s">
        <v>55</v>
      </c>
      <c r="T40" s="1" t="s">
        <v>55</v>
      </c>
      <c r="U40" s="1" t="s">
        <v>55</v>
      </c>
      <c r="V40" s="1" t="s">
        <v>55</v>
      </c>
      <c r="W40" s="1" t="s">
        <v>55</v>
      </c>
      <c r="X40" s="1" t="s">
        <v>55</v>
      </c>
      <c r="Y40" s="1" t="s">
        <v>50</v>
      </c>
      <c r="Z40" t="str">
        <f>_xll.BDP($B40,"CUST_TRR_RETURN_HOLDING_PER","CUST_TRR_START_DT","20260401","CUST_TRR_END_DT","20260430","CUST_TRR_CRNCY","USD")</f>
        <v>#N/A N/A</v>
      </c>
      <c r="AA40" t="str">
        <f>_xll.BDP($B40,"CUST_TRR_RETURN_HOLDING_PER","CUST_TRR_START_DT","20260501","CUST_TRR_END_DT","20260531","CUST_TRR_CRNCY","USD")</f>
        <v>#N/A N/A</v>
      </c>
      <c r="AB40" t="str">
        <f>_xll.BDP($B40,"CUST_TRR_RETURN_HOLDING_PER","CUST_TRR_START_DT","20260601","CUST_TRR_END_DT","20260630","CUST_TRR_CRNCY","USD")</f>
        <v>#N/A N/A</v>
      </c>
      <c r="AC40" s="1" t="s">
        <v>56</v>
      </c>
      <c r="AD40" s="1" t="s">
        <v>56</v>
      </c>
      <c r="AE40" s="1" t="s">
        <v>56</v>
      </c>
      <c r="AF40" s="1" t="s">
        <v>56</v>
      </c>
      <c r="AG40" s="1" t="s">
        <v>56</v>
      </c>
      <c r="AH40" s="1" t="s">
        <v>56</v>
      </c>
      <c r="AI40" s="1" t="s">
        <v>55</v>
      </c>
      <c r="AJ40" s="1" t="s">
        <v>55</v>
      </c>
      <c r="AK40" s="1" t="s">
        <v>56</v>
      </c>
      <c r="AL40" s="1" t="s">
        <v>55</v>
      </c>
      <c r="AM40" s="1" t="s">
        <v>55</v>
      </c>
      <c r="AN40" s="1" t="s">
        <v>56</v>
      </c>
      <c r="AO40" s="1" t="s">
        <v>55</v>
      </c>
      <c r="AP40" s="1" t="s">
        <v>55</v>
      </c>
      <c r="AQ40" s="1" t="s">
        <v>56</v>
      </c>
      <c r="AR40" s="1" t="s">
        <v>173</v>
      </c>
      <c r="AS40" s="1" t="s">
        <v>174</v>
      </c>
    </row>
    <row r="41" spans="1:45" x14ac:dyDescent="0.25">
      <c r="A41" s="1" t="s">
        <v>290</v>
      </c>
      <c r="B41" s="1" t="s">
        <v>291</v>
      </c>
      <c r="C41" s="1" t="s">
        <v>47</v>
      </c>
      <c r="D41" s="1" t="s">
        <v>48</v>
      </c>
      <c r="E41" s="1" t="s">
        <v>49</v>
      </c>
      <c r="F41" s="1" t="s">
        <v>49</v>
      </c>
      <c r="G41" s="1" t="s">
        <v>50</v>
      </c>
      <c r="H41" s="1" t="s">
        <v>51</v>
      </c>
      <c r="I41" s="1" t="s">
        <v>292</v>
      </c>
      <c r="J41" s="1" t="s">
        <v>293</v>
      </c>
      <c r="K41" s="1" t="s">
        <v>294</v>
      </c>
      <c r="L41" s="1" t="s">
        <v>55</v>
      </c>
      <c r="M41" s="1" t="s">
        <v>55</v>
      </c>
      <c r="N41" s="1" t="s">
        <v>55</v>
      </c>
      <c r="O41" s="1" t="s">
        <v>55</v>
      </c>
      <c r="P41" s="1" t="s">
        <v>55</v>
      </c>
      <c r="Q41" s="1" t="s">
        <v>55</v>
      </c>
      <c r="R41" s="1" t="s">
        <v>55</v>
      </c>
      <c r="S41" s="1" t="s">
        <v>55</v>
      </c>
      <c r="T41" s="1" t="s">
        <v>55</v>
      </c>
      <c r="U41" s="1" t="s">
        <v>55</v>
      </c>
      <c r="V41" s="1" t="s">
        <v>55</v>
      </c>
      <c r="W41" s="1" t="s">
        <v>55</v>
      </c>
      <c r="X41" s="1" t="s">
        <v>55</v>
      </c>
      <c r="Y41" s="1" t="s">
        <v>50</v>
      </c>
      <c r="Z41" t="str">
        <f>_xll.BDP($B41,"CUST_TRR_RETURN_HOLDING_PER","CUST_TRR_START_DT","20260401","CUST_TRR_END_DT","20260430","CUST_TRR_CRNCY","USD")</f>
        <v>#N/A N/A</v>
      </c>
      <c r="AA41" t="str">
        <f>_xll.BDP($B41,"CUST_TRR_RETURN_HOLDING_PER","CUST_TRR_START_DT","20260501","CUST_TRR_END_DT","20260531","CUST_TRR_CRNCY","USD")</f>
        <v>#N/A N/A</v>
      </c>
      <c r="AB41">
        <f>_xll.BDP($B41,"CUST_TRR_RETURN_HOLDING_PER","CUST_TRR_START_DT","20260601","CUST_TRR_END_DT","20260630","CUST_TRR_CRNCY","USD")</f>
        <v>-0.4943148</v>
      </c>
      <c r="AC41" s="1" t="s">
        <v>56</v>
      </c>
      <c r="AD41" s="1" t="s">
        <v>56</v>
      </c>
      <c r="AE41" s="1" t="s">
        <v>56</v>
      </c>
      <c r="AF41" s="1" t="s">
        <v>56</v>
      </c>
      <c r="AG41" s="1" t="s">
        <v>56</v>
      </c>
      <c r="AH41" s="1" t="s">
        <v>56</v>
      </c>
      <c r="AI41" s="1" t="s">
        <v>57</v>
      </c>
      <c r="AJ41" s="1" t="s">
        <v>57</v>
      </c>
      <c r="AK41" s="1" t="s">
        <v>56</v>
      </c>
      <c r="AL41" s="1" t="s">
        <v>57</v>
      </c>
      <c r="AM41" s="1" t="s">
        <v>57</v>
      </c>
      <c r="AN41" s="1" t="s">
        <v>56</v>
      </c>
      <c r="AO41" s="1" t="s">
        <v>295</v>
      </c>
      <c r="AP41" s="1" t="s">
        <v>57</v>
      </c>
      <c r="AQ41" s="1" t="s">
        <v>56</v>
      </c>
      <c r="AR41" s="1" t="s">
        <v>59</v>
      </c>
      <c r="AS41" s="1" t="s">
        <v>60</v>
      </c>
    </row>
    <row r="42" spans="1:45" x14ac:dyDescent="0.25">
      <c r="A42" s="1" t="s">
        <v>296</v>
      </c>
      <c r="B42" s="1" t="s">
        <v>297</v>
      </c>
      <c r="C42" s="1" t="s">
        <v>47</v>
      </c>
      <c r="D42" s="1" t="s">
        <v>48</v>
      </c>
      <c r="E42" s="1" t="s">
        <v>49</v>
      </c>
      <c r="F42" s="1" t="s">
        <v>49</v>
      </c>
      <c r="G42" s="1" t="s">
        <v>50</v>
      </c>
      <c r="H42" s="1" t="s">
        <v>51</v>
      </c>
      <c r="I42" s="1" t="s">
        <v>298</v>
      </c>
      <c r="J42" s="1" t="s">
        <v>299</v>
      </c>
      <c r="K42" s="1" t="s">
        <v>300</v>
      </c>
      <c r="L42" s="1" t="s">
        <v>55</v>
      </c>
      <c r="M42" s="1" t="s">
        <v>55</v>
      </c>
      <c r="N42" s="1" t="s">
        <v>55</v>
      </c>
      <c r="O42" s="1" t="s">
        <v>55</v>
      </c>
      <c r="P42" s="1" t="s">
        <v>55</v>
      </c>
      <c r="Q42" s="1" t="s">
        <v>55</v>
      </c>
      <c r="R42" s="1" t="s">
        <v>55</v>
      </c>
      <c r="S42" s="1" t="s">
        <v>55</v>
      </c>
      <c r="T42" s="1" t="s">
        <v>55</v>
      </c>
      <c r="U42" s="1" t="s">
        <v>55</v>
      </c>
      <c r="V42" s="1" t="s">
        <v>55</v>
      </c>
      <c r="W42" s="1" t="s">
        <v>55</v>
      </c>
      <c r="X42" s="1" t="s">
        <v>55</v>
      </c>
      <c r="Y42" s="1" t="s">
        <v>50</v>
      </c>
      <c r="Z42" t="str">
        <f>_xll.BDP($B42,"CUST_TRR_RETURN_HOLDING_PER","CUST_TRR_START_DT","20260401","CUST_TRR_END_DT","20260430","CUST_TRR_CRNCY","USD")</f>
        <v>#N/A N/A</v>
      </c>
      <c r="AA42">
        <f>_xll.BDP($B42,"CUST_TRR_RETURN_HOLDING_PER","CUST_TRR_START_DT","20260501","CUST_TRR_END_DT","20260531","CUST_TRR_CRNCY","USD")</f>
        <v>0.54290590000000005</v>
      </c>
      <c r="AB42">
        <f>_xll.BDP($B42,"CUST_TRR_RETURN_HOLDING_PER","CUST_TRR_START_DT","20260601","CUST_TRR_END_DT","20260630","CUST_TRR_CRNCY","USD")</f>
        <v>-0.35573120000000003</v>
      </c>
      <c r="AC42" s="1" t="s">
        <v>56</v>
      </c>
      <c r="AD42" s="1" t="s">
        <v>56</v>
      </c>
      <c r="AE42" s="1" t="s">
        <v>56</v>
      </c>
      <c r="AF42" s="1" t="s">
        <v>56</v>
      </c>
      <c r="AG42" s="1" t="s">
        <v>56</v>
      </c>
      <c r="AH42" s="1" t="s">
        <v>56</v>
      </c>
      <c r="AI42" s="1" t="s">
        <v>57</v>
      </c>
      <c r="AJ42" s="1" t="s">
        <v>57</v>
      </c>
      <c r="AK42" s="1" t="s">
        <v>56</v>
      </c>
      <c r="AL42" s="1" t="s">
        <v>301</v>
      </c>
      <c r="AM42" s="1" t="s">
        <v>57</v>
      </c>
      <c r="AN42" s="1" t="s">
        <v>56</v>
      </c>
      <c r="AO42" s="1" t="s">
        <v>57</v>
      </c>
      <c r="AP42" s="1" t="s">
        <v>302</v>
      </c>
      <c r="AQ42" s="1" t="s">
        <v>56</v>
      </c>
      <c r="AR42" s="1" t="s">
        <v>59</v>
      </c>
      <c r="AS42" s="1" t="s">
        <v>60</v>
      </c>
    </row>
    <row r="43" spans="1:45" x14ac:dyDescent="0.25">
      <c r="A43" s="1" t="s">
        <v>303</v>
      </c>
      <c r="B43" s="1" t="s">
        <v>304</v>
      </c>
      <c r="C43" s="1" t="s">
        <v>47</v>
      </c>
      <c r="D43" s="1" t="s">
        <v>48</v>
      </c>
      <c r="E43" s="1" t="s">
        <v>49</v>
      </c>
      <c r="F43" s="1" t="s">
        <v>49</v>
      </c>
      <c r="G43" s="1" t="s">
        <v>50</v>
      </c>
      <c r="H43" s="1" t="s">
        <v>51</v>
      </c>
      <c r="I43" s="1" t="s">
        <v>305</v>
      </c>
      <c r="J43" s="1" t="s">
        <v>306</v>
      </c>
      <c r="K43" s="1" t="s">
        <v>307</v>
      </c>
      <c r="L43" s="1" t="s">
        <v>55</v>
      </c>
      <c r="M43" s="1" t="s">
        <v>55</v>
      </c>
      <c r="N43" s="1" t="s">
        <v>55</v>
      </c>
      <c r="O43" s="1" t="s">
        <v>55</v>
      </c>
      <c r="P43" s="1" t="s">
        <v>55</v>
      </c>
      <c r="Q43" s="1" t="s">
        <v>55</v>
      </c>
      <c r="R43" s="1" t="s">
        <v>55</v>
      </c>
      <c r="S43" s="1" t="s">
        <v>55</v>
      </c>
      <c r="T43" s="1" t="s">
        <v>55</v>
      </c>
      <c r="U43" s="1" t="s">
        <v>55</v>
      </c>
      <c r="V43" s="1" t="s">
        <v>55</v>
      </c>
      <c r="W43" s="1" t="s">
        <v>55</v>
      </c>
      <c r="X43" s="1" t="s">
        <v>55</v>
      </c>
      <c r="Y43" s="1" t="s">
        <v>50</v>
      </c>
      <c r="Z43" t="str">
        <f>_xll.BDP($B43,"CUST_TRR_RETURN_HOLDING_PER","CUST_TRR_START_DT","20260401","CUST_TRR_END_DT","20260430","CUST_TRR_CRNCY","USD")</f>
        <v>#N/A N/A</v>
      </c>
      <c r="AA43">
        <f>_xll.BDP($B43,"CUST_TRR_RETURN_HOLDING_PER","CUST_TRR_START_DT","20260501","CUST_TRR_END_DT","20260531","CUST_TRR_CRNCY","USD")</f>
        <v>-1.7000189999999999</v>
      </c>
      <c r="AB43">
        <f>_xll.BDP($B43,"CUST_TRR_RETURN_HOLDING_PER","CUST_TRR_START_DT","20260601","CUST_TRR_END_DT","20260630","CUST_TRR_CRNCY","USD")</f>
        <v>-4.7879820000000004</v>
      </c>
      <c r="AC43" s="1" t="s">
        <v>56</v>
      </c>
      <c r="AD43" s="1" t="s">
        <v>56</v>
      </c>
      <c r="AE43" s="1" t="s">
        <v>56</v>
      </c>
      <c r="AF43" s="1" t="s">
        <v>56</v>
      </c>
      <c r="AG43" s="1" t="s">
        <v>56</v>
      </c>
      <c r="AH43" s="1" t="s">
        <v>56</v>
      </c>
      <c r="AI43" s="1" t="s">
        <v>57</v>
      </c>
      <c r="AJ43" s="1" t="s">
        <v>57</v>
      </c>
      <c r="AK43" s="1" t="s">
        <v>56</v>
      </c>
      <c r="AL43" s="1" t="s">
        <v>308</v>
      </c>
      <c r="AM43" s="1" t="s">
        <v>57</v>
      </c>
      <c r="AN43" s="1" t="s">
        <v>56</v>
      </c>
      <c r="AO43" s="1" t="s">
        <v>57</v>
      </c>
      <c r="AP43" s="1" t="s">
        <v>309</v>
      </c>
      <c r="AQ43" s="1" t="s">
        <v>56</v>
      </c>
      <c r="AR43" s="1" t="s">
        <v>59</v>
      </c>
      <c r="AS43" s="1" t="s">
        <v>60</v>
      </c>
    </row>
    <row r="44" spans="1:45" x14ac:dyDescent="0.25">
      <c r="A44" s="1" t="s">
        <v>310</v>
      </c>
      <c r="B44" s="1" t="s">
        <v>311</v>
      </c>
      <c r="C44" s="1" t="s">
        <v>47</v>
      </c>
      <c r="D44" s="1" t="s">
        <v>48</v>
      </c>
      <c r="E44" s="1" t="s">
        <v>49</v>
      </c>
      <c r="F44" s="1" t="s">
        <v>49</v>
      </c>
      <c r="G44" s="1" t="s">
        <v>50</v>
      </c>
      <c r="H44" s="1" t="s">
        <v>51</v>
      </c>
      <c r="I44" s="1" t="s">
        <v>312</v>
      </c>
      <c r="J44" s="1" t="s">
        <v>313</v>
      </c>
      <c r="K44" s="1" t="s">
        <v>314</v>
      </c>
      <c r="L44" s="1" t="s">
        <v>55</v>
      </c>
      <c r="M44" s="1" t="s">
        <v>55</v>
      </c>
      <c r="N44" s="1" t="s">
        <v>55</v>
      </c>
      <c r="O44" s="1" t="s">
        <v>55</v>
      </c>
      <c r="P44" s="1" t="s">
        <v>55</v>
      </c>
      <c r="Q44" s="1" t="s">
        <v>55</v>
      </c>
      <c r="R44" s="1" t="s">
        <v>55</v>
      </c>
      <c r="S44" s="1" t="s">
        <v>55</v>
      </c>
      <c r="T44" s="1" t="s">
        <v>55</v>
      </c>
      <c r="U44" s="1" t="s">
        <v>55</v>
      </c>
      <c r="V44" s="1" t="s">
        <v>55</v>
      </c>
      <c r="W44" s="1" t="s">
        <v>55</v>
      </c>
      <c r="X44" s="1" t="s">
        <v>55</v>
      </c>
      <c r="Y44" s="1" t="s">
        <v>50</v>
      </c>
      <c r="Z44" t="str">
        <f>_xll.BDP($B44,"CUST_TRR_RETURN_HOLDING_PER","CUST_TRR_START_DT","20260401","CUST_TRR_END_DT","20260430","CUST_TRR_CRNCY","USD")</f>
        <v>#N/A N/A</v>
      </c>
      <c r="AA44" t="str">
        <f>_xll.BDP($B44,"CUST_TRR_RETURN_HOLDING_PER","CUST_TRR_START_DT","20260501","CUST_TRR_END_DT","20260531","CUST_TRR_CRNCY","USD")</f>
        <v>#N/A N/A</v>
      </c>
      <c r="AB44">
        <f>_xll.BDP($B44,"CUST_TRR_RETURN_HOLDING_PER","CUST_TRR_START_DT","20260601","CUST_TRR_END_DT","20260630","CUST_TRR_CRNCY","USD")</f>
        <v>-1.597772</v>
      </c>
      <c r="AC44" s="1" t="s">
        <v>56</v>
      </c>
      <c r="AD44" s="1" t="s">
        <v>56</v>
      </c>
      <c r="AE44" s="1" t="s">
        <v>56</v>
      </c>
      <c r="AF44" s="1" t="s">
        <v>56</v>
      </c>
      <c r="AG44" s="1" t="s">
        <v>56</v>
      </c>
      <c r="AH44" s="1" t="s">
        <v>56</v>
      </c>
      <c r="AI44" s="1" t="s">
        <v>57</v>
      </c>
      <c r="AJ44" s="1" t="s">
        <v>57</v>
      </c>
      <c r="AK44" s="1" t="s">
        <v>56</v>
      </c>
      <c r="AL44" s="1" t="s">
        <v>57</v>
      </c>
      <c r="AM44" s="1" t="s">
        <v>57</v>
      </c>
      <c r="AN44" s="1" t="s">
        <v>56</v>
      </c>
      <c r="AO44" s="1" t="s">
        <v>315</v>
      </c>
      <c r="AP44" s="1" t="s">
        <v>316</v>
      </c>
      <c r="AQ44" s="1" t="s">
        <v>56</v>
      </c>
      <c r="AR44" s="1" t="s">
        <v>317</v>
      </c>
      <c r="AS44" s="1" t="s">
        <v>318</v>
      </c>
    </row>
    <row r="45" spans="1:45" x14ac:dyDescent="0.25">
      <c r="A45" s="1" t="s">
        <v>319</v>
      </c>
      <c r="B45" s="1" t="s">
        <v>320</v>
      </c>
      <c r="C45" s="1" t="s">
        <v>47</v>
      </c>
      <c r="D45" s="1" t="s">
        <v>48</v>
      </c>
      <c r="E45" s="1" t="s">
        <v>49</v>
      </c>
      <c r="F45" s="1" t="s">
        <v>49</v>
      </c>
      <c r="G45" s="1" t="s">
        <v>50</v>
      </c>
      <c r="H45" s="1" t="s">
        <v>51</v>
      </c>
      <c r="I45" s="1" t="s">
        <v>321</v>
      </c>
      <c r="J45" s="1" t="s">
        <v>322</v>
      </c>
      <c r="K45" s="1" t="s">
        <v>323</v>
      </c>
      <c r="L45" s="1" t="s">
        <v>55</v>
      </c>
      <c r="M45" s="1" t="s">
        <v>55</v>
      </c>
      <c r="N45" s="1" t="s">
        <v>55</v>
      </c>
      <c r="O45" s="1" t="s">
        <v>55</v>
      </c>
      <c r="P45" s="1" t="s">
        <v>55</v>
      </c>
      <c r="Q45" s="1" t="s">
        <v>55</v>
      </c>
      <c r="R45" s="1" t="s">
        <v>55</v>
      </c>
      <c r="S45" s="1" t="s">
        <v>55</v>
      </c>
      <c r="T45" s="1" t="s">
        <v>55</v>
      </c>
      <c r="U45" s="1" t="s">
        <v>55</v>
      </c>
      <c r="V45" s="1" t="s">
        <v>55</v>
      </c>
      <c r="W45" s="1" t="s">
        <v>55</v>
      </c>
      <c r="X45" s="1" t="s">
        <v>55</v>
      </c>
      <c r="Y45" s="1" t="s">
        <v>50</v>
      </c>
      <c r="Z45" t="str">
        <f>_xll.BDP($B45,"CUST_TRR_RETURN_HOLDING_PER","CUST_TRR_START_DT","20260401","CUST_TRR_END_DT","20260430","CUST_TRR_CRNCY","USD")</f>
        <v>#N/A N/A</v>
      </c>
      <c r="AA45">
        <f>_xll.BDP($B45,"CUST_TRR_RETURN_HOLDING_PER","CUST_TRR_START_DT","20260501","CUST_TRR_END_DT","20260531","CUST_TRR_CRNCY","USD")</f>
        <v>-1.119381</v>
      </c>
      <c r="AB45">
        <f>_xll.BDP($B45,"CUST_TRR_RETURN_HOLDING_PER","CUST_TRR_START_DT","20260601","CUST_TRR_END_DT","20260630","CUST_TRR_CRNCY","USD")</f>
        <v>-0.41070630000000002</v>
      </c>
      <c r="AC45" s="1" t="s">
        <v>56</v>
      </c>
      <c r="AD45" s="1" t="s">
        <v>56</v>
      </c>
      <c r="AE45" s="1" t="s">
        <v>56</v>
      </c>
      <c r="AF45" s="1" t="s">
        <v>56</v>
      </c>
      <c r="AG45" s="1" t="s">
        <v>56</v>
      </c>
      <c r="AH45" s="1" t="s">
        <v>56</v>
      </c>
      <c r="AI45" s="1" t="s">
        <v>57</v>
      </c>
      <c r="AJ45" s="1" t="s">
        <v>57</v>
      </c>
      <c r="AK45" s="1" t="s">
        <v>56</v>
      </c>
      <c r="AL45" s="1" t="s">
        <v>324</v>
      </c>
      <c r="AM45" s="1" t="s">
        <v>57</v>
      </c>
      <c r="AN45" s="1" t="s">
        <v>56</v>
      </c>
      <c r="AO45" s="1" t="s">
        <v>57</v>
      </c>
      <c r="AP45" s="1" t="s">
        <v>325</v>
      </c>
      <c r="AQ45" s="1" t="s">
        <v>56</v>
      </c>
      <c r="AR45" s="1" t="s">
        <v>317</v>
      </c>
      <c r="AS45" s="1" t="s">
        <v>318</v>
      </c>
    </row>
    <row r="46" spans="1:45" x14ac:dyDescent="0.25">
      <c r="A46" s="1" t="s">
        <v>326</v>
      </c>
      <c r="B46" s="1" t="s">
        <v>327</v>
      </c>
      <c r="C46" s="1" t="s">
        <v>47</v>
      </c>
      <c r="D46" s="1" t="s">
        <v>48</v>
      </c>
      <c r="E46" s="1" t="s">
        <v>49</v>
      </c>
      <c r="F46" s="1" t="s">
        <v>49</v>
      </c>
      <c r="G46" s="1" t="s">
        <v>50</v>
      </c>
      <c r="H46" s="1" t="s">
        <v>51</v>
      </c>
      <c r="I46" s="1" t="s">
        <v>328</v>
      </c>
      <c r="J46" s="1" t="s">
        <v>329</v>
      </c>
      <c r="K46" s="1" t="s">
        <v>330</v>
      </c>
      <c r="L46" s="1" t="s">
        <v>55</v>
      </c>
      <c r="M46" s="1" t="s">
        <v>55</v>
      </c>
      <c r="N46" s="1" t="s">
        <v>55</v>
      </c>
      <c r="O46" s="1" t="s">
        <v>55</v>
      </c>
      <c r="P46" s="1" t="s">
        <v>55</v>
      </c>
      <c r="Q46" s="1" t="s">
        <v>55</v>
      </c>
      <c r="R46" s="1" t="s">
        <v>55</v>
      </c>
      <c r="S46" s="1" t="s">
        <v>55</v>
      </c>
      <c r="T46" s="1" t="s">
        <v>55</v>
      </c>
      <c r="U46" s="1" t="s">
        <v>55</v>
      </c>
      <c r="V46" s="1" t="s">
        <v>55</v>
      </c>
      <c r="W46" s="1" t="s">
        <v>55</v>
      </c>
      <c r="X46" s="1" t="s">
        <v>55</v>
      </c>
      <c r="Y46" s="1" t="s">
        <v>50</v>
      </c>
      <c r="Z46" t="str">
        <f>_xll.BDP($B46,"CUST_TRR_RETURN_HOLDING_PER","CUST_TRR_START_DT","20260401","CUST_TRR_END_DT","20260430","CUST_TRR_CRNCY","USD")</f>
        <v>#N/A N/A</v>
      </c>
      <c r="AA46">
        <f>_xll.BDP($B46,"CUST_TRR_RETURN_HOLDING_PER","CUST_TRR_START_DT","20260501","CUST_TRR_END_DT","20260531","CUST_TRR_CRNCY","USD")</f>
        <v>-4.0600290000000001</v>
      </c>
      <c r="AB46">
        <f>_xll.BDP($B46,"CUST_TRR_RETURN_HOLDING_PER","CUST_TRR_START_DT","20260601","CUST_TRR_END_DT","20260630","CUST_TRR_CRNCY","USD")</f>
        <v>7.0736249999999998</v>
      </c>
      <c r="AC46" s="1" t="s">
        <v>56</v>
      </c>
      <c r="AD46" s="1" t="s">
        <v>56</v>
      </c>
      <c r="AE46" s="1" t="s">
        <v>56</v>
      </c>
      <c r="AF46" s="1" t="s">
        <v>56</v>
      </c>
      <c r="AG46" s="1" t="s">
        <v>56</v>
      </c>
      <c r="AH46" s="1" t="s">
        <v>56</v>
      </c>
      <c r="AI46" s="1" t="s">
        <v>57</v>
      </c>
      <c r="AJ46" s="1" t="s">
        <v>57</v>
      </c>
      <c r="AK46" s="1" t="s">
        <v>56</v>
      </c>
      <c r="AL46" s="1" t="s">
        <v>331</v>
      </c>
      <c r="AM46" s="1" t="s">
        <v>57</v>
      </c>
      <c r="AN46" s="1" t="s">
        <v>56</v>
      </c>
      <c r="AO46" s="1" t="s">
        <v>332</v>
      </c>
      <c r="AP46" s="1" t="s">
        <v>57</v>
      </c>
      <c r="AQ46" s="1" t="s">
        <v>56</v>
      </c>
      <c r="AR46" s="1" t="s">
        <v>59</v>
      </c>
      <c r="AS46" s="1" t="s">
        <v>60</v>
      </c>
    </row>
    <row r="47" spans="1:45" x14ac:dyDescent="0.25">
      <c r="A47" s="1" t="s">
        <v>333</v>
      </c>
      <c r="B47" s="1" t="s">
        <v>334</v>
      </c>
      <c r="C47" s="1" t="s">
        <v>47</v>
      </c>
      <c r="D47" s="1" t="s">
        <v>48</v>
      </c>
      <c r="E47" s="1" t="s">
        <v>49</v>
      </c>
      <c r="F47" s="1" t="s">
        <v>49</v>
      </c>
      <c r="G47" s="1" t="s">
        <v>50</v>
      </c>
      <c r="H47" s="1" t="s">
        <v>51</v>
      </c>
      <c r="I47" s="1" t="s">
        <v>335</v>
      </c>
      <c r="J47" s="1" t="s">
        <v>336</v>
      </c>
      <c r="K47" s="1" t="s">
        <v>337</v>
      </c>
      <c r="L47" s="1" t="s">
        <v>55</v>
      </c>
      <c r="M47" s="1" t="s">
        <v>55</v>
      </c>
      <c r="N47" s="1" t="s">
        <v>55</v>
      </c>
      <c r="O47" s="1" t="s">
        <v>55</v>
      </c>
      <c r="P47" s="1" t="s">
        <v>55</v>
      </c>
      <c r="Q47" s="1" t="s">
        <v>55</v>
      </c>
      <c r="R47" s="1" t="s">
        <v>55</v>
      </c>
      <c r="S47" s="1" t="s">
        <v>55</v>
      </c>
      <c r="T47" s="1" t="s">
        <v>55</v>
      </c>
      <c r="U47" s="1" t="s">
        <v>55</v>
      </c>
      <c r="V47" s="1" t="s">
        <v>55</v>
      </c>
      <c r="W47" s="1" t="s">
        <v>55</v>
      </c>
      <c r="X47" s="1" t="s">
        <v>55</v>
      </c>
      <c r="Y47" s="1" t="s">
        <v>50</v>
      </c>
      <c r="Z47" t="str">
        <f>_xll.BDP($B47,"CUST_TRR_RETURN_HOLDING_PER","CUST_TRR_START_DT","20260401","CUST_TRR_END_DT","20260430","CUST_TRR_CRNCY","USD")</f>
        <v>#N/A N/A</v>
      </c>
      <c r="AA47" t="str">
        <f>_xll.BDP($B47,"CUST_TRR_RETURN_HOLDING_PER","CUST_TRR_START_DT","20260501","CUST_TRR_END_DT","20260531","CUST_TRR_CRNCY","USD")</f>
        <v>#N/A N/A</v>
      </c>
      <c r="AB47">
        <f>_xll.BDP($B47,"CUST_TRR_RETURN_HOLDING_PER","CUST_TRR_START_DT","20260601","CUST_TRR_END_DT","20260630","CUST_TRR_CRNCY","USD")</f>
        <v>-0.97667870000000001</v>
      </c>
      <c r="AC47" s="1" t="s">
        <v>56</v>
      </c>
      <c r="AD47" s="1" t="s">
        <v>56</v>
      </c>
      <c r="AE47" s="1" t="s">
        <v>56</v>
      </c>
      <c r="AF47" s="1" t="s">
        <v>56</v>
      </c>
      <c r="AG47" s="1" t="s">
        <v>56</v>
      </c>
      <c r="AH47" s="1" t="s">
        <v>56</v>
      </c>
      <c r="AI47" s="1" t="s">
        <v>57</v>
      </c>
      <c r="AJ47" s="1" t="s">
        <v>57</v>
      </c>
      <c r="AK47" s="1" t="s">
        <v>56</v>
      </c>
      <c r="AL47" s="1" t="s">
        <v>57</v>
      </c>
      <c r="AM47" s="1" t="s">
        <v>57</v>
      </c>
      <c r="AN47" s="1" t="s">
        <v>56</v>
      </c>
      <c r="AO47" s="1" t="s">
        <v>338</v>
      </c>
      <c r="AP47" s="1" t="s">
        <v>57</v>
      </c>
      <c r="AQ47" s="1" t="s">
        <v>56</v>
      </c>
      <c r="AR47" s="1" t="s">
        <v>59</v>
      </c>
      <c r="AS47" s="1" t="s">
        <v>60</v>
      </c>
    </row>
    <row r="48" spans="1:45" x14ac:dyDescent="0.25">
      <c r="A48" s="1" t="s">
        <v>339</v>
      </c>
      <c r="B48" s="1" t="s">
        <v>340</v>
      </c>
      <c r="C48" s="1" t="s">
        <v>47</v>
      </c>
      <c r="D48" s="1" t="s">
        <v>48</v>
      </c>
      <c r="E48" s="1" t="s">
        <v>49</v>
      </c>
      <c r="F48" s="1" t="s">
        <v>49</v>
      </c>
      <c r="G48" s="1" t="s">
        <v>50</v>
      </c>
      <c r="H48" s="1" t="s">
        <v>51</v>
      </c>
      <c r="I48" s="1" t="s">
        <v>341</v>
      </c>
      <c r="J48" s="1" t="s">
        <v>342</v>
      </c>
      <c r="K48" s="1" t="s">
        <v>343</v>
      </c>
      <c r="L48" s="1" t="s">
        <v>55</v>
      </c>
      <c r="M48" s="1" t="s">
        <v>55</v>
      </c>
      <c r="N48" s="1" t="s">
        <v>55</v>
      </c>
      <c r="O48" s="1" t="s">
        <v>55</v>
      </c>
      <c r="P48" s="1" t="s">
        <v>55</v>
      </c>
      <c r="Q48" s="1" t="s">
        <v>55</v>
      </c>
      <c r="R48" s="1" t="s">
        <v>55</v>
      </c>
      <c r="S48" s="1" t="s">
        <v>55</v>
      </c>
      <c r="T48" s="1" t="s">
        <v>55</v>
      </c>
      <c r="U48" s="1" t="s">
        <v>55</v>
      </c>
      <c r="V48" s="1" t="s">
        <v>55</v>
      </c>
      <c r="W48" s="1" t="s">
        <v>55</v>
      </c>
      <c r="X48" s="1" t="s">
        <v>55</v>
      </c>
      <c r="Y48" s="1" t="s">
        <v>50</v>
      </c>
      <c r="Z48" t="str">
        <f>_xll.BDP($B48,"CUST_TRR_RETURN_HOLDING_PER","CUST_TRR_START_DT","20260401","CUST_TRR_END_DT","20260430","CUST_TRR_CRNCY","USD")</f>
        <v>#N/A N/A</v>
      </c>
      <c r="AA48" t="str">
        <f>_xll.BDP($B48,"CUST_TRR_RETURN_HOLDING_PER","CUST_TRR_START_DT","20260501","CUST_TRR_END_DT","20260531","CUST_TRR_CRNCY","USD")</f>
        <v>#N/A N/A</v>
      </c>
      <c r="AB48">
        <f>_xll.BDP($B48,"CUST_TRR_RETURN_HOLDING_PER","CUST_TRR_START_DT","20260601","CUST_TRR_END_DT","20260630","CUST_TRR_CRNCY","USD")</f>
        <v>-7.4031310000000001</v>
      </c>
      <c r="AC48" s="1" t="s">
        <v>56</v>
      </c>
      <c r="AD48" s="1" t="s">
        <v>56</v>
      </c>
      <c r="AE48" s="1" t="s">
        <v>56</v>
      </c>
      <c r="AF48" s="1" t="s">
        <v>56</v>
      </c>
      <c r="AG48" s="1" t="s">
        <v>56</v>
      </c>
      <c r="AH48" s="1" t="s">
        <v>56</v>
      </c>
      <c r="AI48" s="1" t="s">
        <v>57</v>
      </c>
      <c r="AJ48" s="1" t="s">
        <v>57</v>
      </c>
      <c r="AK48" s="1" t="s">
        <v>56</v>
      </c>
      <c r="AL48" s="1" t="s">
        <v>57</v>
      </c>
      <c r="AM48" s="1" t="s">
        <v>57</v>
      </c>
      <c r="AN48" s="1" t="s">
        <v>56</v>
      </c>
      <c r="AO48" s="1" t="s">
        <v>58</v>
      </c>
      <c r="AP48" s="1" t="s">
        <v>57</v>
      </c>
      <c r="AQ48" s="1" t="s">
        <v>56</v>
      </c>
      <c r="AR48" s="1" t="s">
        <v>59</v>
      </c>
      <c r="AS48" s="1" t="s">
        <v>60</v>
      </c>
    </row>
    <row r="49" spans="1:45" x14ac:dyDescent="0.25">
      <c r="A49" s="1" t="s">
        <v>344</v>
      </c>
      <c r="B49" s="1" t="s">
        <v>345</v>
      </c>
      <c r="C49" s="1" t="s">
        <v>47</v>
      </c>
      <c r="D49" s="1" t="s">
        <v>48</v>
      </c>
      <c r="E49" s="1" t="s">
        <v>49</v>
      </c>
      <c r="F49" s="1" t="s">
        <v>49</v>
      </c>
      <c r="G49" s="1" t="s">
        <v>50</v>
      </c>
      <c r="H49" s="1" t="s">
        <v>51</v>
      </c>
      <c r="I49" s="1" t="s">
        <v>346</v>
      </c>
      <c r="J49" s="1" t="s">
        <v>347</v>
      </c>
      <c r="K49" s="1" t="s">
        <v>348</v>
      </c>
      <c r="L49" s="1" t="s">
        <v>55</v>
      </c>
      <c r="M49" s="1" t="s">
        <v>55</v>
      </c>
      <c r="N49" s="1" t="s">
        <v>55</v>
      </c>
      <c r="O49" s="1" t="s">
        <v>55</v>
      </c>
      <c r="P49" s="1" t="s">
        <v>55</v>
      </c>
      <c r="Q49" s="1" t="s">
        <v>55</v>
      </c>
      <c r="R49" s="1" t="s">
        <v>55</v>
      </c>
      <c r="S49" s="1" t="s">
        <v>55</v>
      </c>
      <c r="T49" s="1" t="s">
        <v>55</v>
      </c>
      <c r="U49" s="1" t="s">
        <v>55</v>
      </c>
      <c r="V49" s="1" t="s">
        <v>55</v>
      </c>
      <c r="W49" s="1" t="s">
        <v>55</v>
      </c>
      <c r="X49" s="1" t="s">
        <v>55</v>
      </c>
      <c r="Y49" s="1" t="s">
        <v>50</v>
      </c>
      <c r="Z49" t="str">
        <f>_xll.BDP($B49,"CUST_TRR_RETURN_HOLDING_PER","CUST_TRR_START_DT","20260401","CUST_TRR_END_DT","20260430","CUST_TRR_CRNCY","USD")</f>
        <v>#N/A N/A</v>
      </c>
      <c r="AA49" t="str">
        <f>_xll.BDP($B49,"CUST_TRR_RETURN_HOLDING_PER","CUST_TRR_START_DT","20260501","CUST_TRR_END_DT","20260531","CUST_TRR_CRNCY","USD")</f>
        <v>#N/A N/A</v>
      </c>
      <c r="AB49">
        <f>_xll.BDP($B49,"CUST_TRR_RETURN_HOLDING_PER","CUST_TRR_START_DT","20260601","CUST_TRR_END_DT","20260630","CUST_TRR_CRNCY","USD")</f>
        <v>-16.744530000000001</v>
      </c>
      <c r="AC49" s="1" t="s">
        <v>56</v>
      </c>
      <c r="AD49" s="1" t="s">
        <v>56</v>
      </c>
      <c r="AE49" s="1" t="s">
        <v>56</v>
      </c>
      <c r="AF49" s="1" t="s">
        <v>56</v>
      </c>
      <c r="AG49" s="1" t="s">
        <v>56</v>
      </c>
      <c r="AH49" s="1" t="s">
        <v>56</v>
      </c>
      <c r="AI49" s="1" t="s">
        <v>57</v>
      </c>
      <c r="AJ49" s="1" t="s">
        <v>57</v>
      </c>
      <c r="AK49" s="1" t="s">
        <v>56</v>
      </c>
      <c r="AL49" s="1" t="s">
        <v>57</v>
      </c>
      <c r="AM49" s="1" t="s">
        <v>57</v>
      </c>
      <c r="AN49" s="1" t="s">
        <v>56</v>
      </c>
      <c r="AO49" s="1" t="s">
        <v>349</v>
      </c>
      <c r="AP49" s="1" t="s">
        <v>350</v>
      </c>
      <c r="AQ49" s="1" t="s">
        <v>56</v>
      </c>
      <c r="AR49" s="1" t="s">
        <v>89</v>
      </c>
      <c r="AS49" s="1" t="s">
        <v>90</v>
      </c>
    </row>
    <row r="50" spans="1:45" x14ac:dyDescent="0.25">
      <c r="A50" s="1" t="s">
        <v>351</v>
      </c>
      <c r="B50" s="1" t="s">
        <v>352</v>
      </c>
      <c r="C50" s="1" t="s">
        <v>47</v>
      </c>
      <c r="D50" s="1" t="s">
        <v>48</v>
      </c>
      <c r="E50" s="1" t="s">
        <v>49</v>
      </c>
      <c r="F50" s="1" t="s">
        <v>49</v>
      </c>
      <c r="G50" s="1" t="s">
        <v>50</v>
      </c>
      <c r="H50" s="1" t="s">
        <v>51</v>
      </c>
      <c r="I50" s="1" t="s">
        <v>353</v>
      </c>
      <c r="J50" s="1" t="s">
        <v>57</v>
      </c>
      <c r="K50" s="1" t="s">
        <v>353</v>
      </c>
      <c r="L50" s="1" t="s">
        <v>55</v>
      </c>
      <c r="M50" s="1" t="s">
        <v>55</v>
      </c>
      <c r="N50" s="1" t="s">
        <v>55</v>
      </c>
      <c r="O50" s="1" t="s">
        <v>55</v>
      </c>
      <c r="P50" s="1" t="s">
        <v>55</v>
      </c>
      <c r="Q50" s="1" t="s">
        <v>55</v>
      </c>
      <c r="R50" s="1" t="s">
        <v>55</v>
      </c>
      <c r="S50" s="1" t="s">
        <v>55</v>
      </c>
      <c r="T50" s="1" t="s">
        <v>55</v>
      </c>
      <c r="U50" s="1" t="s">
        <v>55</v>
      </c>
      <c r="V50" s="1" t="s">
        <v>55</v>
      </c>
      <c r="W50" s="1" t="s">
        <v>55</v>
      </c>
      <c r="X50" s="1" t="s">
        <v>55</v>
      </c>
      <c r="Y50" s="1" t="s">
        <v>50</v>
      </c>
      <c r="Z50" t="str">
        <f>_xll.BDP($B50,"CUST_TRR_RETURN_HOLDING_PER","CUST_TRR_START_DT","20260401","CUST_TRR_END_DT","20260430","CUST_TRR_CRNCY","USD")</f>
        <v>#N/A N/A</v>
      </c>
      <c r="AA50">
        <f>_xll.BDP($B50,"CUST_TRR_RETURN_HOLDING_PER","CUST_TRR_START_DT","20260501","CUST_TRR_END_DT","20260531","CUST_TRR_CRNCY","USD")</f>
        <v>-0.16521159999999999</v>
      </c>
      <c r="AB50">
        <f>_xll.BDP($B50,"CUST_TRR_RETURN_HOLDING_PER","CUST_TRR_START_DT","20260601","CUST_TRR_END_DT","20260630","CUST_TRR_CRNCY","USD")</f>
        <v>-3.0032190000000001</v>
      </c>
      <c r="AC50" s="1" t="s">
        <v>56</v>
      </c>
      <c r="AD50" s="1" t="s">
        <v>56</v>
      </c>
      <c r="AE50" s="1" t="s">
        <v>56</v>
      </c>
      <c r="AF50" s="1" t="s">
        <v>56</v>
      </c>
      <c r="AG50" s="1" t="s">
        <v>56</v>
      </c>
      <c r="AH50" s="1" t="s">
        <v>56</v>
      </c>
      <c r="AI50" s="1" t="s">
        <v>57</v>
      </c>
      <c r="AJ50" s="1" t="s">
        <v>57</v>
      </c>
      <c r="AK50" s="1" t="s">
        <v>56</v>
      </c>
      <c r="AL50" s="1" t="s">
        <v>354</v>
      </c>
      <c r="AM50" s="1" t="s">
        <v>57</v>
      </c>
      <c r="AN50" s="1" t="s">
        <v>56</v>
      </c>
      <c r="AO50" s="1" t="s">
        <v>57</v>
      </c>
      <c r="AP50" s="1" t="s">
        <v>57</v>
      </c>
      <c r="AQ50" s="1" t="s">
        <v>56</v>
      </c>
      <c r="AR50" s="1" t="s">
        <v>59</v>
      </c>
      <c r="AS50" s="1" t="s">
        <v>60</v>
      </c>
    </row>
    <row r="51" spans="1:45" x14ac:dyDescent="0.25">
      <c r="A51" s="1" t="s">
        <v>355</v>
      </c>
      <c r="B51" s="1" t="s">
        <v>356</v>
      </c>
      <c r="C51" s="1" t="s">
        <v>47</v>
      </c>
      <c r="D51" s="1" t="s">
        <v>48</v>
      </c>
      <c r="E51" s="1" t="s">
        <v>49</v>
      </c>
      <c r="F51" s="1" t="s">
        <v>49</v>
      </c>
      <c r="G51" s="1" t="s">
        <v>50</v>
      </c>
      <c r="H51" s="1" t="s">
        <v>51</v>
      </c>
      <c r="I51" s="1" t="s">
        <v>357</v>
      </c>
      <c r="J51" s="1" t="s">
        <v>358</v>
      </c>
      <c r="K51" s="1" t="s">
        <v>359</v>
      </c>
      <c r="L51" s="1" t="s">
        <v>55</v>
      </c>
      <c r="M51" s="1" t="s">
        <v>55</v>
      </c>
      <c r="N51" s="1" t="s">
        <v>55</v>
      </c>
      <c r="O51" s="1" t="s">
        <v>55</v>
      </c>
      <c r="P51" s="1" t="s">
        <v>55</v>
      </c>
      <c r="Q51" s="1" t="s">
        <v>55</v>
      </c>
      <c r="R51" s="1" t="s">
        <v>55</v>
      </c>
      <c r="S51" s="1" t="s">
        <v>55</v>
      </c>
      <c r="T51" s="1" t="s">
        <v>55</v>
      </c>
      <c r="U51" s="1" t="s">
        <v>55</v>
      </c>
      <c r="V51" s="1" t="s">
        <v>55</v>
      </c>
      <c r="W51" s="1" t="s">
        <v>55</v>
      </c>
      <c r="X51" s="1" t="s">
        <v>55</v>
      </c>
      <c r="Y51" s="1" t="s">
        <v>50</v>
      </c>
      <c r="Z51" t="str">
        <f>_xll.BDP($B51,"CUST_TRR_RETURN_HOLDING_PER","CUST_TRR_START_DT","20260401","CUST_TRR_END_DT","20260430","CUST_TRR_CRNCY","USD")</f>
        <v>#N/A N/A</v>
      </c>
      <c r="AA51" t="str">
        <f>_xll.BDP($B51,"CUST_TRR_RETURN_HOLDING_PER","CUST_TRR_START_DT","20260501","CUST_TRR_END_DT","20260531","CUST_TRR_CRNCY","USD")</f>
        <v>#N/A N/A</v>
      </c>
      <c r="AB51">
        <f>_xll.BDP($B51,"CUST_TRR_RETURN_HOLDING_PER","CUST_TRR_START_DT","20260601","CUST_TRR_END_DT","20260630","CUST_TRR_CRNCY","USD")</f>
        <v>10.24136</v>
      </c>
      <c r="AC51" s="1" t="s">
        <v>56</v>
      </c>
      <c r="AD51" s="1" t="s">
        <v>56</v>
      </c>
      <c r="AE51" s="1" t="s">
        <v>56</v>
      </c>
      <c r="AF51" s="1" t="s">
        <v>56</v>
      </c>
      <c r="AG51" s="1" t="s">
        <v>56</v>
      </c>
      <c r="AH51" s="1" t="s">
        <v>56</v>
      </c>
      <c r="AI51" s="1" t="s">
        <v>57</v>
      </c>
      <c r="AJ51" s="1" t="s">
        <v>57</v>
      </c>
      <c r="AK51" s="1" t="s">
        <v>56</v>
      </c>
      <c r="AL51" s="1" t="s">
        <v>57</v>
      </c>
      <c r="AM51" s="1" t="s">
        <v>57</v>
      </c>
      <c r="AN51" s="1" t="s">
        <v>56</v>
      </c>
      <c r="AO51" s="1" t="s">
        <v>58</v>
      </c>
      <c r="AP51" s="1" t="s">
        <v>57</v>
      </c>
      <c r="AQ51" s="1" t="s">
        <v>56</v>
      </c>
      <c r="AR51" s="1" t="s">
        <v>59</v>
      </c>
      <c r="AS51" s="1" t="s">
        <v>60</v>
      </c>
    </row>
    <row r="52" spans="1:45" x14ac:dyDescent="0.25">
      <c r="A52" s="1" t="s">
        <v>360</v>
      </c>
      <c r="B52" s="1" t="s">
        <v>361</v>
      </c>
      <c r="C52" s="1" t="s">
        <v>47</v>
      </c>
      <c r="D52" s="1" t="s">
        <v>48</v>
      </c>
      <c r="E52" s="1" t="s">
        <v>49</v>
      </c>
      <c r="F52" s="1" t="s">
        <v>49</v>
      </c>
      <c r="G52" s="1" t="s">
        <v>50</v>
      </c>
      <c r="H52" s="1" t="s">
        <v>51</v>
      </c>
      <c r="I52" s="1" t="s">
        <v>362</v>
      </c>
      <c r="J52" s="1" t="s">
        <v>363</v>
      </c>
      <c r="K52" s="1" t="s">
        <v>364</v>
      </c>
      <c r="L52" s="1" t="s">
        <v>55</v>
      </c>
      <c r="M52" s="1" t="s">
        <v>55</v>
      </c>
      <c r="N52" s="1" t="s">
        <v>55</v>
      </c>
      <c r="O52" s="1" t="s">
        <v>55</v>
      </c>
      <c r="P52" s="1" t="s">
        <v>55</v>
      </c>
      <c r="Q52" s="1" t="s">
        <v>55</v>
      </c>
      <c r="R52" s="1" t="s">
        <v>55</v>
      </c>
      <c r="S52" s="1" t="s">
        <v>55</v>
      </c>
      <c r="T52" s="1" t="s">
        <v>55</v>
      </c>
      <c r="U52" s="1" t="s">
        <v>55</v>
      </c>
      <c r="V52" s="1" t="s">
        <v>55</v>
      </c>
      <c r="W52" s="1" t="s">
        <v>55</v>
      </c>
      <c r="X52" s="1" t="s">
        <v>55</v>
      </c>
      <c r="Y52" s="1" t="s">
        <v>50</v>
      </c>
      <c r="Z52" t="str">
        <f>_xll.BDP($B52,"CUST_TRR_RETURN_HOLDING_PER","CUST_TRR_START_DT","20260401","CUST_TRR_END_DT","20260430","CUST_TRR_CRNCY","USD")</f>
        <v>#N/A N/A</v>
      </c>
      <c r="AA52">
        <f>_xll.BDP($B52,"CUST_TRR_RETURN_HOLDING_PER","CUST_TRR_START_DT","20260501","CUST_TRR_END_DT","20260531","CUST_TRR_CRNCY","USD")</f>
        <v>4.2738110000000002</v>
      </c>
      <c r="AB52">
        <f>_xll.BDP($B52,"CUST_TRR_RETURN_HOLDING_PER","CUST_TRR_START_DT","20260601","CUST_TRR_END_DT","20260630","CUST_TRR_CRNCY","USD")</f>
        <v>5.4284819999999998</v>
      </c>
      <c r="AC52" s="1" t="s">
        <v>56</v>
      </c>
      <c r="AD52" s="1" t="s">
        <v>56</v>
      </c>
      <c r="AE52" s="1" t="s">
        <v>56</v>
      </c>
      <c r="AF52" s="1" t="s">
        <v>56</v>
      </c>
      <c r="AG52" s="1" t="s">
        <v>56</v>
      </c>
      <c r="AH52" s="1" t="s">
        <v>56</v>
      </c>
      <c r="AI52" s="1" t="s">
        <v>57</v>
      </c>
      <c r="AJ52" s="1" t="s">
        <v>57</v>
      </c>
      <c r="AK52" s="1" t="s">
        <v>56</v>
      </c>
      <c r="AL52" s="1" t="s">
        <v>365</v>
      </c>
      <c r="AM52" s="1" t="s">
        <v>57</v>
      </c>
      <c r="AN52" s="1" t="s">
        <v>56</v>
      </c>
      <c r="AO52" s="1" t="s">
        <v>57</v>
      </c>
      <c r="AP52" s="1" t="s">
        <v>57</v>
      </c>
      <c r="AQ52" s="1" t="s">
        <v>56</v>
      </c>
      <c r="AR52" s="1" t="s">
        <v>59</v>
      </c>
      <c r="AS52" s="1" t="s">
        <v>60</v>
      </c>
    </row>
    <row r="53" spans="1:45" x14ac:dyDescent="0.25">
      <c r="A53" s="1" t="s">
        <v>366</v>
      </c>
      <c r="B53" s="1" t="s">
        <v>367</v>
      </c>
      <c r="C53" s="1" t="s">
        <v>47</v>
      </c>
      <c r="D53" s="1" t="s">
        <v>48</v>
      </c>
      <c r="E53" s="1" t="s">
        <v>49</v>
      </c>
      <c r="F53" s="1" t="s">
        <v>49</v>
      </c>
      <c r="G53" s="1" t="s">
        <v>50</v>
      </c>
      <c r="H53" s="1" t="s">
        <v>51</v>
      </c>
      <c r="I53" s="1" t="s">
        <v>368</v>
      </c>
      <c r="J53" s="1" t="s">
        <v>369</v>
      </c>
      <c r="K53" s="1" t="s">
        <v>370</v>
      </c>
      <c r="L53" s="1" t="s">
        <v>55</v>
      </c>
      <c r="M53" s="1" t="s">
        <v>55</v>
      </c>
      <c r="N53" s="1" t="s">
        <v>55</v>
      </c>
      <c r="O53" s="1" t="s">
        <v>55</v>
      </c>
      <c r="P53" s="1" t="s">
        <v>55</v>
      </c>
      <c r="Q53" s="1" t="s">
        <v>55</v>
      </c>
      <c r="R53" s="1" t="s">
        <v>55</v>
      </c>
      <c r="S53" s="1" t="s">
        <v>55</v>
      </c>
      <c r="T53" s="1" t="s">
        <v>55</v>
      </c>
      <c r="U53" s="1" t="s">
        <v>55</v>
      </c>
      <c r="V53" s="1" t="s">
        <v>55</v>
      </c>
      <c r="W53" s="1" t="s">
        <v>55</v>
      </c>
      <c r="X53" s="1" t="s">
        <v>55</v>
      </c>
      <c r="Y53" s="1" t="s">
        <v>50</v>
      </c>
      <c r="Z53" t="str">
        <f>_xll.BDP($B53,"CUST_TRR_RETURN_HOLDING_PER","CUST_TRR_START_DT","20260401","CUST_TRR_END_DT","20260430","CUST_TRR_CRNCY","USD")</f>
        <v>#N/A N/A</v>
      </c>
      <c r="AA53" t="str">
        <f>_xll.BDP($B53,"CUST_TRR_RETURN_HOLDING_PER","CUST_TRR_START_DT","20260501","CUST_TRR_END_DT","20260531","CUST_TRR_CRNCY","USD")</f>
        <v>#N/A N/A</v>
      </c>
      <c r="AB53">
        <f>_xll.BDP($B53,"CUST_TRR_RETURN_HOLDING_PER","CUST_TRR_START_DT","20260601","CUST_TRR_END_DT","20260630","CUST_TRR_CRNCY","USD")</f>
        <v>3.3939650000000001</v>
      </c>
      <c r="AC53" s="1" t="s">
        <v>56</v>
      </c>
      <c r="AD53" s="1" t="s">
        <v>56</v>
      </c>
      <c r="AE53" s="1" t="s">
        <v>56</v>
      </c>
      <c r="AF53" s="1" t="s">
        <v>56</v>
      </c>
      <c r="AG53" s="1" t="s">
        <v>56</v>
      </c>
      <c r="AH53" s="1" t="s">
        <v>56</v>
      </c>
      <c r="AI53" s="1" t="s">
        <v>57</v>
      </c>
      <c r="AJ53" s="1" t="s">
        <v>57</v>
      </c>
      <c r="AK53" s="1" t="s">
        <v>56</v>
      </c>
      <c r="AL53" s="1" t="s">
        <v>57</v>
      </c>
      <c r="AM53" s="1" t="s">
        <v>57</v>
      </c>
      <c r="AN53" s="1" t="s">
        <v>56</v>
      </c>
      <c r="AO53" s="1" t="s">
        <v>58</v>
      </c>
      <c r="AP53" s="1" t="s">
        <v>57</v>
      </c>
      <c r="AQ53" s="1" t="s">
        <v>56</v>
      </c>
      <c r="AR53" s="1" t="s">
        <v>59</v>
      </c>
      <c r="AS53" s="1" t="s">
        <v>60</v>
      </c>
    </row>
    <row r="54" spans="1:45" x14ac:dyDescent="0.25">
      <c r="A54" s="1" t="s">
        <v>371</v>
      </c>
      <c r="B54" s="1" t="s">
        <v>372</v>
      </c>
      <c r="C54" s="1" t="s">
        <v>47</v>
      </c>
      <c r="D54" s="1" t="s">
        <v>48</v>
      </c>
      <c r="E54" s="1" t="s">
        <v>49</v>
      </c>
      <c r="F54" s="1" t="s">
        <v>49</v>
      </c>
      <c r="G54" s="1" t="s">
        <v>50</v>
      </c>
      <c r="H54" s="1" t="s">
        <v>51</v>
      </c>
      <c r="I54" s="1" t="s">
        <v>373</v>
      </c>
      <c r="J54" s="1" t="s">
        <v>374</v>
      </c>
      <c r="K54" s="1" t="s">
        <v>375</v>
      </c>
      <c r="L54" s="1" t="s">
        <v>55</v>
      </c>
      <c r="M54" s="1" t="s">
        <v>55</v>
      </c>
      <c r="N54" s="1" t="s">
        <v>55</v>
      </c>
      <c r="O54" s="1" t="s">
        <v>55</v>
      </c>
      <c r="P54" s="1" t="s">
        <v>55</v>
      </c>
      <c r="Q54" s="1" t="s">
        <v>55</v>
      </c>
      <c r="R54" s="1" t="s">
        <v>55</v>
      </c>
      <c r="S54" s="1" t="s">
        <v>55</v>
      </c>
      <c r="T54" s="1" t="s">
        <v>55</v>
      </c>
      <c r="U54" s="1" t="s">
        <v>55</v>
      </c>
      <c r="V54" s="1" t="s">
        <v>55</v>
      </c>
      <c r="W54" s="1" t="s">
        <v>55</v>
      </c>
      <c r="X54" s="1" t="s">
        <v>55</v>
      </c>
      <c r="Y54" s="1" t="s">
        <v>50</v>
      </c>
      <c r="Z54" t="str">
        <f>_xll.BDP($B54,"CUST_TRR_RETURN_HOLDING_PER","CUST_TRR_START_DT","20260401","CUST_TRR_END_DT","20260430","CUST_TRR_CRNCY","USD")</f>
        <v>#N/A N/A</v>
      </c>
      <c r="AA54">
        <f>_xll.BDP($B54,"CUST_TRR_RETURN_HOLDING_PER","CUST_TRR_START_DT","20260501","CUST_TRR_END_DT","20260531","CUST_TRR_CRNCY","USD")</f>
        <v>2.508934</v>
      </c>
      <c r="AB54">
        <f>_xll.BDP($B54,"CUST_TRR_RETURN_HOLDING_PER","CUST_TRR_START_DT","20260601","CUST_TRR_END_DT","20260630","CUST_TRR_CRNCY","USD")</f>
        <v>-8.3813189999999996E-2</v>
      </c>
      <c r="AC54" s="1" t="s">
        <v>56</v>
      </c>
      <c r="AD54" s="1" t="s">
        <v>56</v>
      </c>
      <c r="AE54" s="1" t="s">
        <v>56</v>
      </c>
      <c r="AF54" s="1" t="s">
        <v>56</v>
      </c>
      <c r="AG54" s="1" t="s">
        <v>56</v>
      </c>
      <c r="AH54" s="1" t="s">
        <v>56</v>
      </c>
      <c r="AI54" s="1" t="s">
        <v>169</v>
      </c>
      <c r="AJ54" s="1" t="s">
        <v>57</v>
      </c>
      <c r="AK54" s="1" t="s">
        <v>56</v>
      </c>
      <c r="AL54" s="1" t="s">
        <v>376</v>
      </c>
      <c r="AM54" s="1" t="s">
        <v>57</v>
      </c>
      <c r="AN54" s="1" t="s">
        <v>56</v>
      </c>
      <c r="AO54" s="1" t="s">
        <v>57</v>
      </c>
      <c r="AP54" s="1" t="s">
        <v>377</v>
      </c>
      <c r="AQ54" s="1" t="s">
        <v>56</v>
      </c>
      <c r="AR54" s="1" t="s">
        <v>173</v>
      </c>
      <c r="AS54" s="1" t="s">
        <v>174</v>
      </c>
    </row>
    <row r="55" spans="1:45" x14ac:dyDescent="0.25">
      <c r="A55" s="1" t="s">
        <v>378</v>
      </c>
      <c r="B55" s="1" t="s">
        <v>379</v>
      </c>
      <c r="C55" s="1" t="s">
        <v>47</v>
      </c>
      <c r="D55" s="1" t="s">
        <v>48</v>
      </c>
      <c r="E55" s="1" t="s">
        <v>49</v>
      </c>
      <c r="F55" s="1" t="s">
        <v>49</v>
      </c>
      <c r="G55" s="1" t="s">
        <v>50</v>
      </c>
      <c r="H55" s="1" t="s">
        <v>51</v>
      </c>
      <c r="I55" s="1" t="s">
        <v>380</v>
      </c>
      <c r="J55" s="1" t="s">
        <v>381</v>
      </c>
      <c r="K55" s="1" t="s">
        <v>382</v>
      </c>
      <c r="L55" s="1" t="s">
        <v>55</v>
      </c>
      <c r="M55" s="1" t="s">
        <v>55</v>
      </c>
      <c r="N55" s="1" t="s">
        <v>55</v>
      </c>
      <c r="O55" s="1" t="s">
        <v>55</v>
      </c>
      <c r="P55" s="1" t="s">
        <v>55</v>
      </c>
      <c r="Q55" s="1" t="s">
        <v>55</v>
      </c>
      <c r="R55" s="1" t="s">
        <v>55</v>
      </c>
      <c r="S55" s="1" t="s">
        <v>55</v>
      </c>
      <c r="T55" s="1" t="s">
        <v>55</v>
      </c>
      <c r="U55" s="1" t="s">
        <v>55</v>
      </c>
      <c r="V55" s="1" t="s">
        <v>55</v>
      </c>
      <c r="W55" s="1" t="s">
        <v>55</v>
      </c>
      <c r="X55" s="1" t="s">
        <v>55</v>
      </c>
      <c r="Y55" s="1" t="s">
        <v>50</v>
      </c>
      <c r="Z55" t="str">
        <f>_xll.BDP($B55,"CUST_TRR_RETURN_HOLDING_PER","CUST_TRR_START_DT","20260401","CUST_TRR_END_DT","20260430","CUST_TRR_CRNCY","USD")</f>
        <v>#N/A N/A</v>
      </c>
      <c r="AA55" t="str">
        <f>_xll.BDP($B55,"CUST_TRR_RETURN_HOLDING_PER","CUST_TRR_START_DT","20260501","CUST_TRR_END_DT","20260531","CUST_TRR_CRNCY","USD")</f>
        <v>#N/A N/A</v>
      </c>
      <c r="AB55">
        <f>_xll.BDP($B55,"CUST_TRR_RETURN_HOLDING_PER","CUST_TRR_START_DT","20260601","CUST_TRR_END_DT","20260630","CUST_TRR_CRNCY","USD")</f>
        <v>-7.4596629999999999</v>
      </c>
      <c r="AC55" s="1" t="s">
        <v>56</v>
      </c>
      <c r="AD55" s="1" t="s">
        <v>56</v>
      </c>
      <c r="AE55" s="1" t="s">
        <v>56</v>
      </c>
      <c r="AF55" s="1" t="s">
        <v>56</v>
      </c>
      <c r="AG55" s="1" t="s">
        <v>56</v>
      </c>
      <c r="AH55" s="1" t="s">
        <v>56</v>
      </c>
      <c r="AI55" s="1" t="s">
        <v>57</v>
      </c>
      <c r="AJ55" s="1" t="s">
        <v>57</v>
      </c>
      <c r="AK55" s="1" t="s">
        <v>56</v>
      </c>
      <c r="AL55" s="1" t="s">
        <v>57</v>
      </c>
      <c r="AM55" s="1" t="s">
        <v>57</v>
      </c>
      <c r="AN55" s="1" t="s">
        <v>56</v>
      </c>
      <c r="AO55" s="1" t="s">
        <v>383</v>
      </c>
      <c r="AP55" s="1" t="s">
        <v>384</v>
      </c>
      <c r="AQ55" s="1" t="s">
        <v>56</v>
      </c>
      <c r="AR55" s="1" t="s">
        <v>56</v>
      </c>
      <c r="AS55" s="1" t="s">
        <v>56</v>
      </c>
    </row>
    <row r="56" spans="1:45" x14ac:dyDescent="0.25">
      <c r="A56" s="1" t="s">
        <v>385</v>
      </c>
      <c r="B56" s="1" t="s">
        <v>386</v>
      </c>
      <c r="C56" s="1" t="s">
        <v>47</v>
      </c>
      <c r="D56" s="1" t="s">
        <v>48</v>
      </c>
      <c r="E56" s="1" t="s">
        <v>49</v>
      </c>
      <c r="F56" s="1" t="s">
        <v>49</v>
      </c>
      <c r="G56" s="1" t="s">
        <v>50</v>
      </c>
      <c r="H56" s="1" t="s">
        <v>51</v>
      </c>
      <c r="I56" s="1" t="s">
        <v>387</v>
      </c>
      <c r="J56" s="1" t="s">
        <v>388</v>
      </c>
      <c r="K56" s="1" t="s">
        <v>389</v>
      </c>
      <c r="L56" s="1" t="s">
        <v>55</v>
      </c>
      <c r="M56" s="1" t="s">
        <v>55</v>
      </c>
      <c r="N56" s="1" t="s">
        <v>55</v>
      </c>
      <c r="O56" s="1" t="s">
        <v>55</v>
      </c>
      <c r="P56" s="1" t="s">
        <v>55</v>
      </c>
      <c r="Q56" s="1" t="s">
        <v>55</v>
      </c>
      <c r="R56" s="1" t="s">
        <v>55</v>
      </c>
      <c r="S56" s="1" t="s">
        <v>55</v>
      </c>
      <c r="T56" s="1" t="s">
        <v>55</v>
      </c>
      <c r="U56" s="1" t="s">
        <v>55</v>
      </c>
      <c r="V56" s="1" t="s">
        <v>55</v>
      </c>
      <c r="W56" s="1" t="s">
        <v>55</v>
      </c>
      <c r="X56" s="1" t="s">
        <v>55</v>
      </c>
      <c r="Y56" s="1" t="s">
        <v>50</v>
      </c>
      <c r="Z56" t="str">
        <f>_xll.BDP($B56,"CUST_TRR_RETURN_HOLDING_PER","CUST_TRR_START_DT","20260401","CUST_TRR_END_DT","20260430","CUST_TRR_CRNCY","USD")</f>
        <v>#N/A N/A</v>
      </c>
      <c r="AA56" t="str">
        <f>_xll.BDP($B56,"CUST_TRR_RETURN_HOLDING_PER","CUST_TRR_START_DT","20260501","CUST_TRR_END_DT","20260531","CUST_TRR_CRNCY","USD")</f>
        <v>#N/A N/A</v>
      </c>
      <c r="AB56">
        <f>_xll.BDP($B56,"CUST_TRR_RETURN_HOLDING_PER","CUST_TRR_START_DT","20260601","CUST_TRR_END_DT","20260630","CUST_TRR_CRNCY","USD")</f>
        <v>5.7755559999999999</v>
      </c>
      <c r="AC56" s="1" t="s">
        <v>56</v>
      </c>
      <c r="AD56" s="1" t="s">
        <v>56</v>
      </c>
      <c r="AE56" s="1" t="s">
        <v>56</v>
      </c>
      <c r="AF56" s="1" t="s">
        <v>56</v>
      </c>
      <c r="AG56" s="1" t="s">
        <v>56</v>
      </c>
      <c r="AH56" s="1" t="s">
        <v>56</v>
      </c>
      <c r="AI56" s="1" t="s">
        <v>57</v>
      </c>
      <c r="AJ56" s="1" t="s">
        <v>57</v>
      </c>
      <c r="AK56" s="1" t="s">
        <v>56</v>
      </c>
      <c r="AL56" s="1" t="s">
        <v>57</v>
      </c>
      <c r="AM56" s="1" t="s">
        <v>57</v>
      </c>
      <c r="AN56" s="1" t="s">
        <v>56</v>
      </c>
      <c r="AO56" s="1" t="s">
        <v>58</v>
      </c>
      <c r="AP56" s="1" t="s">
        <v>57</v>
      </c>
      <c r="AQ56" s="1" t="s">
        <v>56</v>
      </c>
      <c r="AR56" s="1" t="s">
        <v>59</v>
      </c>
      <c r="AS56" s="1" t="s">
        <v>60</v>
      </c>
    </row>
    <row r="57" spans="1:45" x14ac:dyDescent="0.25">
      <c r="A57" s="1" t="s">
        <v>390</v>
      </c>
      <c r="B57" s="1" t="s">
        <v>391</v>
      </c>
      <c r="C57" s="1" t="s">
        <v>47</v>
      </c>
      <c r="D57" s="1" t="s">
        <v>48</v>
      </c>
      <c r="E57" s="1" t="s">
        <v>49</v>
      </c>
      <c r="F57" s="1" t="s">
        <v>49</v>
      </c>
      <c r="G57" s="1" t="s">
        <v>50</v>
      </c>
      <c r="H57" s="1" t="s">
        <v>51</v>
      </c>
      <c r="I57" s="1" t="s">
        <v>392</v>
      </c>
      <c r="J57" s="1" t="s">
        <v>393</v>
      </c>
      <c r="K57" s="1" t="s">
        <v>394</v>
      </c>
      <c r="L57" s="1" t="s">
        <v>55</v>
      </c>
      <c r="M57" s="1" t="s">
        <v>55</v>
      </c>
      <c r="N57" s="1" t="s">
        <v>55</v>
      </c>
      <c r="O57" s="1" t="s">
        <v>55</v>
      </c>
      <c r="P57" s="1" t="s">
        <v>55</v>
      </c>
      <c r="Q57" s="1" t="s">
        <v>55</v>
      </c>
      <c r="R57" s="1" t="s">
        <v>55</v>
      </c>
      <c r="S57" s="1" t="s">
        <v>55</v>
      </c>
      <c r="T57" s="1" t="s">
        <v>55</v>
      </c>
      <c r="U57" s="1" t="s">
        <v>55</v>
      </c>
      <c r="V57" s="1" t="s">
        <v>55</v>
      </c>
      <c r="W57" s="1" t="s">
        <v>55</v>
      </c>
      <c r="X57" s="1" t="s">
        <v>55</v>
      </c>
      <c r="Y57" s="1" t="s">
        <v>50</v>
      </c>
      <c r="Z57" t="str">
        <f>_xll.BDP($B57,"CUST_TRR_RETURN_HOLDING_PER","CUST_TRR_START_DT","20260401","CUST_TRR_END_DT","20260430","CUST_TRR_CRNCY","USD")</f>
        <v>#N/A N/A</v>
      </c>
      <c r="AA57" t="str">
        <f>_xll.BDP($B57,"CUST_TRR_RETURN_HOLDING_PER","CUST_TRR_START_DT","20260501","CUST_TRR_END_DT","20260531","CUST_TRR_CRNCY","USD")</f>
        <v>#N/A N/A</v>
      </c>
      <c r="AB57">
        <f>_xll.BDP($B57,"CUST_TRR_RETURN_HOLDING_PER","CUST_TRR_START_DT","20260601","CUST_TRR_END_DT","20260630","CUST_TRR_CRNCY","USD")</f>
        <v>4.8880319999999999</v>
      </c>
      <c r="AC57" s="1" t="s">
        <v>56</v>
      </c>
      <c r="AD57" s="1" t="s">
        <v>56</v>
      </c>
      <c r="AE57" s="1" t="s">
        <v>56</v>
      </c>
      <c r="AF57" s="1" t="s">
        <v>56</v>
      </c>
      <c r="AG57" s="1" t="s">
        <v>56</v>
      </c>
      <c r="AH57" s="1" t="s">
        <v>56</v>
      </c>
      <c r="AI57" s="1" t="s">
        <v>57</v>
      </c>
      <c r="AJ57" s="1" t="s">
        <v>57</v>
      </c>
      <c r="AK57" s="1" t="s">
        <v>56</v>
      </c>
      <c r="AL57" s="1" t="s">
        <v>57</v>
      </c>
      <c r="AM57" s="1" t="s">
        <v>57</v>
      </c>
      <c r="AN57" s="1" t="s">
        <v>56</v>
      </c>
      <c r="AO57" s="1" t="s">
        <v>58</v>
      </c>
      <c r="AP57" s="1" t="s">
        <v>57</v>
      </c>
      <c r="AQ57" s="1" t="s">
        <v>56</v>
      </c>
      <c r="AR57" s="1" t="s">
        <v>59</v>
      </c>
      <c r="AS57" s="1" t="s">
        <v>60</v>
      </c>
    </row>
    <row r="58" spans="1:45" x14ac:dyDescent="0.25">
      <c r="A58" s="1" t="s">
        <v>395</v>
      </c>
      <c r="B58" s="1" t="s">
        <v>396</v>
      </c>
      <c r="C58" s="1" t="s">
        <v>47</v>
      </c>
      <c r="D58" s="1" t="s">
        <v>48</v>
      </c>
      <c r="E58" s="1" t="s">
        <v>49</v>
      </c>
      <c r="F58" s="1" t="s">
        <v>49</v>
      </c>
      <c r="G58" s="1" t="s">
        <v>50</v>
      </c>
      <c r="H58" s="1" t="s">
        <v>51</v>
      </c>
      <c r="I58" s="1" t="s">
        <v>397</v>
      </c>
      <c r="J58" s="1" t="s">
        <v>398</v>
      </c>
      <c r="K58" s="1" t="s">
        <v>399</v>
      </c>
      <c r="L58" s="1" t="s">
        <v>55</v>
      </c>
      <c r="M58" s="1" t="s">
        <v>55</v>
      </c>
      <c r="N58" s="1" t="s">
        <v>55</v>
      </c>
      <c r="O58" s="1" t="s">
        <v>55</v>
      </c>
      <c r="P58" s="1" t="s">
        <v>55</v>
      </c>
      <c r="Q58" s="1" t="s">
        <v>55</v>
      </c>
      <c r="R58" s="1" t="s">
        <v>55</v>
      </c>
      <c r="S58" s="1" t="s">
        <v>55</v>
      </c>
      <c r="T58" s="1" t="s">
        <v>55</v>
      </c>
      <c r="U58" s="1" t="s">
        <v>55</v>
      </c>
      <c r="V58" s="1" t="s">
        <v>55</v>
      </c>
      <c r="W58" s="1" t="s">
        <v>55</v>
      </c>
      <c r="X58" s="1" t="s">
        <v>55</v>
      </c>
      <c r="Y58" s="1" t="s">
        <v>50</v>
      </c>
      <c r="Z58" t="str">
        <f>_xll.BDP($B58,"CUST_TRR_RETURN_HOLDING_PER","CUST_TRR_START_DT","20260401","CUST_TRR_END_DT","20260430","CUST_TRR_CRNCY","USD")</f>
        <v>#N/A N/A</v>
      </c>
      <c r="AA58">
        <f>_xll.BDP($B58,"CUST_TRR_RETURN_HOLDING_PER","CUST_TRR_START_DT","20260501","CUST_TRR_END_DT","20260531","CUST_TRR_CRNCY","USD")</f>
        <v>1.5693459999999999</v>
      </c>
      <c r="AB58">
        <f>_xll.BDP($B58,"CUST_TRR_RETURN_HOLDING_PER","CUST_TRR_START_DT","20260601","CUST_TRR_END_DT","20260630","CUST_TRR_CRNCY","USD")</f>
        <v>-0.1242881</v>
      </c>
      <c r="AC58" s="1" t="s">
        <v>56</v>
      </c>
      <c r="AD58" s="1" t="s">
        <v>56</v>
      </c>
      <c r="AE58" s="1" t="s">
        <v>56</v>
      </c>
      <c r="AF58" s="1" t="s">
        <v>56</v>
      </c>
      <c r="AG58" s="1" t="s">
        <v>56</v>
      </c>
      <c r="AH58" s="1" t="s">
        <v>56</v>
      </c>
      <c r="AI58" s="1" t="s">
        <v>57</v>
      </c>
      <c r="AJ58" s="1" t="s">
        <v>57</v>
      </c>
      <c r="AK58" s="1" t="s">
        <v>56</v>
      </c>
      <c r="AL58" s="1" t="s">
        <v>400</v>
      </c>
      <c r="AM58" s="1" t="s">
        <v>57</v>
      </c>
      <c r="AN58" s="1" t="s">
        <v>56</v>
      </c>
      <c r="AO58" s="1" t="s">
        <v>57</v>
      </c>
      <c r="AP58" s="1" t="s">
        <v>401</v>
      </c>
      <c r="AQ58" s="1" t="s">
        <v>56</v>
      </c>
      <c r="AR58" s="1" t="s">
        <v>59</v>
      </c>
      <c r="AS58" s="1" t="s">
        <v>60</v>
      </c>
    </row>
    <row r="59" spans="1:45" x14ac:dyDescent="0.25">
      <c r="A59" s="1" t="s">
        <v>402</v>
      </c>
      <c r="B59" s="1" t="s">
        <v>403</v>
      </c>
      <c r="C59" s="1" t="s">
        <v>47</v>
      </c>
      <c r="D59" s="1" t="s">
        <v>48</v>
      </c>
      <c r="E59" s="1" t="s">
        <v>49</v>
      </c>
      <c r="F59" s="1" t="s">
        <v>49</v>
      </c>
      <c r="G59" s="1" t="s">
        <v>50</v>
      </c>
      <c r="H59" s="1" t="s">
        <v>51</v>
      </c>
      <c r="I59" s="1" t="s">
        <v>404</v>
      </c>
      <c r="J59" s="1" t="s">
        <v>57</v>
      </c>
      <c r="K59" s="1" t="s">
        <v>404</v>
      </c>
      <c r="L59" s="1" t="s">
        <v>55</v>
      </c>
      <c r="M59" s="1" t="s">
        <v>55</v>
      </c>
      <c r="N59" s="1" t="s">
        <v>55</v>
      </c>
      <c r="O59" s="1" t="s">
        <v>55</v>
      </c>
      <c r="P59" s="1" t="s">
        <v>55</v>
      </c>
      <c r="Q59" s="1" t="s">
        <v>55</v>
      </c>
      <c r="R59" s="1" t="s">
        <v>55</v>
      </c>
      <c r="S59" s="1" t="s">
        <v>55</v>
      </c>
      <c r="T59" s="1" t="s">
        <v>55</v>
      </c>
      <c r="U59" s="1" t="s">
        <v>55</v>
      </c>
      <c r="V59" s="1" t="s">
        <v>55</v>
      </c>
      <c r="W59" s="1" t="s">
        <v>55</v>
      </c>
      <c r="X59" s="1" t="s">
        <v>55</v>
      </c>
      <c r="Y59" s="1" t="s">
        <v>50</v>
      </c>
      <c r="Z59" t="str">
        <f>_xll.BDP($B59,"CUST_TRR_RETURN_HOLDING_PER","CUST_TRR_START_DT","20260401","CUST_TRR_END_DT","20260430","CUST_TRR_CRNCY","USD")</f>
        <v>#N/A N/A</v>
      </c>
      <c r="AA59">
        <f>_xll.BDP($B59,"CUST_TRR_RETURN_HOLDING_PER","CUST_TRR_START_DT","20260501","CUST_TRR_END_DT","20260531","CUST_TRR_CRNCY","USD")</f>
        <v>0.2421586</v>
      </c>
      <c r="AB59">
        <f>_xll.BDP($B59,"CUST_TRR_RETURN_HOLDING_PER","CUST_TRR_START_DT","20260601","CUST_TRR_END_DT","20260630","CUST_TRR_CRNCY","USD")</f>
        <v>1.2101679999999999</v>
      </c>
      <c r="AC59" s="1" t="s">
        <v>56</v>
      </c>
      <c r="AD59" s="1" t="s">
        <v>56</v>
      </c>
      <c r="AE59" s="1" t="s">
        <v>56</v>
      </c>
      <c r="AF59" s="1" t="s">
        <v>56</v>
      </c>
      <c r="AG59" s="1" t="s">
        <v>56</v>
      </c>
      <c r="AH59" s="1" t="s">
        <v>56</v>
      </c>
      <c r="AI59" s="1" t="s">
        <v>57</v>
      </c>
      <c r="AJ59" s="1" t="s">
        <v>57</v>
      </c>
      <c r="AK59" s="1" t="s">
        <v>56</v>
      </c>
      <c r="AL59" s="1" t="s">
        <v>405</v>
      </c>
      <c r="AM59" s="1" t="s">
        <v>57</v>
      </c>
      <c r="AN59" s="1" t="s">
        <v>56</v>
      </c>
      <c r="AO59" s="1" t="s">
        <v>57</v>
      </c>
      <c r="AP59" s="1" t="s">
        <v>406</v>
      </c>
      <c r="AQ59" s="1" t="s">
        <v>56</v>
      </c>
      <c r="AR59" s="1" t="s">
        <v>59</v>
      </c>
      <c r="AS59" s="1" t="s">
        <v>60</v>
      </c>
    </row>
    <row r="60" spans="1:45" x14ac:dyDescent="0.25">
      <c r="A60" s="1" t="s">
        <v>407</v>
      </c>
      <c r="B60" s="1" t="s">
        <v>408</v>
      </c>
      <c r="C60" s="1" t="s">
        <v>47</v>
      </c>
      <c r="D60" s="1" t="s">
        <v>48</v>
      </c>
      <c r="E60" s="1" t="s">
        <v>49</v>
      </c>
      <c r="F60" s="1" t="s">
        <v>49</v>
      </c>
      <c r="G60" s="1" t="s">
        <v>50</v>
      </c>
      <c r="H60" s="1" t="s">
        <v>51</v>
      </c>
      <c r="I60" s="1" t="s">
        <v>409</v>
      </c>
      <c r="J60" s="1" t="s">
        <v>410</v>
      </c>
      <c r="K60" s="1" t="s">
        <v>411</v>
      </c>
      <c r="L60" s="1" t="s">
        <v>55</v>
      </c>
      <c r="M60" s="1" t="s">
        <v>55</v>
      </c>
      <c r="N60" s="1" t="s">
        <v>55</v>
      </c>
      <c r="O60" s="1" t="s">
        <v>55</v>
      </c>
      <c r="P60" s="1" t="s">
        <v>55</v>
      </c>
      <c r="Q60" s="1" t="s">
        <v>55</v>
      </c>
      <c r="R60" s="1" t="s">
        <v>55</v>
      </c>
      <c r="S60" s="1" t="s">
        <v>55</v>
      </c>
      <c r="T60" s="1" t="s">
        <v>55</v>
      </c>
      <c r="U60" s="1" t="s">
        <v>55</v>
      </c>
      <c r="V60" s="1" t="s">
        <v>55</v>
      </c>
      <c r="W60" s="1" t="s">
        <v>55</v>
      </c>
      <c r="X60" s="1" t="s">
        <v>55</v>
      </c>
      <c r="Y60" s="1" t="s">
        <v>50</v>
      </c>
      <c r="Z60" t="str">
        <f>_xll.BDP($B60,"CUST_TRR_RETURN_HOLDING_PER","CUST_TRR_START_DT","20260401","CUST_TRR_END_DT","20260430","CUST_TRR_CRNCY","USD")</f>
        <v>#N/A N/A</v>
      </c>
      <c r="AA60" t="str">
        <f>_xll.BDP($B60,"CUST_TRR_RETURN_HOLDING_PER","CUST_TRR_START_DT","20260501","CUST_TRR_END_DT","20260531","CUST_TRR_CRNCY","USD")</f>
        <v>#N/A N/A</v>
      </c>
      <c r="AB60">
        <f>_xll.BDP($B60,"CUST_TRR_RETURN_HOLDING_PER","CUST_TRR_START_DT","20260601","CUST_TRR_END_DT","20260630","CUST_TRR_CRNCY","USD")</f>
        <v>42.107819999999997</v>
      </c>
      <c r="AC60" s="1" t="s">
        <v>56</v>
      </c>
      <c r="AD60" s="1" t="s">
        <v>56</v>
      </c>
      <c r="AE60" s="1" t="s">
        <v>56</v>
      </c>
      <c r="AF60" s="1" t="s">
        <v>56</v>
      </c>
      <c r="AG60" s="1" t="s">
        <v>56</v>
      </c>
      <c r="AH60" s="1" t="s">
        <v>56</v>
      </c>
      <c r="AI60" s="1" t="s">
        <v>57</v>
      </c>
      <c r="AJ60" s="1" t="s">
        <v>57</v>
      </c>
      <c r="AK60" s="1" t="s">
        <v>56</v>
      </c>
      <c r="AL60" s="1" t="s">
        <v>57</v>
      </c>
      <c r="AM60" s="1" t="s">
        <v>57</v>
      </c>
      <c r="AN60" s="1" t="s">
        <v>56</v>
      </c>
      <c r="AO60" s="1" t="s">
        <v>58</v>
      </c>
      <c r="AP60" s="1" t="s">
        <v>57</v>
      </c>
      <c r="AQ60" s="1" t="s">
        <v>56</v>
      </c>
      <c r="AR60" s="1" t="s">
        <v>59</v>
      </c>
      <c r="AS60" s="1" t="s">
        <v>60</v>
      </c>
    </row>
    <row r="61" spans="1:45" x14ac:dyDescent="0.25">
      <c r="A61" s="1" t="s">
        <v>412</v>
      </c>
      <c r="B61" s="1" t="s">
        <v>413</v>
      </c>
      <c r="C61" s="1" t="s">
        <v>47</v>
      </c>
      <c r="D61" s="1" t="s">
        <v>48</v>
      </c>
      <c r="E61" s="1" t="s">
        <v>49</v>
      </c>
      <c r="F61" s="1" t="s">
        <v>49</v>
      </c>
      <c r="G61" s="1" t="s">
        <v>50</v>
      </c>
      <c r="H61" s="1" t="s">
        <v>51</v>
      </c>
      <c r="I61" s="1" t="s">
        <v>414</v>
      </c>
      <c r="J61" s="1" t="s">
        <v>415</v>
      </c>
      <c r="K61" s="1" t="s">
        <v>416</v>
      </c>
      <c r="L61" s="1" t="s">
        <v>55</v>
      </c>
      <c r="M61" s="1" t="s">
        <v>55</v>
      </c>
      <c r="N61" s="1" t="s">
        <v>55</v>
      </c>
      <c r="O61" s="1" t="s">
        <v>55</v>
      </c>
      <c r="P61" s="1" t="s">
        <v>55</v>
      </c>
      <c r="Q61" s="1" t="s">
        <v>55</v>
      </c>
      <c r="R61" s="1" t="s">
        <v>55</v>
      </c>
      <c r="S61" s="1" t="s">
        <v>55</v>
      </c>
      <c r="T61" s="1" t="s">
        <v>55</v>
      </c>
      <c r="U61" s="1" t="s">
        <v>55</v>
      </c>
      <c r="V61" s="1" t="s">
        <v>55</v>
      </c>
      <c r="W61" s="1" t="s">
        <v>55</v>
      </c>
      <c r="X61" s="1" t="s">
        <v>55</v>
      </c>
      <c r="Y61" s="1" t="s">
        <v>50</v>
      </c>
      <c r="Z61" t="str">
        <f>_xll.BDP($B61,"CUST_TRR_RETURN_HOLDING_PER","CUST_TRR_START_DT","20260401","CUST_TRR_END_DT","20260430","CUST_TRR_CRNCY","USD")</f>
        <v>#N/A N/A</v>
      </c>
      <c r="AA61" t="str">
        <f>_xll.BDP($B61,"CUST_TRR_RETURN_HOLDING_PER","CUST_TRR_START_DT","20260501","CUST_TRR_END_DT","20260531","CUST_TRR_CRNCY","USD")</f>
        <v>#N/A N/A</v>
      </c>
      <c r="AB61">
        <f>_xll.BDP($B61,"CUST_TRR_RETURN_HOLDING_PER","CUST_TRR_START_DT","20260601","CUST_TRR_END_DT","20260630","CUST_TRR_CRNCY","USD")</f>
        <v>-3.0485609999999999</v>
      </c>
      <c r="AC61" s="1" t="s">
        <v>56</v>
      </c>
      <c r="AD61" s="1" t="s">
        <v>56</v>
      </c>
      <c r="AE61" s="1" t="s">
        <v>56</v>
      </c>
      <c r="AF61" s="1" t="s">
        <v>56</v>
      </c>
      <c r="AG61" s="1" t="s">
        <v>56</v>
      </c>
      <c r="AH61" s="1" t="s">
        <v>56</v>
      </c>
      <c r="AI61" s="1" t="s">
        <v>57</v>
      </c>
      <c r="AJ61" s="1" t="s">
        <v>57</v>
      </c>
      <c r="AK61" s="1" t="s">
        <v>56</v>
      </c>
      <c r="AL61" s="1" t="s">
        <v>57</v>
      </c>
      <c r="AM61" s="1" t="s">
        <v>57</v>
      </c>
      <c r="AN61" s="1" t="s">
        <v>56</v>
      </c>
      <c r="AO61" s="1" t="s">
        <v>417</v>
      </c>
      <c r="AP61" s="1" t="s">
        <v>418</v>
      </c>
      <c r="AQ61" s="1" t="s">
        <v>56</v>
      </c>
      <c r="AR61" s="1" t="s">
        <v>59</v>
      </c>
      <c r="AS61" s="1" t="s">
        <v>60</v>
      </c>
    </row>
    <row r="62" spans="1:45" x14ac:dyDescent="0.25">
      <c r="A62" s="1" t="s">
        <v>419</v>
      </c>
      <c r="B62" s="1" t="s">
        <v>420</v>
      </c>
      <c r="C62" s="1" t="s">
        <v>47</v>
      </c>
      <c r="D62" s="1" t="s">
        <v>48</v>
      </c>
      <c r="E62" s="1" t="s">
        <v>49</v>
      </c>
      <c r="F62" s="1" t="s">
        <v>49</v>
      </c>
      <c r="G62" s="1" t="s">
        <v>50</v>
      </c>
      <c r="H62" s="1" t="s">
        <v>51</v>
      </c>
      <c r="I62" s="1" t="s">
        <v>421</v>
      </c>
      <c r="J62" s="1" t="s">
        <v>57</v>
      </c>
      <c r="K62" s="1" t="s">
        <v>421</v>
      </c>
      <c r="L62" s="1" t="s">
        <v>55</v>
      </c>
      <c r="M62" s="1" t="s">
        <v>55</v>
      </c>
      <c r="N62" s="1" t="s">
        <v>55</v>
      </c>
      <c r="O62" s="1" t="s">
        <v>55</v>
      </c>
      <c r="P62" s="1" t="s">
        <v>55</v>
      </c>
      <c r="Q62" s="1" t="s">
        <v>55</v>
      </c>
      <c r="R62" s="1" t="s">
        <v>55</v>
      </c>
      <c r="S62" s="1" t="s">
        <v>55</v>
      </c>
      <c r="T62" s="1" t="s">
        <v>55</v>
      </c>
      <c r="U62" s="1" t="s">
        <v>55</v>
      </c>
      <c r="V62" s="1" t="s">
        <v>55</v>
      </c>
      <c r="W62" s="1" t="s">
        <v>55</v>
      </c>
      <c r="X62" s="1" t="s">
        <v>55</v>
      </c>
      <c r="Y62" s="1" t="s">
        <v>50</v>
      </c>
      <c r="Z62" t="str">
        <f>_xll.BDP($B62,"CUST_TRR_RETURN_HOLDING_PER","CUST_TRR_START_DT","20260401","CUST_TRR_END_DT","20260430","CUST_TRR_CRNCY","USD")</f>
        <v>#N/A N/A</v>
      </c>
      <c r="AA62">
        <f>_xll.BDP($B62,"CUST_TRR_RETURN_HOLDING_PER","CUST_TRR_START_DT","20260501","CUST_TRR_END_DT","20260531","CUST_TRR_CRNCY","USD")</f>
        <v>6.0954170000000003</v>
      </c>
      <c r="AB62">
        <f>_xll.BDP($B62,"CUST_TRR_RETURN_HOLDING_PER","CUST_TRR_START_DT","20260601","CUST_TRR_END_DT","20260630","CUST_TRR_CRNCY","USD")</f>
        <v>-5.6226940000000001</v>
      </c>
      <c r="AC62" s="1" t="s">
        <v>56</v>
      </c>
      <c r="AD62" s="1" t="s">
        <v>56</v>
      </c>
      <c r="AE62" s="1" t="s">
        <v>56</v>
      </c>
      <c r="AF62" s="1" t="s">
        <v>56</v>
      </c>
      <c r="AG62" s="1" t="s">
        <v>56</v>
      </c>
      <c r="AH62" s="1" t="s">
        <v>56</v>
      </c>
      <c r="AI62" s="1" t="s">
        <v>57</v>
      </c>
      <c r="AJ62" s="1" t="s">
        <v>57</v>
      </c>
      <c r="AK62" s="1" t="s">
        <v>56</v>
      </c>
      <c r="AL62" s="1" t="s">
        <v>422</v>
      </c>
      <c r="AM62" s="1" t="s">
        <v>57</v>
      </c>
      <c r="AN62" s="1" t="s">
        <v>56</v>
      </c>
      <c r="AO62" s="1" t="s">
        <v>57</v>
      </c>
      <c r="AP62" s="1" t="s">
        <v>57</v>
      </c>
      <c r="AQ62" s="1" t="s">
        <v>56</v>
      </c>
      <c r="AR62" s="1" t="s">
        <v>59</v>
      </c>
      <c r="AS62" s="1" t="s">
        <v>60</v>
      </c>
    </row>
    <row r="63" spans="1:45" x14ac:dyDescent="0.25">
      <c r="A63" s="1" t="s">
        <v>423</v>
      </c>
      <c r="B63" s="1" t="s">
        <v>424</v>
      </c>
      <c r="C63" s="1" t="s">
        <v>47</v>
      </c>
      <c r="D63" s="1" t="s">
        <v>48</v>
      </c>
      <c r="E63" s="1" t="s">
        <v>49</v>
      </c>
      <c r="F63" s="1" t="s">
        <v>49</v>
      </c>
      <c r="G63" s="1" t="s">
        <v>50</v>
      </c>
      <c r="H63" s="1" t="s">
        <v>51</v>
      </c>
      <c r="I63" s="1" t="s">
        <v>425</v>
      </c>
      <c r="J63" s="1" t="s">
        <v>426</v>
      </c>
      <c r="K63" s="1" t="s">
        <v>427</v>
      </c>
      <c r="L63" s="1" t="s">
        <v>55</v>
      </c>
      <c r="M63" s="1" t="s">
        <v>55</v>
      </c>
      <c r="N63" s="1" t="s">
        <v>55</v>
      </c>
      <c r="O63" s="1" t="s">
        <v>55</v>
      </c>
      <c r="P63" s="1" t="s">
        <v>55</v>
      </c>
      <c r="Q63" s="1" t="s">
        <v>55</v>
      </c>
      <c r="R63" s="1" t="s">
        <v>55</v>
      </c>
      <c r="S63" s="1" t="s">
        <v>55</v>
      </c>
      <c r="T63" s="1" t="s">
        <v>55</v>
      </c>
      <c r="U63" s="1" t="s">
        <v>55</v>
      </c>
      <c r="V63" s="1" t="s">
        <v>55</v>
      </c>
      <c r="W63" s="1" t="s">
        <v>55</v>
      </c>
      <c r="X63" s="1" t="s">
        <v>55</v>
      </c>
      <c r="Y63" s="1" t="s">
        <v>50</v>
      </c>
      <c r="Z63" t="str">
        <f>_xll.BDP($B63,"CUST_TRR_RETURN_HOLDING_PER","CUST_TRR_START_DT","20260401","CUST_TRR_END_DT","20260430","CUST_TRR_CRNCY","USD")</f>
        <v>#N/A N/A</v>
      </c>
      <c r="AA63" t="str">
        <f>_xll.BDP($B63,"CUST_TRR_RETURN_HOLDING_PER","CUST_TRR_START_DT","20260501","CUST_TRR_END_DT","20260531","CUST_TRR_CRNCY","USD")</f>
        <v>#N/A N/A</v>
      </c>
      <c r="AB63">
        <f>_xll.BDP($B63,"CUST_TRR_RETURN_HOLDING_PER","CUST_TRR_START_DT","20260601","CUST_TRR_END_DT","20260630","CUST_TRR_CRNCY","USD")</f>
        <v>-1.752354</v>
      </c>
      <c r="AC63" s="1" t="s">
        <v>56</v>
      </c>
      <c r="AD63" s="1" t="s">
        <v>56</v>
      </c>
      <c r="AE63" s="1" t="s">
        <v>56</v>
      </c>
      <c r="AF63" s="1" t="s">
        <v>56</v>
      </c>
      <c r="AG63" s="1" t="s">
        <v>56</v>
      </c>
      <c r="AH63" s="1" t="s">
        <v>56</v>
      </c>
      <c r="AI63" s="1" t="s">
        <v>57</v>
      </c>
      <c r="AJ63" s="1" t="s">
        <v>57</v>
      </c>
      <c r="AK63" s="1" t="s">
        <v>56</v>
      </c>
      <c r="AL63" s="1" t="s">
        <v>57</v>
      </c>
      <c r="AM63" s="1" t="s">
        <v>57</v>
      </c>
      <c r="AN63" s="1" t="s">
        <v>56</v>
      </c>
      <c r="AO63" s="1" t="s">
        <v>169</v>
      </c>
      <c r="AP63" s="1" t="s">
        <v>57</v>
      </c>
      <c r="AQ63" s="1" t="s">
        <v>56</v>
      </c>
      <c r="AR63" s="1" t="s">
        <v>428</v>
      </c>
      <c r="AS63" s="1" t="s">
        <v>429</v>
      </c>
    </row>
    <row r="64" spans="1:45" x14ac:dyDescent="0.25">
      <c r="A64" s="1" t="s">
        <v>430</v>
      </c>
      <c r="B64" s="1" t="s">
        <v>431</v>
      </c>
      <c r="C64" s="1" t="s">
        <v>47</v>
      </c>
      <c r="D64" s="1" t="s">
        <v>48</v>
      </c>
      <c r="E64" s="1" t="s">
        <v>49</v>
      </c>
      <c r="F64" s="1" t="s">
        <v>49</v>
      </c>
      <c r="G64" s="1" t="s">
        <v>50</v>
      </c>
      <c r="H64" s="1" t="s">
        <v>51</v>
      </c>
      <c r="I64" s="1" t="s">
        <v>432</v>
      </c>
      <c r="J64" s="1" t="s">
        <v>433</v>
      </c>
      <c r="K64" s="1" t="s">
        <v>434</v>
      </c>
      <c r="L64" s="1" t="s">
        <v>55</v>
      </c>
      <c r="M64" s="1" t="s">
        <v>55</v>
      </c>
      <c r="N64" s="1" t="s">
        <v>55</v>
      </c>
      <c r="O64" s="1" t="s">
        <v>55</v>
      </c>
      <c r="P64" s="1" t="s">
        <v>55</v>
      </c>
      <c r="Q64" s="1" t="s">
        <v>55</v>
      </c>
      <c r="R64" s="1" t="s">
        <v>55</v>
      </c>
      <c r="S64" s="1" t="s">
        <v>55</v>
      </c>
      <c r="T64" s="1" t="s">
        <v>55</v>
      </c>
      <c r="U64" s="1" t="s">
        <v>55</v>
      </c>
      <c r="V64" s="1" t="s">
        <v>55</v>
      </c>
      <c r="W64" s="1" t="s">
        <v>55</v>
      </c>
      <c r="X64" s="1" t="s">
        <v>55</v>
      </c>
      <c r="Y64" s="1" t="s">
        <v>50</v>
      </c>
      <c r="Z64" t="str">
        <f>_xll.BDP($B64,"CUST_TRR_RETURN_HOLDING_PER","CUST_TRR_START_DT","20260401","CUST_TRR_END_DT","20260430","CUST_TRR_CRNCY","USD")</f>
        <v>#N/A N/A</v>
      </c>
      <c r="AA64">
        <f>_xll.BDP($B64,"CUST_TRR_RETURN_HOLDING_PER","CUST_TRR_START_DT","20260501","CUST_TRR_END_DT","20260531","CUST_TRR_CRNCY","USD")</f>
        <v>3.3726069999999999</v>
      </c>
      <c r="AB64">
        <f>_xll.BDP($B64,"CUST_TRR_RETURN_HOLDING_PER","CUST_TRR_START_DT","20260601","CUST_TRR_END_DT","20260630","CUST_TRR_CRNCY","USD")</f>
        <v>-1.4557869999999999</v>
      </c>
      <c r="AC64" s="1" t="s">
        <v>56</v>
      </c>
      <c r="AD64" s="1" t="s">
        <v>56</v>
      </c>
      <c r="AE64" s="1" t="s">
        <v>56</v>
      </c>
      <c r="AF64" s="1" t="s">
        <v>56</v>
      </c>
      <c r="AG64" s="1" t="s">
        <v>56</v>
      </c>
      <c r="AH64" s="1" t="s">
        <v>56</v>
      </c>
      <c r="AI64" s="1" t="s">
        <v>57</v>
      </c>
      <c r="AJ64" s="1" t="s">
        <v>57</v>
      </c>
      <c r="AK64" s="1" t="s">
        <v>56</v>
      </c>
      <c r="AL64" s="1" t="s">
        <v>435</v>
      </c>
      <c r="AM64" s="1" t="s">
        <v>57</v>
      </c>
      <c r="AN64" s="1" t="s">
        <v>56</v>
      </c>
      <c r="AO64" s="1" t="s">
        <v>436</v>
      </c>
      <c r="AP64" s="1" t="s">
        <v>437</v>
      </c>
      <c r="AQ64" s="1" t="s">
        <v>56</v>
      </c>
      <c r="AR64" s="1" t="s">
        <v>428</v>
      </c>
      <c r="AS64" s="1" t="s">
        <v>429</v>
      </c>
    </row>
    <row r="65" spans="1:45" x14ac:dyDescent="0.25">
      <c r="A65" s="1" t="s">
        <v>438</v>
      </c>
      <c r="B65" s="1" t="s">
        <v>439</v>
      </c>
      <c r="C65" s="1" t="s">
        <v>47</v>
      </c>
      <c r="D65" s="1" t="s">
        <v>48</v>
      </c>
      <c r="E65" s="1" t="s">
        <v>49</v>
      </c>
      <c r="F65" s="1" t="s">
        <v>49</v>
      </c>
      <c r="G65" s="1" t="s">
        <v>50</v>
      </c>
      <c r="H65" s="1" t="s">
        <v>51</v>
      </c>
      <c r="I65" s="1" t="s">
        <v>440</v>
      </c>
      <c r="J65" s="1" t="s">
        <v>441</v>
      </c>
      <c r="K65" s="1" t="s">
        <v>442</v>
      </c>
      <c r="L65" s="1" t="s">
        <v>55</v>
      </c>
      <c r="M65" s="1" t="s">
        <v>55</v>
      </c>
      <c r="N65" s="1" t="s">
        <v>55</v>
      </c>
      <c r="O65" s="1" t="s">
        <v>55</v>
      </c>
      <c r="P65" s="1" t="s">
        <v>55</v>
      </c>
      <c r="Q65" s="1" t="s">
        <v>55</v>
      </c>
      <c r="R65" s="1" t="s">
        <v>55</v>
      </c>
      <c r="S65" s="1" t="s">
        <v>55</v>
      </c>
      <c r="T65" s="1" t="s">
        <v>55</v>
      </c>
      <c r="U65" s="1" t="s">
        <v>55</v>
      </c>
      <c r="V65" s="1" t="s">
        <v>55</v>
      </c>
      <c r="W65" s="1" t="s">
        <v>55</v>
      </c>
      <c r="X65" s="1" t="s">
        <v>55</v>
      </c>
      <c r="Y65" s="1" t="s">
        <v>50</v>
      </c>
      <c r="Z65" t="str">
        <f>_xll.BDP($B65,"CUST_TRR_RETURN_HOLDING_PER","CUST_TRR_START_DT","20260401","CUST_TRR_END_DT","20260430","CUST_TRR_CRNCY","USD")</f>
        <v>#N/A N/A</v>
      </c>
      <c r="AA65" t="str">
        <f>_xll.BDP($B65,"CUST_TRR_RETURN_HOLDING_PER","CUST_TRR_START_DT","20260501","CUST_TRR_END_DT","20260531","CUST_TRR_CRNCY","USD")</f>
        <v>#N/A N/A</v>
      </c>
      <c r="AB65">
        <f>_xll.BDP($B65,"CUST_TRR_RETURN_HOLDING_PER","CUST_TRR_START_DT","20260601","CUST_TRR_END_DT","20260630","CUST_TRR_CRNCY","USD")</f>
        <v>-1.406555</v>
      </c>
      <c r="AC65" s="1" t="s">
        <v>56</v>
      </c>
      <c r="AD65" s="1" t="s">
        <v>56</v>
      </c>
      <c r="AE65" s="1" t="s">
        <v>56</v>
      </c>
      <c r="AF65" s="1" t="s">
        <v>56</v>
      </c>
      <c r="AG65" s="1" t="s">
        <v>56</v>
      </c>
      <c r="AH65" s="1" t="s">
        <v>56</v>
      </c>
      <c r="AI65" s="1" t="s">
        <v>57</v>
      </c>
      <c r="AJ65" s="1" t="s">
        <v>57</v>
      </c>
      <c r="AK65" s="1" t="s">
        <v>56</v>
      </c>
      <c r="AL65" s="1" t="s">
        <v>57</v>
      </c>
      <c r="AM65" s="1" t="s">
        <v>57</v>
      </c>
      <c r="AN65" s="1" t="s">
        <v>56</v>
      </c>
      <c r="AO65" s="1" t="s">
        <v>443</v>
      </c>
      <c r="AP65" s="1" t="s">
        <v>57</v>
      </c>
      <c r="AQ65" s="1" t="s">
        <v>56</v>
      </c>
      <c r="AR65" s="1" t="s">
        <v>428</v>
      </c>
      <c r="AS65" s="1" t="s">
        <v>429</v>
      </c>
    </row>
    <row r="66" spans="1:45" x14ac:dyDescent="0.25">
      <c r="A66" s="1" t="s">
        <v>444</v>
      </c>
      <c r="B66" s="1" t="s">
        <v>445</v>
      </c>
      <c r="C66" s="1" t="s">
        <v>47</v>
      </c>
      <c r="D66" s="1" t="s">
        <v>48</v>
      </c>
      <c r="E66" s="1" t="s">
        <v>49</v>
      </c>
      <c r="F66" s="1" t="s">
        <v>49</v>
      </c>
      <c r="G66" s="1" t="s">
        <v>50</v>
      </c>
      <c r="H66" s="1" t="s">
        <v>51</v>
      </c>
      <c r="I66" s="1" t="s">
        <v>446</v>
      </c>
      <c r="J66" s="1" t="s">
        <v>447</v>
      </c>
      <c r="K66" s="1" t="s">
        <v>448</v>
      </c>
      <c r="L66" s="1" t="s">
        <v>55</v>
      </c>
      <c r="M66" s="1" t="s">
        <v>55</v>
      </c>
      <c r="N66" s="1" t="s">
        <v>55</v>
      </c>
      <c r="O66" s="1" t="s">
        <v>55</v>
      </c>
      <c r="P66" s="1" t="s">
        <v>55</v>
      </c>
      <c r="Q66" s="1" t="s">
        <v>55</v>
      </c>
      <c r="R66" s="1" t="s">
        <v>55</v>
      </c>
      <c r="S66" s="1" t="s">
        <v>55</v>
      </c>
      <c r="T66" s="1" t="s">
        <v>55</v>
      </c>
      <c r="U66" s="1" t="s">
        <v>55</v>
      </c>
      <c r="V66" s="1" t="s">
        <v>55</v>
      </c>
      <c r="W66" s="1" t="s">
        <v>55</v>
      </c>
      <c r="X66" s="1" t="s">
        <v>55</v>
      </c>
      <c r="Y66" s="1" t="s">
        <v>50</v>
      </c>
      <c r="Z66" t="str">
        <f>_xll.BDP($B66,"CUST_TRR_RETURN_HOLDING_PER","CUST_TRR_START_DT","20260401","CUST_TRR_END_DT","20260430","CUST_TRR_CRNCY","USD")</f>
        <v>#N/A N/A</v>
      </c>
      <c r="AA66">
        <f>_xll.BDP($B66,"CUST_TRR_RETURN_HOLDING_PER","CUST_TRR_START_DT","20260501","CUST_TRR_END_DT","20260531","CUST_TRR_CRNCY","USD")</f>
        <v>3.3770169999999999</v>
      </c>
      <c r="AB66">
        <f>_xll.BDP($B66,"CUST_TRR_RETURN_HOLDING_PER","CUST_TRR_START_DT","20260601","CUST_TRR_END_DT","20260630","CUST_TRR_CRNCY","USD")</f>
        <v>-0.76575099999999996</v>
      </c>
      <c r="AC66" s="1" t="s">
        <v>56</v>
      </c>
      <c r="AD66" s="1" t="s">
        <v>56</v>
      </c>
      <c r="AE66" s="1" t="s">
        <v>56</v>
      </c>
      <c r="AF66" s="1" t="s">
        <v>56</v>
      </c>
      <c r="AG66" s="1" t="s">
        <v>56</v>
      </c>
      <c r="AH66" s="1" t="s">
        <v>56</v>
      </c>
      <c r="AI66" s="1" t="s">
        <v>169</v>
      </c>
      <c r="AJ66" s="1" t="s">
        <v>57</v>
      </c>
      <c r="AK66" s="1" t="s">
        <v>56</v>
      </c>
      <c r="AL66" s="1" t="s">
        <v>449</v>
      </c>
      <c r="AM66" s="1" t="s">
        <v>57</v>
      </c>
      <c r="AN66" s="1" t="s">
        <v>56</v>
      </c>
      <c r="AO66" s="1" t="s">
        <v>450</v>
      </c>
      <c r="AP66" s="1" t="s">
        <v>451</v>
      </c>
      <c r="AQ66" s="1" t="s">
        <v>56</v>
      </c>
      <c r="AR66" s="1" t="s">
        <v>428</v>
      </c>
      <c r="AS66" s="1" t="s">
        <v>429</v>
      </c>
    </row>
    <row r="67" spans="1:45" x14ac:dyDescent="0.25">
      <c r="A67" s="1" t="s">
        <v>452</v>
      </c>
      <c r="B67" s="1" t="s">
        <v>453</v>
      </c>
      <c r="C67" s="1" t="s">
        <v>47</v>
      </c>
      <c r="D67" s="1" t="s">
        <v>48</v>
      </c>
      <c r="E67" s="1" t="s">
        <v>49</v>
      </c>
      <c r="F67" s="1" t="s">
        <v>49</v>
      </c>
      <c r="G67" s="1" t="s">
        <v>50</v>
      </c>
      <c r="H67" s="1" t="s">
        <v>51</v>
      </c>
      <c r="I67" s="1" t="s">
        <v>454</v>
      </c>
      <c r="J67" s="1" t="s">
        <v>455</v>
      </c>
      <c r="K67" s="1" t="s">
        <v>456</v>
      </c>
      <c r="L67" s="1" t="s">
        <v>55</v>
      </c>
      <c r="M67" s="1" t="s">
        <v>55</v>
      </c>
      <c r="N67" s="1" t="s">
        <v>55</v>
      </c>
      <c r="O67" s="1" t="s">
        <v>55</v>
      </c>
      <c r="P67" s="1" t="s">
        <v>55</v>
      </c>
      <c r="Q67" s="1" t="s">
        <v>55</v>
      </c>
      <c r="R67" s="1" t="s">
        <v>55</v>
      </c>
      <c r="S67" s="1" t="s">
        <v>55</v>
      </c>
      <c r="T67" s="1" t="s">
        <v>55</v>
      </c>
      <c r="U67" s="1" t="s">
        <v>55</v>
      </c>
      <c r="V67" s="1" t="s">
        <v>55</v>
      </c>
      <c r="W67" s="1" t="s">
        <v>55</v>
      </c>
      <c r="X67" s="1" t="s">
        <v>55</v>
      </c>
      <c r="Y67" s="1" t="s">
        <v>50</v>
      </c>
      <c r="Z67" t="str">
        <f>_xll.BDP($B67,"CUST_TRR_RETURN_HOLDING_PER","CUST_TRR_START_DT","20260401","CUST_TRR_END_DT","20260430","CUST_TRR_CRNCY","USD")</f>
        <v>#N/A N/A</v>
      </c>
      <c r="AA67" t="str">
        <f>_xll.BDP($B67,"CUST_TRR_RETURN_HOLDING_PER","CUST_TRR_START_DT","20260501","CUST_TRR_END_DT","20260531","CUST_TRR_CRNCY","USD")</f>
        <v>#N/A N/A</v>
      </c>
      <c r="AB67">
        <f>_xll.BDP($B67,"CUST_TRR_RETURN_HOLDING_PER","CUST_TRR_START_DT","20260601","CUST_TRR_END_DT","20260630","CUST_TRR_CRNCY","USD")</f>
        <v>8.1735729999999993</v>
      </c>
      <c r="AC67" s="1" t="s">
        <v>56</v>
      </c>
      <c r="AD67" s="1" t="s">
        <v>56</v>
      </c>
      <c r="AE67" s="1" t="s">
        <v>56</v>
      </c>
      <c r="AF67" s="1" t="s">
        <v>56</v>
      </c>
      <c r="AG67" s="1" t="s">
        <v>56</v>
      </c>
      <c r="AH67" s="1" t="s">
        <v>56</v>
      </c>
      <c r="AI67" s="1" t="s">
        <v>57</v>
      </c>
      <c r="AJ67" s="1" t="s">
        <v>57</v>
      </c>
      <c r="AK67" s="1" t="s">
        <v>56</v>
      </c>
      <c r="AL67" s="1" t="s">
        <v>57</v>
      </c>
      <c r="AM67" s="1" t="s">
        <v>57</v>
      </c>
      <c r="AN67" s="1" t="s">
        <v>56</v>
      </c>
      <c r="AO67" s="1" t="s">
        <v>58</v>
      </c>
      <c r="AP67" s="1" t="s">
        <v>57</v>
      </c>
      <c r="AQ67" s="1" t="s">
        <v>56</v>
      </c>
      <c r="AR67" s="1" t="s">
        <v>56</v>
      </c>
      <c r="AS67" s="1" t="s">
        <v>56</v>
      </c>
    </row>
    <row r="68" spans="1:45" x14ac:dyDescent="0.25">
      <c r="A68" s="1" t="s">
        <v>457</v>
      </c>
      <c r="B68" s="1" t="s">
        <v>458</v>
      </c>
      <c r="C68" s="1" t="s">
        <v>47</v>
      </c>
      <c r="D68" s="1" t="s">
        <v>48</v>
      </c>
      <c r="E68" s="1" t="s">
        <v>49</v>
      </c>
      <c r="F68" s="1" t="s">
        <v>49</v>
      </c>
      <c r="G68" s="1" t="s">
        <v>50</v>
      </c>
      <c r="H68" s="1" t="s">
        <v>51</v>
      </c>
      <c r="I68" s="1" t="s">
        <v>459</v>
      </c>
      <c r="J68" s="1" t="s">
        <v>460</v>
      </c>
      <c r="K68" s="1" t="s">
        <v>461</v>
      </c>
      <c r="L68" s="1" t="s">
        <v>55</v>
      </c>
      <c r="M68" s="1" t="s">
        <v>55</v>
      </c>
      <c r="N68" s="1" t="s">
        <v>55</v>
      </c>
      <c r="O68" s="1" t="s">
        <v>55</v>
      </c>
      <c r="P68" s="1" t="s">
        <v>55</v>
      </c>
      <c r="Q68" s="1" t="s">
        <v>55</v>
      </c>
      <c r="R68" s="1" t="s">
        <v>55</v>
      </c>
      <c r="S68" s="1" t="s">
        <v>55</v>
      </c>
      <c r="T68" s="1" t="s">
        <v>55</v>
      </c>
      <c r="U68" s="1" t="s">
        <v>55</v>
      </c>
      <c r="V68" s="1" t="s">
        <v>55</v>
      </c>
      <c r="W68" s="1" t="s">
        <v>55</v>
      </c>
      <c r="X68" s="1" t="s">
        <v>55</v>
      </c>
      <c r="Y68" s="1" t="s">
        <v>50</v>
      </c>
      <c r="Z68" t="str">
        <f>_xll.BDP($B68,"CUST_TRR_RETURN_HOLDING_PER","CUST_TRR_START_DT","20260401","CUST_TRR_END_DT","20260430","CUST_TRR_CRNCY","USD")</f>
        <v>#N/A N/A</v>
      </c>
      <c r="AA68" t="str">
        <f>_xll.BDP($B68,"CUST_TRR_RETURN_HOLDING_PER","CUST_TRR_START_DT","20260501","CUST_TRR_END_DT","20260531","CUST_TRR_CRNCY","USD")</f>
        <v>#N/A N/A</v>
      </c>
      <c r="AB68">
        <f>_xll.BDP($B68,"CUST_TRR_RETURN_HOLDING_PER","CUST_TRR_START_DT","20260601","CUST_TRR_END_DT","20260630","CUST_TRR_CRNCY","USD")</f>
        <v>1.528257</v>
      </c>
      <c r="AC68" s="1" t="s">
        <v>56</v>
      </c>
      <c r="AD68" s="1" t="s">
        <v>56</v>
      </c>
      <c r="AE68" s="1" t="s">
        <v>56</v>
      </c>
      <c r="AF68" s="1" t="s">
        <v>56</v>
      </c>
      <c r="AG68" s="1" t="s">
        <v>56</v>
      </c>
      <c r="AH68" s="1" t="s">
        <v>56</v>
      </c>
      <c r="AI68" s="1" t="s">
        <v>57</v>
      </c>
      <c r="AJ68" s="1" t="s">
        <v>57</v>
      </c>
      <c r="AK68" s="1" t="s">
        <v>56</v>
      </c>
      <c r="AL68" s="1" t="s">
        <v>57</v>
      </c>
      <c r="AM68" s="1" t="s">
        <v>57</v>
      </c>
      <c r="AN68" s="1" t="s">
        <v>56</v>
      </c>
      <c r="AO68" s="1" t="s">
        <v>169</v>
      </c>
      <c r="AP68" s="1" t="s">
        <v>57</v>
      </c>
      <c r="AQ68" s="1" t="s">
        <v>56</v>
      </c>
      <c r="AR68" s="1" t="s">
        <v>462</v>
      </c>
      <c r="AS68" s="1" t="s">
        <v>463</v>
      </c>
    </row>
    <row r="69" spans="1:45" x14ac:dyDescent="0.25">
      <c r="A69" s="1" t="s">
        <v>464</v>
      </c>
      <c r="B69" s="1" t="s">
        <v>465</v>
      </c>
      <c r="C69" s="1" t="s">
        <v>47</v>
      </c>
      <c r="D69" s="1" t="s">
        <v>48</v>
      </c>
      <c r="E69" s="1" t="s">
        <v>49</v>
      </c>
      <c r="F69" s="1" t="s">
        <v>49</v>
      </c>
      <c r="G69" s="1" t="s">
        <v>50</v>
      </c>
      <c r="H69" s="1" t="s">
        <v>51</v>
      </c>
      <c r="I69" s="1" t="s">
        <v>466</v>
      </c>
      <c r="J69" s="1" t="s">
        <v>467</v>
      </c>
      <c r="K69" s="1" t="s">
        <v>468</v>
      </c>
      <c r="L69" s="1" t="s">
        <v>55</v>
      </c>
      <c r="M69" s="1" t="s">
        <v>55</v>
      </c>
      <c r="N69" s="1" t="s">
        <v>55</v>
      </c>
      <c r="O69" s="1" t="s">
        <v>55</v>
      </c>
      <c r="P69" s="1" t="s">
        <v>55</v>
      </c>
      <c r="Q69" s="1" t="s">
        <v>55</v>
      </c>
      <c r="R69" s="1" t="s">
        <v>55</v>
      </c>
      <c r="S69" s="1" t="s">
        <v>55</v>
      </c>
      <c r="T69" s="1" t="s">
        <v>55</v>
      </c>
      <c r="U69" s="1" t="s">
        <v>55</v>
      </c>
      <c r="V69" s="1" t="s">
        <v>55</v>
      </c>
      <c r="W69" s="1" t="s">
        <v>55</v>
      </c>
      <c r="X69" s="1" t="s">
        <v>55</v>
      </c>
      <c r="Y69" s="1" t="s">
        <v>50</v>
      </c>
      <c r="Z69" t="str">
        <f>_xll.BDP($B69,"CUST_TRR_RETURN_HOLDING_PER","CUST_TRR_START_DT","20260401","CUST_TRR_END_DT","20260430","CUST_TRR_CRNCY","USD")</f>
        <v>#N/A N/A</v>
      </c>
      <c r="AA69">
        <f>_xll.BDP($B69,"CUST_TRR_RETURN_HOLDING_PER","CUST_TRR_START_DT","20260501","CUST_TRR_END_DT","20260531","CUST_TRR_CRNCY","USD")</f>
        <v>0.75113269999999999</v>
      </c>
      <c r="AB69">
        <f>_xll.BDP($B69,"CUST_TRR_RETURN_HOLDING_PER","CUST_TRR_START_DT","20260601","CUST_TRR_END_DT","20260630","CUST_TRR_CRNCY","USD")</f>
        <v>2.0638459999999998</v>
      </c>
      <c r="AC69" s="1" t="s">
        <v>56</v>
      </c>
      <c r="AD69" s="1" t="s">
        <v>56</v>
      </c>
      <c r="AE69" s="1" t="s">
        <v>56</v>
      </c>
      <c r="AF69" s="1" t="s">
        <v>56</v>
      </c>
      <c r="AG69" s="1" t="s">
        <v>56</v>
      </c>
      <c r="AH69" s="1" t="s">
        <v>56</v>
      </c>
      <c r="AI69" s="1" t="s">
        <v>57</v>
      </c>
      <c r="AJ69" s="1" t="s">
        <v>57</v>
      </c>
      <c r="AK69" s="1" t="s">
        <v>56</v>
      </c>
      <c r="AL69" s="1" t="s">
        <v>469</v>
      </c>
      <c r="AM69" s="1" t="s">
        <v>57</v>
      </c>
      <c r="AN69" s="1" t="s">
        <v>56</v>
      </c>
      <c r="AO69" s="1" t="s">
        <v>57</v>
      </c>
      <c r="AP69" s="1" t="s">
        <v>470</v>
      </c>
      <c r="AQ69" s="1" t="s">
        <v>56</v>
      </c>
      <c r="AR69" s="1" t="s">
        <v>462</v>
      </c>
      <c r="AS69" s="1" t="s">
        <v>463</v>
      </c>
    </row>
    <row r="70" spans="1:45" x14ac:dyDescent="0.25">
      <c r="A70" s="1" t="s">
        <v>471</v>
      </c>
      <c r="B70" s="1" t="s">
        <v>472</v>
      </c>
      <c r="C70" s="1" t="s">
        <v>47</v>
      </c>
      <c r="D70" s="1" t="s">
        <v>48</v>
      </c>
      <c r="E70" s="1" t="s">
        <v>49</v>
      </c>
      <c r="F70" s="1" t="s">
        <v>49</v>
      </c>
      <c r="G70" s="1" t="s">
        <v>50</v>
      </c>
      <c r="H70" s="1" t="s">
        <v>51</v>
      </c>
      <c r="I70" s="1" t="s">
        <v>473</v>
      </c>
      <c r="J70" s="1" t="s">
        <v>474</v>
      </c>
      <c r="K70" s="1" t="s">
        <v>475</v>
      </c>
      <c r="L70" s="1" t="s">
        <v>55</v>
      </c>
      <c r="M70" s="1" t="s">
        <v>55</v>
      </c>
      <c r="N70" s="1" t="s">
        <v>55</v>
      </c>
      <c r="O70" s="1" t="s">
        <v>55</v>
      </c>
      <c r="P70" s="1" t="s">
        <v>55</v>
      </c>
      <c r="Q70" s="1" t="s">
        <v>55</v>
      </c>
      <c r="R70" s="1" t="s">
        <v>55</v>
      </c>
      <c r="S70" s="1" t="s">
        <v>55</v>
      </c>
      <c r="T70" s="1" t="s">
        <v>55</v>
      </c>
      <c r="U70" s="1" t="s">
        <v>55</v>
      </c>
      <c r="V70" s="1" t="s">
        <v>55</v>
      </c>
      <c r="W70" s="1" t="s">
        <v>55</v>
      </c>
      <c r="X70" s="1" t="s">
        <v>55</v>
      </c>
      <c r="Y70" s="1" t="s">
        <v>50</v>
      </c>
      <c r="Z70" t="str">
        <f>_xll.BDP($B70,"CUST_TRR_RETURN_HOLDING_PER","CUST_TRR_START_DT","20260401","CUST_TRR_END_DT","20260430","CUST_TRR_CRNCY","USD")</f>
        <v>#N/A N/A</v>
      </c>
      <c r="AA70" t="str">
        <f>_xll.BDP($B70,"CUST_TRR_RETURN_HOLDING_PER","CUST_TRR_START_DT","20260501","CUST_TRR_END_DT","20260531","CUST_TRR_CRNCY","USD")</f>
        <v>#N/A N/A</v>
      </c>
      <c r="AB70">
        <f>_xll.BDP($B70,"CUST_TRR_RETURN_HOLDING_PER","CUST_TRR_START_DT","20260601","CUST_TRR_END_DT","20260630","CUST_TRR_CRNCY","USD")</f>
        <v>11.486599999999999</v>
      </c>
      <c r="AC70" s="1" t="s">
        <v>56</v>
      </c>
      <c r="AD70" s="1" t="s">
        <v>56</v>
      </c>
      <c r="AE70" s="1" t="s">
        <v>56</v>
      </c>
      <c r="AF70" s="1" t="s">
        <v>56</v>
      </c>
      <c r="AG70" s="1" t="s">
        <v>56</v>
      </c>
      <c r="AH70" s="1" t="s">
        <v>56</v>
      </c>
      <c r="AI70" s="1" t="s">
        <v>57</v>
      </c>
      <c r="AJ70" s="1" t="s">
        <v>57</v>
      </c>
      <c r="AK70" s="1" t="s">
        <v>56</v>
      </c>
      <c r="AL70" s="1" t="s">
        <v>57</v>
      </c>
      <c r="AM70" s="1" t="s">
        <v>57</v>
      </c>
      <c r="AN70" s="1" t="s">
        <v>56</v>
      </c>
      <c r="AO70" s="1" t="s">
        <v>58</v>
      </c>
      <c r="AP70" s="1" t="s">
        <v>57</v>
      </c>
      <c r="AQ70" s="1" t="s">
        <v>56</v>
      </c>
      <c r="AR70" s="1" t="s">
        <v>59</v>
      </c>
      <c r="AS70" s="1" t="s">
        <v>60</v>
      </c>
    </row>
    <row r="71" spans="1:45" x14ac:dyDescent="0.25">
      <c r="A71" s="1" t="s">
        <v>476</v>
      </c>
      <c r="B71" s="1" t="s">
        <v>477</v>
      </c>
      <c r="C71" s="1" t="s">
        <v>47</v>
      </c>
      <c r="D71" s="1" t="s">
        <v>48</v>
      </c>
      <c r="E71" s="1" t="s">
        <v>49</v>
      </c>
      <c r="F71" s="1" t="s">
        <v>49</v>
      </c>
      <c r="G71" s="1" t="s">
        <v>50</v>
      </c>
      <c r="H71" s="1" t="s">
        <v>51</v>
      </c>
      <c r="I71" s="1" t="s">
        <v>478</v>
      </c>
      <c r="J71" s="1" t="s">
        <v>479</v>
      </c>
      <c r="K71" s="1" t="s">
        <v>480</v>
      </c>
      <c r="L71" s="1" t="s">
        <v>55</v>
      </c>
      <c r="M71" s="1" t="s">
        <v>55</v>
      </c>
      <c r="N71" s="1" t="s">
        <v>55</v>
      </c>
      <c r="O71" s="1" t="s">
        <v>55</v>
      </c>
      <c r="P71" s="1" t="s">
        <v>55</v>
      </c>
      <c r="Q71" s="1" t="s">
        <v>55</v>
      </c>
      <c r="R71" s="1" t="s">
        <v>55</v>
      </c>
      <c r="S71" s="1" t="s">
        <v>55</v>
      </c>
      <c r="T71" s="1" t="s">
        <v>55</v>
      </c>
      <c r="U71" s="1" t="s">
        <v>55</v>
      </c>
      <c r="V71" s="1" t="s">
        <v>55</v>
      </c>
      <c r="W71" s="1" t="s">
        <v>55</v>
      </c>
      <c r="X71" s="1" t="s">
        <v>55</v>
      </c>
      <c r="Y71" s="1" t="s">
        <v>50</v>
      </c>
      <c r="Z71" t="str">
        <f>_xll.BDP($B71,"CUST_TRR_RETURN_HOLDING_PER","CUST_TRR_START_DT","20260401","CUST_TRR_END_DT","20260430","CUST_TRR_CRNCY","USD")</f>
        <v>#N/A N/A</v>
      </c>
      <c r="AA71">
        <f>_xll.BDP($B71,"CUST_TRR_RETURN_HOLDING_PER","CUST_TRR_START_DT","20260501","CUST_TRR_END_DT","20260531","CUST_TRR_CRNCY","USD")</f>
        <v>1.0961689999999999</v>
      </c>
      <c r="AB71">
        <f>_xll.BDP($B71,"CUST_TRR_RETURN_HOLDING_PER","CUST_TRR_START_DT","20260601","CUST_TRR_END_DT","20260630","CUST_TRR_CRNCY","USD")</f>
        <v>-0.18371129999999999</v>
      </c>
      <c r="AC71" s="1" t="s">
        <v>56</v>
      </c>
      <c r="AD71" s="1" t="s">
        <v>56</v>
      </c>
      <c r="AE71" s="1" t="s">
        <v>56</v>
      </c>
      <c r="AF71" s="1" t="s">
        <v>56</v>
      </c>
      <c r="AG71" s="1" t="s">
        <v>56</v>
      </c>
      <c r="AH71" s="1" t="s">
        <v>56</v>
      </c>
      <c r="AI71" s="1" t="s">
        <v>57</v>
      </c>
      <c r="AJ71" s="1" t="s">
        <v>57</v>
      </c>
      <c r="AK71" s="1" t="s">
        <v>56</v>
      </c>
      <c r="AL71" s="1" t="s">
        <v>481</v>
      </c>
      <c r="AM71" s="1" t="s">
        <v>57</v>
      </c>
      <c r="AN71" s="1" t="s">
        <v>56</v>
      </c>
      <c r="AO71" s="1" t="s">
        <v>57</v>
      </c>
      <c r="AP71" s="1" t="s">
        <v>482</v>
      </c>
      <c r="AQ71" s="1" t="s">
        <v>56</v>
      </c>
      <c r="AR71" s="1" t="s">
        <v>59</v>
      </c>
      <c r="AS71" s="1" t="s">
        <v>60</v>
      </c>
    </row>
    <row r="72" spans="1:45" x14ac:dyDescent="0.25">
      <c r="A72" s="1" t="s">
        <v>483</v>
      </c>
      <c r="B72" s="1" t="s">
        <v>484</v>
      </c>
      <c r="C72" s="1" t="s">
        <v>47</v>
      </c>
      <c r="D72" s="1" t="s">
        <v>48</v>
      </c>
      <c r="E72" s="1" t="s">
        <v>49</v>
      </c>
      <c r="F72" s="1" t="s">
        <v>49</v>
      </c>
      <c r="G72" s="1" t="s">
        <v>50</v>
      </c>
      <c r="H72" s="1" t="s">
        <v>51</v>
      </c>
      <c r="I72" s="1" t="s">
        <v>485</v>
      </c>
      <c r="J72" s="1" t="s">
        <v>486</v>
      </c>
      <c r="K72" s="1" t="s">
        <v>487</v>
      </c>
      <c r="L72" s="1" t="s">
        <v>55</v>
      </c>
      <c r="M72" s="1" t="s">
        <v>55</v>
      </c>
      <c r="N72" s="1" t="s">
        <v>55</v>
      </c>
      <c r="O72" s="1" t="s">
        <v>55</v>
      </c>
      <c r="P72" s="1" t="s">
        <v>55</v>
      </c>
      <c r="Q72" s="1" t="s">
        <v>55</v>
      </c>
      <c r="R72" s="1" t="s">
        <v>55</v>
      </c>
      <c r="S72" s="1" t="s">
        <v>55</v>
      </c>
      <c r="T72" s="1" t="s">
        <v>55</v>
      </c>
      <c r="U72" s="1" t="s">
        <v>55</v>
      </c>
      <c r="V72" s="1" t="s">
        <v>55</v>
      </c>
      <c r="W72" s="1" t="s">
        <v>55</v>
      </c>
      <c r="X72" s="1" t="s">
        <v>55</v>
      </c>
      <c r="Y72" s="1" t="s">
        <v>50</v>
      </c>
      <c r="Z72" t="str">
        <f>_xll.BDP($B72,"CUST_TRR_RETURN_HOLDING_PER","CUST_TRR_START_DT","20260401","CUST_TRR_END_DT","20260430","CUST_TRR_CRNCY","USD")</f>
        <v>#N/A N/A</v>
      </c>
      <c r="AA72" t="str">
        <f>_xll.BDP($B72,"CUST_TRR_RETURN_HOLDING_PER","CUST_TRR_START_DT","20260501","CUST_TRR_END_DT","20260531","CUST_TRR_CRNCY","USD")</f>
        <v>#N/A N/A</v>
      </c>
      <c r="AB72">
        <f>_xll.BDP($B72,"CUST_TRR_RETURN_HOLDING_PER","CUST_TRR_START_DT","20260601","CUST_TRR_END_DT","20260630","CUST_TRR_CRNCY","USD")</f>
        <v>6.8528029999999998</v>
      </c>
      <c r="AC72" s="1" t="s">
        <v>56</v>
      </c>
      <c r="AD72" s="1" t="s">
        <v>56</v>
      </c>
      <c r="AE72" s="1" t="s">
        <v>56</v>
      </c>
      <c r="AF72" s="1" t="s">
        <v>56</v>
      </c>
      <c r="AG72" s="1" t="s">
        <v>56</v>
      </c>
      <c r="AH72" s="1" t="s">
        <v>56</v>
      </c>
      <c r="AI72" s="1" t="s">
        <v>57</v>
      </c>
      <c r="AJ72" s="1" t="s">
        <v>57</v>
      </c>
      <c r="AK72" s="1" t="s">
        <v>56</v>
      </c>
      <c r="AL72" s="1" t="s">
        <v>57</v>
      </c>
      <c r="AM72" s="1" t="s">
        <v>57</v>
      </c>
      <c r="AN72" s="1" t="s">
        <v>56</v>
      </c>
      <c r="AO72" s="1" t="s">
        <v>488</v>
      </c>
      <c r="AP72" s="1" t="s">
        <v>57</v>
      </c>
      <c r="AQ72" s="1" t="s">
        <v>56</v>
      </c>
      <c r="AR72" s="1" t="s">
        <v>89</v>
      </c>
      <c r="AS72" s="1" t="s">
        <v>90</v>
      </c>
    </row>
    <row r="73" spans="1:45" x14ac:dyDescent="0.25">
      <c r="A73" s="1" t="s">
        <v>489</v>
      </c>
      <c r="B73" s="1" t="s">
        <v>490</v>
      </c>
      <c r="C73" s="1" t="s">
        <v>47</v>
      </c>
      <c r="D73" s="1" t="s">
        <v>48</v>
      </c>
      <c r="E73" s="1" t="s">
        <v>49</v>
      </c>
      <c r="F73" s="1" t="s">
        <v>49</v>
      </c>
      <c r="G73" s="1" t="s">
        <v>50</v>
      </c>
      <c r="H73" s="1" t="s">
        <v>51</v>
      </c>
      <c r="I73" s="1" t="s">
        <v>491</v>
      </c>
      <c r="J73" s="1" t="s">
        <v>492</v>
      </c>
      <c r="K73" s="1" t="s">
        <v>493</v>
      </c>
      <c r="L73" s="1" t="s">
        <v>55</v>
      </c>
      <c r="M73" s="1" t="s">
        <v>55</v>
      </c>
      <c r="N73" s="1" t="s">
        <v>55</v>
      </c>
      <c r="O73" s="1" t="s">
        <v>55</v>
      </c>
      <c r="P73" s="1" t="s">
        <v>55</v>
      </c>
      <c r="Q73" s="1" t="s">
        <v>55</v>
      </c>
      <c r="R73" s="1" t="s">
        <v>55</v>
      </c>
      <c r="S73" s="1" t="s">
        <v>55</v>
      </c>
      <c r="T73" s="1" t="s">
        <v>55</v>
      </c>
      <c r="U73" s="1" t="s">
        <v>55</v>
      </c>
      <c r="V73" s="1" t="s">
        <v>55</v>
      </c>
      <c r="W73" s="1" t="s">
        <v>55</v>
      </c>
      <c r="X73" s="1" t="s">
        <v>55</v>
      </c>
      <c r="Y73" s="1" t="s">
        <v>50</v>
      </c>
      <c r="Z73" t="str">
        <f>_xll.BDP($B73,"CUST_TRR_RETURN_HOLDING_PER","CUST_TRR_START_DT","20260401","CUST_TRR_END_DT","20260430","CUST_TRR_CRNCY","USD")</f>
        <v>#N/A N/A</v>
      </c>
      <c r="AA73" t="str">
        <f>_xll.BDP($B73,"CUST_TRR_RETURN_HOLDING_PER","CUST_TRR_START_DT","20260501","CUST_TRR_END_DT","20260531","CUST_TRR_CRNCY","USD")</f>
        <v>#N/A N/A</v>
      </c>
      <c r="AB73">
        <f>_xll.BDP($B73,"CUST_TRR_RETURN_HOLDING_PER","CUST_TRR_START_DT","20260601","CUST_TRR_END_DT","20260630","CUST_TRR_CRNCY","USD")</f>
        <v>21.519629999999999</v>
      </c>
      <c r="AC73" s="1" t="s">
        <v>56</v>
      </c>
      <c r="AD73" s="1" t="s">
        <v>56</v>
      </c>
      <c r="AE73" s="1" t="s">
        <v>56</v>
      </c>
      <c r="AF73" s="1" t="s">
        <v>56</v>
      </c>
      <c r="AG73" s="1" t="s">
        <v>56</v>
      </c>
      <c r="AH73" s="1" t="s">
        <v>56</v>
      </c>
      <c r="AI73" s="1" t="s">
        <v>57</v>
      </c>
      <c r="AJ73" s="1" t="s">
        <v>57</v>
      </c>
      <c r="AK73" s="1" t="s">
        <v>56</v>
      </c>
      <c r="AL73" s="1" t="s">
        <v>57</v>
      </c>
      <c r="AM73" s="1" t="s">
        <v>57</v>
      </c>
      <c r="AN73" s="1" t="s">
        <v>56</v>
      </c>
      <c r="AO73" s="1" t="s">
        <v>58</v>
      </c>
      <c r="AP73" s="1" t="s">
        <v>57</v>
      </c>
      <c r="AQ73" s="1" t="s">
        <v>56</v>
      </c>
      <c r="AR73" s="1" t="s">
        <v>59</v>
      </c>
      <c r="AS73" s="1" t="s">
        <v>60</v>
      </c>
    </row>
    <row r="74" spans="1:45" x14ac:dyDescent="0.25">
      <c r="A74" s="1" t="s">
        <v>494</v>
      </c>
      <c r="B74" s="1" t="s">
        <v>495</v>
      </c>
      <c r="C74" s="1" t="s">
        <v>47</v>
      </c>
      <c r="D74" s="1" t="s">
        <v>48</v>
      </c>
      <c r="E74" s="1" t="s">
        <v>49</v>
      </c>
      <c r="F74" s="1" t="s">
        <v>49</v>
      </c>
      <c r="G74" s="1" t="s">
        <v>50</v>
      </c>
      <c r="H74" s="1" t="s">
        <v>51</v>
      </c>
      <c r="I74" s="1" t="s">
        <v>496</v>
      </c>
      <c r="J74" s="1" t="s">
        <v>497</v>
      </c>
      <c r="K74" s="1" t="s">
        <v>498</v>
      </c>
      <c r="L74" s="1" t="s">
        <v>55</v>
      </c>
      <c r="M74" s="1" t="s">
        <v>55</v>
      </c>
      <c r="N74" s="1" t="s">
        <v>55</v>
      </c>
      <c r="O74" s="1" t="s">
        <v>55</v>
      </c>
      <c r="P74" s="1" t="s">
        <v>55</v>
      </c>
      <c r="Q74" s="1" t="s">
        <v>55</v>
      </c>
      <c r="R74" s="1" t="s">
        <v>55</v>
      </c>
      <c r="S74" s="1" t="s">
        <v>55</v>
      </c>
      <c r="T74" s="1" t="s">
        <v>55</v>
      </c>
      <c r="U74" s="1" t="s">
        <v>55</v>
      </c>
      <c r="V74" s="1" t="s">
        <v>55</v>
      </c>
      <c r="W74" s="1" t="s">
        <v>55</v>
      </c>
      <c r="X74" s="1" t="s">
        <v>55</v>
      </c>
      <c r="Y74" s="1" t="s">
        <v>50</v>
      </c>
      <c r="Z74" t="str">
        <f>_xll.BDP($B74,"CUST_TRR_RETURN_HOLDING_PER","CUST_TRR_START_DT","20260401","CUST_TRR_END_DT","20260430","CUST_TRR_CRNCY","USD")</f>
        <v>#N/A N/A</v>
      </c>
      <c r="AA74" t="str">
        <f>_xll.BDP($B74,"CUST_TRR_RETURN_HOLDING_PER","CUST_TRR_START_DT","20260501","CUST_TRR_END_DT","20260531","CUST_TRR_CRNCY","USD")</f>
        <v>#N/A N/A</v>
      </c>
      <c r="AB74">
        <f>_xll.BDP($B74,"CUST_TRR_RETURN_HOLDING_PER","CUST_TRR_START_DT","20260601","CUST_TRR_END_DT","20260630","CUST_TRR_CRNCY","USD")</f>
        <v>-8.2500780000000002</v>
      </c>
      <c r="AC74" s="1" t="s">
        <v>56</v>
      </c>
      <c r="AD74" s="1" t="s">
        <v>56</v>
      </c>
      <c r="AE74" s="1" t="s">
        <v>56</v>
      </c>
      <c r="AF74" s="1" t="s">
        <v>56</v>
      </c>
      <c r="AG74" s="1" t="s">
        <v>56</v>
      </c>
      <c r="AH74" s="1" t="s">
        <v>56</v>
      </c>
      <c r="AI74" s="1" t="s">
        <v>57</v>
      </c>
      <c r="AJ74" s="1" t="s">
        <v>57</v>
      </c>
      <c r="AK74" s="1" t="s">
        <v>56</v>
      </c>
      <c r="AL74" s="1" t="s">
        <v>57</v>
      </c>
      <c r="AM74" s="1" t="s">
        <v>57</v>
      </c>
      <c r="AN74" s="1" t="s">
        <v>56</v>
      </c>
      <c r="AO74" s="1" t="s">
        <v>58</v>
      </c>
      <c r="AP74" s="1" t="s">
        <v>57</v>
      </c>
      <c r="AQ74" s="1" t="s">
        <v>56</v>
      </c>
      <c r="AR74" s="1" t="s">
        <v>59</v>
      </c>
      <c r="AS74" s="1" t="s">
        <v>60</v>
      </c>
    </row>
    <row r="75" spans="1:45" x14ac:dyDescent="0.25">
      <c r="A75" s="1" t="s">
        <v>499</v>
      </c>
      <c r="B75" s="1" t="s">
        <v>500</v>
      </c>
      <c r="C75" s="1" t="s">
        <v>47</v>
      </c>
      <c r="D75" s="1" t="s">
        <v>48</v>
      </c>
      <c r="E75" s="1" t="s">
        <v>49</v>
      </c>
      <c r="F75" s="1" t="s">
        <v>49</v>
      </c>
      <c r="G75" s="1" t="s">
        <v>50</v>
      </c>
      <c r="H75" s="1" t="s">
        <v>51</v>
      </c>
      <c r="I75" s="1" t="s">
        <v>501</v>
      </c>
      <c r="J75" s="1" t="s">
        <v>502</v>
      </c>
      <c r="K75" s="1" t="s">
        <v>503</v>
      </c>
      <c r="L75" s="1" t="s">
        <v>55</v>
      </c>
      <c r="M75" s="1" t="s">
        <v>55</v>
      </c>
      <c r="N75" s="1" t="s">
        <v>55</v>
      </c>
      <c r="O75" s="1" t="s">
        <v>55</v>
      </c>
      <c r="P75" s="1" t="s">
        <v>55</v>
      </c>
      <c r="Q75" s="1" t="s">
        <v>55</v>
      </c>
      <c r="R75" s="1" t="s">
        <v>55</v>
      </c>
      <c r="S75" s="1" t="s">
        <v>55</v>
      </c>
      <c r="T75" s="1" t="s">
        <v>55</v>
      </c>
      <c r="U75" s="1" t="s">
        <v>55</v>
      </c>
      <c r="V75" s="1" t="s">
        <v>55</v>
      </c>
      <c r="W75" s="1" t="s">
        <v>55</v>
      </c>
      <c r="X75" s="1" t="s">
        <v>55</v>
      </c>
      <c r="Y75" s="1" t="s">
        <v>50</v>
      </c>
      <c r="Z75" t="str">
        <f>_xll.BDP($B75,"CUST_TRR_RETURN_HOLDING_PER","CUST_TRR_START_DT","20260401","CUST_TRR_END_DT","20260430","CUST_TRR_CRNCY","USD")</f>
        <v>#N/A N/A</v>
      </c>
      <c r="AA75" t="str">
        <f>_xll.BDP($B75,"CUST_TRR_RETURN_HOLDING_PER","CUST_TRR_START_DT","20260501","CUST_TRR_END_DT","20260531","CUST_TRR_CRNCY","USD")</f>
        <v>#N/A N/A</v>
      </c>
      <c r="AB75">
        <f>_xll.BDP($B75,"CUST_TRR_RETURN_HOLDING_PER","CUST_TRR_START_DT","20260601","CUST_TRR_END_DT","20260630","CUST_TRR_CRNCY","USD")</f>
        <v>-1.4234089999999999</v>
      </c>
      <c r="AC75" s="1" t="s">
        <v>56</v>
      </c>
      <c r="AD75" s="1" t="s">
        <v>56</v>
      </c>
      <c r="AE75" s="1" t="s">
        <v>56</v>
      </c>
      <c r="AF75" s="1" t="s">
        <v>56</v>
      </c>
      <c r="AG75" s="1" t="s">
        <v>56</v>
      </c>
      <c r="AH75" s="1" t="s">
        <v>56</v>
      </c>
      <c r="AI75" s="1" t="s">
        <v>57</v>
      </c>
      <c r="AJ75" s="1" t="s">
        <v>57</v>
      </c>
      <c r="AK75" s="1" t="s">
        <v>56</v>
      </c>
      <c r="AL75" s="1" t="s">
        <v>57</v>
      </c>
      <c r="AM75" s="1" t="s">
        <v>57</v>
      </c>
      <c r="AN75" s="1" t="s">
        <v>56</v>
      </c>
      <c r="AO75" s="1" t="s">
        <v>504</v>
      </c>
      <c r="AP75" s="1" t="s">
        <v>57</v>
      </c>
      <c r="AQ75" s="1" t="s">
        <v>56</v>
      </c>
      <c r="AR75" s="1" t="s">
        <v>59</v>
      </c>
      <c r="AS75" s="1" t="s">
        <v>60</v>
      </c>
    </row>
    <row r="76" spans="1:45" x14ac:dyDescent="0.25">
      <c r="A76" s="1" t="s">
        <v>505</v>
      </c>
      <c r="B76" s="1" t="s">
        <v>506</v>
      </c>
      <c r="C76" s="1" t="s">
        <v>47</v>
      </c>
      <c r="D76" s="1" t="s">
        <v>48</v>
      </c>
      <c r="E76" s="1" t="s">
        <v>49</v>
      </c>
      <c r="F76" s="1" t="s">
        <v>49</v>
      </c>
      <c r="G76" s="1" t="s">
        <v>50</v>
      </c>
      <c r="H76" s="1" t="s">
        <v>51</v>
      </c>
      <c r="I76" s="1" t="s">
        <v>507</v>
      </c>
      <c r="J76" s="1" t="s">
        <v>508</v>
      </c>
      <c r="K76" s="1" t="s">
        <v>509</v>
      </c>
      <c r="L76" s="1" t="s">
        <v>55</v>
      </c>
      <c r="M76" s="1" t="s">
        <v>55</v>
      </c>
      <c r="N76" s="1" t="s">
        <v>55</v>
      </c>
      <c r="O76" s="1" t="s">
        <v>55</v>
      </c>
      <c r="P76" s="1" t="s">
        <v>55</v>
      </c>
      <c r="Q76" s="1" t="s">
        <v>55</v>
      </c>
      <c r="R76" s="1" t="s">
        <v>55</v>
      </c>
      <c r="S76" s="1" t="s">
        <v>55</v>
      </c>
      <c r="T76" s="1" t="s">
        <v>55</v>
      </c>
      <c r="U76" s="1" t="s">
        <v>55</v>
      </c>
      <c r="V76" s="1" t="s">
        <v>55</v>
      </c>
      <c r="W76" s="1" t="s">
        <v>55</v>
      </c>
      <c r="X76" s="1" t="s">
        <v>55</v>
      </c>
      <c r="Y76" s="1" t="s">
        <v>50</v>
      </c>
      <c r="Z76" t="str">
        <f>_xll.BDP($B76,"CUST_TRR_RETURN_HOLDING_PER","CUST_TRR_START_DT","20260401","CUST_TRR_END_DT","20260430","CUST_TRR_CRNCY","USD")</f>
        <v>#N/A N/A</v>
      </c>
      <c r="AA76" t="str">
        <f>_xll.BDP($B76,"CUST_TRR_RETURN_HOLDING_PER","CUST_TRR_START_DT","20260501","CUST_TRR_END_DT","20260531","CUST_TRR_CRNCY","USD")</f>
        <v>#N/A N/A</v>
      </c>
      <c r="AB76">
        <f>_xll.BDP($B76,"CUST_TRR_RETURN_HOLDING_PER","CUST_TRR_START_DT","20260601","CUST_TRR_END_DT","20260630","CUST_TRR_CRNCY","USD")</f>
        <v>4.7017620000000004</v>
      </c>
      <c r="AC76" s="1" t="s">
        <v>56</v>
      </c>
      <c r="AD76" s="1" t="s">
        <v>56</v>
      </c>
      <c r="AE76" s="1" t="s">
        <v>56</v>
      </c>
      <c r="AF76" s="1" t="s">
        <v>56</v>
      </c>
      <c r="AG76" s="1" t="s">
        <v>56</v>
      </c>
      <c r="AH76" s="1" t="s">
        <v>56</v>
      </c>
      <c r="AI76" s="1" t="s">
        <v>57</v>
      </c>
      <c r="AJ76" s="1" t="s">
        <v>57</v>
      </c>
      <c r="AK76" s="1" t="s">
        <v>56</v>
      </c>
      <c r="AL76" s="1" t="s">
        <v>57</v>
      </c>
      <c r="AM76" s="1" t="s">
        <v>57</v>
      </c>
      <c r="AN76" s="1" t="s">
        <v>56</v>
      </c>
      <c r="AO76" s="1" t="s">
        <v>510</v>
      </c>
      <c r="AP76" s="1" t="s">
        <v>57</v>
      </c>
      <c r="AQ76" s="1" t="s">
        <v>56</v>
      </c>
      <c r="AR76" s="1" t="s">
        <v>59</v>
      </c>
      <c r="AS76" s="1" t="s">
        <v>60</v>
      </c>
    </row>
    <row r="77" spans="1:45" x14ac:dyDescent="0.25">
      <c r="A77" s="1" t="s">
        <v>511</v>
      </c>
      <c r="B77" s="1" t="s">
        <v>512</v>
      </c>
      <c r="C77" s="1" t="s">
        <v>47</v>
      </c>
      <c r="D77" s="1" t="s">
        <v>48</v>
      </c>
      <c r="E77" s="1" t="s">
        <v>49</v>
      </c>
      <c r="F77" s="1" t="s">
        <v>49</v>
      </c>
      <c r="G77" s="1" t="s">
        <v>50</v>
      </c>
      <c r="H77" s="1" t="s">
        <v>51</v>
      </c>
      <c r="I77" s="1" t="s">
        <v>513</v>
      </c>
      <c r="J77" s="1" t="s">
        <v>514</v>
      </c>
      <c r="K77" s="1" t="s">
        <v>515</v>
      </c>
      <c r="L77" s="1" t="s">
        <v>55</v>
      </c>
      <c r="M77" s="1" t="s">
        <v>55</v>
      </c>
      <c r="N77" s="1" t="s">
        <v>55</v>
      </c>
      <c r="O77" s="1" t="s">
        <v>55</v>
      </c>
      <c r="P77" s="1" t="s">
        <v>55</v>
      </c>
      <c r="Q77" s="1" t="s">
        <v>55</v>
      </c>
      <c r="R77" s="1" t="s">
        <v>55</v>
      </c>
      <c r="S77" s="1" t="s">
        <v>55</v>
      </c>
      <c r="T77" s="1" t="s">
        <v>55</v>
      </c>
      <c r="U77" s="1" t="s">
        <v>55</v>
      </c>
      <c r="V77" s="1" t="s">
        <v>55</v>
      </c>
      <c r="W77" s="1" t="s">
        <v>55</v>
      </c>
      <c r="X77" s="1" t="s">
        <v>55</v>
      </c>
      <c r="Y77" s="1" t="s">
        <v>50</v>
      </c>
      <c r="Z77" t="str">
        <f>_xll.BDP($B77,"CUST_TRR_RETURN_HOLDING_PER","CUST_TRR_START_DT","20260401","CUST_TRR_END_DT","20260430","CUST_TRR_CRNCY","USD")</f>
        <v>#N/A N/A</v>
      </c>
      <c r="AA77" t="str">
        <f>_xll.BDP($B77,"CUST_TRR_RETURN_HOLDING_PER","CUST_TRR_START_DT","20260501","CUST_TRR_END_DT","20260531","CUST_TRR_CRNCY","USD")</f>
        <v>#N/A N/A</v>
      </c>
      <c r="AB77">
        <f>_xll.BDP($B77,"CUST_TRR_RETURN_HOLDING_PER","CUST_TRR_START_DT","20260601","CUST_TRR_END_DT","20260630","CUST_TRR_CRNCY","USD")</f>
        <v>-2.691182</v>
      </c>
      <c r="AC77" s="1" t="s">
        <v>56</v>
      </c>
      <c r="AD77" s="1" t="s">
        <v>56</v>
      </c>
      <c r="AE77" s="1" t="s">
        <v>56</v>
      </c>
      <c r="AF77" s="1" t="s">
        <v>56</v>
      </c>
      <c r="AG77" s="1" t="s">
        <v>56</v>
      </c>
      <c r="AH77" s="1" t="s">
        <v>56</v>
      </c>
      <c r="AI77" s="1" t="s">
        <v>57</v>
      </c>
      <c r="AJ77" s="1" t="s">
        <v>57</v>
      </c>
      <c r="AK77" s="1" t="s">
        <v>56</v>
      </c>
      <c r="AL77" s="1" t="s">
        <v>57</v>
      </c>
      <c r="AM77" s="1" t="s">
        <v>57</v>
      </c>
      <c r="AN77" s="1" t="s">
        <v>56</v>
      </c>
      <c r="AO77" s="1" t="s">
        <v>516</v>
      </c>
      <c r="AP77" s="1" t="s">
        <v>57</v>
      </c>
      <c r="AQ77" s="1" t="s">
        <v>56</v>
      </c>
      <c r="AR77" s="1" t="s">
        <v>59</v>
      </c>
      <c r="AS77" s="1" t="s">
        <v>60</v>
      </c>
    </row>
    <row r="78" spans="1:45" x14ac:dyDescent="0.25">
      <c r="A78" s="1" t="s">
        <v>517</v>
      </c>
      <c r="B78" s="1" t="s">
        <v>518</v>
      </c>
      <c r="C78" s="1" t="s">
        <v>47</v>
      </c>
      <c r="D78" s="1" t="s">
        <v>48</v>
      </c>
      <c r="E78" s="1" t="s">
        <v>49</v>
      </c>
      <c r="F78" s="1" t="s">
        <v>49</v>
      </c>
      <c r="G78" s="1" t="s">
        <v>50</v>
      </c>
      <c r="H78" s="1" t="s">
        <v>51</v>
      </c>
      <c r="I78" s="1" t="s">
        <v>519</v>
      </c>
      <c r="J78" s="1" t="s">
        <v>520</v>
      </c>
      <c r="K78" s="1" t="s">
        <v>521</v>
      </c>
      <c r="L78" s="1" t="s">
        <v>55</v>
      </c>
      <c r="M78" s="1" t="s">
        <v>55</v>
      </c>
      <c r="N78" s="1" t="s">
        <v>55</v>
      </c>
      <c r="O78" s="1" t="s">
        <v>55</v>
      </c>
      <c r="P78" s="1" t="s">
        <v>55</v>
      </c>
      <c r="Q78" s="1" t="s">
        <v>55</v>
      </c>
      <c r="R78" s="1" t="s">
        <v>55</v>
      </c>
      <c r="S78" s="1" t="s">
        <v>55</v>
      </c>
      <c r="T78" s="1" t="s">
        <v>55</v>
      </c>
      <c r="U78" s="1" t="s">
        <v>55</v>
      </c>
      <c r="V78" s="1" t="s">
        <v>55</v>
      </c>
      <c r="W78" s="1" t="s">
        <v>55</v>
      </c>
      <c r="X78" s="1" t="s">
        <v>55</v>
      </c>
      <c r="Y78" s="1" t="s">
        <v>50</v>
      </c>
      <c r="Z78" t="str">
        <f>_xll.BDP($B78,"CUST_TRR_RETURN_HOLDING_PER","CUST_TRR_START_DT","20260401","CUST_TRR_END_DT","20260430","CUST_TRR_CRNCY","USD")</f>
        <v>#N/A N/A</v>
      </c>
      <c r="AA78">
        <f>_xll.BDP($B78,"CUST_TRR_RETURN_HOLDING_PER","CUST_TRR_START_DT","20260501","CUST_TRR_END_DT","20260531","CUST_TRR_CRNCY","USD")</f>
        <v>15.434430000000001</v>
      </c>
      <c r="AB78">
        <f>_xll.BDP($B78,"CUST_TRR_RETURN_HOLDING_PER","CUST_TRR_START_DT","20260601","CUST_TRR_END_DT","20260630","CUST_TRR_CRNCY","USD")</f>
        <v>-16.05349</v>
      </c>
      <c r="AC78" s="1" t="s">
        <v>56</v>
      </c>
      <c r="AD78" s="1" t="s">
        <v>56</v>
      </c>
      <c r="AE78" s="1" t="s">
        <v>56</v>
      </c>
      <c r="AF78" s="1" t="s">
        <v>56</v>
      </c>
      <c r="AG78" s="1" t="s">
        <v>56</v>
      </c>
      <c r="AH78" s="1" t="s">
        <v>56</v>
      </c>
      <c r="AI78" s="1" t="s">
        <v>57</v>
      </c>
      <c r="AJ78" s="1" t="s">
        <v>57</v>
      </c>
      <c r="AK78" s="1" t="s">
        <v>56</v>
      </c>
      <c r="AL78" s="1" t="s">
        <v>522</v>
      </c>
      <c r="AM78" s="1" t="s">
        <v>57</v>
      </c>
      <c r="AN78" s="1" t="s">
        <v>56</v>
      </c>
      <c r="AO78" s="1" t="s">
        <v>523</v>
      </c>
      <c r="AP78" s="1" t="s">
        <v>57</v>
      </c>
      <c r="AQ78" s="1" t="s">
        <v>56</v>
      </c>
      <c r="AR78" s="1" t="s">
        <v>59</v>
      </c>
      <c r="AS78" s="1" t="s">
        <v>60</v>
      </c>
    </row>
    <row r="79" spans="1:45" x14ac:dyDescent="0.25">
      <c r="A79" s="1" t="s">
        <v>524</v>
      </c>
      <c r="B79" s="1" t="s">
        <v>525</v>
      </c>
      <c r="C79" s="1" t="s">
        <v>47</v>
      </c>
      <c r="D79" s="1" t="s">
        <v>48</v>
      </c>
      <c r="E79" s="1" t="s">
        <v>49</v>
      </c>
      <c r="F79" s="1" t="s">
        <v>49</v>
      </c>
      <c r="G79" s="1" t="s">
        <v>50</v>
      </c>
      <c r="H79" s="1" t="s">
        <v>51</v>
      </c>
      <c r="I79" s="1" t="s">
        <v>526</v>
      </c>
      <c r="J79" s="1" t="s">
        <v>527</v>
      </c>
      <c r="K79" s="1" t="s">
        <v>528</v>
      </c>
      <c r="L79" s="1" t="s">
        <v>55</v>
      </c>
      <c r="M79" s="1" t="s">
        <v>55</v>
      </c>
      <c r="N79" s="1" t="s">
        <v>55</v>
      </c>
      <c r="O79" s="1" t="s">
        <v>55</v>
      </c>
      <c r="P79" s="1" t="s">
        <v>55</v>
      </c>
      <c r="Q79" s="1" t="s">
        <v>55</v>
      </c>
      <c r="R79" s="1" t="s">
        <v>55</v>
      </c>
      <c r="S79" s="1" t="s">
        <v>55</v>
      </c>
      <c r="T79" s="1" t="s">
        <v>55</v>
      </c>
      <c r="U79" s="1" t="s">
        <v>55</v>
      </c>
      <c r="V79" s="1" t="s">
        <v>55</v>
      </c>
      <c r="W79" s="1" t="s">
        <v>55</v>
      </c>
      <c r="X79" s="1" t="s">
        <v>55</v>
      </c>
      <c r="Y79" s="1" t="s">
        <v>50</v>
      </c>
      <c r="Z79" t="str">
        <f>_xll.BDP($B79,"CUST_TRR_RETURN_HOLDING_PER","CUST_TRR_START_DT","20260401","CUST_TRR_END_DT","20260430","CUST_TRR_CRNCY","USD")</f>
        <v>#N/A N/A</v>
      </c>
      <c r="AA79" t="str">
        <f>_xll.BDP($B79,"CUST_TRR_RETURN_HOLDING_PER","CUST_TRR_START_DT","20260501","CUST_TRR_END_DT","20260531","CUST_TRR_CRNCY","USD")</f>
        <v>#N/A N/A</v>
      </c>
      <c r="AB79">
        <f>_xll.BDP($B79,"CUST_TRR_RETURN_HOLDING_PER","CUST_TRR_START_DT","20260601","CUST_TRR_END_DT","20260630","CUST_TRR_CRNCY","USD")</f>
        <v>-21.257840000000002</v>
      </c>
      <c r="AC79" s="1" t="s">
        <v>56</v>
      </c>
      <c r="AD79" s="1" t="s">
        <v>56</v>
      </c>
      <c r="AE79" s="1" t="s">
        <v>56</v>
      </c>
      <c r="AF79" s="1" t="s">
        <v>56</v>
      </c>
      <c r="AG79" s="1" t="s">
        <v>56</v>
      </c>
      <c r="AH79" s="1" t="s">
        <v>56</v>
      </c>
      <c r="AI79" s="1" t="s">
        <v>57</v>
      </c>
      <c r="AJ79" s="1" t="s">
        <v>57</v>
      </c>
      <c r="AK79" s="1" t="s">
        <v>56</v>
      </c>
      <c r="AL79" s="1" t="s">
        <v>57</v>
      </c>
      <c r="AM79" s="1" t="s">
        <v>57</v>
      </c>
      <c r="AN79" s="1" t="s">
        <v>56</v>
      </c>
      <c r="AO79" s="1" t="s">
        <v>529</v>
      </c>
      <c r="AP79" s="1" t="s">
        <v>57</v>
      </c>
      <c r="AQ79" s="1" t="s">
        <v>56</v>
      </c>
      <c r="AR79" s="1" t="s">
        <v>89</v>
      </c>
      <c r="AS79" s="1" t="s">
        <v>90</v>
      </c>
    </row>
    <row r="80" spans="1:45" x14ac:dyDescent="0.25">
      <c r="A80" s="1" t="s">
        <v>530</v>
      </c>
      <c r="B80" s="1" t="s">
        <v>531</v>
      </c>
      <c r="C80" s="1" t="s">
        <v>47</v>
      </c>
      <c r="D80" s="1" t="s">
        <v>48</v>
      </c>
      <c r="E80" s="1" t="s">
        <v>49</v>
      </c>
      <c r="F80" s="1" t="s">
        <v>49</v>
      </c>
      <c r="G80" s="1" t="s">
        <v>50</v>
      </c>
      <c r="H80" s="1" t="s">
        <v>51</v>
      </c>
      <c r="I80" s="1" t="s">
        <v>532</v>
      </c>
      <c r="J80" s="1" t="s">
        <v>57</v>
      </c>
      <c r="K80" s="1" t="s">
        <v>532</v>
      </c>
      <c r="L80" s="1" t="s">
        <v>55</v>
      </c>
      <c r="M80" s="1" t="s">
        <v>55</v>
      </c>
      <c r="N80" s="1" t="s">
        <v>55</v>
      </c>
      <c r="O80" s="1" t="s">
        <v>55</v>
      </c>
      <c r="P80" s="1" t="s">
        <v>55</v>
      </c>
      <c r="Q80" s="1" t="s">
        <v>55</v>
      </c>
      <c r="R80" s="1" t="s">
        <v>55</v>
      </c>
      <c r="S80" s="1" t="s">
        <v>55</v>
      </c>
      <c r="T80" s="1" t="s">
        <v>55</v>
      </c>
      <c r="U80" s="1" t="s">
        <v>55</v>
      </c>
      <c r="V80" s="1" t="s">
        <v>55</v>
      </c>
      <c r="W80" s="1" t="s">
        <v>55</v>
      </c>
      <c r="X80" s="1" t="s">
        <v>55</v>
      </c>
      <c r="Y80" s="1" t="s">
        <v>50</v>
      </c>
      <c r="Z80" t="str">
        <f>_xll.BDP($B80,"CUST_TRR_RETURN_HOLDING_PER","CUST_TRR_START_DT","20260401","CUST_TRR_END_DT","20260430","CUST_TRR_CRNCY","USD")</f>
        <v>#N/A N/A</v>
      </c>
      <c r="AA80">
        <f>_xll.BDP($B80,"CUST_TRR_RETURN_HOLDING_PER","CUST_TRR_START_DT","20260501","CUST_TRR_END_DT","20260531","CUST_TRR_CRNCY","USD")</f>
        <v>0.88038090000000002</v>
      </c>
      <c r="AB80">
        <f>_xll.BDP($B80,"CUST_TRR_RETURN_HOLDING_PER","CUST_TRR_START_DT","20260601","CUST_TRR_END_DT","20260630","CUST_TRR_CRNCY","USD")</f>
        <v>5.6852710000000002</v>
      </c>
      <c r="AC80" s="1" t="s">
        <v>56</v>
      </c>
      <c r="AD80" s="1" t="s">
        <v>56</v>
      </c>
      <c r="AE80" s="1" t="s">
        <v>56</v>
      </c>
      <c r="AF80" s="1" t="s">
        <v>56</v>
      </c>
      <c r="AG80" s="1" t="s">
        <v>56</v>
      </c>
      <c r="AH80" s="1" t="s">
        <v>56</v>
      </c>
      <c r="AI80" s="1" t="s">
        <v>57</v>
      </c>
      <c r="AJ80" s="1" t="s">
        <v>57</v>
      </c>
      <c r="AK80" s="1" t="s">
        <v>56</v>
      </c>
      <c r="AL80" s="1" t="s">
        <v>533</v>
      </c>
      <c r="AM80" s="1" t="s">
        <v>57</v>
      </c>
      <c r="AN80" s="1" t="s">
        <v>56</v>
      </c>
      <c r="AO80" s="1" t="s">
        <v>57</v>
      </c>
      <c r="AP80" s="1" t="s">
        <v>57</v>
      </c>
      <c r="AQ80" s="1" t="s">
        <v>56</v>
      </c>
      <c r="AR80" s="1" t="s">
        <v>59</v>
      </c>
      <c r="AS80" s="1" t="s">
        <v>60</v>
      </c>
    </row>
    <row r="81" spans="1:45" x14ac:dyDescent="0.25">
      <c r="A81" s="1" t="s">
        <v>534</v>
      </c>
      <c r="B81" s="1" t="s">
        <v>535</v>
      </c>
      <c r="C81" s="1" t="s">
        <v>47</v>
      </c>
      <c r="D81" s="1" t="s">
        <v>48</v>
      </c>
      <c r="E81" s="1" t="s">
        <v>49</v>
      </c>
      <c r="F81" s="1" t="s">
        <v>49</v>
      </c>
      <c r="G81" s="1" t="s">
        <v>50</v>
      </c>
      <c r="H81" s="1" t="s">
        <v>51</v>
      </c>
      <c r="I81" s="1" t="s">
        <v>536</v>
      </c>
      <c r="J81" s="1" t="s">
        <v>57</v>
      </c>
      <c r="K81" s="1" t="s">
        <v>536</v>
      </c>
      <c r="L81" s="1" t="s">
        <v>55</v>
      </c>
      <c r="M81" s="1" t="s">
        <v>55</v>
      </c>
      <c r="N81" s="1" t="s">
        <v>55</v>
      </c>
      <c r="O81" s="1" t="s">
        <v>55</v>
      </c>
      <c r="P81" s="1" t="s">
        <v>55</v>
      </c>
      <c r="Q81" s="1" t="s">
        <v>55</v>
      </c>
      <c r="R81" s="1" t="s">
        <v>55</v>
      </c>
      <c r="S81" s="1" t="s">
        <v>55</v>
      </c>
      <c r="T81" s="1" t="s">
        <v>55</v>
      </c>
      <c r="U81" s="1" t="s">
        <v>55</v>
      </c>
      <c r="V81" s="1" t="s">
        <v>55</v>
      </c>
      <c r="W81" s="1" t="s">
        <v>55</v>
      </c>
      <c r="X81" s="1" t="s">
        <v>55</v>
      </c>
      <c r="Y81" s="1" t="s">
        <v>50</v>
      </c>
      <c r="Z81" t="str">
        <f>_xll.BDP($B81,"CUST_TRR_RETURN_HOLDING_PER","CUST_TRR_START_DT","20260401","CUST_TRR_END_DT","20260430","CUST_TRR_CRNCY","USD")</f>
        <v>#N/A N/A</v>
      </c>
      <c r="AA81">
        <f>_xll.BDP($B81,"CUST_TRR_RETURN_HOLDING_PER","CUST_TRR_START_DT","20260501","CUST_TRR_END_DT","20260531","CUST_TRR_CRNCY","USD")</f>
        <v>1.8340890000000001</v>
      </c>
      <c r="AB81">
        <f>_xll.BDP($B81,"CUST_TRR_RETURN_HOLDING_PER","CUST_TRR_START_DT","20260601","CUST_TRR_END_DT","20260630","CUST_TRR_CRNCY","USD")</f>
        <v>-5.9494980000000002</v>
      </c>
      <c r="AC81" s="1" t="s">
        <v>56</v>
      </c>
      <c r="AD81" s="1" t="s">
        <v>56</v>
      </c>
      <c r="AE81" s="1" t="s">
        <v>56</v>
      </c>
      <c r="AF81" s="1" t="s">
        <v>56</v>
      </c>
      <c r="AG81" s="1" t="s">
        <v>56</v>
      </c>
      <c r="AH81" s="1" t="s">
        <v>56</v>
      </c>
      <c r="AI81" s="1" t="s">
        <v>57</v>
      </c>
      <c r="AJ81" s="1" t="s">
        <v>57</v>
      </c>
      <c r="AK81" s="1" t="s">
        <v>56</v>
      </c>
      <c r="AL81" s="1" t="s">
        <v>537</v>
      </c>
      <c r="AM81" s="1" t="s">
        <v>57</v>
      </c>
      <c r="AN81" s="1" t="s">
        <v>56</v>
      </c>
      <c r="AO81" s="1" t="s">
        <v>57</v>
      </c>
      <c r="AP81" s="1" t="s">
        <v>57</v>
      </c>
      <c r="AQ81" s="1" t="s">
        <v>56</v>
      </c>
      <c r="AR81" s="1" t="s">
        <v>59</v>
      </c>
      <c r="AS81" s="1" t="s">
        <v>60</v>
      </c>
    </row>
    <row r="82" spans="1:45" x14ac:dyDescent="0.25">
      <c r="A82" s="1" t="s">
        <v>538</v>
      </c>
      <c r="B82" s="1" t="s">
        <v>539</v>
      </c>
      <c r="C82" s="1" t="s">
        <v>47</v>
      </c>
      <c r="D82" s="1" t="s">
        <v>48</v>
      </c>
      <c r="E82" s="1" t="s">
        <v>49</v>
      </c>
      <c r="F82" s="1" t="s">
        <v>49</v>
      </c>
      <c r="G82" s="1" t="s">
        <v>50</v>
      </c>
      <c r="H82" s="1" t="s">
        <v>51</v>
      </c>
      <c r="I82" s="1" t="s">
        <v>540</v>
      </c>
      <c r="J82" s="1" t="s">
        <v>541</v>
      </c>
      <c r="K82" s="1" t="s">
        <v>542</v>
      </c>
      <c r="L82" s="1" t="s">
        <v>55</v>
      </c>
      <c r="M82" s="1" t="s">
        <v>55</v>
      </c>
      <c r="N82" s="1" t="s">
        <v>55</v>
      </c>
      <c r="O82" s="1" t="s">
        <v>55</v>
      </c>
      <c r="P82" s="1" t="s">
        <v>55</v>
      </c>
      <c r="Q82" s="1" t="s">
        <v>55</v>
      </c>
      <c r="R82" s="1" t="s">
        <v>55</v>
      </c>
      <c r="S82" s="1" t="s">
        <v>55</v>
      </c>
      <c r="T82" s="1" t="s">
        <v>55</v>
      </c>
      <c r="U82" s="1" t="s">
        <v>55</v>
      </c>
      <c r="V82" s="1" t="s">
        <v>55</v>
      </c>
      <c r="W82" s="1" t="s">
        <v>55</v>
      </c>
      <c r="X82" s="1" t="s">
        <v>55</v>
      </c>
      <c r="Y82" s="1" t="s">
        <v>50</v>
      </c>
      <c r="Z82" t="str">
        <f>_xll.BDP($B82,"CUST_TRR_RETURN_HOLDING_PER","CUST_TRR_START_DT","20260401","CUST_TRR_END_DT","20260430","CUST_TRR_CRNCY","USD")</f>
        <v>#N/A N/A</v>
      </c>
      <c r="AA82" t="str">
        <f>_xll.BDP($B82,"CUST_TRR_RETURN_HOLDING_PER","CUST_TRR_START_DT","20260501","CUST_TRR_END_DT","20260531","CUST_TRR_CRNCY","USD")</f>
        <v>#N/A N/A</v>
      </c>
      <c r="AB82">
        <f>_xll.BDP($B82,"CUST_TRR_RETURN_HOLDING_PER","CUST_TRR_START_DT","20260601","CUST_TRR_END_DT","20260630","CUST_TRR_CRNCY","USD")</f>
        <v>-2.9377789999999999</v>
      </c>
      <c r="AC82" s="1" t="s">
        <v>56</v>
      </c>
      <c r="AD82" s="1" t="s">
        <v>56</v>
      </c>
      <c r="AE82" s="1" t="s">
        <v>56</v>
      </c>
      <c r="AF82" s="1" t="s">
        <v>56</v>
      </c>
      <c r="AG82" s="1" t="s">
        <v>56</v>
      </c>
      <c r="AH82" s="1" t="s">
        <v>56</v>
      </c>
      <c r="AI82" s="1" t="s">
        <v>57</v>
      </c>
      <c r="AJ82" s="1" t="s">
        <v>57</v>
      </c>
      <c r="AK82" s="1" t="s">
        <v>56</v>
      </c>
      <c r="AL82" s="1" t="s">
        <v>57</v>
      </c>
      <c r="AM82" s="1" t="s">
        <v>57</v>
      </c>
      <c r="AN82" s="1" t="s">
        <v>56</v>
      </c>
      <c r="AO82" s="1" t="s">
        <v>543</v>
      </c>
      <c r="AP82" s="1" t="s">
        <v>544</v>
      </c>
      <c r="AQ82" s="1" t="s">
        <v>56</v>
      </c>
      <c r="AR82" s="1" t="s">
        <v>89</v>
      </c>
      <c r="AS82" s="1" t="s">
        <v>90</v>
      </c>
    </row>
    <row r="83" spans="1:45" x14ac:dyDescent="0.25">
      <c r="A83" s="1" t="s">
        <v>545</v>
      </c>
      <c r="B83" s="1" t="s">
        <v>546</v>
      </c>
      <c r="C83" s="1" t="s">
        <v>47</v>
      </c>
      <c r="D83" s="1" t="s">
        <v>48</v>
      </c>
      <c r="E83" s="1" t="s">
        <v>49</v>
      </c>
      <c r="F83" s="1" t="s">
        <v>49</v>
      </c>
      <c r="G83" s="1" t="s">
        <v>50</v>
      </c>
      <c r="H83" s="1" t="s">
        <v>51</v>
      </c>
      <c r="I83" s="1" t="s">
        <v>547</v>
      </c>
      <c r="J83" s="1" t="s">
        <v>548</v>
      </c>
      <c r="K83" s="1" t="s">
        <v>549</v>
      </c>
      <c r="L83" s="1" t="s">
        <v>55</v>
      </c>
      <c r="M83" s="1" t="s">
        <v>55</v>
      </c>
      <c r="N83" s="1" t="s">
        <v>55</v>
      </c>
      <c r="O83" s="1" t="s">
        <v>55</v>
      </c>
      <c r="P83" s="1" t="s">
        <v>55</v>
      </c>
      <c r="Q83" s="1" t="s">
        <v>55</v>
      </c>
      <c r="R83" s="1" t="s">
        <v>55</v>
      </c>
      <c r="S83" s="1" t="s">
        <v>55</v>
      </c>
      <c r="T83" s="1" t="s">
        <v>55</v>
      </c>
      <c r="U83" s="1" t="s">
        <v>55</v>
      </c>
      <c r="V83" s="1" t="s">
        <v>55</v>
      </c>
      <c r="W83" s="1" t="s">
        <v>55</v>
      </c>
      <c r="X83" s="1" t="s">
        <v>55</v>
      </c>
      <c r="Y83" s="1" t="s">
        <v>50</v>
      </c>
      <c r="Z83" t="str">
        <f>_xll.BDP($B83,"CUST_TRR_RETURN_HOLDING_PER","CUST_TRR_START_DT","20260401","CUST_TRR_END_DT","20260430","CUST_TRR_CRNCY","USD")</f>
        <v>#N/A N/A</v>
      </c>
      <c r="AA83">
        <f>_xll.BDP($B83,"CUST_TRR_RETURN_HOLDING_PER","CUST_TRR_START_DT","20260501","CUST_TRR_END_DT","20260531","CUST_TRR_CRNCY","USD")</f>
        <v>32.097859999999997</v>
      </c>
      <c r="AB83">
        <f>_xll.BDP($B83,"CUST_TRR_RETURN_HOLDING_PER","CUST_TRR_START_DT","20260601","CUST_TRR_END_DT","20260630","CUST_TRR_CRNCY","USD")</f>
        <v>-1.2893669999999999</v>
      </c>
      <c r="AC83" s="1" t="s">
        <v>56</v>
      </c>
      <c r="AD83" s="1" t="s">
        <v>56</v>
      </c>
      <c r="AE83" s="1" t="s">
        <v>56</v>
      </c>
      <c r="AF83" s="1" t="s">
        <v>56</v>
      </c>
      <c r="AG83" s="1" t="s">
        <v>56</v>
      </c>
      <c r="AH83" s="1" t="s">
        <v>56</v>
      </c>
      <c r="AI83" s="1" t="s">
        <v>57</v>
      </c>
      <c r="AJ83" s="1" t="s">
        <v>57</v>
      </c>
      <c r="AK83" s="1" t="s">
        <v>56</v>
      </c>
      <c r="AL83" s="1" t="s">
        <v>550</v>
      </c>
      <c r="AM83" s="1" t="s">
        <v>57</v>
      </c>
      <c r="AN83" s="1" t="s">
        <v>56</v>
      </c>
      <c r="AO83" s="1" t="s">
        <v>57</v>
      </c>
      <c r="AP83" s="1" t="s">
        <v>57</v>
      </c>
      <c r="AQ83" s="1" t="s">
        <v>56</v>
      </c>
      <c r="AR83" s="1" t="s">
        <v>59</v>
      </c>
      <c r="AS83" s="1" t="s">
        <v>60</v>
      </c>
    </row>
    <row r="84" spans="1:45" x14ac:dyDescent="0.25">
      <c r="A84" s="1" t="s">
        <v>551</v>
      </c>
      <c r="B84" s="1" t="s">
        <v>552</v>
      </c>
      <c r="C84" s="1" t="s">
        <v>47</v>
      </c>
      <c r="D84" s="1" t="s">
        <v>48</v>
      </c>
      <c r="E84" s="1" t="s">
        <v>49</v>
      </c>
      <c r="F84" s="1" t="s">
        <v>49</v>
      </c>
      <c r="G84" s="1" t="s">
        <v>50</v>
      </c>
      <c r="H84" s="1" t="s">
        <v>51</v>
      </c>
      <c r="I84" s="1" t="s">
        <v>553</v>
      </c>
      <c r="J84" s="1" t="s">
        <v>554</v>
      </c>
      <c r="K84" s="1" t="s">
        <v>555</v>
      </c>
      <c r="L84" s="1" t="s">
        <v>55</v>
      </c>
      <c r="M84" s="1" t="s">
        <v>55</v>
      </c>
      <c r="N84" s="1" t="s">
        <v>55</v>
      </c>
      <c r="O84" s="1" t="s">
        <v>55</v>
      </c>
      <c r="P84" s="1" t="s">
        <v>55</v>
      </c>
      <c r="Q84" s="1" t="s">
        <v>55</v>
      </c>
      <c r="R84" s="1" t="s">
        <v>55</v>
      </c>
      <c r="S84" s="1" t="s">
        <v>55</v>
      </c>
      <c r="T84" s="1" t="s">
        <v>55</v>
      </c>
      <c r="U84" s="1" t="s">
        <v>55</v>
      </c>
      <c r="V84" s="1" t="s">
        <v>55</v>
      </c>
      <c r="W84" s="1" t="s">
        <v>55</v>
      </c>
      <c r="X84" s="1" t="s">
        <v>55</v>
      </c>
      <c r="Y84" s="1" t="s">
        <v>50</v>
      </c>
      <c r="Z84" t="str">
        <f>_xll.BDP($B84,"CUST_TRR_RETURN_HOLDING_PER","CUST_TRR_START_DT","20260401","CUST_TRR_END_DT","20260430","CUST_TRR_CRNCY","USD")</f>
        <v>#N/A N/A</v>
      </c>
      <c r="AA84" t="str">
        <f>_xll.BDP($B84,"CUST_TRR_RETURN_HOLDING_PER","CUST_TRR_START_DT","20260501","CUST_TRR_END_DT","20260531","CUST_TRR_CRNCY","USD")</f>
        <v>#N/A N/A</v>
      </c>
      <c r="AB84">
        <f>_xll.BDP($B84,"CUST_TRR_RETURN_HOLDING_PER","CUST_TRR_START_DT","20260601","CUST_TRR_END_DT","20260630","CUST_TRR_CRNCY","USD")</f>
        <v>-8.9378860000000007</v>
      </c>
      <c r="AC84" s="1" t="s">
        <v>56</v>
      </c>
      <c r="AD84" s="1" t="s">
        <v>56</v>
      </c>
      <c r="AE84" s="1" t="s">
        <v>56</v>
      </c>
      <c r="AF84" s="1" t="s">
        <v>56</v>
      </c>
      <c r="AG84" s="1" t="s">
        <v>56</v>
      </c>
      <c r="AH84" s="1" t="s">
        <v>56</v>
      </c>
      <c r="AI84" s="1" t="s">
        <v>57</v>
      </c>
      <c r="AJ84" s="1" t="s">
        <v>57</v>
      </c>
      <c r="AK84" s="1" t="s">
        <v>56</v>
      </c>
      <c r="AL84" s="1" t="s">
        <v>57</v>
      </c>
      <c r="AM84" s="1" t="s">
        <v>57</v>
      </c>
      <c r="AN84" s="1" t="s">
        <v>56</v>
      </c>
      <c r="AO84" s="1" t="s">
        <v>556</v>
      </c>
      <c r="AP84" s="1" t="s">
        <v>557</v>
      </c>
      <c r="AQ84" s="1" t="s">
        <v>56</v>
      </c>
      <c r="AR84" s="1" t="s">
        <v>59</v>
      </c>
      <c r="AS84" s="1" t="s">
        <v>60</v>
      </c>
    </row>
    <row r="85" spans="1:45" x14ac:dyDescent="0.25">
      <c r="A85" s="1" t="s">
        <v>558</v>
      </c>
      <c r="B85" s="1" t="s">
        <v>559</v>
      </c>
      <c r="C85" s="1" t="s">
        <v>47</v>
      </c>
      <c r="D85" s="1" t="s">
        <v>48</v>
      </c>
      <c r="E85" s="1" t="s">
        <v>49</v>
      </c>
      <c r="F85" s="1" t="s">
        <v>49</v>
      </c>
      <c r="G85" s="1" t="s">
        <v>50</v>
      </c>
      <c r="H85" s="1" t="s">
        <v>51</v>
      </c>
      <c r="I85" s="1" t="s">
        <v>560</v>
      </c>
      <c r="J85" s="1" t="s">
        <v>561</v>
      </c>
      <c r="K85" s="1" t="s">
        <v>562</v>
      </c>
      <c r="L85" s="1" t="s">
        <v>55</v>
      </c>
      <c r="M85" s="1" t="s">
        <v>55</v>
      </c>
      <c r="N85" s="1" t="s">
        <v>55</v>
      </c>
      <c r="O85" s="1" t="s">
        <v>55</v>
      </c>
      <c r="P85" s="1" t="s">
        <v>55</v>
      </c>
      <c r="Q85" s="1" t="s">
        <v>55</v>
      </c>
      <c r="R85" s="1" t="s">
        <v>55</v>
      </c>
      <c r="S85" s="1" t="s">
        <v>55</v>
      </c>
      <c r="T85" s="1" t="s">
        <v>55</v>
      </c>
      <c r="U85" s="1" t="s">
        <v>55</v>
      </c>
      <c r="V85" s="1" t="s">
        <v>55</v>
      </c>
      <c r="W85" s="1" t="s">
        <v>55</v>
      </c>
      <c r="X85" s="1" t="s">
        <v>55</v>
      </c>
      <c r="Y85" s="1" t="s">
        <v>50</v>
      </c>
      <c r="Z85" t="str">
        <f>_xll.BDP($B85,"CUST_TRR_RETURN_HOLDING_PER","CUST_TRR_START_DT","20260401","CUST_TRR_END_DT","20260430","CUST_TRR_CRNCY","USD")</f>
        <v>#N/A N/A</v>
      </c>
      <c r="AA85" t="str">
        <f>_xll.BDP($B85,"CUST_TRR_RETURN_HOLDING_PER","CUST_TRR_START_DT","20260501","CUST_TRR_END_DT","20260531","CUST_TRR_CRNCY","USD")</f>
        <v>#N/A N/A</v>
      </c>
      <c r="AB85">
        <f>_xll.BDP($B85,"CUST_TRR_RETURN_HOLDING_PER","CUST_TRR_START_DT","20260601","CUST_TRR_END_DT","20260630","CUST_TRR_CRNCY","USD")</f>
        <v>46.364260000000002</v>
      </c>
      <c r="AC85" s="1" t="s">
        <v>56</v>
      </c>
      <c r="AD85" s="1" t="s">
        <v>56</v>
      </c>
      <c r="AE85" s="1" t="s">
        <v>56</v>
      </c>
      <c r="AF85" s="1" t="s">
        <v>56</v>
      </c>
      <c r="AG85" s="1" t="s">
        <v>56</v>
      </c>
      <c r="AH85" s="1" t="s">
        <v>56</v>
      </c>
      <c r="AI85" s="1" t="s">
        <v>57</v>
      </c>
      <c r="AJ85" s="1" t="s">
        <v>57</v>
      </c>
      <c r="AK85" s="1" t="s">
        <v>56</v>
      </c>
      <c r="AL85" s="1" t="s">
        <v>57</v>
      </c>
      <c r="AM85" s="1" t="s">
        <v>57</v>
      </c>
      <c r="AN85" s="1" t="s">
        <v>56</v>
      </c>
      <c r="AO85" s="1" t="s">
        <v>563</v>
      </c>
      <c r="AP85" s="1" t="s">
        <v>564</v>
      </c>
      <c r="AQ85" s="1" t="s">
        <v>56</v>
      </c>
      <c r="AR85" s="1" t="s">
        <v>59</v>
      </c>
      <c r="AS85" s="1" t="s">
        <v>60</v>
      </c>
    </row>
    <row r="86" spans="1:45" x14ac:dyDescent="0.25">
      <c r="A86" s="1" t="s">
        <v>565</v>
      </c>
      <c r="B86" s="1" t="s">
        <v>566</v>
      </c>
      <c r="C86" s="1" t="s">
        <v>47</v>
      </c>
      <c r="D86" s="1" t="s">
        <v>48</v>
      </c>
      <c r="E86" s="1" t="s">
        <v>49</v>
      </c>
      <c r="F86" s="1" t="s">
        <v>49</v>
      </c>
      <c r="G86" s="1" t="s">
        <v>50</v>
      </c>
      <c r="H86" s="1" t="s">
        <v>51</v>
      </c>
      <c r="I86" s="1" t="s">
        <v>567</v>
      </c>
      <c r="J86" s="1" t="s">
        <v>568</v>
      </c>
      <c r="K86" s="1" t="s">
        <v>569</v>
      </c>
      <c r="L86" s="1" t="s">
        <v>55</v>
      </c>
      <c r="M86" s="1" t="s">
        <v>55</v>
      </c>
      <c r="N86" s="1" t="s">
        <v>55</v>
      </c>
      <c r="O86" s="1" t="s">
        <v>55</v>
      </c>
      <c r="P86" s="1" t="s">
        <v>55</v>
      </c>
      <c r="Q86" s="1" t="s">
        <v>55</v>
      </c>
      <c r="R86" s="1" t="s">
        <v>55</v>
      </c>
      <c r="S86" s="1" t="s">
        <v>55</v>
      </c>
      <c r="T86" s="1" t="s">
        <v>55</v>
      </c>
      <c r="U86" s="1" t="s">
        <v>55</v>
      </c>
      <c r="V86" s="1" t="s">
        <v>55</v>
      </c>
      <c r="W86" s="1" t="s">
        <v>55</v>
      </c>
      <c r="X86" s="1" t="s">
        <v>55</v>
      </c>
      <c r="Y86" s="1" t="s">
        <v>50</v>
      </c>
      <c r="Z86" t="str">
        <f>_xll.BDP($B86,"CUST_TRR_RETURN_HOLDING_PER","CUST_TRR_START_DT","20260401","CUST_TRR_END_DT","20260430","CUST_TRR_CRNCY","USD")</f>
        <v>#N/A N/A</v>
      </c>
      <c r="AA86" t="str">
        <f>_xll.BDP($B86,"CUST_TRR_RETURN_HOLDING_PER","CUST_TRR_START_DT","20260501","CUST_TRR_END_DT","20260531","CUST_TRR_CRNCY","USD")</f>
        <v>#N/A N/A</v>
      </c>
      <c r="AB86">
        <f>_xll.BDP($B86,"CUST_TRR_RETURN_HOLDING_PER","CUST_TRR_START_DT","20260601","CUST_TRR_END_DT","20260630","CUST_TRR_CRNCY","USD")</f>
        <v>-23.859680000000001</v>
      </c>
      <c r="AC86" s="1" t="s">
        <v>56</v>
      </c>
      <c r="AD86" s="1" t="s">
        <v>56</v>
      </c>
      <c r="AE86" s="1" t="s">
        <v>56</v>
      </c>
      <c r="AF86" s="1" t="s">
        <v>56</v>
      </c>
      <c r="AG86" s="1" t="s">
        <v>56</v>
      </c>
      <c r="AH86" s="1" t="s">
        <v>56</v>
      </c>
      <c r="AI86" s="1" t="s">
        <v>57</v>
      </c>
      <c r="AJ86" s="1" t="s">
        <v>57</v>
      </c>
      <c r="AK86" s="1" t="s">
        <v>56</v>
      </c>
      <c r="AL86" s="1" t="s">
        <v>57</v>
      </c>
      <c r="AM86" s="1" t="s">
        <v>57</v>
      </c>
      <c r="AN86" s="1" t="s">
        <v>56</v>
      </c>
      <c r="AO86" s="1" t="s">
        <v>570</v>
      </c>
      <c r="AP86" s="1" t="s">
        <v>571</v>
      </c>
      <c r="AQ86" s="1" t="s">
        <v>56</v>
      </c>
      <c r="AR86" s="1" t="s">
        <v>59</v>
      </c>
      <c r="AS86" s="1" t="s">
        <v>60</v>
      </c>
    </row>
    <row r="87" spans="1:45" x14ac:dyDescent="0.25">
      <c r="A87" s="1" t="s">
        <v>572</v>
      </c>
      <c r="B87" s="1" t="s">
        <v>573</v>
      </c>
      <c r="C87" s="1" t="s">
        <v>47</v>
      </c>
      <c r="D87" s="1" t="s">
        <v>48</v>
      </c>
      <c r="E87" s="1" t="s">
        <v>49</v>
      </c>
      <c r="F87" s="1" t="s">
        <v>49</v>
      </c>
      <c r="G87" s="1" t="s">
        <v>50</v>
      </c>
      <c r="H87" s="1" t="s">
        <v>51</v>
      </c>
      <c r="I87" s="1" t="s">
        <v>574</v>
      </c>
      <c r="J87" s="1" t="s">
        <v>575</v>
      </c>
      <c r="K87" s="1" t="s">
        <v>576</v>
      </c>
      <c r="L87" s="1" t="s">
        <v>55</v>
      </c>
      <c r="M87" s="1" t="s">
        <v>55</v>
      </c>
      <c r="N87" s="1" t="s">
        <v>55</v>
      </c>
      <c r="O87" s="1" t="s">
        <v>55</v>
      </c>
      <c r="P87" s="1" t="s">
        <v>55</v>
      </c>
      <c r="Q87" s="1" t="s">
        <v>55</v>
      </c>
      <c r="R87" s="1" t="s">
        <v>55</v>
      </c>
      <c r="S87" s="1" t="s">
        <v>55</v>
      </c>
      <c r="T87" s="1" t="s">
        <v>55</v>
      </c>
      <c r="U87" s="1" t="s">
        <v>55</v>
      </c>
      <c r="V87" s="1" t="s">
        <v>55</v>
      </c>
      <c r="W87" s="1" t="s">
        <v>55</v>
      </c>
      <c r="X87" s="1" t="s">
        <v>55</v>
      </c>
      <c r="Y87" s="1" t="s">
        <v>50</v>
      </c>
      <c r="Z87" t="str">
        <f>_xll.BDP($B87,"CUST_TRR_RETURN_HOLDING_PER","CUST_TRR_START_DT","20260401","CUST_TRR_END_DT","20260430","CUST_TRR_CRNCY","USD")</f>
        <v>#N/A N/A</v>
      </c>
      <c r="AA87" t="str">
        <f>_xll.BDP($B87,"CUST_TRR_RETURN_HOLDING_PER","CUST_TRR_START_DT","20260501","CUST_TRR_END_DT","20260531","CUST_TRR_CRNCY","USD")</f>
        <v>#N/A N/A</v>
      </c>
      <c r="AB87">
        <f>_xll.BDP($B87,"CUST_TRR_RETURN_HOLDING_PER","CUST_TRR_START_DT","20260601","CUST_TRR_END_DT","20260630","CUST_TRR_CRNCY","USD")</f>
        <v>1.8910229999999999</v>
      </c>
      <c r="AC87" s="1" t="s">
        <v>56</v>
      </c>
      <c r="AD87" s="1" t="s">
        <v>56</v>
      </c>
      <c r="AE87" s="1" t="s">
        <v>56</v>
      </c>
      <c r="AF87" s="1" t="s">
        <v>56</v>
      </c>
      <c r="AG87" s="1" t="s">
        <v>56</v>
      </c>
      <c r="AH87" s="1" t="s">
        <v>56</v>
      </c>
      <c r="AI87" s="1" t="s">
        <v>57</v>
      </c>
      <c r="AJ87" s="1" t="s">
        <v>57</v>
      </c>
      <c r="AK87" s="1" t="s">
        <v>56</v>
      </c>
      <c r="AL87" s="1" t="s">
        <v>57</v>
      </c>
      <c r="AM87" s="1" t="s">
        <v>57</v>
      </c>
      <c r="AN87" s="1" t="s">
        <v>56</v>
      </c>
      <c r="AO87" s="1" t="s">
        <v>577</v>
      </c>
      <c r="AP87" s="1" t="s">
        <v>57</v>
      </c>
      <c r="AQ87" s="1" t="s">
        <v>56</v>
      </c>
      <c r="AR87" s="1" t="s">
        <v>56</v>
      </c>
      <c r="AS87" s="1" t="s">
        <v>56</v>
      </c>
    </row>
    <row r="88" spans="1:45" x14ac:dyDescent="0.25">
      <c r="A88" s="1" t="s">
        <v>578</v>
      </c>
      <c r="B88" s="1" t="s">
        <v>579</v>
      </c>
      <c r="C88" s="1" t="s">
        <v>47</v>
      </c>
      <c r="D88" s="1" t="s">
        <v>48</v>
      </c>
      <c r="E88" s="1" t="s">
        <v>49</v>
      </c>
      <c r="F88" s="1" t="s">
        <v>49</v>
      </c>
      <c r="G88" s="1" t="s">
        <v>50</v>
      </c>
      <c r="H88" s="1" t="s">
        <v>51</v>
      </c>
      <c r="I88" s="1" t="s">
        <v>580</v>
      </c>
      <c r="J88" s="1" t="s">
        <v>581</v>
      </c>
      <c r="K88" s="1" t="s">
        <v>582</v>
      </c>
      <c r="L88" s="1" t="s">
        <v>55</v>
      </c>
      <c r="M88" s="1" t="s">
        <v>55</v>
      </c>
      <c r="N88" s="1" t="s">
        <v>55</v>
      </c>
      <c r="O88" s="1" t="s">
        <v>55</v>
      </c>
      <c r="P88" s="1" t="s">
        <v>55</v>
      </c>
      <c r="Q88" s="1" t="s">
        <v>55</v>
      </c>
      <c r="R88" s="1" t="s">
        <v>55</v>
      </c>
      <c r="S88" s="1" t="s">
        <v>55</v>
      </c>
      <c r="T88" s="1" t="s">
        <v>55</v>
      </c>
      <c r="U88" s="1" t="s">
        <v>55</v>
      </c>
      <c r="V88" s="1" t="s">
        <v>55</v>
      </c>
      <c r="W88" s="1" t="s">
        <v>55</v>
      </c>
      <c r="X88" s="1" t="s">
        <v>55</v>
      </c>
      <c r="Y88" s="1" t="s">
        <v>50</v>
      </c>
      <c r="Z88" t="str">
        <f>_xll.BDP($B88,"CUST_TRR_RETURN_HOLDING_PER","CUST_TRR_START_DT","20260401","CUST_TRR_END_DT","20260430","CUST_TRR_CRNCY","USD")</f>
        <v>#N/A N/A</v>
      </c>
      <c r="AA88" t="str">
        <f>_xll.BDP($B88,"CUST_TRR_RETURN_HOLDING_PER","CUST_TRR_START_DT","20260501","CUST_TRR_END_DT","20260531","CUST_TRR_CRNCY","USD")</f>
        <v>#N/A N/A</v>
      </c>
      <c r="AB88">
        <f>_xll.BDP($B88,"CUST_TRR_RETURN_HOLDING_PER","CUST_TRR_START_DT","20260601","CUST_TRR_END_DT","20260630","CUST_TRR_CRNCY","USD")</f>
        <v>6.8155089999999996</v>
      </c>
      <c r="AC88" s="1" t="s">
        <v>56</v>
      </c>
      <c r="AD88" s="1" t="s">
        <v>56</v>
      </c>
      <c r="AE88" s="1" t="s">
        <v>56</v>
      </c>
      <c r="AF88" s="1" t="s">
        <v>56</v>
      </c>
      <c r="AG88" s="1" t="s">
        <v>56</v>
      </c>
      <c r="AH88" s="1" t="s">
        <v>56</v>
      </c>
      <c r="AI88" s="1" t="s">
        <v>57</v>
      </c>
      <c r="AJ88" s="1" t="s">
        <v>57</v>
      </c>
      <c r="AK88" s="1" t="s">
        <v>56</v>
      </c>
      <c r="AL88" s="1" t="s">
        <v>57</v>
      </c>
      <c r="AM88" s="1" t="s">
        <v>57</v>
      </c>
      <c r="AN88" s="1" t="s">
        <v>56</v>
      </c>
      <c r="AO88" s="1" t="s">
        <v>58</v>
      </c>
      <c r="AP88" s="1" t="s">
        <v>57</v>
      </c>
      <c r="AQ88" s="1" t="s">
        <v>56</v>
      </c>
      <c r="AR88" s="1" t="s">
        <v>59</v>
      </c>
      <c r="AS88" s="1" t="s">
        <v>60</v>
      </c>
    </row>
    <row r="89" spans="1:45" x14ac:dyDescent="0.25">
      <c r="A89" s="1" t="s">
        <v>583</v>
      </c>
      <c r="B89" s="1" t="s">
        <v>584</v>
      </c>
      <c r="C89" s="1" t="s">
        <v>47</v>
      </c>
      <c r="D89" s="1" t="s">
        <v>48</v>
      </c>
      <c r="E89" s="1" t="s">
        <v>49</v>
      </c>
      <c r="F89" s="1" t="s">
        <v>49</v>
      </c>
      <c r="G89" s="1" t="s">
        <v>50</v>
      </c>
      <c r="H89" s="1" t="s">
        <v>51</v>
      </c>
      <c r="I89" s="1" t="s">
        <v>585</v>
      </c>
      <c r="J89" s="1" t="s">
        <v>586</v>
      </c>
      <c r="K89" s="1" t="s">
        <v>587</v>
      </c>
      <c r="L89" s="1" t="s">
        <v>55</v>
      </c>
      <c r="M89" s="1" t="s">
        <v>55</v>
      </c>
      <c r="N89" s="1" t="s">
        <v>55</v>
      </c>
      <c r="O89" s="1" t="s">
        <v>55</v>
      </c>
      <c r="P89" s="1" t="s">
        <v>55</v>
      </c>
      <c r="Q89" s="1" t="s">
        <v>55</v>
      </c>
      <c r="R89" s="1" t="s">
        <v>55</v>
      </c>
      <c r="S89" s="1" t="s">
        <v>55</v>
      </c>
      <c r="T89" s="1" t="s">
        <v>55</v>
      </c>
      <c r="U89" s="1" t="s">
        <v>55</v>
      </c>
      <c r="V89" s="1" t="s">
        <v>55</v>
      </c>
      <c r="W89" s="1" t="s">
        <v>55</v>
      </c>
      <c r="X89" s="1" t="s">
        <v>55</v>
      </c>
      <c r="Y89" s="1" t="s">
        <v>50</v>
      </c>
      <c r="Z89" t="str">
        <f>_xll.BDP($B89,"CUST_TRR_RETURN_HOLDING_PER","CUST_TRR_START_DT","20260401","CUST_TRR_END_DT","20260430","CUST_TRR_CRNCY","USD")</f>
        <v>#N/A N/A</v>
      </c>
      <c r="AA89" t="str">
        <f>_xll.BDP($B89,"CUST_TRR_RETURN_HOLDING_PER","CUST_TRR_START_DT","20260501","CUST_TRR_END_DT","20260531","CUST_TRR_CRNCY","USD")</f>
        <v>#N/A N/A</v>
      </c>
      <c r="AB89">
        <f>_xll.BDP($B89,"CUST_TRR_RETURN_HOLDING_PER","CUST_TRR_START_DT","20260601","CUST_TRR_END_DT","20260630","CUST_TRR_CRNCY","USD")</f>
        <v>12.54059</v>
      </c>
      <c r="AC89" s="1" t="s">
        <v>56</v>
      </c>
      <c r="AD89" s="1" t="s">
        <v>56</v>
      </c>
      <c r="AE89" s="1" t="s">
        <v>56</v>
      </c>
      <c r="AF89" s="1" t="s">
        <v>56</v>
      </c>
      <c r="AG89" s="1" t="s">
        <v>56</v>
      </c>
      <c r="AH89" s="1" t="s">
        <v>56</v>
      </c>
      <c r="AI89" s="1" t="s">
        <v>57</v>
      </c>
      <c r="AJ89" s="1" t="s">
        <v>57</v>
      </c>
      <c r="AK89" s="1" t="s">
        <v>56</v>
      </c>
      <c r="AL89" s="1" t="s">
        <v>57</v>
      </c>
      <c r="AM89" s="1" t="s">
        <v>57</v>
      </c>
      <c r="AN89" s="1" t="s">
        <v>56</v>
      </c>
      <c r="AO89" s="1" t="s">
        <v>588</v>
      </c>
      <c r="AP89" s="1" t="s">
        <v>589</v>
      </c>
      <c r="AQ89" s="1" t="s">
        <v>56</v>
      </c>
      <c r="AR89" s="1" t="s">
        <v>59</v>
      </c>
      <c r="AS89" s="1" t="s">
        <v>60</v>
      </c>
    </row>
    <row r="90" spans="1:45" x14ac:dyDescent="0.25">
      <c r="A90" s="1" t="s">
        <v>590</v>
      </c>
      <c r="B90" s="1" t="s">
        <v>591</v>
      </c>
      <c r="C90" s="1" t="s">
        <v>47</v>
      </c>
      <c r="D90" s="1" t="s">
        <v>48</v>
      </c>
      <c r="E90" s="1" t="s">
        <v>49</v>
      </c>
      <c r="F90" s="1" t="s">
        <v>49</v>
      </c>
      <c r="G90" s="1" t="s">
        <v>50</v>
      </c>
      <c r="H90" s="1" t="s">
        <v>51</v>
      </c>
      <c r="I90" s="1" t="s">
        <v>592</v>
      </c>
      <c r="J90" s="1" t="s">
        <v>593</v>
      </c>
      <c r="K90" s="1" t="s">
        <v>594</v>
      </c>
      <c r="L90" s="1" t="s">
        <v>55</v>
      </c>
      <c r="M90" s="1" t="s">
        <v>55</v>
      </c>
      <c r="N90" s="1" t="s">
        <v>55</v>
      </c>
      <c r="O90" s="1" t="s">
        <v>55</v>
      </c>
      <c r="P90" s="1" t="s">
        <v>55</v>
      </c>
      <c r="Q90" s="1" t="s">
        <v>55</v>
      </c>
      <c r="R90" s="1" t="s">
        <v>55</v>
      </c>
      <c r="S90" s="1" t="s">
        <v>55</v>
      </c>
      <c r="T90" s="1" t="s">
        <v>55</v>
      </c>
      <c r="U90" s="1" t="s">
        <v>55</v>
      </c>
      <c r="V90" s="1" t="s">
        <v>55</v>
      </c>
      <c r="W90" s="1" t="s">
        <v>55</v>
      </c>
      <c r="X90" s="1" t="s">
        <v>55</v>
      </c>
      <c r="Y90" s="1" t="s">
        <v>50</v>
      </c>
      <c r="Z90" t="str">
        <f>_xll.BDP($B90,"CUST_TRR_RETURN_HOLDING_PER","CUST_TRR_START_DT","20260401","CUST_TRR_END_DT","20260430","CUST_TRR_CRNCY","USD")</f>
        <v>#N/A N/A</v>
      </c>
      <c r="AA90" t="str">
        <f>_xll.BDP($B90,"CUST_TRR_RETURN_HOLDING_PER","CUST_TRR_START_DT","20260501","CUST_TRR_END_DT","20260531","CUST_TRR_CRNCY","USD")</f>
        <v>#N/A N/A</v>
      </c>
      <c r="AB90">
        <f>_xll.BDP($B90,"CUST_TRR_RETURN_HOLDING_PER","CUST_TRR_START_DT","20260601","CUST_TRR_END_DT","20260630","CUST_TRR_CRNCY","USD")</f>
        <v>21.32019</v>
      </c>
      <c r="AC90" s="1" t="s">
        <v>56</v>
      </c>
      <c r="AD90" s="1" t="s">
        <v>56</v>
      </c>
      <c r="AE90" s="1" t="s">
        <v>56</v>
      </c>
      <c r="AF90" s="1" t="s">
        <v>56</v>
      </c>
      <c r="AG90" s="1" t="s">
        <v>56</v>
      </c>
      <c r="AH90" s="1" t="s">
        <v>56</v>
      </c>
      <c r="AI90" s="1" t="s">
        <v>57</v>
      </c>
      <c r="AJ90" s="1" t="s">
        <v>57</v>
      </c>
      <c r="AK90" s="1" t="s">
        <v>56</v>
      </c>
      <c r="AL90" s="1" t="s">
        <v>57</v>
      </c>
      <c r="AM90" s="1" t="s">
        <v>57</v>
      </c>
      <c r="AN90" s="1" t="s">
        <v>56</v>
      </c>
      <c r="AO90" s="1" t="s">
        <v>595</v>
      </c>
      <c r="AP90" s="1" t="s">
        <v>596</v>
      </c>
      <c r="AQ90" s="1" t="s">
        <v>56</v>
      </c>
      <c r="AR90" s="1" t="s">
        <v>59</v>
      </c>
      <c r="AS90" s="1" t="s">
        <v>60</v>
      </c>
    </row>
    <row r="91" spans="1:45" x14ac:dyDescent="0.25">
      <c r="A91" s="1" t="s">
        <v>597</v>
      </c>
      <c r="B91" s="1" t="s">
        <v>598</v>
      </c>
      <c r="C91" s="1" t="s">
        <v>47</v>
      </c>
      <c r="D91" s="1" t="s">
        <v>48</v>
      </c>
      <c r="E91" s="1" t="s">
        <v>49</v>
      </c>
      <c r="F91" s="1" t="s">
        <v>49</v>
      </c>
      <c r="G91" s="1" t="s">
        <v>50</v>
      </c>
      <c r="H91" s="1" t="s">
        <v>51</v>
      </c>
      <c r="I91" s="1" t="s">
        <v>599</v>
      </c>
      <c r="J91" s="1" t="s">
        <v>600</v>
      </c>
      <c r="K91" s="1" t="s">
        <v>601</v>
      </c>
      <c r="L91" s="1" t="s">
        <v>55</v>
      </c>
      <c r="M91" s="1" t="s">
        <v>55</v>
      </c>
      <c r="N91" s="1" t="s">
        <v>55</v>
      </c>
      <c r="O91" s="1" t="s">
        <v>55</v>
      </c>
      <c r="P91" s="1" t="s">
        <v>55</v>
      </c>
      <c r="Q91" s="1" t="s">
        <v>55</v>
      </c>
      <c r="R91" s="1" t="s">
        <v>55</v>
      </c>
      <c r="S91" s="1" t="s">
        <v>55</v>
      </c>
      <c r="T91" s="1" t="s">
        <v>55</v>
      </c>
      <c r="U91" s="1" t="s">
        <v>55</v>
      </c>
      <c r="V91" s="1" t="s">
        <v>55</v>
      </c>
      <c r="W91" s="1" t="s">
        <v>55</v>
      </c>
      <c r="X91" s="1" t="s">
        <v>55</v>
      </c>
      <c r="Y91" s="1" t="s">
        <v>50</v>
      </c>
      <c r="Z91" t="str">
        <f>_xll.BDP($B91,"CUST_TRR_RETURN_HOLDING_PER","CUST_TRR_START_DT","20260401","CUST_TRR_END_DT","20260430","CUST_TRR_CRNCY","USD")</f>
        <v>#N/A N/A</v>
      </c>
      <c r="AA91" t="str">
        <f>_xll.BDP($B91,"CUST_TRR_RETURN_HOLDING_PER","CUST_TRR_START_DT","20260501","CUST_TRR_END_DT","20260531","CUST_TRR_CRNCY","USD")</f>
        <v>#N/A N/A</v>
      </c>
      <c r="AB91">
        <f>_xll.BDP($B91,"CUST_TRR_RETURN_HOLDING_PER","CUST_TRR_START_DT","20260601","CUST_TRR_END_DT","20260630","CUST_TRR_CRNCY","USD")</f>
        <v>-4.3560600000000003</v>
      </c>
      <c r="AC91" s="1" t="s">
        <v>56</v>
      </c>
      <c r="AD91" s="1" t="s">
        <v>56</v>
      </c>
      <c r="AE91" s="1" t="s">
        <v>56</v>
      </c>
      <c r="AF91" s="1" t="s">
        <v>56</v>
      </c>
      <c r="AG91" s="1" t="s">
        <v>56</v>
      </c>
      <c r="AH91" s="1" t="s">
        <v>56</v>
      </c>
      <c r="AI91" s="1" t="s">
        <v>57</v>
      </c>
      <c r="AJ91" s="1" t="s">
        <v>57</v>
      </c>
      <c r="AK91" s="1" t="s">
        <v>56</v>
      </c>
      <c r="AL91" s="1" t="s">
        <v>57</v>
      </c>
      <c r="AM91" s="1" t="s">
        <v>57</v>
      </c>
      <c r="AN91" s="1" t="s">
        <v>56</v>
      </c>
      <c r="AO91" s="1" t="s">
        <v>602</v>
      </c>
      <c r="AP91" s="1" t="s">
        <v>57</v>
      </c>
      <c r="AQ91" s="1" t="s">
        <v>56</v>
      </c>
      <c r="AR91" s="1" t="s">
        <v>59</v>
      </c>
      <c r="AS91" s="1" t="s">
        <v>60</v>
      </c>
    </row>
    <row r="92" spans="1:45" x14ac:dyDescent="0.25">
      <c r="A92" s="1" t="s">
        <v>603</v>
      </c>
      <c r="B92" s="1" t="s">
        <v>604</v>
      </c>
      <c r="C92" s="1" t="s">
        <v>47</v>
      </c>
      <c r="D92" s="1" t="s">
        <v>48</v>
      </c>
      <c r="E92" s="1" t="s">
        <v>49</v>
      </c>
      <c r="F92" s="1" t="s">
        <v>49</v>
      </c>
      <c r="G92" s="1" t="s">
        <v>50</v>
      </c>
      <c r="H92" s="1" t="s">
        <v>51</v>
      </c>
      <c r="I92" s="1" t="s">
        <v>605</v>
      </c>
      <c r="J92" s="1" t="s">
        <v>606</v>
      </c>
      <c r="K92" s="1" t="s">
        <v>607</v>
      </c>
      <c r="L92" s="1" t="s">
        <v>55</v>
      </c>
      <c r="M92" s="1" t="s">
        <v>55</v>
      </c>
      <c r="N92" s="1" t="s">
        <v>55</v>
      </c>
      <c r="O92" s="1" t="s">
        <v>55</v>
      </c>
      <c r="P92" s="1" t="s">
        <v>55</v>
      </c>
      <c r="Q92" s="1" t="s">
        <v>55</v>
      </c>
      <c r="R92" s="1" t="s">
        <v>55</v>
      </c>
      <c r="S92" s="1" t="s">
        <v>55</v>
      </c>
      <c r="T92" s="1" t="s">
        <v>55</v>
      </c>
      <c r="U92" s="1" t="s">
        <v>55</v>
      </c>
      <c r="V92" s="1" t="s">
        <v>55</v>
      </c>
      <c r="W92" s="1" t="s">
        <v>55</v>
      </c>
      <c r="X92" s="1" t="s">
        <v>55</v>
      </c>
      <c r="Y92" s="1" t="s">
        <v>50</v>
      </c>
      <c r="Z92" t="str">
        <f>_xll.BDP($B92,"CUST_TRR_RETURN_HOLDING_PER","CUST_TRR_START_DT","20260401","CUST_TRR_END_DT","20260430","CUST_TRR_CRNCY","USD")</f>
        <v>#N/A N/A</v>
      </c>
      <c r="AA92" t="str">
        <f>_xll.BDP($B92,"CUST_TRR_RETURN_HOLDING_PER","CUST_TRR_START_DT","20260501","CUST_TRR_END_DT","20260531","CUST_TRR_CRNCY","USD")</f>
        <v>#N/A N/A</v>
      </c>
      <c r="AB92">
        <f>_xll.BDP($B92,"CUST_TRR_RETURN_HOLDING_PER","CUST_TRR_START_DT","20260601","CUST_TRR_END_DT","20260630","CUST_TRR_CRNCY","USD")</f>
        <v>-16.999649999999999</v>
      </c>
      <c r="AC92" s="1" t="s">
        <v>56</v>
      </c>
      <c r="AD92" s="1" t="s">
        <v>56</v>
      </c>
      <c r="AE92" s="1" t="s">
        <v>56</v>
      </c>
      <c r="AF92" s="1" t="s">
        <v>56</v>
      </c>
      <c r="AG92" s="1" t="s">
        <v>56</v>
      </c>
      <c r="AH92" s="1" t="s">
        <v>56</v>
      </c>
      <c r="AI92" s="1" t="s">
        <v>57</v>
      </c>
      <c r="AJ92" s="1" t="s">
        <v>57</v>
      </c>
      <c r="AK92" s="1" t="s">
        <v>56</v>
      </c>
      <c r="AL92" s="1" t="s">
        <v>57</v>
      </c>
      <c r="AM92" s="1" t="s">
        <v>57</v>
      </c>
      <c r="AN92" s="1" t="s">
        <v>56</v>
      </c>
      <c r="AO92" s="1" t="s">
        <v>608</v>
      </c>
      <c r="AP92" s="1" t="s">
        <v>609</v>
      </c>
      <c r="AQ92" s="1" t="s">
        <v>56</v>
      </c>
      <c r="AR92" s="1" t="s">
        <v>59</v>
      </c>
      <c r="AS92" s="1" t="s">
        <v>60</v>
      </c>
    </row>
    <row r="93" spans="1:45" x14ac:dyDescent="0.25">
      <c r="A93" s="1" t="s">
        <v>610</v>
      </c>
      <c r="B93" s="1" t="s">
        <v>611</v>
      </c>
      <c r="C93" s="1" t="s">
        <v>47</v>
      </c>
      <c r="D93" s="1" t="s">
        <v>48</v>
      </c>
      <c r="E93" s="1" t="s">
        <v>49</v>
      </c>
      <c r="F93" s="1" t="s">
        <v>49</v>
      </c>
      <c r="G93" s="1" t="s">
        <v>50</v>
      </c>
      <c r="H93" s="1" t="s">
        <v>51</v>
      </c>
      <c r="I93" s="1" t="s">
        <v>612</v>
      </c>
      <c r="J93" s="1" t="s">
        <v>613</v>
      </c>
      <c r="K93" s="1" t="s">
        <v>614</v>
      </c>
      <c r="L93" s="1" t="s">
        <v>55</v>
      </c>
      <c r="M93" s="1" t="s">
        <v>55</v>
      </c>
      <c r="N93" s="1" t="s">
        <v>55</v>
      </c>
      <c r="O93" s="1" t="s">
        <v>55</v>
      </c>
      <c r="P93" s="1" t="s">
        <v>55</v>
      </c>
      <c r="Q93" s="1" t="s">
        <v>55</v>
      </c>
      <c r="R93" s="1" t="s">
        <v>55</v>
      </c>
      <c r="S93" s="1" t="s">
        <v>55</v>
      </c>
      <c r="T93" s="1" t="s">
        <v>55</v>
      </c>
      <c r="U93" s="1" t="s">
        <v>55</v>
      </c>
      <c r="V93" s="1" t="s">
        <v>55</v>
      </c>
      <c r="W93" s="1" t="s">
        <v>55</v>
      </c>
      <c r="X93" s="1" t="s">
        <v>55</v>
      </c>
      <c r="Y93" s="1" t="s">
        <v>50</v>
      </c>
      <c r="Z93" t="str">
        <f>_xll.BDP($B93,"CUST_TRR_RETURN_HOLDING_PER","CUST_TRR_START_DT","20260401","CUST_TRR_END_DT","20260430","CUST_TRR_CRNCY","USD")</f>
        <v>#N/A N/A</v>
      </c>
      <c r="AA93" t="str">
        <f>_xll.BDP($B93,"CUST_TRR_RETURN_HOLDING_PER","CUST_TRR_START_DT","20260501","CUST_TRR_END_DT","20260531","CUST_TRR_CRNCY","USD")</f>
        <v>#N/A N/A</v>
      </c>
      <c r="AB93">
        <f>_xll.BDP($B93,"CUST_TRR_RETURN_HOLDING_PER","CUST_TRR_START_DT","20260601","CUST_TRR_END_DT","20260630","CUST_TRR_CRNCY","USD")</f>
        <v>10.794040000000001</v>
      </c>
      <c r="AC93" s="1" t="s">
        <v>56</v>
      </c>
      <c r="AD93" s="1" t="s">
        <v>56</v>
      </c>
      <c r="AE93" s="1" t="s">
        <v>56</v>
      </c>
      <c r="AF93" s="1" t="s">
        <v>56</v>
      </c>
      <c r="AG93" s="1" t="s">
        <v>56</v>
      </c>
      <c r="AH93" s="1" t="s">
        <v>56</v>
      </c>
      <c r="AI93" s="1" t="s">
        <v>57</v>
      </c>
      <c r="AJ93" s="1" t="s">
        <v>57</v>
      </c>
      <c r="AK93" s="1" t="s">
        <v>56</v>
      </c>
      <c r="AL93" s="1" t="s">
        <v>57</v>
      </c>
      <c r="AM93" s="1" t="s">
        <v>57</v>
      </c>
      <c r="AN93" s="1" t="s">
        <v>56</v>
      </c>
      <c r="AO93" s="1" t="s">
        <v>615</v>
      </c>
      <c r="AP93" s="1" t="s">
        <v>57</v>
      </c>
      <c r="AQ93" s="1" t="s">
        <v>56</v>
      </c>
      <c r="AR93" s="1" t="s">
        <v>59</v>
      </c>
      <c r="AS93" s="1" t="s">
        <v>60</v>
      </c>
    </row>
    <row r="94" spans="1:45" x14ac:dyDescent="0.25">
      <c r="A94" s="1" t="s">
        <v>616</v>
      </c>
      <c r="B94" s="1" t="s">
        <v>617</v>
      </c>
      <c r="C94" s="1" t="s">
        <v>47</v>
      </c>
      <c r="D94" s="1" t="s">
        <v>48</v>
      </c>
      <c r="E94" s="1" t="s">
        <v>49</v>
      </c>
      <c r="F94" s="1" t="s">
        <v>49</v>
      </c>
      <c r="G94" s="1" t="s">
        <v>50</v>
      </c>
      <c r="H94" s="1" t="s">
        <v>51</v>
      </c>
      <c r="I94" s="1" t="s">
        <v>618</v>
      </c>
      <c r="J94" s="1" t="s">
        <v>619</v>
      </c>
      <c r="K94" s="1" t="s">
        <v>620</v>
      </c>
      <c r="L94" s="1" t="s">
        <v>55</v>
      </c>
      <c r="M94" s="1" t="s">
        <v>55</v>
      </c>
      <c r="N94" s="1" t="s">
        <v>55</v>
      </c>
      <c r="O94" s="1" t="s">
        <v>55</v>
      </c>
      <c r="P94" s="1" t="s">
        <v>55</v>
      </c>
      <c r="Q94" s="1" t="s">
        <v>55</v>
      </c>
      <c r="R94" s="1" t="s">
        <v>55</v>
      </c>
      <c r="S94" s="1" t="s">
        <v>55</v>
      </c>
      <c r="T94" s="1" t="s">
        <v>55</v>
      </c>
      <c r="U94" s="1" t="s">
        <v>55</v>
      </c>
      <c r="V94" s="1" t="s">
        <v>55</v>
      </c>
      <c r="W94" s="1" t="s">
        <v>55</v>
      </c>
      <c r="X94" s="1" t="s">
        <v>55</v>
      </c>
      <c r="Y94" s="1" t="s">
        <v>50</v>
      </c>
      <c r="Z94" t="str">
        <f>_xll.BDP($B94,"CUST_TRR_RETURN_HOLDING_PER","CUST_TRR_START_DT","20260401","CUST_TRR_END_DT","20260430","CUST_TRR_CRNCY","USD")</f>
        <v>#N/A N/A</v>
      </c>
      <c r="AA94" t="str">
        <f>_xll.BDP($B94,"CUST_TRR_RETURN_HOLDING_PER","CUST_TRR_START_DT","20260501","CUST_TRR_END_DT","20260531","CUST_TRR_CRNCY","USD")</f>
        <v>#N/A N/A</v>
      </c>
      <c r="AB94">
        <f>_xll.BDP($B94,"CUST_TRR_RETURN_HOLDING_PER","CUST_TRR_START_DT","20260601","CUST_TRR_END_DT","20260630","CUST_TRR_CRNCY","USD")</f>
        <v>11.62285</v>
      </c>
      <c r="AC94" s="1" t="s">
        <v>56</v>
      </c>
      <c r="AD94" s="1" t="s">
        <v>56</v>
      </c>
      <c r="AE94" s="1" t="s">
        <v>56</v>
      </c>
      <c r="AF94" s="1" t="s">
        <v>56</v>
      </c>
      <c r="AG94" s="1" t="s">
        <v>56</v>
      </c>
      <c r="AH94" s="1" t="s">
        <v>56</v>
      </c>
      <c r="AI94" s="1" t="s">
        <v>57</v>
      </c>
      <c r="AJ94" s="1" t="s">
        <v>57</v>
      </c>
      <c r="AK94" s="1" t="s">
        <v>56</v>
      </c>
      <c r="AL94" s="1" t="s">
        <v>57</v>
      </c>
      <c r="AM94" s="1" t="s">
        <v>57</v>
      </c>
      <c r="AN94" s="1" t="s">
        <v>56</v>
      </c>
      <c r="AO94" s="1" t="s">
        <v>621</v>
      </c>
      <c r="AP94" s="1" t="s">
        <v>622</v>
      </c>
      <c r="AQ94" s="1" t="s">
        <v>56</v>
      </c>
      <c r="AR94" s="1" t="s">
        <v>56</v>
      </c>
      <c r="AS94" s="1" t="s">
        <v>56</v>
      </c>
    </row>
    <row r="95" spans="1:45" x14ac:dyDescent="0.25">
      <c r="A95" s="1" t="s">
        <v>623</v>
      </c>
      <c r="B95" s="1" t="s">
        <v>624</v>
      </c>
      <c r="C95" s="1" t="s">
        <v>47</v>
      </c>
      <c r="D95" s="1" t="s">
        <v>48</v>
      </c>
      <c r="E95" s="1" t="s">
        <v>49</v>
      </c>
      <c r="F95" s="1" t="s">
        <v>49</v>
      </c>
      <c r="G95" s="1" t="s">
        <v>50</v>
      </c>
      <c r="H95" s="1" t="s">
        <v>51</v>
      </c>
      <c r="I95" s="1" t="s">
        <v>625</v>
      </c>
      <c r="J95" s="1" t="s">
        <v>626</v>
      </c>
      <c r="K95" s="1" t="s">
        <v>627</v>
      </c>
      <c r="L95" s="1" t="s">
        <v>55</v>
      </c>
      <c r="M95" s="1" t="s">
        <v>55</v>
      </c>
      <c r="N95" s="1" t="s">
        <v>55</v>
      </c>
      <c r="O95" s="1" t="s">
        <v>55</v>
      </c>
      <c r="P95" s="1" t="s">
        <v>55</v>
      </c>
      <c r="Q95" s="1" t="s">
        <v>55</v>
      </c>
      <c r="R95" s="1" t="s">
        <v>55</v>
      </c>
      <c r="S95" s="1" t="s">
        <v>55</v>
      </c>
      <c r="T95" s="1" t="s">
        <v>55</v>
      </c>
      <c r="U95" s="1" t="s">
        <v>55</v>
      </c>
      <c r="V95" s="1" t="s">
        <v>55</v>
      </c>
      <c r="W95" s="1" t="s">
        <v>55</v>
      </c>
      <c r="X95" s="1" t="s">
        <v>55</v>
      </c>
      <c r="Y95" s="1" t="s">
        <v>50</v>
      </c>
      <c r="Z95" t="str">
        <f>_xll.BDP($B95,"CUST_TRR_RETURN_HOLDING_PER","CUST_TRR_START_DT","20260401","CUST_TRR_END_DT","20260430","CUST_TRR_CRNCY","USD")</f>
        <v>#N/A N/A</v>
      </c>
      <c r="AA95" t="str">
        <f>_xll.BDP($B95,"CUST_TRR_RETURN_HOLDING_PER","CUST_TRR_START_DT","20260501","CUST_TRR_END_DT","20260531","CUST_TRR_CRNCY","USD")</f>
        <v>#N/A N/A</v>
      </c>
      <c r="AB95">
        <f>_xll.BDP($B95,"CUST_TRR_RETURN_HOLDING_PER","CUST_TRR_START_DT","20260601","CUST_TRR_END_DT","20260630","CUST_TRR_CRNCY","USD")</f>
        <v>-8.3204010000000004</v>
      </c>
      <c r="AC95" s="1" t="s">
        <v>56</v>
      </c>
      <c r="AD95" s="1" t="s">
        <v>56</v>
      </c>
      <c r="AE95" s="1" t="s">
        <v>56</v>
      </c>
      <c r="AF95" s="1" t="s">
        <v>56</v>
      </c>
      <c r="AG95" s="1" t="s">
        <v>56</v>
      </c>
      <c r="AH95" s="1" t="s">
        <v>56</v>
      </c>
      <c r="AI95" s="1" t="s">
        <v>57</v>
      </c>
      <c r="AJ95" s="1" t="s">
        <v>57</v>
      </c>
      <c r="AK95" s="1" t="s">
        <v>56</v>
      </c>
      <c r="AL95" s="1" t="s">
        <v>57</v>
      </c>
      <c r="AM95" s="1" t="s">
        <v>57</v>
      </c>
      <c r="AN95" s="1" t="s">
        <v>56</v>
      </c>
      <c r="AO95" s="1" t="s">
        <v>628</v>
      </c>
      <c r="AP95" s="1" t="s">
        <v>57</v>
      </c>
      <c r="AQ95" s="1" t="s">
        <v>56</v>
      </c>
      <c r="AR95" s="1" t="s">
        <v>59</v>
      </c>
      <c r="AS95" s="1" t="s">
        <v>60</v>
      </c>
    </row>
    <row r="96" spans="1:45" x14ac:dyDescent="0.25">
      <c r="A96" s="1" t="s">
        <v>629</v>
      </c>
      <c r="B96" s="1" t="s">
        <v>630</v>
      </c>
      <c r="C96" s="1" t="s">
        <v>47</v>
      </c>
      <c r="D96" s="1" t="s">
        <v>48</v>
      </c>
      <c r="E96" s="1" t="s">
        <v>49</v>
      </c>
      <c r="F96" s="1" t="s">
        <v>49</v>
      </c>
      <c r="G96" s="1" t="s">
        <v>50</v>
      </c>
      <c r="H96" s="1" t="s">
        <v>51</v>
      </c>
      <c r="I96" s="1" t="s">
        <v>631</v>
      </c>
      <c r="J96" s="1" t="s">
        <v>632</v>
      </c>
      <c r="K96" s="1" t="s">
        <v>633</v>
      </c>
      <c r="L96" s="1" t="s">
        <v>55</v>
      </c>
      <c r="M96" s="1" t="s">
        <v>55</v>
      </c>
      <c r="N96" s="1" t="s">
        <v>55</v>
      </c>
      <c r="O96" s="1" t="s">
        <v>55</v>
      </c>
      <c r="P96" s="1" t="s">
        <v>55</v>
      </c>
      <c r="Q96" s="1" t="s">
        <v>55</v>
      </c>
      <c r="R96" s="1" t="s">
        <v>55</v>
      </c>
      <c r="S96" s="1" t="s">
        <v>55</v>
      </c>
      <c r="T96" s="1" t="s">
        <v>55</v>
      </c>
      <c r="U96" s="1" t="s">
        <v>55</v>
      </c>
      <c r="V96" s="1" t="s">
        <v>55</v>
      </c>
      <c r="W96" s="1" t="s">
        <v>55</v>
      </c>
      <c r="X96" s="1" t="s">
        <v>55</v>
      </c>
      <c r="Y96" s="1" t="s">
        <v>50</v>
      </c>
      <c r="Z96" t="str">
        <f>_xll.BDP($B96,"CUST_TRR_RETURN_HOLDING_PER","CUST_TRR_START_DT","20260401","CUST_TRR_END_DT","20260430","CUST_TRR_CRNCY","USD")</f>
        <v>#N/A N/A</v>
      </c>
      <c r="AA96" t="str">
        <f>_xll.BDP($B96,"CUST_TRR_RETURN_HOLDING_PER","CUST_TRR_START_DT","20260501","CUST_TRR_END_DT","20260531","CUST_TRR_CRNCY","USD")</f>
        <v>#N/A N/A</v>
      </c>
      <c r="AB96">
        <f>_xll.BDP($B96,"CUST_TRR_RETURN_HOLDING_PER","CUST_TRR_START_DT","20260601","CUST_TRR_END_DT","20260630","CUST_TRR_CRNCY","USD")</f>
        <v>3.4846710000000001</v>
      </c>
      <c r="AC96" s="1" t="s">
        <v>56</v>
      </c>
      <c r="AD96" s="1" t="s">
        <v>56</v>
      </c>
      <c r="AE96" s="1" t="s">
        <v>56</v>
      </c>
      <c r="AF96" s="1" t="s">
        <v>56</v>
      </c>
      <c r="AG96" s="1" t="s">
        <v>56</v>
      </c>
      <c r="AH96" s="1" t="s">
        <v>56</v>
      </c>
      <c r="AI96" s="1" t="s">
        <v>57</v>
      </c>
      <c r="AJ96" s="1" t="s">
        <v>57</v>
      </c>
      <c r="AK96" s="1" t="s">
        <v>56</v>
      </c>
      <c r="AL96" s="1" t="s">
        <v>57</v>
      </c>
      <c r="AM96" s="1" t="s">
        <v>57</v>
      </c>
      <c r="AN96" s="1" t="s">
        <v>56</v>
      </c>
      <c r="AO96" s="1" t="s">
        <v>634</v>
      </c>
      <c r="AP96" s="1" t="s">
        <v>57</v>
      </c>
      <c r="AQ96" s="1" t="s">
        <v>56</v>
      </c>
      <c r="AR96" s="1" t="s">
        <v>59</v>
      </c>
      <c r="AS96" s="1" t="s">
        <v>60</v>
      </c>
    </row>
    <row r="97" spans="1:45" x14ac:dyDescent="0.25">
      <c r="A97" s="1" t="s">
        <v>635</v>
      </c>
      <c r="B97" s="1" t="s">
        <v>636</v>
      </c>
      <c r="C97" s="1" t="s">
        <v>47</v>
      </c>
      <c r="D97" s="1" t="s">
        <v>48</v>
      </c>
      <c r="E97" s="1" t="s">
        <v>49</v>
      </c>
      <c r="F97" s="1" t="s">
        <v>49</v>
      </c>
      <c r="G97" s="1" t="s">
        <v>50</v>
      </c>
      <c r="H97" s="1" t="s">
        <v>51</v>
      </c>
      <c r="I97" s="1" t="s">
        <v>637</v>
      </c>
      <c r="J97" s="1" t="s">
        <v>638</v>
      </c>
      <c r="K97" s="1" t="s">
        <v>639</v>
      </c>
      <c r="L97" s="1" t="s">
        <v>55</v>
      </c>
      <c r="M97" s="1" t="s">
        <v>55</v>
      </c>
      <c r="N97" s="1" t="s">
        <v>55</v>
      </c>
      <c r="O97" s="1" t="s">
        <v>55</v>
      </c>
      <c r="P97" s="1" t="s">
        <v>55</v>
      </c>
      <c r="Q97" s="1" t="s">
        <v>55</v>
      </c>
      <c r="R97" s="1" t="s">
        <v>55</v>
      </c>
      <c r="S97" s="1" t="s">
        <v>55</v>
      </c>
      <c r="T97" s="1" t="s">
        <v>55</v>
      </c>
      <c r="U97" s="1" t="s">
        <v>55</v>
      </c>
      <c r="V97" s="1" t="s">
        <v>55</v>
      </c>
      <c r="W97" s="1" t="s">
        <v>55</v>
      </c>
      <c r="X97" s="1" t="s">
        <v>55</v>
      </c>
      <c r="Y97" s="1" t="s">
        <v>50</v>
      </c>
      <c r="Z97" t="str">
        <f>_xll.BDP($B97,"CUST_TRR_RETURN_HOLDING_PER","CUST_TRR_START_DT","20260401","CUST_TRR_END_DT","20260430","CUST_TRR_CRNCY","USD")</f>
        <v>#N/A N/A</v>
      </c>
      <c r="AA97" t="str">
        <f>_xll.BDP($B97,"CUST_TRR_RETURN_HOLDING_PER","CUST_TRR_START_DT","20260501","CUST_TRR_END_DT","20260531","CUST_TRR_CRNCY","USD")</f>
        <v>#N/A N/A</v>
      </c>
      <c r="AB97">
        <f>_xll.BDP($B97,"CUST_TRR_RETURN_HOLDING_PER","CUST_TRR_START_DT","20260601","CUST_TRR_END_DT","20260630","CUST_TRR_CRNCY","USD")</f>
        <v>11.27261</v>
      </c>
      <c r="AC97" s="1" t="s">
        <v>56</v>
      </c>
      <c r="AD97" s="1" t="s">
        <v>56</v>
      </c>
      <c r="AE97" s="1" t="s">
        <v>56</v>
      </c>
      <c r="AF97" s="1" t="s">
        <v>56</v>
      </c>
      <c r="AG97" s="1" t="s">
        <v>56</v>
      </c>
      <c r="AH97" s="1" t="s">
        <v>56</v>
      </c>
      <c r="AI97" s="1" t="s">
        <v>57</v>
      </c>
      <c r="AJ97" s="1" t="s">
        <v>57</v>
      </c>
      <c r="AK97" s="1" t="s">
        <v>56</v>
      </c>
      <c r="AL97" s="1" t="s">
        <v>57</v>
      </c>
      <c r="AM97" s="1" t="s">
        <v>57</v>
      </c>
      <c r="AN97" s="1" t="s">
        <v>56</v>
      </c>
      <c r="AO97" s="1" t="s">
        <v>640</v>
      </c>
      <c r="AP97" s="1" t="s">
        <v>57</v>
      </c>
      <c r="AQ97" s="1" t="s">
        <v>56</v>
      </c>
      <c r="AR97" s="1" t="s">
        <v>59</v>
      </c>
      <c r="AS97" s="1" t="s">
        <v>60</v>
      </c>
    </row>
    <row r="98" spans="1:45" x14ac:dyDescent="0.25">
      <c r="A98" s="1" t="s">
        <v>641</v>
      </c>
      <c r="B98" s="1" t="s">
        <v>642</v>
      </c>
      <c r="C98" s="1" t="s">
        <v>47</v>
      </c>
      <c r="D98" s="1" t="s">
        <v>48</v>
      </c>
      <c r="E98" s="1" t="s">
        <v>49</v>
      </c>
      <c r="F98" s="1" t="s">
        <v>49</v>
      </c>
      <c r="G98" s="1" t="s">
        <v>50</v>
      </c>
      <c r="H98" s="1" t="s">
        <v>51</v>
      </c>
      <c r="I98" s="1" t="s">
        <v>643</v>
      </c>
      <c r="J98" s="1" t="s">
        <v>644</v>
      </c>
      <c r="K98" s="1" t="s">
        <v>645</v>
      </c>
      <c r="L98" s="1" t="s">
        <v>55</v>
      </c>
      <c r="M98" s="1" t="s">
        <v>55</v>
      </c>
      <c r="N98" s="1" t="s">
        <v>55</v>
      </c>
      <c r="O98" s="1" t="s">
        <v>55</v>
      </c>
      <c r="P98" s="1" t="s">
        <v>55</v>
      </c>
      <c r="Q98" s="1" t="s">
        <v>55</v>
      </c>
      <c r="R98" s="1" t="s">
        <v>55</v>
      </c>
      <c r="S98" s="1" t="s">
        <v>55</v>
      </c>
      <c r="T98" s="1" t="s">
        <v>55</v>
      </c>
      <c r="U98" s="1" t="s">
        <v>55</v>
      </c>
      <c r="V98" s="1" t="s">
        <v>55</v>
      </c>
      <c r="W98" s="1" t="s">
        <v>55</v>
      </c>
      <c r="X98" s="1" t="s">
        <v>55</v>
      </c>
      <c r="Y98" s="1" t="s">
        <v>50</v>
      </c>
      <c r="Z98" t="str">
        <f>_xll.BDP($B98,"CUST_TRR_RETURN_HOLDING_PER","CUST_TRR_START_DT","20260401","CUST_TRR_END_DT","20260430","CUST_TRR_CRNCY","USD")</f>
        <v>#N/A N/A</v>
      </c>
      <c r="AA98" t="str">
        <f>_xll.BDP($B98,"CUST_TRR_RETURN_HOLDING_PER","CUST_TRR_START_DT","20260501","CUST_TRR_END_DT","20260531","CUST_TRR_CRNCY","USD")</f>
        <v>#N/A N/A</v>
      </c>
      <c r="AB98">
        <f>_xll.BDP($B98,"CUST_TRR_RETURN_HOLDING_PER","CUST_TRR_START_DT","20260601","CUST_TRR_END_DT","20260630","CUST_TRR_CRNCY","USD")</f>
        <v>16.195740000000001</v>
      </c>
      <c r="AC98" s="1" t="s">
        <v>56</v>
      </c>
      <c r="AD98" s="1" t="s">
        <v>56</v>
      </c>
      <c r="AE98" s="1" t="s">
        <v>56</v>
      </c>
      <c r="AF98" s="1" t="s">
        <v>56</v>
      </c>
      <c r="AG98" s="1" t="s">
        <v>56</v>
      </c>
      <c r="AH98" s="1" t="s">
        <v>56</v>
      </c>
      <c r="AI98" s="1" t="s">
        <v>57</v>
      </c>
      <c r="AJ98" s="1" t="s">
        <v>57</v>
      </c>
      <c r="AK98" s="1" t="s">
        <v>56</v>
      </c>
      <c r="AL98" s="1" t="s">
        <v>57</v>
      </c>
      <c r="AM98" s="1" t="s">
        <v>57</v>
      </c>
      <c r="AN98" s="1" t="s">
        <v>56</v>
      </c>
      <c r="AO98" s="1" t="s">
        <v>646</v>
      </c>
      <c r="AP98" s="1" t="s">
        <v>647</v>
      </c>
      <c r="AQ98" s="1" t="s">
        <v>56</v>
      </c>
      <c r="AR98" s="1" t="s">
        <v>59</v>
      </c>
      <c r="AS98" s="1" t="s">
        <v>60</v>
      </c>
    </row>
    <row r="99" spans="1:45" x14ac:dyDescent="0.25">
      <c r="A99" s="1" t="s">
        <v>648</v>
      </c>
      <c r="B99" s="1" t="s">
        <v>649</v>
      </c>
      <c r="C99" s="1" t="s">
        <v>47</v>
      </c>
      <c r="D99" s="1" t="s">
        <v>48</v>
      </c>
      <c r="E99" s="1" t="s">
        <v>49</v>
      </c>
      <c r="F99" s="1" t="s">
        <v>49</v>
      </c>
      <c r="G99" s="1" t="s">
        <v>50</v>
      </c>
      <c r="H99" s="1" t="s">
        <v>51</v>
      </c>
      <c r="I99" s="1" t="s">
        <v>650</v>
      </c>
      <c r="J99" s="1" t="s">
        <v>651</v>
      </c>
      <c r="K99" s="1" t="s">
        <v>652</v>
      </c>
      <c r="L99" s="1" t="s">
        <v>55</v>
      </c>
      <c r="M99" s="1" t="s">
        <v>55</v>
      </c>
      <c r="N99" s="1" t="s">
        <v>55</v>
      </c>
      <c r="O99" s="1" t="s">
        <v>55</v>
      </c>
      <c r="P99" s="1" t="s">
        <v>55</v>
      </c>
      <c r="Q99" s="1" t="s">
        <v>55</v>
      </c>
      <c r="R99" s="1" t="s">
        <v>55</v>
      </c>
      <c r="S99" s="1" t="s">
        <v>55</v>
      </c>
      <c r="T99" s="1" t="s">
        <v>55</v>
      </c>
      <c r="U99" s="1" t="s">
        <v>55</v>
      </c>
      <c r="V99" s="1" t="s">
        <v>55</v>
      </c>
      <c r="W99" s="1" t="s">
        <v>55</v>
      </c>
      <c r="X99" s="1" t="s">
        <v>55</v>
      </c>
      <c r="Y99" s="1" t="s">
        <v>50</v>
      </c>
      <c r="Z99" t="str">
        <f>_xll.BDP($B99,"CUST_TRR_RETURN_HOLDING_PER","CUST_TRR_START_DT","20260401","CUST_TRR_END_DT","20260430","CUST_TRR_CRNCY","USD")</f>
        <v>#N/A N/A</v>
      </c>
      <c r="AA99" t="str">
        <f>_xll.BDP($B99,"CUST_TRR_RETURN_HOLDING_PER","CUST_TRR_START_DT","20260501","CUST_TRR_END_DT","20260531","CUST_TRR_CRNCY","USD")</f>
        <v>#N/A N/A</v>
      </c>
      <c r="AB99">
        <f>_xll.BDP($B99,"CUST_TRR_RETURN_HOLDING_PER","CUST_TRR_START_DT","20260601","CUST_TRR_END_DT","20260630","CUST_TRR_CRNCY","USD")</f>
        <v>0.1189041</v>
      </c>
      <c r="AC99" s="1" t="s">
        <v>56</v>
      </c>
      <c r="AD99" s="1" t="s">
        <v>56</v>
      </c>
      <c r="AE99" s="1" t="s">
        <v>56</v>
      </c>
      <c r="AF99" s="1" t="s">
        <v>56</v>
      </c>
      <c r="AG99" s="1" t="s">
        <v>56</v>
      </c>
      <c r="AH99" s="1" t="s">
        <v>56</v>
      </c>
      <c r="AI99" s="1" t="s">
        <v>57</v>
      </c>
      <c r="AJ99" s="1" t="s">
        <v>57</v>
      </c>
      <c r="AK99" s="1" t="s">
        <v>56</v>
      </c>
      <c r="AL99" s="1" t="s">
        <v>57</v>
      </c>
      <c r="AM99" s="1" t="s">
        <v>57</v>
      </c>
      <c r="AN99" s="1" t="s">
        <v>56</v>
      </c>
      <c r="AO99" s="1" t="s">
        <v>653</v>
      </c>
      <c r="AP99" s="1" t="s">
        <v>57</v>
      </c>
      <c r="AQ99" s="1" t="s">
        <v>56</v>
      </c>
      <c r="AR99" s="1" t="s">
        <v>59</v>
      </c>
      <c r="AS99" s="1" t="s">
        <v>60</v>
      </c>
    </row>
    <row r="100" spans="1:45" x14ac:dyDescent="0.25">
      <c r="A100" s="1" t="s">
        <v>654</v>
      </c>
      <c r="B100" s="1" t="s">
        <v>655</v>
      </c>
      <c r="C100" s="1" t="s">
        <v>47</v>
      </c>
      <c r="D100" s="1" t="s">
        <v>48</v>
      </c>
      <c r="E100" s="1" t="s">
        <v>49</v>
      </c>
      <c r="F100" s="1" t="s">
        <v>49</v>
      </c>
      <c r="G100" s="1" t="s">
        <v>50</v>
      </c>
      <c r="H100" s="1" t="s">
        <v>51</v>
      </c>
      <c r="I100" s="1" t="s">
        <v>656</v>
      </c>
      <c r="J100" s="1" t="s">
        <v>657</v>
      </c>
      <c r="K100" s="1" t="s">
        <v>658</v>
      </c>
      <c r="L100" s="1" t="s">
        <v>55</v>
      </c>
      <c r="M100" s="1" t="s">
        <v>55</v>
      </c>
      <c r="N100" s="1" t="s">
        <v>55</v>
      </c>
      <c r="O100" s="1" t="s">
        <v>55</v>
      </c>
      <c r="P100" s="1" t="s">
        <v>55</v>
      </c>
      <c r="Q100" s="1" t="s">
        <v>55</v>
      </c>
      <c r="R100" s="1" t="s">
        <v>55</v>
      </c>
      <c r="S100" s="1" t="s">
        <v>55</v>
      </c>
      <c r="T100" s="1" t="s">
        <v>55</v>
      </c>
      <c r="U100" s="1" t="s">
        <v>55</v>
      </c>
      <c r="V100" s="1" t="s">
        <v>55</v>
      </c>
      <c r="W100" s="1" t="s">
        <v>55</v>
      </c>
      <c r="X100" s="1" t="s">
        <v>55</v>
      </c>
      <c r="Y100" s="1" t="s">
        <v>50</v>
      </c>
      <c r="Z100" t="str">
        <f>_xll.BDP($B100,"CUST_TRR_RETURN_HOLDING_PER","CUST_TRR_START_DT","20260401","CUST_TRR_END_DT","20260430","CUST_TRR_CRNCY","USD")</f>
        <v>#N/A N/A</v>
      </c>
      <c r="AA100" t="str">
        <f>_xll.BDP($B100,"CUST_TRR_RETURN_HOLDING_PER","CUST_TRR_START_DT","20260501","CUST_TRR_END_DT","20260531","CUST_TRR_CRNCY","USD")</f>
        <v>#N/A N/A</v>
      </c>
      <c r="AB100">
        <f>_xll.BDP($B100,"CUST_TRR_RETURN_HOLDING_PER","CUST_TRR_START_DT","20260601","CUST_TRR_END_DT","20260630","CUST_TRR_CRNCY","USD")</f>
        <v>3.4205960000000002</v>
      </c>
      <c r="AC100" s="1" t="s">
        <v>56</v>
      </c>
      <c r="AD100" s="1" t="s">
        <v>56</v>
      </c>
      <c r="AE100" s="1" t="s">
        <v>56</v>
      </c>
      <c r="AF100" s="1" t="s">
        <v>56</v>
      </c>
      <c r="AG100" s="1" t="s">
        <v>56</v>
      </c>
      <c r="AH100" s="1" t="s">
        <v>56</v>
      </c>
      <c r="AI100" s="1" t="s">
        <v>57</v>
      </c>
      <c r="AJ100" s="1" t="s">
        <v>57</v>
      </c>
      <c r="AK100" s="1" t="s">
        <v>56</v>
      </c>
      <c r="AL100" s="1" t="s">
        <v>57</v>
      </c>
      <c r="AM100" s="1" t="s">
        <v>57</v>
      </c>
      <c r="AN100" s="1" t="s">
        <v>56</v>
      </c>
      <c r="AO100" s="1" t="s">
        <v>58</v>
      </c>
      <c r="AP100" s="1" t="s">
        <v>57</v>
      </c>
      <c r="AQ100" s="1" t="s">
        <v>56</v>
      </c>
      <c r="AR100" s="1" t="s">
        <v>59</v>
      </c>
      <c r="AS100" s="1" t="s">
        <v>60</v>
      </c>
    </row>
    <row r="101" spans="1:45" x14ac:dyDescent="0.25">
      <c r="A101" s="1" t="s">
        <v>659</v>
      </c>
      <c r="B101" s="1" t="s">
        <v>660</v>
      </c>
      <c r="C101" s="1" t="s">
        <v>47</v>
      </c>
      <c r="D101" s="1" t="s">
        <v>48</v>
      </c>
      <c r="E101" s="1" t="s">
        <v>49</v>
      </c>
      <c r="F101" s="1" t="s">
        <v>49</v>
      </c>
      <c r="G101" s="1" t="s">
        <v>50</v>
      </c>
      <c r="H101" s="1" t="s">
        <v>51</v>
      </c>
      <c r="I101" s="1" t="s">
        <v>661</v>
      </c>
      <c r="J101" s="1" t="s">
        <v>662</v>
      </c>
      <c r="K101" s="1" t="s">
        <v>663</v>
      </c>
      <c r="L101" s="1" t="s">
        <v>55</v>
      </c>
      <c r="M101" s="1" t="s">
        <v>55</v>
      </c>
      <c r="N101" s="1" t="s">
        <v>55</v>
      </c>
      <c r="O101" s="1" t="s">
        <v>55</v>
      </c>
      <c r="P101" s="1" t="s">
        <v>55</v>
      </c>
      <c r="Q101" s="1" t="s">
        <v>55</v>
      </c>
      <c r="R101" s="1" t="s">
        <v>55</v>
      </c>
      <c r="S101" s="1" t="s">
        <v>55</v>
      </c>
      <c r="T101" s="1" t="s">
        <v>55</v>
      </c>
      <c r="U101" s="1" t="s">
        <v>55</v>
      </c>
      <c r="V101" s="1" t="s">
        <v>55</v>
      </c>
      <c r="W101" s="1" t="s">
        <v>55</v>
      </c>
      <c r="X101" s="1" t="s">
        <v>55</v>
      </c>
      <c r="Y101" s="1" t="s">
        <v>50</v>
      </c>
      <c r="Z101" t="str">
        <f>_xll.BDP($B101,"CUST_TRR_RETURN_HOLDING_PER","CUST_TRR_START_DT","20260401","CUST_TRR_END_DT","20260430","CUST_TRR_CRNCY","USD")</f>
        <v>#N/A N/A</v>
      </c>
      <c r="AA101" t="str">
        <f>_xll.BDP($B101,"CUST_TRR_RETURN_HOLDING_PER","CUST_TRR_START_DT","20260501","CUST_TRR_END_DT","20260531","CUST_TRR_CRNCY","USD")</f>
        <v>#N/A N/A</v>
      </c>
      <c r="AB101">
        <f>_xll.BDP($B101,"CUST_TRR_RETURN_HOLDING_PER","CUST_TRR_START_DT","20260601","CUST_TRR_END_DT","20260630","CUST_TRR_CRNCY","USD")</f>
        <v>0.56198650000000006</v>
      </c>
      <c r="AC101" s="1" t="s">
        <v>56</v>
      </c>
      <c r="AD101" s="1" t="s">
        <v>56</v>
      </c>
      <c r="AE101" s="1" t="s">
        <v>56</v>
      </c>
      <c r="AF101" s="1" t="s">
        <v>56</v>
      </c>
      <c r="AG101" s="1" t="s">
        <v>56</v>
      </c>
      <c r="AH101" s="1" t="s">
        <v>56</v>
      </c>
      <c r="AI101" s="1" t="s">
        <v>57</v>
      </c>
      <c r="AJ101" s="1" t="s">
        <v>57</v>
      </c>
      <c r="AK101" s="1" t="s">
        <v>56</v>
      </c>
      <c r="AL101" s="1" t="s">
        <v>57</v>
      </c>
      <c r="AM101" s="1" t="s">
        <v>57</v>
      </c>
      <c r="AN101" s="1" t="s">
        <v>56</v>
      </c>
      <c r="AO101" s="1" t="s">
        <v>664</v>
      </c>
      <c r="AP101" s="1" t="s">
        <v>57</v>
      </c>
      <c r="AQ101" s="1" t="s">
        <v>56</v>
      </c>
      <c r="AR101" s="1" t="s">
        <v>59</v>
      </c>
      <c r="AS101" s="1" t="s">
        <v>60</v>
      </c>
    </row>
    <row r="102" spans="1:45" x14ac:dyDescent="0.25">
      <c r="A102" s="1" t="s">
        <v>665</v>
      </c>
      <c r="B102" s="1" t="s">
        <v>666</v>
      </c>
      <c r="C102" s="1" t="s">
        <v>47</v>
      </c>
      <c r="D102" s="1" t="s">
        <v>48</v>
      </c>
      <c r="E102" s="1" t="s">
        <v>49</v>
      </c>
      <c r="F102" s="1" t="s">
        <v>49</v>
      </c>
      <c r="G102" s="1" t="s">
        <v>50</v>
      </c>
      <c r="H102" s="1" t="s">
        <v>51</v>
      </c>
      <c r="I102" s="1" t="s">
        <v>667</v>
      </c>
      <c r="J102" s="1" t="s">
        <v>668</v>
      </c>
      <c r="K102" s="1" t="s">
        <v>669</v>
      </c>
      <c r="L102" s="1" t="s">
        <v>55</v>
      </c>
      <c r="M102" s="1" t="s">
        <v>55</v>
      </c>
      <c r="N102" s="1" t="s">
        <v>55</v>
      </c>
      <c r="O102" s="1" t="s">
        <v>55</v>
      </c>
      <c r="P102" s="1" t="s">
        <v>55</v>
      </c>
      <c r="Q102" s="1" t="s">
        <v>55</v>
      </c>
      <c r="R102" s="1" t="s">
        <v>55</v>
      </c>
      <c r="S102" s="1" t="s">
        <v>55</v>
      </c>
      <c r="T102" s="1" t="s">
        <v>55</v>
      </c>
      <c r="U102" s="1" t="s">
        <v>55</v>
      </c>
      <c r="V102" s="1" t="s">
        <v>55</v>
      </c>
      <c r="W102" s="1" t="s">
        <v>55</v>
      </c>
      <c r="X102" s="1" t="s">
        <v>55</v>
      </c>
      <c r="Y102" s="1" t="s">
        <v>50</v>
      </c>
      <c r="Z102" t="str">
        <f>_xll.BDP($B102,"CUST_TRR_RETURN_HOLDING_PER","CUST_TRR_START_DT","20260401","CUST_TRR_END_DT","20260430","CUST_TRR_CRNCY","USD")</f>
        <v>#N/A N/A</v>
      </c>
      <c r="AA102" t="str">
        <f>_xll.BDP($B102,"CUST_TRR_RETURN_HOLDING_PER","CUST_TRR_START_DT","20260501","CUST_TRR_END_DT","20260531","CUST_TRR_CRNCY","USD")</f>
        <v>#N/A N/A</v>
      </c>
      <c r="AB102">
        <f>_xll.BDP($B102,"CUST_TRR_RETURN_HOLDING_PER","CUST_TRR_START_DT","20260601","CUST_TRR_END_DT","20260630","CUST_TRR_CRNCY","USD")</f>
        <v>-1.890757</v>
      </c>
      <c r="AC102" s="1" t="s">
        <v>56</v>
      </c>
      <c r="AD102" s="1" t="s">
        <v>56</v>
      </c>
      <c r="AE102" s="1" t="s">
        <v>56</v>
      </c>
      <c r="AF102" s="1" t="s">
        <v>56</v>
      </c>
      <c r="AG102" s="1" t="s">
        <v>56</v>
      </c>
      <c r="AH102" s="1" t="s">
        <v>56</v>
      </c>
      <c r="AI102" s="1" t="s">
        <v>57</v>
      </c>
      <c r="AJ102" s="1" t="s">
        <v>57</v>
      </c>
      <c r="AK102" s="1" t="s">
        <v>56</v>
      </c>
      <c r="AL102" s="1" t="s">
        <v>57</v>
      </c>
      <c r="AM102" s="1" t="s">
        <v>57</v>
      </c>
      <c r="AN102" s="1" t="s">
        <v>56</v>
      </c>
      <c r="AO102" s="1" t="s">
        <v>670</v>
      </c>
      <c r="AP102" s="1" t="s">
        <v>57</v>
      </c>
      <c r="AQ102" s="1" t="s">
        <v>56</v>
      </c>
      <c r="AR102" s="1" t="s">
        <v>89</v>
      </c>
      <c r="AS102" s="1" t="s">
        <v>90</v>
      </c>
    </row>
    <row r="103" spans="1:45" x14ac:dyDescent="0.25">
      <c r="A103" s="1" t="s">
        <v>671</v>
      </c>
      <c r="B103" s="1" t="s">
        <v>672</v>
      </c>
      <c r="C103" s="1" t="s">
        <v>47</v>
      </c>
      <c r="D103" s="1" t="s">
        <v>48</v>
      </c>
      <c r="E103" s="1" t="s">
        <v>49</v>
      </c>
      <c r="F103" s="1" t="s">
        <v>49</v>
      </c>
      <c r="G103" s="1" t="s">
        <v>50</v>
      </c>
      <c r="H103" s="1" t="s">
        <v>51</v>
      </c>
      <c r="I103" s="1" t="s">
        <v>673</v>
      </c>
      <c r="J103" s="1" t="s">
        <v>674</v>
      </c>
      <c r="K103" s="1" t="s">
        <v>675</v>
      </c>
      <c r="L103" s="1" t="s">
        <v>55</v>
      </c>
      <c r="M103" s="1" t="s">
        <v>55</v>
      </c>
      <c r="N103" s="1" t="s">
        <v>55</v>
      </c>
      <c r="O103" s="1" t="s">
        <v>55</v>
      </c>
      <c r="P103" s="1" t="s">
        <v>55</v>
      </c>
      <c r="Q103" s="1" t="s">
        <v>55</v>
      </c>
      <c r="R103" s="1" t="s">
        <v>55</v>
      </c>
      <c r="S103" s="1" t="s">
        <v>55</v>
      </c>
      <c r="T103" s="1" t="s">
        <v>55</v>
      </c>
      <c r="U103" s="1" t="s">
        <v>55</v>
      </c>
      <c r="V103" s="1" t="s">
        <v>55</v>
      </c>
      <c r="W103" s="1" t="s">
        <v>55</v>
      </c>
      <c r="X103" s="1" t="s">
        <v>55</v>
      </c>
      <c r="Y103" s="1" t="s">
        <v>50</v>
      </c>
      <c r="Z103" t="str">
        <f>_xll.BDP($B103,"CUST_TRR_RETURN_HOLDING_PER","CUST_TRR_START_DT","20260401","CUST_TRR_END_DT","20260430","CUST_TRR_CRNCY","USD")</f>
        <v>#N/A N/A</v>
      </c>
      <c r="AA103" t="str">
        <f>_xll.BDP($B103,"CUST_TRR_RETURN_HOLDING_PER","CUST_TRR_START_DT","20260501","CUST_TRR_END_DT","20260531","CUST_TRR_CRNCY","USD")</f>
        <v>#N/A N/A</v>
      </c>
      <c r="AB103">
        <f>_xll.BDP($B103,"CUST_TRR_RETURN_HOLDING_PER","CUST_TRR_START_DT","20260601","CUST_TRR_END_DT","20260630","CUST_TRR_CRNCY","USD")</f>
        <v>1.9345969999999999</v>
      </c>
      <c r="AC103" s="1" t="s">
        <v>56</v>
      </c>
      <c r="AD103" s="1" t="s">
        <v>56</v>
      </c>
      <c r="AE103" s="1" t="s">
        <v>56</v>
      </c>
      <c r="AF103" s="1" t="s">
        <v>56</v>
      </c>
      <c r="AG103" s="1" t="s">
        <v>56</v>
      </c>
      <c r="AH103" s="1" t="s">
        <v>56</v>
      </c>
      <c r="AI103" s="1" t="s">
        <v>57</v>
      </c>
      <c r="AJ103" s="1" t="s">
        <v>57</v>
      </c>
      <c r="AK103" s="1" t="s">
        <v>56</v>
      </c>
      <c r="AL103" s="1" t="s">
        <v>57</v>
      </c>
      <c r="AM103" s="1" t="s">
        <v>57</v>
      </c>
      <c r="AN103" s="1" t="s">
        <v>56</v>
      </c>
      <c r="AO103" s="1" t="s">
        <v>676</v>
      </c>
      <c r="AP103" s="1" t="s">
        <v>57</v>
      </c>
      <c r="AQ103" s="1" t="s">
        <v>56</v>
      </c>
      <c r="AR103" s="1" t="s">
        <v>59</v>
      </c>
      <c r="AS103" s="1" t="s">
        <v>60</v>
      </c>
    </row>
    <row r="104" spans="1:45" x14ac:dyDescent="0.25">
      <c r="A104" s="1" t="s">
        <v>677</v>
      </c>
      <c r="B104" s="1" t="s">
        <v>678</v>
      </c>
      <c r="C104" s="1" t="s">
        <v>47</v>
      </c>
      <c r="D104" s="1" t="s">
        <v>48</v>
      </c>
      <c r="E104" s="1" t="s">
        <v>49</v>
      </c>
      <c r="F104" s="1" t="s">
        <v>49</v>
      </c>
      <c r="G104" s="1" t="s">
        <v>50</v>
      </c>
      <c r="H104" s="1" t="s">
        <v>51</v>
      </c>
      <c r="I104" s="1" t="s">
        <v>679</v>
      </c>
      <c r="J104" s="1" t="s">
        <v>680</v>
      </c>
      <c r="K104" s="1" t="s">
        <v>681</v>
      </c>
      <c r="L104" s="1" t="s">
        <v>55</v>
      </c>
      <c r="M104" s="1" t="s">
        <v>55</v>
      </c>
      <c r="N104" s="1" t="s">
        <v>55</v>
      </c>
      <c r="O104" s="1" t="s">
        <v>55</v>
      </c>
      <c r="P104" s="1" t="s">
        <v>55</v>
      </c>
      <c r="Q104" s="1" t="s">
        <v>55</v>
      </c>
      <c r="R104" s="1" t="s">
        <v>55</v>
      </c>
      <c r="S104" s="1" t="s">
        <v>55</v>
      </c>
      <c r="T104" s="1" t="s">
        <v>55</v>
      </c>
      <c r="U104" s="1" t="s">
        <v>55</v>
      </c>
      <c r="V104" s="1" t="s">
        <v>55</v>
      </c>
      <c r="W104" s="1" t="s">
        <v>55</v>
      </c>
      <c r="X104" s="1" t="s">
        <v>55</v>
      </c>
      <c r="Y104" s="1" t="s">
        <v>50</v>
      </c>
      <c r="Z104" t="str">
        <f>_xll.BDP($B104,"CUST_TRR_RETURN_HOLDING_PER","CUST_TRR_START_DT","20260401","CUST_TRR_END_DT","20260430","CUST_TRR_CRNCY","USD")</f>
        <v>#N/A N/A</v>
      </c>
      <c r="AA104" t="str">
        <f>_xll.BDP($B104,"CUST_TRR_RETURN_HOLDING_PER","CUST_TRR_START_DT","20260501","CUST_TRR_END_DT","20260531","CUST_TRR_CRNCY","USD")</f>
        <v>#N/A N/A</v>
      </c>
      <c r="AB104">
        <f>_xll.BDP($B104,"CUST_TRR_RETURN_HOLDING_PER","CUST_TRR_START_DT","20260601","CUST_TRR_END_DT","20260630","CUST_TRR_CRNCY","USD")</f>
        <v>-8.8035099999999993</v>
      </c>
      <c r="AC104" s="1" t="s">
        <v>56</v>
      </c>
      <c r="AD104" s="1" t="s">
        <v>56</v>
      </c>
      <c r="AE104" s="1" t="s">
        <v>56</v>
      </c>
      <c r="AF104" s="1" t="s">
        <v>56</v>
      </c>
      <c r="AG104" s="1" t="s">
        <v>56</v>
      </c>
      <c r="AH104" s="1" t="s">
        <v>56</v>
      </c>
      <c r="AI104" s="1" t="s">
        <v>57</v>
      </c>
      <c r="AJ104" s="1" t="s">
        <v>57</v>
      </c>
      <c r="AK104" s="1" t="s">
        <v>56</v>
      </c>
      <c r="AL104" s="1" t="s">
        <v>57</v>
      </c>
      <c r="AM104" s="1" t="s">
        <v>57</v>
      </c>
      <c r="AN104" s="1" t="s">
        <v>56</v>
      </c>
      <c r="AO104" s="1" t="s">
        <v>682</v>
      </c>
      <c r="AP104" s="1" t="s">
        <v>683</v>
      </c>
      <c r="AQ104" s="1" t="s">
        <v>56</v>
      </c>
      <c r="AR104" s="1" t="s">
        <v>59</v>
      </c>
      <c r="AS104" s="1" t="s">
        <v>60</v>
      </c>
    </row>
    <row r="105" spans="1:45" x14ac:dyDescent="0.25">
      <c r="A105" s="1" t="s">
        <v>684</v>
      </c>
      <c r="B105" s="1" t="s">
        <v>685</v>
      </c>
      <c r="C105" s="1" t="s">
        <v>47</v>
      </c>
      <c r="D105" s="1" t="s">
        <v>48</v>
      </c>
      <c r="E105" s="1" t="s">
        <v>49</v>
      </c>
      <c r="F105" s="1" t="s">
        <v>49</v>
      </c>
      <c r="G105" s="1" t="s">
        <v>50</v>
      </c>
      <c r="H105" s="1" t="s">
        <v>51</v>
      </c>
      <c r="I105" s="1" t="s">
        <v>686</v>
      </c>
      <c r="J105" s="1" t="s">
        <v>687</v>
      </c>
      <c r="K105" s="1" t="s">
        <v>688</v>
      </c>
      <c r="L105" s="1" t="s">
        <v>55</v>
      </c>
      <c r="M105" s="1" t="s">
        <v>55</v>
      </c>
      <c r="N105" s="1" t="s">
        <v>55</v>
      </c>
      <c r="O105" s="1" t="s">
        <v>55</v>
      </c>
      <c r="P105" s="1" t="s">
        <v>55</v>
      </c>
      <c r="Q105" s="1" t="s">
        <v>55</v>
      </c>
      <c r="R105" s="1" t="s">
        <v>55</v>
      </c>
      <c r="S105" s="1" t="s">
        <v>55</v>
      </c>
      <c r="T105" s="1" t="s">
        <v>55</v>
      </c>
      <c r="U105" s="1" t="s">
        <v>55</v>
      </c>
      <c r="V105" s="1" t="s">
        <v>55</v>
      </c>
      <c r="W105" s="1" t="s">
        <v>55</v>
      </c>
      <c r="X105" s="1" t="s">
        <v>55</v>
      </c>
      <c r="Y105" s="1" t="s">
        <v>50</v>
      </c>
      <c r="Z105" t="str">
        <f>_xll.BDP($B105,"CUST_TRR_RETURN_HOLDING_PER","CUST_TRR_START_DT","20260401","CUST_TRR_END_DT","20260430","CUST_TRR_CRNCY","USD")</f>
        <v>#N/A N/A</v>
      </c>
      <c r="AA105" t="str">
        <f>_xll.BDP($B105,"CUST_TRR_RETURN_HOLDING_PER","CUST_TRR_START_DT","20260501","CUST_TRR_END_DT","20260531","CUST_TRR_CRNCY","USD")</f>
        <v>#N/A N/A</v>
      </c>
      <c r="AB105">
        <f>_xll.BDP($B105,"CUST_TRR_RETURN_HOLDING_PER","CUST_TRR_START_DT","20260601","CUST_TRR_END_DT","20260630","CUST_TRR_CRNCY","USD")</f>
        <v>-2.2951429999999999</v>
      </c>
      <c r="AC105" s="1" t="s">
        <v>56</v>
      </c>
      <c r="AD105" s="1" t="s">
        <v>56</v>
      </c>
      <c r="AE105" s="1" t="s">
        <v>56</v>
      </c>
      <c r="AF105" s="1" t="s">
        <v>56</v>
      </c>
      <c r="AG105" s="1" t="s">
        <v>56</v>
      </c>
      <c r="AH105" s="1" t="s">
        <v>56</v>
      </c>
      <c r="AI105" s="1" t="s">
        <v>57</v>
      </c>
      <c r="AJ105" s="1" t="s">
        <v>57</v>
      </c>
      <c r="AK105" s="1" t="s">
        <v>56</v>
      </c>
      <c r="AL105" s="1" t="s">
        <v>57</v>
      </c>
      <c r="AM105" s="1" t="s">
        <v>57</v>
      </c>
      <c r="AN105" s="1" t="s">
        <v>56</v>
      </c>
      <c r="AO105" s="1" t="s">
        <v>58</v>
      </c>
      <c r="AP105" s="1" t="s">
        <v>57</v>
      </c>
      <c r="AQ105" s="1" t="s">
        <v>56</v>
      </c>
      <c r="AR105" s="1" t="s">
        <v>89</v>
      </c>
      <c r="AS105" s="1" t="s">
        <v>90</v>
      </c>
    </row>
    <row r="106" spans="1:45" x14ac:dyDescent="0.25">
      <c r="A106" s="1" t="s">
        <v>689</v>
      </c>
      <c r="B106" s="1" t="s">
        <v>690</v>
      </c>
      <c r="C106" s="1" t="s">
        <v>47</v>
      </c>
      <c r="D106" s="1" t="s">
        <v>48</v>
      </c>
      <c r="E106" s="1" t="s">
        <v>49</v>
      </c>
      <c r="F106" s="1" t="s">
        <v>49</v>
      </c>
      <c r="G106" s="1" t="s">
        <v>50</v>
      </c>
      <c r="H106" s="1" t="s">
        <v>51</v>
      </c>
      <c r="I106" s="1" t="s">
        <v>691</v>
      </c>
      <c r="J106" s="1" t="s">
        <v>57</v>
      </c>
      <c r="K106" s="1" t="s">
        <v>691</v>
      </c>
      <c r="L106" s="1" t="s">
        <v>55</v>
      </c>
      <c r="M106" s="1" t="s">
        <v>55</v>
      </c>
      <c r="N106" s="1" t="s">
        <v>55</v>
      </c>
      <c r="O106" s="1" t="s">
        <v>55</v>
      </c>
      <c r="P106" s="1" t="s">
        <v>55</v>
      </c>
      <c r="Q106" s="1" t="s">
        <v>55</v>
      </c>
      <c r="R106" s="1" t="s">
        <v>55</v>
      </c>
      <c r="S106" s="1" t="s">
        <v>55</v>
      </c>
      <c r="T106" s="1" t="s">
        <v>55</v>
      </c>
      <c r="U106" s="1" t="s">
        <v>55</v>
      </c>
      <c r="V106" s="1" t="s">
        <v>55</v>
      </c>
      <c r="W106" s="1" t="s">
        <v>55</v>
      </c>
      <c r="X106" s="1" t="s">
        <v>55</v>
      </c>
      <c r="Y106" s="1" t="s">
        <v>50</v>
      </c>
      <c r="Z106" t="str">
        <f>_xll.BDP($B106,"CUST_TRR_RETURN_HOLDING_PER","CUST_TRR_START_DT","20260401","CUST_TRR_END_DT","20260430","CUST_TRR_CRNCY","USD")</f>
        <v>#N/A N/A</v>
      </c>
      <c r="AA106">
        <f>_xll.BDP($B106,"CUST_TRR_RETURN_HOLDING_PER","CUST_TRR_START_DT","20260501","CUST_TRR_END_DT","20260531","CUST_TRR_CRNCY","USD")</f>
        <v>2.8985850000000002</v>
      </c>
      <c r="AB106">
        <f>_xll.BDP($B106,"CUST_TRR_RETURN_HOLDING_PER","CUST_TRR_START_DT","20260601","CUST_TRR_END_DT","20260630","CUST_TRR_CRNCY","USD")</f>
        <v>11.287000000000001</v>
      </c>
      <c r="AC106" s="1" t="s">
        <v>56</v>
      </c>
      <c r="AD106" s="1" t="s">
        <v>56</v>
      </c>
      <c r="AE106" s="1" t="s">
        <v>56</v>
      </c>
      <c r="AF106" s="1" t="s">
        <v>56</v>
      </c>
      <c r="AG106" s="1" t="s">
        <v>56</v>
      </c>
      <c r="AH106" s="1" t="s">
        <v>56</v>
      </c>
      <c r="AI106" s="1" t="s">
        <v>57</v>
      </c>
      <c r="AJ106" s="1" t="s">
        <v>57</v>
      </c>
      <c r="AK106" s="1" t="s">
        <v>56</v>
      </c>
      <c r="AL106" s="1" t="s">
        <v>692</v>
      </c>
      <c r="AM106" s="1" t="s">
        <v>57</v>
      </c>
      <c r="AN106" s="1" t="s">
        <v>56</v>
      </c>
      <c r="AO106" s="1" t="s">
        <v>57</v>
      </c>
      <c r="AP106" s="1" t="s">
        <v>57</v>
      </c>
      <c r="AQ106" s="1" t="s">
        <v>56</v>
      </c>
      <c r="AR106" s="1" t="s">
        <v>59</v>
      </c>
      <c r="AS106" s="1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8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693</v>
      </c>
      <c r="C1" t="s">
        <v>1</v>
      </c>
      <c r="D1" t="s">
        <v>694</v>
      </c>
      <c r="E1" t="s">
        <v>695</v>
      </c>
      <c r="F1" t="s">
        <v>696</v>
      </c>
      <c r="G1" t="s">
        <v>697</v>
      </c>
      <c r="H1" t="s">
        <v>698</v>
      </c>
    </row>
    <row r="2" spans="1:8" x14ac:dyDescent="0.25">
      <c r="A2" s="1" t="s">
        <v>106</v>
      </c>
      <c r="B2" s="1" t="s">
        <v>699</v>
      </c>
      <c r="C2" s="1" t="s">
        <v>700</v>
      </c>
      <c r="D2" s="1" t="s">
        <v>701</v>
      </c>
      <c r="E2">
        <f>_xll.BDP($C2,"DUR_ADJ_MID")</f>
        <v>0.17420518678041047</v>
      </c>
      <c r="F2">
        <f>_xll.BDP($C2,"OAS_SPREAD_DUR_MID")</f>
        <v>0.17199910053773004</v>
      </c>
      <c r="G2" t="str">
        <f>_xll.BDP($C2,"MATURITY")</f>
        <v>9/3/2026</v>
      </c>
      <c r="H2" t="str">
        <f>_xll.BDP($C2,"RTG_SP")</f>
        <v>#N/A N/A</v>
      </c>
    </row>
    <row r="3" spans="1:8" x14ac:dyDescent="0.25">
      <c r="A3" s="1" t="s">
        <v>106</v>
      </c>
      <c r="B3" s="1" t="s">
        <v>702</v>
      </c>
      <c r="C3" s="1" t="s">
        <v>703</v>
      </c>
      <c r="D3" s="1" t="s">
        <v>704</v>
      </c>
      <c r="E3">
        <f>_xll.BDP($C3,"DUR_ADJ_MID")</f>
        <v>0.24965379491829684</v>
      </c>
      <c r="F3">
        <f>_xll.BDP($C3,"OAS_SPREAD_DUR_MID")</f>
        <v>0.2471416715719206</v>
      </c>
      <c r="G3" t="str">
        <f>_xll.BDP($C3,"MATURITY")</f>
        <v>10/1/2026</v>
      </c>
      <c r="H3" t="str">
        <f>_xll.BDP($C3,"RTG_SP")</f>
        <v>#N/A N/A</v>
      </c>
    </row>
    <row r="4" spans="1:8" x14ac:dyDescent="0.25">
      <c r="A4" s="1" t="s">
        <v>106</v>
      </c>
      <c r="B4" s="1" t="s">
        <v>705</v>
      </c>
      <c r="C4" s="1" t="s">
        <v>706</v>
      </c>
      <c r="D4" s="1" t="s">
        <v>707</v>
      </c>
      <c r="E4">
        <f>_xll.BDP($C4,"DUR_ADJ_MID")</f>
        <v>0.32465101404087415</v>
      </c>
      <c r="F4">
        <f>_xll.BDP($C4,"OAS_SPREAD_DUR_MID")</f>
        <v>0.32230264885935189</v>
      </c>
      <c r="G4" t="str">
        <f>_xll.BDP($C4,"MATURITY")</f>
        <v>10/29/2026</v>
      </c>
      <c r="H4" t="str">
        <f>_xll.BDP($C4,"RTG_SP")</f>
        <v>#N/A N/A</v>
      </c>
    </row>
    <row r="5" spans="1:8" x14ac:dyDescent="0.25">
      <c r="A5" s="1" t="s">
        <v>106</v>
      </c>
      <c r="B5" s="1" t="s">
        <v>708</v>
      </c>
      <c r="C5" s="1" t="s">
        <v>709</v>
      </c>
      <c r="D5" s="1" t="s">
        <v>710</v>
      </c>
      <c r="E5">
        <f>_xll.BDP($C5,"DUR_ADJ_MID")</f>
        <v>0.40186080557234921</v>
      </c>
      <c r="F5">
        <f>_xll.BDP($C5,"OAS_SPREAD_DUR_MID")</f>
        <v>0.40016478081004925</v>
      </c>
      <c r="G5" t="str">
        <f>_xll.BDP($C5,"MATURITY")</f>
        <v>11/27/2026</v>
      </c>
      <c r="H5" t="str">
        <f>_xll.BDP($C5,"RTG_SP")</f>
        <v>#N/A N/A</v>
      </c>
    </row>
    <row r="6" spans="1:8" x14ac:dyDescent="0.25">
      <c r="A6" s="1" t="s">
        <v>106</v>
      </c>
      <c r="B6" s="1" t="s">
        <v>711</v>
      </c>
      <c r="C6" s="1" t="s">
        <v>712</v>
      </c>
      <c r="D6" s="1" t="s">
        <v>713</v>
      </c>
      <c r="E6">
        <f>_xll.BDP($C6,"DUR_ADJ_MID")</f>
        <v>0.47316513031330493</v>
      </c>
      <c r="F6">
        <f>_xll.BDP($C6,"OAS_SPREAD_DUR_MID")</f>
        <v>0.47250514338535488</v>
      </c>
      <c r="G6" t="str">
        <f>_xll.BDP($C6,"MATURITY")</f>
        <v>12/24/2026</v>
      </c>
      <c r="H6" t="str">
        <f>_xll.BDP($C6,"RTG_SP")</f>
        <v>#N/A N/A</v>
      </c>
    </row>
    <row r="7" spans="1:8" x14ac:dyDescent="0.25">
      <c r="A7" s="1" t="s">
        <v>106</v>
      </c>
      <c r="B7" s="1" t="s">
        <v>714</v>
      </c>
      <c r="C7" s="1" t="s">
        <v>715</v>
      </c>
      <c r="D7" s="1" t="s">
        <v>716</v>
      </c>
      <c r="E7">
        <f>_xll.BDP($C7,"DUR_ADJ_MID")</f>
        <v>0.54947411882197361</v>
      </c>
      <c r="F7">
        <f>_xll.BDP($C7,"OAS_SPREAD_DUR_MID")</f>
        <v>0.5481184596548988</v>
      </c>
      <c r="G7" t="str">
        <f>_xll.BDP($C7,"MATURITY")</f>
        <v>1/21/2027</v>
      </c>
      <c r="H7" t="str">
        <f>_xll.BDP($C7,"RTG_SP")</f>
        <v>#N/A N/A</v>
      </c>
    </row>
    <row r="8" spans="1:8" x14ac:dyDescent="0.25">
      <c r="A8" s="1" t="s">
        <v>106</v>
      </c>
      <c r="B8" s="1" t="s">
        <v>717</v>
      </c>
      <c r="C8" s="1" t="s">
        <v>718</v>
      </c>
      <c r="D8" s="1" t="s">
        <v>719</v>
      </c>
      <c r="E8">
        <f>_xll.BDP($C8,"DUR_ADJ_MID")</f>
        <v>0.62543674776843416</v>
      </c>
      <c r="F8">
        <f>_xll.BDP($C8,"OAS_SPREAD_DUR_MID")</f>
        <v>0.62312144201688213</v>
      </c>
      <c r="G8" t="str">
        <f>_xll.BDP($C8,"MATURITY")</f>
        <v>2/18/2027</v>
      </c>
      <c r="H8" t="str">
        <f>_xll.BDP($C8,"RTG_SP")</f>
        <v>#N/A N/A</v>
      </c>
    </row>
    <row r="9" spans="1:8" x14ac:dyDescent="0.25">
      <c r="A9" s="1" t="s">
        <v>106</v>
      </c>
      <c r="B9" s="1" t="s">
        <v>720</v>
      </c>
      <c r="C9" s="1" t="s">
        <v>721</v>
      </c>
      <c r="D9" s="1" t="s">
        <v>722</v>
      </c>
      <c r="E9">
        <f>_xll.BDP($C9,"DUR_ADJ_MID")</f>
        <v>0.70108122060843547</v>
      </c>
      <c r="F9">
        <f>_xll.BDP($C9,"OAS_SPREAD_DUR_MID")</f>
        <v>0.69826769544027101</v>
      </c>
      <c r="G9" t="str">
        <f>_xll.BDP($C9,"MATURITY")</f>
        <v>3/18/2027</v>
      </c>
      <c r="H9" t="str">
        <f>_xll.BDP($C9,"RTG_SP")</f>
        <v>#N/A N/A</v>
      </c>
    </row>
    <row r="10" spans="1:8" x14ac:dyDescent="0.25">
      <c r="A10" s="1" t="s">
        <v>106</v>
      </c>
      <c r="B10" s="1" t="s">
        <v>723</v>
      </c>
      <c r="C10" s="1" t="s">
        <v>724</v>
      </c>
      <c r="D10" s="1" t="s">
        <v>725</v>
      </c>
      <c r="E10">
        <f>_xll.BDP($C10,"DUR_ADJ_MID")</f>
        <v>0.77625958220095603</v>
      </c>
      <c r="F10">
        <f>_xll.BDP($C10,"OAS_SPREAD_DUR_MID")</f>
        <v>0.77339172595573169</v>
      </c>
      <c r="G10" t="str">
        <f>_xll.BDP($C10,"MATURITY")</f>
        <v>4/15/2027</v>
      </c>
      <c r="H10" t="str">
        <f>_xll.BDP($C10,"RTG_SP")</f>
        <v>#N/A N/A</v>
      </c>
    </row>
    <row r="11" spans="1:8" x14ac:dyDescent="0.25">
      <c r="A11" s="1" t="s">
        <v>106</v>
      </c>
      <c r="B11" s="1" t="s">
        <v>726</v>
      </c>
      <c r="C11" s="1" t="s">
        <v>727</v>
      </c>
      <c r="D11" s="1" t="s">
        <v>728</v>
      </c>
      <c r="E11">
        <f>_xll.BDP($C11,"DUR_ADJ_MID")</f>
        <v>0.19312811563197968</v>
      </c>
      <c r="F11">
        <f>_xll.BDP($C11,"OAS_SPREAD_DUR_MID")</f>
        <v>0.19082847360429606</v>
      </c>
      <c r="G11" t="str">
        <f>_xll.BDP($C11,"MATURITY")</f>
        <v>9/10/2026</v>
      </c>
      <c r="H11" t="str">
        <f>_xll.BDP($C11,"RTG_SP")</f>
        <v>#N/A N/A</v>
      </c>
    </row>
    <row r="12" spans="1:8" x14ac:dyDescent="0.25">
      <c r="A12" s="1" t="s">
        <v>106</v>
      </c>
      <c r="B12" s="1" t="s">
        <v>729</v>
      </c>
      <c r="C12" s="1" t="s">
        <v>730</v>
      </c>
      <c r="D12" s="1" t="s">
        <v>731</v>
      </c>
      <c r="E12">
        <f>_xll.BDP($C12,"DUR_ADJ_MID")</f>
        <v>0.21201217228617963</v>
      </c>
      <c r="F12">
        <f>_xll.BDP($C12,"OAS_SPREAD_DUR_MID")</f>
        <v>0.2096274667146362</v>
      </c>
      <c r="G12" t="str">
        <f>_xll.BDP($C12,"MATURITY")</f>
        <v>9/17/2026</v>
      </c>
      <c r="H12" t="str">
        <f>_xll.BDP($C12,"RTG_SP")</f>
        <v>#N/A N/A</v>
      </c>
    </row>
    <row r="13" spans="1:8" x14ac:dyDescent="0.25">
      <c r="A13" s="1" t="s">
        <v>106</v>
      </c>
      <c r="B13" s="1" t="s">
        <v>732</v>
      </c>
      <c r="C13" s="1" t="s">
        <v>733</v>
      </c>
      <c r="D13" s="1" t="s">
        <v>734</v>
      </c>
      <c r="E13">
        <f>_xll.BDP($C13,"DUR_ADJ_MID")</f>
        <v>0.2308624825239273</v>
      </c>
      <c r="F13">
        <f>_xll.BDP($C13,"OAS_SPREAD_DUR_MID")</f>
        <v>0.2284143383803183</v>
      </c>
      <c r="G13" t="str">
        <f>_xll.BDP($C13,"MATURITY")</f>
        <v>9/24/2026</v>
      </c>
      <c r="H13" t="str">
        <f>_xll.BDP($C13,"RTG_SP")</f>
        <v>#N/A N/A</v>
      </c>
    </row>
    <row r="14" spans="1:8" x14ac:dyDescent="0.25">
      <c r="A14" s="1" t="s">
        <v>106</v>
      </c>
      <c r="B14" s="1" t="s">
        <v>735</v>
      </c>
      <c r="C14" s="1" t="s">
        <v>736</v>
      </c>
      <c r="D14" s="1" t="s">
        <v>737</v>
      </c>
      <c r="E14">
        <f>_xll.BDP($C14,"DUR_ADJ_MID")</f>
        <v>0.26846845786311063</v>
      </c>
      <c r="F14">
        <f>_xll.BDP($C14,"OAS_SPREAD_DUR_MID")</f>
        <v>0.26597377228589408</v>
      </c>
      <c r="G14" t="str">
        <f>_xll.BDP($C14,"MATURITY")</f>
        <v>10/8/2026</v>
      </c>
      <c r="H14" t="str">
        <f>_xll.BDP($C14,"RTG_SP")</f>
        <v>#N/A N/A</v>
      </c>
    </row>
    <row r="15" spans="1:8" x14ac:dyDescent="0.25">
      <c r="A15" s="1" t="s">
        <v>106</v>
      </c>
      <c r="B15" s="1" t="s">
        <v>738</v>
      </c>
      <c r="C15" s="1" t="s">
        <v>739</v>
      </c>
      <c r="D15" s="1" t="s">
        <v>740</v>
      </c>
      <c r="E15">
        <f>_xll.BDP($C15,"DUR_ADJ_MID")</f>
        <v>0.28725440417893439</v>
      </c>
      <c r="F15">
        <f>_xll.BDP($C15,"OAS_SPREAD_DUR_MID")</f>
        <v>0.28479920160650729</v>
      </c>
      <c r="G15" t="str">
        <f>_xll.BDP($C15,"MATURITY")</f>
        <v>10/15/2026</v>
      </c>
      <c r="H15" t="str">
        <f>_xll.BDP($C15,"RTG_SP")</f>
        <v>#N/A N/A</v>
      </c>
    </row>
    <row r="16" spans="1:8" x14ac:dyDescent="0.25">
      <c r="A16" s="1" t="s">
        <v>106</v>
      </c>
      <c r="B16" s="1" t="s">
        <v>741</v>
      </c>
      <c r="C16" s="1" t="s">
        <v>742</v>
      </c>
      <c r="D16" s="1" t="s">
        <v>743</v>
      </c>
      <c r="E16">
        <f>_xll.BDP($C16,"DUR_ADJ_MID")</f>
        <v>0.30595337473870632</v>
      </c>
      <c r="F16">
        <f>_xll.BDP($C16,"OAS_SPREAD_DUR_MID")</f>
        <v>0.30352633007149998</v>
      </c>
      <c r="G16" t="str">
        <f>_xll.BDP($C16,"MATURITY")</f>
        <v>10/22/2026</v>
      </c>
      <c r="H16" t="str">
        <f>_xll.BDP($C16,"RTG_SP")</f>
        <v>#N/A N/A</v>
      </c>
    </row>
    <row r="17" spans="1:8" x14ac:dyDescent="0.25">
      <c r="A17" s="1" t="s">
        <v>106</v>
      </c>
      <c r="B17" s="1" t="s">
        <v>744</v>
      </c>
      <c r="C17" s="1" t="s">
        <v>745</v>
      </c>
      <c r="D17" s="1" t="s">
        <v>746</v>
      </c>
      <c r="E17">
        <f>_xll.BDP($C17,"DUR_ADJ_MID")</f>
        <v>0.34334236489124564</v>
      </c>
      <c r="F17">
        <f>_xll.BDP($C17,"OAS_SPREAD_DUR_MID")</f>
        <v>0.3411114199991469</v>
      </c>
      <c r="G17" t="str">
        <f>_xll.BDP($C17,"MATURITY")</f>
        <v>11/5/2026</v>
      </c>
      <c r="H17" t="str">
        <f>_xll.BDP($C17,"RTG_SP")</f>
        <v>#N/A N/A</v>
      </c>
    </row>
    <row r="18" spans="1:8" x14ac:dyDescent="0.25">
      <c r="A18" s="1" t="s">
        <v>106</v>
      </c>
      <c r="B18" s="1" t="s">
        <v>747</v>
      </c>
      <c r="C18" s="1" t="s">
        <v>748</v>
      </c>
      <c r="D18" s="1" t="s">
        <v>749</v>
      </c>
      <c r="E18">
        <f>_xll.BDP($C18,"DUR_ADJ_MID")</f>
        <v>0.16880257876959517</v>
      </c>
      <c r="F18">
        <f>_xll.BDP($C18,"OAS_SPREAD_DUR_MID")</f>
        <v>0.16664434628457717</v>
      </c>
      <c r="G18" t="str">
        <f>_xll.BDP($C18,"MATURITY")</f>
        <v>9/1/2026</v>
      </c>
      <c r="H18" t="str">
        <f>_xll.BDP($C18,"RTG_SP")</f>
        <v>#N/A N/A</v>
      </c>
    </row>
    <row r="19" spans="1:8" x14ac:dyDescent="0.25">
      <c r="A19" s="1" t="s">
        <v>106</v>
      </c>
      <c r="B19" s="1" t="s">
        <v>750</v>
      </c>
      <c r="C19" s="1" t="s">
        <v>751</v>
      </c>
      <c r="D19" s="1" t="s">
        <v>752</v>
      </c>
      <c r="E19">
        <f>_xll.BDP($C19,"DUR_ADJ_MID")</f>
        <v>0.85101199276549955</v>
      </c>
      <c r="F19">
        <f>_xll.BDP($C19,"OAS_SPREAD_DUR_MID")</f>
        <v>0.84854572219512969</v>
      </c>
      <c r="G19" t="str">
        <f>_xll.BDP($C19,"MATURITY")</f>
        <v>5/13/2027</v>
      </c>
      <c r="H19" t="str">
        <f>_xll.BDP($C19,"RTG_SP")</f>
        <v>#N/A N/A</v>
      </c>
    </row>
    <row r="20" spans="1:8" x14ac:dyDescent="0.25">
      <c r="A20" s="1" t="s">
        <v>106</v>
      </c>
      <c r="B20" s="1" t="s">
        <v>753</v>
      </c>
      <c r="C20" s="1" t="s">
        <v>754</v>
      </c>
      <c r="D20" s="1" t="s">
        <v>755</v>
      </c>
      <c r="E20">
        <f>_xll.BDP($C20,"DUR_ADJ_MID")</f>
        <v>0.3620016602774811</v>
      </c>
      <c r="F20">
        <f>_xll.BDP($C20,"OAS_SPREAD_DUR_MID")</f>
        <v>0.35991533938235626</v>
      </c>
      <c r="G20" t="str">
        <f>_xll.BDP($C20,"MATURITY")</f>
        <v>11/12/2026</v>
      </c>
      <c r="H20" t="str">
        <f>_xll.BDP($C20,"RTG_SP")</f>
        <v>#N/A N/A</v>
      </c>
    </row>
    <row r="21" spans="1:8" x14ac:dyDescent="0.25">
      <c r="A21" s="1" t="s">
        <v>106</v>
      </c>
      <c r="B21" s="1" t="s">
        <v>756</v>
      </c>
      <c r="C21" s="1" t="s">
        <v>757</v>
      </c>
      <c r="D21" s="1" t="s">
        <v>758</v>
      </c>
      <c r="E21">
        <f>_xll.BDP($C21,"DUR_ADJ_MID")</f>
        <v>0.38061569188760902</v>
      </c>
      <c r="F21">
        <f>_xll.BDP($C21,"OAS_SPREAD_DUR_MID")</f>
        <v>0.37869314114278274</v>
      </c>
      <c r="G21" t="str">
        <f>_xll.BDP($C21,"MATURITY")</f>
        <v>11/19/2026</v>
      </c>
      <c r="H21" t="str">
        <f>_xll.BDP($C21,"RTG_SP")</f>
        <v>#N/A N/A</v>
      </c>
    </row>
    <row r="22" spans="1:8" x14ac:dyDescent="0.25">
      <c r="A22" s="1" t="s">
        <v>106</v>
      </c>
      <c r="B22" s="1" t="s">
        <v>759</v>
      </c>
      <c r="C22" s="1" t="s">
        <v>760</v>
      </c>
      <c r="D22" s="1" t="s">
        <v>761</v>
      </c>
      <c r="E22">
        <f>_xll.BDP($C22,"DUR_ADJ_MID")</f>
        <v>0.18771370451765448</v>
      </c>
      <c r="F22">
        <f>_xll.BDP($C22,"OAS_SPREAD_DUR_MID")</f>
        <v>0.18542140278278677</v>
      </c>
      <c r="G22" t="str">
        <f>_xll.BDP($C22,"MATURITY")</f>
        <v>9/8/2026</v>
      </c>
      <c r="H22" t="str">
        <f>_xll.BDP($C22,"RTG_SP")</f>
        <v>#N/A N/A</v>
      </c>
    </row>
    <row r="23" spans="1:8" x14ac:dyDescent="0.25">
      <c r="A23" s="1" t="s">
        <v>106</v>
      </c>
      <c r="B23" s="1" t="s">
        <v>762</v>
      </c>
      <c r="C23" s="1" t="s">
        <v>763</v>
      </c>
      <c r="D23" s="1" t="s">
        <v>764</v>
      </c>
      <c r="E23">
        <f>_xll.BDP($C23,"DUR_ADJ_MID")</f>
        <v>0.20662040422949443</v>
      </c>
      <c r="F23">
        <f>_xll.BDP($C23,"OAS_SPREAD_DUR_MID")</f>
        <v>0.20425825905972095</v>
      </c>
      <c r="G23" t="str">
        <f>_xll.BDP($C23,"MATURITY")</f>
        <v>9/15/2026</v>
      </c>
      <c r="H23" t="str">
        <f>_xll.BDP($C23,"RTG_SP")</f>
        <v>#N/A N/A</v>
      </c>
    </row>
    <row r="24" spans="1:8" x14ac:dyDescent="0.25">
      <c r="A24" s="1" t="s">
        <v>106</v>
      </c>
      <c r="B24" s="1" t="s">
        <v>765</v>
      </c>
      <c r="C24" s="1" t="s">
        <v>766</v>
      </c>
      <c r="D24" s="1" t="s">
        <v>767</v>
      </c>
      <c r="E24">
        <f>_xll.BDP($C24,"DUR_ADJ_MID")</f>
        <v>0.22549670377503486</v>
      </c>
      <c r="F24">
        <f>_xll.BDP($C24,"OAS_SPREAD_DUR_MID")</f>
        <v>0.22308367259118844</v>
      </c>
      <c r="G24" t="str">
        <f>_xll.BDP($C24,"MATURITY")</f>
        <v>9/22/2026</v>
      </c>
      <c r="H24" t="str">
        <f>_xll.BDP($C24,"RTG_SP")</f>
        <v>#N/A N/A</v>
      </c>
    </row>
    <row r="25" spans="1:8" x14ac:dyDescent="0.25">
      <c r="A25" s="1" t="s">
        <v>127</v>
      </c>
      <c r="B25" s="1" t="s">
        <v>768</v>
      </c>
      <c r="C25" s="1" t="s">
        <v>769</v>
      </c>
      <c r="D25" s="1" t="s">
        <v>770</v>
      </c>
      <c r="E25">
        <f>_xll.BDP($C25,"DUR_ADJ_MID")</f>
        <v>2.190018971160531E-2</v>
      </c>
      <c r="F25">
        <f>_xll.BDP($C25,"OAS_SPREAD_DUR_MID")</f>
        <v>2.1504394724266327E-2</v>
      </c>
      <c r="G25" t="str">
        <f>_xll.BDP($C25,"MATURITY")</f>
        <v>7/9/2026</v>
      </c>
      <c r="H25" t="str">
        <f>_xll.BDP($C25,"RTG_SP")</f>
        <v>#N/A N/A</v>
      </c>
    </row>
    <row r="26" spans="1:8" x14ac:dyDescent="0.25">
      <c r="A26" s="1" t="s">
        <v>127</v>
      </c>
      <c r="B26" s="1" t="s">
        <v>771</v>
      </c>
      <c r="C26" s="1" t="s">
        <v>772</v>
      </c>
      <c r="D26" s="1" t="s">
        <v>773</v>
      </c>
      <c r="E26">
        <f>_xll.BDP($C26,"DUR_ADJ_MID")</f>
        <v>9.8273825760370706E-2</v>
      </c>
      <c r="F26">
        <f>_xll.BDP($C26,"OAS_SPREAD_DUR_MID")</f>
        <v>9.6769752127250183E-2</v>
      </c>
      <c r="G26" t="str">
        <f>_xll.BDP($C26,"MATURITY")</f>
        <v>8/6/2026</v>
      </c>
      <c r="H26" t="str">
        <f>_xll.BDP($C26,"RTG_SP")</f>
        <v>#N/A N/A</v>
      </c>
    </row>
    <row r="27" spans="1:8" x14ac:dyDescent="0.25">
      <c r="A27" s="1" t="s">
        <v>127</v>
      </c>
      <c r="B27" s="1" t="s">
        <v>699</v>
      </c>
      <c r="C27" s="1" t="s">
        <v>700</v>
      </c>
      <c r="D27" s="1" t="s">
        <v>774</v>
      </c>
      <c r="E27">
        <f>_xll.BDP($C27,"DUR_ADJ_MID")</f>
        <v>0.17420518678041047</v>
      </c>
      <c r="F27">
        <f>_xll.BDP($C27,"OAS_SPREAD_DUR_MID")</f>
        <v>0.17199910053773004</v>
      </c>
      <c r="G27" t="str">
        <f>_xll.BDP($C27,"MATURITY")</f>
        <v>9/3/2026</v>
      </c>
      <c r="H27" t="str">
        <f>_xll.BDP($C27,"RTG_SP")</f>
        <v>#N/A N/A</v>
      </c>
    </row>
    <row r="28" spans="1:8" x14ac:dyDescent="0.25">
      <c r="A28" s="1" t="s">
        <v>127</v>
      </c>
      <c r="B28" s="1" t="s">
        <v>775</v>
      </c>
      <c r="C28" s="1" t="s">
        <v>776</v>
      </c>
      <c r="D28" s="1" t="s">
        <v>777</v>
      </c>
      <c r="E28" t="str">
        <f>_xll.BDP($C28,"DUR_ADJ_MID")</f>
        <v>#N/A N/A</v>
      </c>
      <c r="F28" t="str">
        <f>_xll.BDP($C28,"OAS_SPREAD_DUR_MID")</f>
        <v>#N/A Field Not Applicable</v>
      </c>
      <c r="G28" t="str">
        <f>_xll.BDP($C28,"MATURITY")</f>
        <v>6/25/2026</v>
      </c>
      <c r="H28" t="str">
        <f>_xll.BDP($C28,"RTG_SP")</f>
        <v>#N/A N/A</v>
      </c>
    </row>
    <row r="29" spans="1:8" x14ac:dyDescent="0.25">
      <c r="A29" s="1" t="s">
        <v>127</v>
      </c>
      <c r="B29" s="1" t="s">
        <v>778</v>
      </c>
      <c r="C29" s="1" t="s">
        <v>779</v>
      </c>
      <c r="D29" s="1" t="s">
        <v>780</v>
      </c>
      <c r="E29">
        <f>_xll.BDP($C29,"DUR_ADJ_MID")</f>
        <v>2.7394533370416994E-3</v>
      </c>
      <c r="F29">
        <f>_xll.BDP($C29,"OAS_SPREAD_DUR_MID")</f>
        <v>2.6885321893756978E-3</v>
      </c>
      <c r="G29" t="str">
        <f>_xll.BDP($C29,"MATURITY")</f>
        <v>7/2/2026</v>
      </c>
      <c r="H29" t="str">
        <f>_xll.BDP($C29,"RTG_SP")</f>
        <v>#N/A N/A</v>
      </c>
    </row>
    <row r="30" spans="1:8" x14ac:dyDescent="0.25">
      <c r="A30" s="1" t="s">
        <v>127</v>
      </c>
      <c r="B30" s="1" t="s">
        <v>781</v>
      </c>
      <c r="C30" s="1" t="s">
        <v>782</v>
      </c>
      <c r="D30" s="1" t="s">
        <v>783</v>
      </c>
      <c r="E30">
        <f>_xll.BDP($C30,"DUR_ADJ_MID")</f>
        <v>4.1034295377881641E-2</v>
      </c>
      <c r="F30">
        <f>_xll.BDP($C30,"OAS_SPREAD_DUR_MID")</f>
        <v>4.0324618582470738E-2</v>
      </c>
      <c r="G30" t="str">
        <f>_xll.BDP($C30,"MATURITY")</f>
        <v>7/16/2026</v>
      </c>
      <c r="H30" t="str">
        <f>_xll.BDP($C30,"RTG_SP")</f>
        <v>#N/A N/A</v>
      </c>
    </row>
    <row r="31" spans="1:8" x14ac:dyDescent="0.25">
      <c r="A31" s="1" t="s">
        <v>127</v>
      </c>
      <c r="B31" s="1" t="s">
        <v>784</v>
      </c>
      <c r="C31" s="1" t="s">
        <v>785</v>
      </c>
      <c r="D31" s="1" t="s">
        <v>786</v>
      </c>
      <c r="E31">
        <f>_xll.BDP($C31,"DUR_ADJ_MID")</f>
        <v>6.0141924219060588E-2</v>
      </c>
      <c r="F31">
        <f>_xll.BDP($C31,"OAS_SPREAD_DUR_MID")</f>
        <v>5.9146092605983122E-2</v>
      </c>
      <c r="G31" t="str">
        <f>_xll.BDP($C31,"MATURITY")</f>
        <v>7/23/2026</v>
      </c>
      <c r="H31" t="str">
        <f>_xll.BDP($C31,"RTG_SP")</f>
        <v>#N/A N/A</v>
      </c>
    </row>
    <row r="32" spans="1:8" x14ac:dyDescent="0.25">
      <c r="A32" s="1" t="s">
        <v>127</v>
      </c>
      <c r="B32" s="1" t="s">
        <v>787</v>
      </c>
      <c r="C32" s="1" t="s">
        <v>788</v>
      </c>
      <c r="D32" s="1" t="s">
        <v>789</v>
      </c>
      <c r="E32">
        <f>_xll.BDP($C32,"DUR_ADJ_MID")</f>
        <v>7.9222434278276674E-2</v>
      </c>
      <c r="F32">
        <f>_xll.BDP($C32,"OAS_SPREAD_DUR_MID")</f>
        <v>7.7963780870132018E-2</v>
      </c>
      <c r="G32" t="str">
        <f>_xll.BDP($C32,"MATURITY")</f>
        <v>7/30/2026</v>
      </c>
      <c r="H32" t="str">
        <f>_xll.BDP($C32,"RTG_SP")</f>
        <v>#N/A N/A</v>
      </c>
    </row>
    <row r="33" spans="1:8" x14ac:dyDescent="0.25">
      <c r="A33" s="1" t="s">
        <v>127</v>
      </c>
      <c r="B33" s="1" t="s">
        <v>790</v>
      </c>
      <c r="C33" s="1" t="s">
        <v>791</v>
      </c>
      <c r="D33" s="1" t="s">
        <v>792</v>
      </c>
      <c r="E33">
        <f>_xll.BDP($C33,"DUR_ADJ_MID")</f>
        <v>0.11729655699126294</v>
      </c>
      <c r="F33">
        <f>_xll.BDP($C33,"OAS_SPREAD_DUR_MID")</f>
        <v>0.11557155580631026</v>
      </c>
      <c r="G33" t="str">
        <f>_xll.BDP($C33,"MATURITY")</f>
        <v>8/13/2026</v>
      </c>
      <c r="H33" t="str">
        <f>_xll.BDP($C33,"RTG_SP")</f>
        <v>#N/A N/A</v>
      </c>
    </row>
    <row r="34" spans="1:8" x14ac:dyDescent="0.25">
      <c r="A34" s="1" t="s">
        <v>127</v>
      </c>
      <c r="B34" s="1" t="s">
        <v>793</v>
      </c>
      <c r="C34" s="1" t="s">
        <v>794</v>
      </c>
      <c r="D34" s="1" t="s">
        <v>795</v>
      </c>
      <c r="E34">
        <f>_xll.BDP($C34,"DUR_ADJ_MID")</f>
        <v>0.13629239918841199</v>
      </c>
      <c r="F34">
        <f>_xll.BDP($C34,"OAS_SPREAD_DUR_MID")</f>
        <v>0.13437722946690139</v>
      </c>
      <c r="G34" t="str">
        <f>_xll.BDP($C34,"MATURITY")</f>
        <v>8/20/2026</v>
      </c>
      <c r="H34" t="str">
        <f>_xll.BDP($C34,"RTG_SP")</f>
        <v>#N/A N/A</v>
      </c>
    </row>
    <row r="35" spans="1:8" x14ac:dyDescent="0.25">
      <c r="A35" s="1" t="s">
        <v>127</v>
      </c>
      <c r="B35" s="1" t="s">
        <v>796</v>
      </c>
      <c r="C35" s="1" t="s">
        <v>797</v>
      </c>
      <c r="D35" s="1" t="s">
        <v>798</v>
      </c>
      <c r="E35">
        <f>_xll.BDP($C35,"DUR_ADJ_MID")</f>
        <v>0.15525698784646466</v>
      </c>
      <c r="F35">
        <f>_xll.BDP($C35,"OAS_SPREAD_DUR_MID")</f>
        <v>0.153171455210587</v>
      </c>
      <c r="G35" t="str">
        <f>_xll.BDP($C35,"MATURITY")</f>
        <v>8/27/2026</v>
      </c>
      <c r="H35" t="str">
        <f>_xll.BDP($C35,"RTG_SP")</f>
        <v>#N/A N/A</v>
      </c>
    </row>
    <row r="36" spans="1:8" x14ac:dyDescent="0.25">
      <c r="A36" s="1" t="s">
        <v>127</v>
      </c>
      <c r="B36" s="1" t="s">
        <v>799</v>
      </c>
      <c r="C36" s="1" t="s">
        <v>800</v>
      </c>
      <c r="D36" s="1" t="s">
        <v>801</v>
      </c>
      <c r="E36" t="str">
        <f>_xll.BDP($C36,"DUR_ADJ_MID")</f>
        <v>#N/A N/A</v>
      </c>
      <c r="F36" t="str">
        <f>_xll.BDP($C36,"OAS_SPREAD_DUR_MID")</f>
        <v>#N/A Field Not Applicable</v>
      </c>
      <c r="G36" t="str">
        <f>_xll.BDP($C36,"MATURITY")</f>
        <v>6/30/2026</v>
      </c>
      <c r="H36" t="str">
        <f>_xll.BDP($C36,"RTG_SP")</f>
        <v>#N/A N/A</v>
      </c>
    </row>
    <row r="37" spans="1:8" x14ac:dyDescent="0.25">
      <c r="A37" s="1" t="s">
        <v>127</v>
      </c>
      <c r="B37" s="1" t="s">
        <v>802</v>
      </c>
      <c r="C37" s="1" t="s">
        <v>803</v>
      </c>
      <c r="D37" s="1" t="s">
        <v>804</v>
      </c>
      <c r="E37">
        <f>_xll.BDP($C37,"DUR_ADJ_MID")</f>
        <v>1.6428605754724324E-2</v>
      </c>
      <c r="F37">
        <f>_xll.BDP($C37,"OAS_SPREAD_DUR_MID")</f>
        <v>1.6133107543431068E-2</v>
      </c>
      <c r="G37" t="str">
        <f>_xll.BDP($C37,"MATURITY")</f>
        <v>7/7/2026</v>
      </c>
      <c r="H37" t="str">
        <f>_xll.BDP($C37,"RTG_SP")</f>
        <v>#N/A N/A</v>
      </c>
    </row>
    <row r="38" spans="1:8" x14ac:dyDescent="0.25">
      <c r="A38" s="1" t="s">
        <v>127</v>
      </c>
      <c r="B38" s="1" t="s">
        <v>805</v>
      </c>
      <c r="C38" s="1" t="s">
        <v>806</v>
      </c>
      <c r="D38" s="1" t="s">
        <v>807</v>
      </c>
      <c r="E38">
        <f>_xll.BDP($C38,"DUR_ADJ_MID")</f>
        <v>3.557045916684657E-2</v>
      </c>
      <c r="F38">
        <f>_xll.BDP($C38,"OAS_SPREAD_DUR_MID")</f>
        <v>3.4952006993107868E-2</v>
      </c>
      <c r="G38" t="str">
        <f>_xll.BDP($C38,"MATURITY")</f>
        <v>7/14/2026</v>
      </c>
      <c r="H38" t="str">
        <f>_xll.BDP($C38,"RTG_SP")</f>
        <v>#N/A N/A</v>
      </c>
    </row>
    <row r="39" spans="1:8" x14ac:dyDescent="0.25">
      <c r="A39" s="1" t="s">
        <v>127</v>
      </c>
      <c r="B39" s="1" t="s">
        <v>808</v>
      </c>
      <c r="C39" s="1" t="s">
        <v>809</v>
      </c>
      <c r="D39" s="1" t="s">
        <v>810</v>
      </c>
      <c r="E39">
        <f>_xll.BDP($C39,"DUR_ADJ_MID")</f>
        <v>5.4685146121502499E-2</v>
      </c>
      <c r="F39">
        <f>_xll.BDP($C39,"OAS_SPREAD_DUR_MID")</f>
        <v>5.3767076043668829E-2</v>
      </c>
      <c r="G39" t="str">
        <f>_xll.BDP($C39,"MATURITY")</f>
        <v>7/21/2026</v>
      </c>
      <c r="H39" t="str">
        <f>_xll.BDP($C39,"RTG_SP")</f>
        <v>#N/A N/A</v>
      </c>
    </row>
    <row r="40" spans="1:8" x14ac:dyDescent="0.25">
      <c r="A40" s="1" t="s">
        <v>127</v>
      </c>
      <c r="B40" s="1" t="s">
        <v>811</v>
      </c>
      <c r="C40" s="1" t="s">
        <v>812</v>
      </c>
      <c r="D40" s="1" t="s">
        <v>813</v>
      </c>
      <c r="E40">
        <f>_xll.BDP($C40,"DUR_ADJ_MID")</f>
        <v>7.3772335791815233E-2</v>
      </c>
      <c r="F40">
        <f>_xll.BDP($C40,"OAS_SPREAD_DUR_MID")</f>
        <v>7.2578913770726436E-2</v>
      </c>
      <c r="G40" t="str">
        <f>_xll.BDP($C40,"MATURITY")</f>
        <v>7/28/2026</v>
      </c>
      <c r="H40" t="str">
        <f>_xll.BDP($C40,"RTG_SP")</f>
        <v>#N/A N/A</v>
      </c>
    </row>
    <row r="41" spans="1:8" x14ac:dyDescent="0.25">
      <c r="A41" s="1" t="s">
        <v>127</v>
      </c>
      <c r="B41" s="1" t="s">
        <v>814</v>
      </c>
      <c r="C41" s="1" t="s">
        <v>815</v>
      </c>
      <c r="D41" s="1" t="s">
        <v>816</v>
      </c>
      <c r="E41">
        <f>_xll.BDP($C41,"DUR_ADJ_MID")</f>
        <v>9.2834271727232159E-2</v>
      </c>
      <c r="F41">
        <f>_xll.BDP($C41,"OAS_SPREAD_DUR_MID")</f>
        <v>9.1401266888868862E-2</v>
      </c>
      <c r="G41" t="str">
        <f>_xll.BDP($C41,"MATURITY")</f>
        <v>8/4/2026</v>
      </c>
      <c r="H41" t="str">
        <f>_xll.BDP($C41,"RTG_SP")</f>
        <v>#N/A N/A</v>
      </c>
    </row>
    <row r="42" spans="1:8" x14ac:dyDescent="0.25">
      <c r="A42" s="1" t="s">
        <v>127</v>
      </c>
      <c r="B42" s="1" t="s">
        <v>817</v>
      </c>
      <c r="C42" s="1" t="s">
        <v>818</v>
      </c>
      <c r="D42" s="1" t="s">
        <v>819</v>
      </c>
      <c r="E42">
        <f>_xll.BDP($C42,"DUR_ADJ_MID")</f>
        <v>0.11186601240021152</v>
      </c>
      <c r="F42">
        <f>_xll.BDP($C42,"OAS_SPREAD_DUR_MID")</f>
        <v>0.11020694813276152</v>
      </c>
      <c r="G42" t="str">
        <f>_xll.BDP($C42,"MATURITY")</f>
        <v>8/11/2026</v>
      </c>
      <c r="H42" t="str">
        <f>_xll.BDP($C42,"RTG_SP")</f>
        <v>#N/A N/A</v>
      </c>
    </row>
    <row r="43" spans="1:8" x14ac:dyDescent="0.25">
      <c r="A43" s="1" t="s">
        <v>127</v>
      </c>
      <c r="B43" s="1" t="s">
        <v>820</v>
      </c>
      <c r="C43" s="1" t="s">
        <v>821</v>
      </c>
      <c r="D43" s="1" t="s">
        <v>822</v>
      </c>
      <c r="E43">
        <f>_xll.BDP($C43,"DUR_ADJ_MID")</f>
        <v>0.13086958468090668</v>
      </c>
      <c r="F43">
        <f>_xll.BDP($C43,"OAS_SPREAD_DUR_MID")</f>
        <v>0.12901075735980502</v>
      </c>
      <c r="G43" t="str">
        <f>_xll.BDP($C43,"MATURITY")</f>
        <v>8/18/2026</v>
      </c>
      <c r="H43" t="str">
        <f>_xll.BDP($C43,"RTG_SP")</f>
        <v>#N/A N/A</v>
      </c>
    </row>
    <row r="44" spans="1:8" x14ac:dyDescent="0.25">
      <c r="A44" s="1" t="s">
        <v>127</v>
      </c>
      <c r="B44" s="1" t="s">
        <v>823</v>
      </c>
      <c r="C44" s="1" t="s">
        <v>824</v>
      </c>
      <c r="D44" s="1" t="s">
        <v>825</v>
      </c>
      <c r="E44">
        <f>_xll.BDP($C44,"DUR_ADJ_MID")</f>
        <v>0.14984464225454727</v>
      </c>
      <c r="F44">
        <f>_xll.BDP($C44,"OAS_SPREAD_DUR_MID")</f>
        <v>0.1478121824402174</v>
      </c>
      <c r="G44" t="str">
        <f>_xll.BDP($C44,"MATURITY")</f>
        <v>8/25/2026</v>
      </c>
      <c r="H44" t="str">
        <f>_xll.BDP($C44,"RTG_SP")</f>
        <v>#N/A N/A</v>
      </c>
    </row>
    <row r="45" spans="1:8" x14ac:dyDescent="0.25">
      <c r="A45" s="1" t="s">
        <v>127</v>
      </c>
      <c r="B45" s="1" t="s">
        <v>747</v>
      </c>
      <c r="C45" s="1" t="s">
        <v>748</v>
      </c>
      <c r="D45" s="1" t="s">
        <v>826</v>
      </c>
      <c r="E45">
        <f>_xll.BDP($C45,"DUR_ADJ_MID")</f>
        <v>0.16880257876959517</v>
      </c>
      <c r="F45">
        <f>_xll.BDP($C45,"OAS_SPREAD_DUR_MID")</f>
        <v>0.16664434628457717</v>
      </c>
      <c r="G45" t="str">
        <f>_xll.BDP($C45,"MATURITY")</f>
        <v>9/1/2026</v>
      </c>
      <c r="H45" t="str">
        <f>_xll.BDP($C45,"RTG_SP")</f>
        <v>#N/A N/A</v>
      </c>
    </row>
    <row r="46" spans="1:8" x14ac:dyDescent="0.25">
      <c r="A46" s="1" t="s">
        <v>127</v>
      </c>
      <c r="B46" s="1" t="s">
        <v>759</v>
      </c>
      <c r="C46" s="1" t="s">
        <v>760</v>
      </c>
      <c r="D46" s="1" t="s">
        <v>827</v>
      </c>
      <c r="E46">
        <f>_xll.BDP($C46,"DUR_ADJ_MID")</f>
        <v>0.18771370451765448</v>
      </c>
      <c r="F46">
        <f>_xll.BDP($C46,"OAS_SPREAD_DUR_MID")</f>
        <v>0.18542140278278677</v>
      </c>
      <c r="G46" t="str">
        <f>_xll.BDP($C46,"MATURITY")</f>
        <v>9/8/2026</v>
      </c>
      <c r="H46" t="str">
        <f>_xll.BDP($C46,"RTG_SP")</f>
        <v>#N/A N/A</v>
      </c>
    </row>
    <row r="47" spans="1:8" x14ac:dyDescent="0.25">
      <c r="A47" s="1" t="s">
        <v>133</v>
      </c>
      <c r="B47" s="1" t="s">
        <v>828</v>
      </c>
      <c r="C47" s="1" t="s">
        <v>829</v>
      </c>
      <c r="D47" s="1" t="s">
        <v>830</v>
      </c>
      <c r="E47">
        <f>_xll.BDP($C47,"DUR_ADJ_MID")</f>
        <v>2.4594618610202783</v>
      </c>
      <c r="F47">
        <f>_xll.BDP($C47,"OAS_SPREAD_DUR_MID")</f>
        <v>2.4579209803122359</v>
      </c>
      <c r="G47" t="str">
        <f>_xll.BDP($C47,"MATURITY")</f>
        <v>3/15/2029</v>
      </c>
      <c r="H47" t="str">
        <f>_xll.BDP($C47,"RTG_SP")</f>
        <v>B</v>
      </c>
    </row>
    <row r="48" spans="1:8" x14ac:dyDescent="0.25">
      <c r="A48" s="1" t="s">
        <v>133</v>
      </c>
      <c r="B48" s="1" t="s">
        <v>831</v>
      </c>
      <c r="C48" s="1" t="s">
        <v>832</v>
      </c>
      <c r="D48" s="1" t="s">
        <v>833</v>
      </c>
      <c r="E48">
        <f>_xll.BDP($C48,"DUR_ADJ_MID")</f>
        <v>2.7942360995682676</v>
      </c>
      <c r="F48">
        <f>_xll.BDP($C48,"OAS_SPREAD_DUR_MID")</f>
        <v>2.6616695988747869</v>
      </c>
      <c r="G48" t="str">
        <f>_xll.BDP($C48,"MATURITY")</f>
        <v>8/1/2029</v>
      </c>
      <c r="H48" t="str">
        <f>_xll.BDP($C48,"RTG_SP")</f>
        <v>BB</v>
      </c>
    </row>
    <row r="49" spans="1:8" x14ac:dyDescent="0.25">
      <c r="A49" s="1" t="s">
        <v>133</v>
      </c>
      <c r="B49" s="1" t="s">
        <v>834</v>
      </c>
      <c r="C49" s="1" t="s">
        <v>835</v>
      </c>
      <c r="D49" s="1" t="s">
        <v>836</v>
      </c>
      <c r="E49">
        <f>_xll.BDP($C49,"DUR_ADJ_MID")</f>
        <v>1.3315214384132845</v>
      </c>
      <c r="F49">
        <f>_xll.BDP($C49,"OAS_SPREAD_DUR_MID")</f>
        <v>1.3110865299900514</v>
      </c>
      <c r="G49" t="str">
        <f>_xll.BDP($C49,"MATURITY")</f>
        <v>4/20/2029</v>
      </c>
      <c r="H49" t="str">
        <f>_xll.BDP($C49,"RTG_SP")</f>
        <v>#N/A N/A</v>
      </c>
    </row>
    <row r="50" spans="1:8" x14ac:dyDescent="0.25">
      <c r="A50" s="1" t="s">
        <v>133</v>
      </c>
      <c r="B50" s="1" t="s">
        <v>837</v>
      </c>
      <c r="C50" s="1" t="s">
        <v>838</v>
      </c>
      <c r="D50" s="1" t="s">
        <v>839</v>
      </c>
      <c r="E50">
        <f>_xll.BDP($C50,"DUR_ADJ_MID")</f>
        <v>3.576173267121638</v>
      </c>
      <c r="F50">
        <f>_xll.BDP($C50,"OAS_SPREAD_DUR_MID")</f>
        <v>3.3520021738622114</v>
      </c>
      <c r="G50" t="str">
        <f>_xll.BDP($C50,"MATURITY")</f>
        <v>11/6/2030</v>
      </c>
      <c r="H50" t="str">
        <f>_xll.BDP($C50,"RTG_SP")</f>
        <v>B</v>
      </c>
    </row>
    <row r="51" spans="1:8" x14ac:dyDescent="0.25">
      <c r="A51" s="1" t="s">
        <v>133</v>
      </c>
      <c r="B51" s="1" t="s">
        <v>840</v>
      </c>
      <c r="C51" s="1" t="s">
        <v>841</v>
      </c>
      <c r="D51" s="1" t="s">
        <v>842</v>
      </c>
      <c r="E51">
        <f>_xll.BDP($C51,"DUR_ADJ_MID")</f>
        <v>8.3011993807668855E-2</v>
      </c>
      <c r="F51">
        <f>_xll.BDP($C51,"OAS_SPREAD_DUR_MID")</f>
        <v>0.11217848400844325</v>
      </c>
      <c r="G51" t="str">
        <f>_xll.BDP($C51,"MATURITY")</f>
        <v>8/1/2028</v>
      </c>
      <c r="H51" t="str">
        <f>_xll.BDP($C51,"RTG_SP")</f>
        <v>BB-</v>
      </c>
    </row>
    <row r="52" spans="1:8" x14ac:dyDescent="0.25">
      <c r="A52" s="1" t="s">
        <v>133</v>
      </c>
      <c r="B52" s="1" t="s">
        <v>843</v>
      </c>
      <c r="C52" s="1" t="s">
        <v>844</v>
      </c>
      <c r="D52" s="1" t="s">
        <v>845</v>
      </c>
      <c r="E52">
        <f>_xll.BDP($C52,"DUR_ADJ_MID")</f>
        <v>3.4240911373413137</v>
      </c>
      <c r="F52">
        <f>_xll.BDP($C52,"OAS_SPREAD_DUR_MID")</f>
        <v>3.3949283249734128</v>
      </c>
      <c r="G52" t="str">
        <f>_xll.BDP($C52,"MATURITY")</f>
        <v>4/15/2030</v>
      </c>
      <c r="H52" t="str">
        <f>_xll.BDP($C52,"RTG_SP")</f>
        <v>BB</v>
      </c>
    </row>
    <row r="53" spans="1:8" x14ac:dyDescent="0.25">
      <c r="A53" s="1" t="s">
        <v>133</v>
      </c>
      <c r="B53" s="1" t="s">
        <v>846</v>
      </c>
      <c r="C53" s="1" t="s">
        <v>847</v>
      </c>
      <c r="D53" s="1" t="s">
        <v>848</v>
      </c>
      <c r="E53">
        <f>_xll.BDP($C53,"DUR_ADJ_MID")</f>
        <v>2.507341748857252</v>
      </c>
      <c r="F53">
        <f>_xll.BDP($C53,"OAS_SPREAD_DUR_MID")</f>
        <v>2.4801055461369215</v>
      </c>
      <c r="G53" t="str">
        <f>_xll.BDP($C53,"MATURITY")</f>
        <v>3/15/2029</v>
      </c>
      <c r="H53" t="str">
        <f>_xll.BDP($C53,"RTG_SP")</f>
        <v>BB+</v>
      </c>
    </row>
    <row r="54" spans="1:8" x14ac:dyDescent="0.25">
      <c r="A54" s="1" t="s">
        <v>133</v>
      </c>
      <c r="B54" s="1" t="s">
        <v>849</v>
      </c>
      <c r="C54" s="1" t="s">
        <v>850</v>
      </c>
      <c r="D54" s="1" t="s">
        <v>851</v>
      </c>
      <c r="E54">
        <f>_xll.BDP($C54,"DUR_ADJ_MID")</f>
        <v>2.5469509986530023</v>
      </c>
      <c r="F54">
        <f>_xll.BDP($C54,"OAS_SPREAD_DUR_MID")</f>
        <v>2.0081794137744917</v>
      </c>
      <c r="G54" t="str">
        <f>_xll.BDP($C54,"MATURITY")</f>
        <v>5/21/2030</v>
      </c>
      <c r="H54" t="str">
        <f>_xll.BDP($C54,"RTG_SP")</f>
        <v>BB-</v>
      </c>
    </row>
    <row r="55" spans="1:8" x14ac:dyDescent="0.25">
      <c r="A55" s="1" t="s">
        <v>133</v>
      </c>
      <c r="B55" s="1" t="s">
        <v>852</v>
      </c>
      <c r="C55" s="1" t="s">
        <v>853</v>
      </c>
      <c r="D55" s="1" t="s">
        <v>854</v>
      </c>
      <c r="E55">
        <f>_xll.BDP($C55,"DUR_ADJ_MID")</f>
        <v>0.75174990247966389</v>
      </c>
      <c r="F55">
        <f>_xll.BDP($C55,"OAS_SPREAD_DUR_MID")</f>
        <v>0.87317312235234623</v>
      </c>
      <c r="G55" t="str">
        <f>_xll.BDP($C55,"MATURITY")</f>
        <v>4/15/2028</v>
      </c>
      <c r="H55" t="str">
        <f>_xll.BDP($C55,"RTG_SP")</f>
        <v>B+</v>
      </c>
    </row>
    <row r="56" spans="1:8" x14ac:dyDescent="0.25">
      <c r="A56" s="1" t="s">
        <v>133</v>
      </c>
      <c r="B56" s="1" t="s">
        <v>855</v>
      </c>
      <c r="C56" s="1" t="s">
        <v>856</v>
      </c>
      <c r="D56" s="1" t="s">
        <v>857</v>
      </c>
      <c r="E56">
        <f>_xll.BDP($C56,"DUR_ADJ_MID")</f>
        <v>2.291670630778988</v>
      </c>
      <c r="F56">
        <f>_xll.BDP($C56,"OAS_SPREAD_DUR_MID")</f>
        <v>1.489158970606022</v>
      </c>
      <c r="G56" t="str">
        <f>_xll.BDP($C56,"MATURITY")</f>
        <v>2/15/2031</v>
      </c>
      <c r="H56" t="str">
        <f>_xll.BDP($C56,"RTG_SP")</f>
        <v>B</v>
      </c>
    </row>
    <row r="57" spans="1:8" x14ac:dyDescent="0.25">
      <c r="A57" s="1" t="s">
        <v>133</v>
      </c>
      <c r="B57" s="1" t="s">
        <v>858</v>
      </c>
      <c r="C57" s="1" t="s">
        <v>859</v>
      </c>
      <c r="D57" s="1" t="s">
        <v>860</v>
      </c>
      <c r="E57">
        <f>_xll.BDP($C57,"DUR_ADJ_MID")</f>
        <v>1.4863335451433517</v>
      </c>
      <c r="F57">
        <f>_xll.BDP($C57,"OAS_SPREAD_DUR_MID")</f>
        <v>1.7609766335051333</v>
      </c>
      <c r="G57" t="str">
        <f>_xll.BDP($C57,"MATURITY")</f>
        <v>2/15/2029</v>
      </c>
      <c r="H57" t="str">
        <f>_xll.BDP($C57,"RTG_SP")</f>
        <v>B+</v>
      </c>
    </row>
    <row r="58" spans="1:8" x14ac:dyDescent="0.25">
      <c r="A58" s="1" t="s">
        <v>133</v>
      </c>
      <c r="B58" s="1" t="s">
        <v>861</v>
      </c>
      <c r="C58" s="1" t="s">
        <v>862</v>
      </c>
      <c r="D58" s="1" t="s">
        <v>863</v>
      </c>
      <c r="E58">
        <f>_xll.BDP($C58,"DUR_ADJ_MID")</f>
        <v>3.5389565015653099</v>
      </c>
      <c r="F58">
        <f>_xll.BDP($C58,"OAS_SPREAD_DUR_MID")</f>
        <v>3.0483414806926277</v>
      </c>
      <c r="G58" t="str">
        <f>_xll.BDP($C58,"MATURITY")</f>
        <v>3/15/2031</v>
      </c>
      <c r="H58" t="str">
        <f>_xll.BDP($C58,"RTG_SP")</f>
        <v>#N/A N/A</v>
      </c>
    </row>
    <row r="59" spans="1:8" x14ac:dyDescent="0.25">
      <c r="A59" s="1" t="s">
        <v>133</v>
      </c>
      <c r="B59" s="1" t="s">
        <v>864</v>
      </c>
      <c r="C59" s="1" t="s">
        <v>865</v>
      </c>
      <c r="D59" s="1" t="s">
        <v>866</v>
      </c>
      <c r="E59">
        <f>_xll.BDP($C59,"DUR_ADJ_MID")</f>
        <v>2.2599002643544672</v>
      </c>
      <c r="F59">
        <f>_xll.BDP($C59,"OAS_SPREAD_DUR_MID")</f>
        <v>2.5794928996353761</v>
      </c>
      <c r="G59" t="str">
        <f>_xll.BDP($C59,"MATURITY")</f>
        <v>2/15/2031</v>
      </c>
      <c r="H59" t="str">
        <f>_xll.BDP($C59,"RTG_SP")</f>
        <v>B-</v>
      </c>
    </row>
    <row r="60" spans="1:8" x14ac:dyDescent="0.25">
      <c r="A60" s="1" t="s">
        <v>133</v>
      </c>
      <c r="B60" s="1" t="s">
        <v>867</v>
      </c>
      <c r="C60" s="1" t="s">
        <v>868</v>
      </c>
      <c r="D60" s="1" t="s">
        <v>869</v>
      </c>
      <c r="E60">
        <f>_xll.BDP($C60,"DUR_ADJ_MID")</f>
        <v>2.819173650194374</v>
      </c>
      <c r="F60">
        <f>_xll.BDP($C60,"OAS_SPREAD_DUR_MID")</f>
        <v>2.8473696587181161</v>
      </c>
      <c r="G60" t="str">
        <f>_xll.BDP($C60,"MATURITY")</f>
        <v>12/1/2030</v>
      </c>
      <c r="H60" t="str">
        <f>_xll.BDP($C60,"RTG_SP")</f>
        <v>B</v>
      </c>
    </row>
    <row r="61" spans="1:8" x14ac:dyDescent="0.25">
      <c r="A61" s="1" t="s">
        <v>133</v>
      </c>
      <c r="B61" s="1" t="s">
        <v>870</v>
      </c>
      <c r="C61" s="1" t="s">
        <v>871</v>
      </c>
      <c r="D61" s="1" t="s">
        <v>872</v>
      </c>
      <c r="E61">
        <f>_xll.BDP($C61,"DUR_ADJ_MID")</f>
        <v>1.1609617720863117</v>
      </c>
      <c r="F61">
        <f>_xll.BDP($C61,"OAS_SPREAD_DUR_MID")</f>
        <v>0.84691063597467886</v>
      </c>
      <c r="G61" t="str">
        <f>_xll.BDP($C61,"MATURITY")</f>
        <v>10/1/2030</v>
      </c>
      <c r="H61" t="str">
        <f>_xll.BDP($C61,"RTG_SP")</f>
        <v>B+</v>
      </c>
    </row>
    <row r="62" spans="1:8" x14ac:dyDescent="0.25">
      <c r="A62" s="1" t="s">
        <v>133</v>
      </c>
      <c r="B62" s="1" t="s">
        <v>873</v>
      </c>
      <c r="C62" s="1" t="s">
        <v>874</v>
      </c>
      <c r="D62" s="1" t="s">
        <v>875</v>
      </c>
      <c r="E62">
        <f>_xll.BDP($C62,"DUR_ADJ_MID")</f>
        <v>3.3363532667152045</v>
      </c>
      <c r="F62">
        <f>_xll.BDP($C62,"OAS_SPREAD_DUR_MID")</f>
        <v>3.1464628783881858</v>
      </c>
      <c r="G62" t="str">
        <f>_xll.BDP($C62,"MATURITY")</f>
        <v>4/1/2030</v>
      </c>
      <c r="H62" t="str">
        <f>_xll.BDP($C62,"RTG_SP")</f>
        <v>BB-</v>
      </c>
    </row>
    <row r="63" spans="1:8" x14ac:dyDescent="0.25">
      <c r="A63" s="1" t="s">
        <v>133</v>
      </c>
      <c r="B63" s="1" t="s">
        <v>876</v>
      </c>
      <c r="C63" s="1" t="s">
        <v>877</v>
      </c>
      <c r="D63" s="1" t="s">
        <v>878</v>
      </c>
      <c r="E63">
        <f>_xll.BDP($C63,"DUR_ADJ_MID")</f>
        <v>1.8794494885626962</v>
      </c>
      <c r="F63">
        <f>_xll.BDP($C63,"OAS_SPREAD_DUR_MID")</f>
        <v>1.4414557971879132</v>
      </c>
      <c r="G63" t="str">
        <f>_xll.BDP($C63,"MATURITY")</f>
        <v>7/15/2028</v>
      </c>
      <c r="H63" t="str">
        <f>_xll.BDP($C63,"RTG_SP")</f>
        <v>BB</v>
      </c>
    </row>
    <row r="64" spans="1:8" x14ac:dyDescent="0.25">
      <c r="A64" s="1" t="s">
        <v>133</v>
      </c>
      <c r="B64" s="1" t="s">
        <v>879</v>
      </c>
      <c r="C64" s="1" t="s">
        <v>880</v>
      </c>
      <c r="D64" s="1" t="s">
        <v>881</v>
      </c>
      <c r="E64">
        <f>_xll.BDP($C64,"DUR_ADJ_MID")</f>
        <v>3.7613103742931706</v>
      </c>
      <c r="F64">
        <f>_xll.BDP($C64,"OAS_SPREAD_DUR_MID")</f>
        <v>3.7541615875731833</v>
      </c>
      <c r="G64" t="str">
        <f>_xll.BDP($C64,"MATURITY")</f>
        <v>8/15/2030</v>
      </c>
      <c r="H64" t="str">
        <f>_xll.BDP($C64,"RTG_SP")</f>
        <v>BB+</v>
      </c>
    </row>
    <row r="65" spans="1:8" x14ac:dyDescent="0.25">
      <c r="A65" s="1" t="s">
        <v>133</v>
      </c>
      <c r="B65" s="1" t="s">
        <v>882</v>
      </c>
      <c r="C65" s="1" t="s">
        <v>883</v>
      </c>
      <c r="D65" s="1" t="s">
        <v>884</v>
      </c>
      <c r="E65">
        <f>_xll.BDP($C65,"DUR_ADJ_MID")</f>
        <v>1.2388211976489198</v>
      </c>
      <c r="F65">
        <f>_xll.BDP($C65,"OAS_SPREAD_DUR_MID")</f>
        <v>0.75017862467747543</v>
      </c>
      <c r="G65" t="str">
        <f>_xll.BDP($C65,"MATURITY")</f>
        <v>5/1/2029</v>
      </c>
      <c r="H65" t="str">
        <f>_xll.BDP($C65,"RTG_SP")</f>
        <v>B+</v>
      </c>
    </row>
    <row r="66" spans="1:8" x14ac:dyDescent="0.25">
      <c r="A66" s="1" t="s">
        <v>133</v>
      </c>
      <c r="B66" s="1" t="s">
        <v>885</v>
      </c>
      <c r="C66" s="1" t="s">
        <v>886</v>
      </c>
      <c r="D66" s="1" t="s">
        <v>887</v>
      </c>
      <c r="E66">
        <f>_xll.BDP($C66,"DUR_ADJ_MID")</f>
        <v>2.3802639025288972</v>
      </c>
      <c r="F66">
        <f>_xll.BDP($C66,"OAS_SPREAD_DUR_MID")</f>
        <v>2.3800955594299058</v>
      </c>
      <c r="G66" t="str">
        <f>_xll.BDP($C66,"MATURITY")</f>
        <v>3/15/2030</v>
      </c>
      <c r="H66" t="str">
        <f>_xll.BDP($C66,"RTG_SP")</f>
        <v>B+</v>
      </c>
    </row>
    <row r="67" spans="1:8" x14ac:dyDescent="0.25">
      <c r="A67" s="1" t="s">
        <v>133</v>
      </c>
      <c r="B67" s="1" t="s">
        <v>888</v>
      </c>
      <c r="C67" s="1" t="s">
        <v>889</v>
      </c>
      <c r="D67" s="1" t="s">
        <v>890</v>
      </c>
      <c r="E67">
        <f>_xll.BDP($C67,"DUR_ADJ_MID")</f>
        <v>2.0955437681568587</v>
      </c>
      <c r="F67">
        <f>_xll.BDP($C67,"OAS_SPREAD_DUR_MID")</f>
        <v>2.2983063186045221</v>
      </c>
      <c r="G67" t="str">
        <f>_xll.BDP($C67,"MATURITY")</f>
        <v>10/15/2029</v>
      </c>
      <c r="H67" t="str">
        <f>_xll.BDP($C67,"RTG_SP")</f>
        <v>BB-</v>
      </c>
    </row>
    <row r="68" spans="1:8" x14ac:dyDescent="0.25">
      <c r="A68" s="1" t="s">
        <v>133</v>
      </c>
      <c r="B68" s="1" t="s">
        <v>891</v>
      </c>
      <c r="C68" s="1" t="s">
        <v>892</v>
      </c>
      <c r="D68" s="1" t="s">
        <v>893</v>
      </c>
      <c r="E68">
        <f>_xll.BDP($C68,"DUR_ADJ_MID")</f>
        <v>3.1424749824090989</v>
      </c>
      <c r="F68">
        <f>_xll.BDP($C68,"OAS_SPREAD_DUR_MID")</f>
        <v>3.0253711627021507</v>
      </c>
      <c r="G68" t="str">
        <f>_xll.BDP($C68,"MATURITY")</f>
        <v>2/15/2031</v>
      </c>
      <c r="H68" t="str">
        <f>_xll.BDP($C68,"RTG_SP")</f>
        <v>#N/A N/A</v>
      </c>
    </row>
    <row r="69" spans="1:8" x14ac:dyDescent="0.25">
      <c r="A69" s="1" t="s">
        <v>133</v>
      </c>
      <c r="B69" s="1" t="s">
        <v>894</v>
      </c>
      <c r="C69" s="1" t="s">
        <v>895</v>
      </c>
      <c r="D69" s="1" t="s">
        <v>896</v>
      </c>
      <c r="E69">
        <f>_xll.BDP($C69,"DUR_ADJ_MID")</f>
        <v>0.36603411145985015</v>
      </c>
      <c r="F69">
        <f>_xll.BDP($C69,"OAS_SPREAD_DUR_MID")</f>
        <v>0.38724051874893423</v>
      </c>
      <c r="G69" t="str">
        <f>_xll.BDP($C69,"MATURITY")</f>
        <v>11/15/2030</v>
      </c>
      <c r="H69" t="str">
        <f>_xll.BDP($C69,"RTG_SP")</f>
        <v>BB-</v>
      </c>
    </row>
    <row r="70" spans="1:8" x14ac:dyDescent="0.25">
      <c r="A70" s="1" t="s">
        <v>133</v>
      </c>
      <c r="B70" s="1" t="s">
        <v>897</v>
      </c>
      <c r="C70" s="1" t="s">
        <v>898</v>
      </c>
      <c r="D70" s="1" t="s">
        <v>899</v>
      </c>
      <c r="E70">
        <f>_xll.BDP($C70,"DUR_ADJ_MID")</f>
        <v>2.8503245648930982</v>
      </c>
      <c r="F70">
        <f>_xll.BDP($C70,"OAS_SPREAD_DUR_MID")</f>
        <v>2.3301008965210865</v>
      </c>
      <c r="G70" t="str">
        <f>_xll.BDP($C70,"MATURITY")</f>
        <v>11/15/2030</v>
      </c>
      <c r="H70" t="str">
        <f>_xll.BDP($C70,"RTG_SP")</f>
        <v>B+</v>
      </c>
    </row>
    <row r="71" spans="1:8" x14ac:dyDescent="0.25">
      <c r="A71" s="1" t="s">
        <v>133</v>
      </c>
      <c r="B71" s="1" t="s">
        <v>900</v>
      </c>
      <c r="C71" s="1" t="s">
        <v>901</v>
      </c>
      <c r="D71" s="1" t="s">
        <v>902</v>
      </c>
      <c r="E71">
        <f>_xll.BDP($C71,"DUR_ADJ_MID")</f>
        <v>1.5615532748318333</v>
      </c>
      <c r="F71">
        <f>_xll.BDP($C71,"OAS_SPREAD_DUR_MID")</f>
        <v>1.496422989476182</v>
      </c>
      <c r="G71" t="str">
        <f>_xll.BDP($C71,"MATURITY")</f>
        <v>3/1/2028</v>
      </c>
      <c r="H71" t="str">
        <f>_xll.BDP($C71,"RTG_SP")</f>
        <v>BB</v>
      </c>
    </row>
    <row r="72" spans="1:8" x14ac:dyDescent="0.25">
      <c r="A72" s="1" t="s">
        <v>133</v>
      </c>
      <c r="B72" s="1" t="s">
        <v>903</v>
      </c>
      <c r="C72" s="1" t="s">
        <v>904</v>
      </c>
      <c r="D72" s="1" t="s">
        <v>905</v>
      </c>
      <c r="E72">
        <f>_xll.BDP($C72,"DUR_ADJ_MID")</f>
        <v>1.4681924394420836</v>
      </c>
      <c r="F72">
        <f>_xll.BDP($C72,"OAS_SPREAD_DUR_MID")</f>
        <v>1.3467743544650514</v>
      </c>
      <c r="G72" t="str">
        <f>_xll.BDP($C72,"MATURITY")</f>
        <v>2/1/2028</v>
      </c>
      <c r="H72" t="str">
        <f>_xll.BDP($C72,"RTG_SP")</f>
        <v>BB-</v>
      </c>
    </row>
    <row r="73" spans="1:8" x14ac:dyDescent="0.25">
      <c r="A73" s="1" t="s">
        <v>133</v>
      </c>
      <c r="B73" s="1" t="s">
        <v>906</v>
      </c>
      <c r="C73" s="1" t="s">
        <v>907</v>
      </c>
      <c r="D73" s="1" t="s">
        <v>908</v>
      </c>
      <c r="E73">
        <f>_xll.BDP($C73,"DUR_ADJ_MID")</f>
        <v>2.2560856229600361</v>
      </c>
      <c r="F73">
        <f>_xll.BDP($C73,"OAS_SPREAD_DUR_MID")</f>
        <v>1.4422328899662751</v>
      </c>
      <c r="G73" t="str">
        <f>_xll.BDP($C73,"MATURITY")</f>
        <v>1/15/2029</v>
      </c>
      <c r="H73" t="str">
        <f>_xll.BDP($C73,"RTG_SP")</f>
        <v>B-</v>
      </c>
    </row>
    <row r="74" spans="1:8" x14ac:dyDescent="0.25">
      <c r="A74" s="1" t="s">
        <v>133</v>
      </c>
      <c r="B74" s="1" t="s">
        <v>909</v>
      </c>
      <c r="C74" s="1" t="s">
        <v>910</v>
      </c>
      <c r="D74" s="1" t="s">
        <v>911</v>
      </c>
      <c r="E74">
        <f>_xll.BDP($C74,"DUR_ADJ_MID")</f>
        <v>3.737305902629136</v>
      </c>
      <c r="F74">
        <f>_xll.BDP($C74,"OAS_SPREAD_DUR_MID")</f>
        <v>3.27389427426042</v>
      </c>
      <c r="G74" t="str">
        <f>_xll.BDP($C74,"MATURITY")</f>
        <v>2/15/2031</v>
      </c>
      <c r="H74" t="str">
        <f>_xll.BDP($C74,"RTG_SP")</f>
        <v>B+</v>
      </c>
    </row>
    <row r="75" spans="1:8" x14ac:dyDescent="0.25">
      <c r="A75" s="1" t="s">
        <v>133</v>
      </c>
      <c r="B75" s="1" t="s">
        <v>912</v>
      </c>
      <c r="C75" s="1" t="s">
        <v>913</v>
      </c>
      <c r="D75" s="1" t="s">
        <v>914</v>
      </c>
      <c r="E75">
        <f>_xll.BDP($C75,"DUR_ADJ_MID")</f>
        <v>2.9763796946367558</v>
      </c>
      <c r="F75" t="str">
        <f>_xll.BDP($C75,"OAS_SPREAD_DUR_MID")</f>
        <v>#N/A Field Not Applicable</v>
      </c>
      <c r="G75" t="str">
        <f>_xll.BDP($C75,"MATURITY")</f>
        <v>3/10/2055</v>
      </c>
      <c r="H75" t="str">
        <f>_xll.BDP($C75,"RTG_SP")</f>
        <v>BB+</v>
      </c>
    </row>
    <row r="76" spans="1:8" x14ac:dyDescent="0.25">
      <c r="A76" s="1" t="s">
        <v>133</v>
      </c>
      <c r="B76" s="1" t="s">
        <v>915</v>
      </c>
      <c r="C76" s="1" t="s">
        <v>916</v>
      </c>
      <c r="D76" s="1" t="s">
        <v>917</v>
      </c>
      <c r="E76">
        <f>_xll.BDP($C76,"DUR_ADJ_MID")</f>
        <v>2.9111833472150419</v>
      </c>
      <c r="F76">
        <f>_xll.BDP($C76,"OAS_SPREAD_DUR_MID")</f>
        <v>2.509630536404261</v>
      </c>
      <c r="G76" t="str">
        <f>_xll.BDP($C76,"MATURITY")</f>
        <v>2/15/2031</v>
      </c>
      <c r="H76" t="str">
        <f>_xll.BDP($C76,"RTG_SP")</f>
        <v>CCC+</v>
      </c>
    </row>
    <row r="77" spans="1:8" x14ac:dyDescent="0.25">
      <c r="A77" s="1" t="s">
        <v>133</v>
      </c>
      <c r="B77" s="1" t="s">
        <v>918</v>
      </c>
      <c r="C77" s="1" t="s">
        <v>919</v>
      </c>
      <c r="D77" s="1" t="s">
        <v>920</v>
      </c>
      <c r="E77">
        <f>_xll.BDP($C77,"DUR_ADJ_MID")</f>
        <v>3.2853168883392407</v>
      </c>
      <c r="F77">
        <f>_xll.BDP($C77,"OAS_SPREAD_DUR_MID")</f>
        <v>3.1218576233567603</v>
      </c>
      <c r="G77" t="str">
        <f>_xll.BDP($C77,"MATURITY")</f>
        <v>6/15/2030</v>
      </c>
      <c r="H77" t="str">
        <f>_xll.BDP($C77,"RTG_SP")</f>
        <v>B-</v>
      </c>
    </row>
    <row r="78" spans="1:8" x14ac:dyDescent="0.25">
      <c r="A78" s="1" t="s">
        <v>133</v>
      </c>
      <c r="B78" s="1" t="s">
        <v>921</v>
      </c>
      <c r="C78" s="1" t="s">
        <v>922</v>
      </c>
      <c r="D78" s="1" t="s">
        <v>923</v>
      </c>
      <c r="E78">
        <f>_xll.BDP($C78,"DUR_ADJ_MID")</f>
        <v>2.5853178474449114</v>
      </c>
      <c r="F78">
        <f>_xll.BDP($C78,"OAS_SPREAD_DUR_MID")</f>
        <v>2.4613032423661578</v>
      </c>
      <c r="G78" t="str">
        <f>_xll.BDP($C78,"MATURITY")</f>
        <v>5/1/2029</v>
      </c>
      <c r="H78" t="str">
        <f>_xll.BDP($C78,"RTG_SP")</f>
        <v>BBB-</v>
      </c>
    </row>
    <row r="79" spans="1:8" x14ac:dyDescent="0.25">
      <c r="A79" s="1" t="s">
        <v>133</v>
      </c>
      <c r="B79" s="1" t="s">
        <v>924</v>
      </c>
      <c r="C79" s="1" t="s">
        <v>925</v>
      </c>
      <c r="D79" s="1" t="s">
        <v>926</v>
      </c>
      <c r="E79">
        <f>_xll.BDP($C79,"DUR_ADJ_MID")</f>
        <v>2.0772244322480042</v>
      </c>
      <c r="F79">
        <f>_xll.BDP($C79,"OAS_SPREAD_DUR_MID")</f>
        <v>2.0890793492432262</v>
      </c>
      <c r="G79" t="str">
        <f>_xll.BDP($C79,"MATURITY")</f>
        <v>11/15/2028</v>
      </c>
      <c r="H79" t="str">
        <f>_xll.BDP($C79,"RTG_SP")</f>
        <v>BB</v>
      </c>
    </row>
    <row r="80" spans="1:8" x14ac:dyDescent="0.25">
      <c r="A80" s="1" t="s">
        <v>133</v>
      </c>
      <c r="B80" s="1" t="s">
        <v>927</v>
      </c>
      <c r="C80" s="1" t="s">
        <v>928</v>
      </c>
      <c r="D80" s="1" t="s">
        <v>929</v>
      </c>
      <c r="E80">
        <f>_xll.BDP($C80,"DUR_ADJ_MID")</f>
        <v>3.1378022031887869</v>
      </c>
      <c r="F80">
        <f>_xll.BDP($C80,"OAS_SPREAD_DUR_MID")</f>
        <v>2.6645105181207218</v>
      </c>
      <c r="G80" t="str">
        <f>_xll.BDP($C80,"MATURITY")</f>
        <v>12/15/2029</v>
      </c>
      <c r="H80" t="str">
        <f>_xll.BDP($C80,"RTG_SP")</f>
        <v>BB+</v>
      </c>
    </row>
    <row r="81" spans="1:8" x14ac:dyDescent="0.25">
      <c r="A81" s="1" t="s">
        <v>133</v>
      </c>
      <c r="B81" s="1" t="s">
        <v>930</v>
      </c>
      <c r="C81" s="1" t="s">
        <v>931</v>
      </c>
      <c r="D81" s="1" t="s">
        <v>932</v>
      </c>
      <c r="E81">
        <f>_xll.BDP($C81,"DUR_ADJ_MID")</f>
        <v>1.3970514159320506</v>
      </c>
      <c r="F81">
        <f>_xll.BDP($C81,"OAS_SPREAD_DUR_MID")</f>
        <v>1.3993355913175922</v>
      </c>
      <c r="G81" t="str">
        <f>_xll.BDP($C81,"MATURITY")</f>
        <v>1/15/2028</v>
      </c>
      <c r="H81" t="str">
        <f>_xll.BDP($C81,"RTG_SP")</f>
        <v>B</v>
      </c>
    </row>
    <row r="82" spans="1:8" x14ac:dyDescent="0.25">
      <c r="A82" s="1" t="s">
        <v>133</v>
      </c>
      <c r="B82" s="1" t="s">
        <v>933</v>
      </c>
      <c r="C82" s="1" t="s">
        <v>934</v>
      </c>
      <c r="D82" s="1" t="s">
        <v>935</v>
      </c>
      <c r="E82">
        <f>_xll.BDP($C82,"DUR_ADJ_MID")</f>
        <v>1.864512037205458</v>
      </c>
      <c r="F82">
        <f>_xll.BDP($C82,"OAS_SPREAD_DUR_MID")</f>
        <v>0.6953677538668297</v>
      </c>
      <c r="G82" t="str">
        <f>_xll.BDP($C82,"MATURITY")</f>
        <v>7/15/2028</v>
      </c>
      <c r="H82" t="str">
        <f>_xll.BDP($C82,"RTG_SP")</f>
        <v>BB</v>
      </c>
    </row>
    <row r="83" spans="1:8" x14ac:dyDescent="0.25">
      <c r="A83" s="1" t="s">
        <v>133</v>
      </c>
      <c r="B83" s="1" t="s">
        <v>936</v>
      </c>
      <c r="C83" s="1" t="s">
        <v>937</v>
      </c>
      <c r="D83" s="1" t="s">
        <v>938</v>
      </c>
      <c r="E83">
        <f>_xll.BDP($C83,"DUR_ADJ_MID")</f>
        <v>0.27205783911704362</v>
      </c>
      <c r="F83">
        <f>_xll.BDP($C83,"OAS_SPREAD_DUR_MID")</f>
        <v>0.33440540945260772</v>
      </c>
      <c r="G83" t="str">
        <f>_xll.BDP($C83,"MATURITY")</f>
        <v>1/15/2029</v>
      </c>
      <c r="H83" t="str">
        <f>_xll.BDP($C83,"RTG_SP")</f>
        <v>B+</v>
      </c>
    </row>
    <row r="84" spans="1:8" x14ac:dyDescent="0.25">
      <c r="A84" s="1" t="s">
        <v>133</v>
      </c>
      <c r="B84" s="1" t="s">
        <v>939</v>
      </c>
      <c r="C84" s="1" t="s">
        <v>940</v>
      </c>
      <c r="D84" s="1" t="s">
        <v>941</v>
      </c>
      <c r="E84">
        <f>_xll.BDP($C84,"DUR_ADJ_MID")</f>
        <v>2.6946518154946832</v>
      </c>
      <c r="F84">
        <f>_xll.BDP($C84,"OAS_SPREAD_DUR_MID")</f>
        <v>2.6952218018609262</v>
      </c>
      <c r="G84" t="str">
        <f>_xll.BDP($C84,"MATURITY")</f>
        <v>7/1/2029</v>
      </c>
      <c r="H84" t="str">
        <f>_xll.BDP($C84,"RTG_SP")</f>
        <v>B</v>
      </c>
    </row>
    <row r="85" spans="1:8" x14ac:dyDescent="0.25">
      <c r="A85" s="1" t="s">
        <v>133</v>
      </c>
      <c r="B85" s="1" t="s">
        <v>942</v>
      </c>
      <c r="C85" s="1" t="s">
        <v>943</v>
      </c>
      <c r="D85" s="1" t="s">
        <v>944</v>
      </c>
      <c r="E85">
        <f>_xll.BDP($C85,"DUR_ADJ_MID")</f>
        <v>2.0135679360826453</v>
      </c>
      <c r="F85">
        <f>_xll.BDP($C85,"OAS_SPREAD_DUR_MID")</f>
        <v>0.97151959293960599</v>
      </c>
      <c r="G85" t="str">
        <f>_xll.BDP($C85,"MATURITY")</f>
        <v>4/1/2030</v>
      </c>
      <c r="H85" t="str">
        <f>_xll.BDP($C85,"RTG_SP")</f>
        <v>B *+</v>
      </c>
    </row>
    <row r="86" spans="1:8" x14ac:dyDescent="0.25">
      <c r="A86" s="1" t="s">
        <v>133</v>
      </c>
      <c r="B86" s="1" t="s">
        <v>945</v>
      </c>
      <c r="C86" s="1" t="s">
        <v>946</v>
      </c>
      <c r="D86" s="1" t="s">
        <v>947</v>
      </c>
      <c r="E86">
        <f>_xll.BDP($C86,"DUR_ADJ_MID")</f>
        <v>3.24957761171264</v>
      </c>
      <c r="F86">
        <f>_xll.BDP($C86,"OAS_SPREAD_DUR_MID")</f>
        <v>2.2565259205055939</v>
      </c>
      <c r="G86" t="str">
        <f>_xll.BDP($C86,"MATURITY")</f>
        <v>4/15/2030</v>
      </c>
      <c r="H86" t="str">
        <f>_xll.BDP($C86,"RTG_SP")</f>
        <v>B+</v>
      </c>
    </row>
    <row r="87" spans="1:8" x14ac:dyDescent="0.25">
      <c r="A87" s="1" t="s">
        <v>133</v>
      </c>
      <c r="B87" s="1" t="s">
        <v>948</v>
      </c>
      <c r="C87" s="1" t="s">
        <v>949</v>
      </c>
      <c r="D87" s="1" t="s">
        <v>950</v>
      </c>
      <c r="E87">
        <f>_xll.BDP($C87,"DUR_ADJ_MID")</f>
        <v>2.6841420871616126</v>
      </c>
      <c r="F87">
        <f>_xll.BDP($C87,"OAS_SPREAD_DUR_MID")</f>
        <v>2.3923172194592488</v>
      </c>
      <c r="G87" t="str">
        <f>_xll.BDP($C87,"MATURITY")</f>
        <v>9/30/2029</v>
      </c>
      <c r="H87" t="str">
        <f>_xll.BDP($C87,"RTG_SP")</f>
        <v>B-</v>
      </c>
    </row>
    <row r="88" spans="1:8" x14ac:dyDescent="0.25">
      <c r="A88" s="1" t="s">
        <v>133</v>
      </c>
      <c r="B88" s="1" t="s">
        <v>951</v>
      </c>
      <c r="C88" s="1" t="s">
        <v>952</v>
      </c>
      <c r="D88" s="1" t="s">
        <v>953</v>
      </c>
      <c r="E88">
        <f>_xll.BDP($C88,"DUR_ADJ_MID")</f>
        <v>3.1022846870775798</v>
      </c>
      <c r="F88">
        <f>_xll.BDP($C88,"OAS_SPREAD_DUR_MID")</f>
        <v>2.1023119522206284</v>
      </c>
      <c r="G88" t="str">
        <f>_xll.BDP($C88,"MATURITY")</f>
        <v>4/15/2030</v>
      </c>
      <c r="H88" t="str">
        <f>_xll.BDP($C88,"RTG_SP")</f>
        <v>B-</v>
      </c>
    </row>
    <row r="89" spans="1:8" x14ac:dyDescent="0.25">
      <c r="A89" s="1" t="s">
        <v>133</v>
      </c>
      <c r="B89" s="1" t="s">
        <v>954</v>
      </c>
      <c r="C89" s="1" t="s">
        <v>955</v>
      </c>
      <c r="D89" s="1" t="s">
        <v>956</v>
      </c>
      <c r="E89">
        <f>_xll.BDP($C89,"DUR_ADJ_MID")</f>
        <v>0.20357166165230853</v>
      </c>
      <c r="F89">
        <f>_xll.BDP($C89,"OAS_SPREAD_DUR_MID")</f>
        <v>0.20821886761211666</v>
      </c>
      <c r="G89" t="str">
        <f>_xll.BDP($C89,"MATURITY")</f>
        <v>9/15/2029</v>
      </c>
      <c r="H89" t="str">
        <f>_xll.BDP($C89,"RTG_SP")</f>
        <v>B</v>
      </c>
    </row>
    <row r="90" spans="1:8" x14ac:dyDescent="0.25">
      <c r="A90" s="1" t="s">
        <v>133</v>
      </c>
      <c r="B90" s="1" t="s">
        <v>957</v>
      </c>
      <c r="C90" s="1" t="s">
        <v>958</v>
      </c>
      <c r="D90" s="1" t="s">
        <v>959</v>
      </c>
      <c r="E90">
        <f>_xll.BDP($C90,"DUR_ADJ_MID")</f>
        <v>3.6704494847719666</v>
      </c>
      <c r="F90">
        <f>_xll.BDP($C90,"OAS_SPREAD_DUR_MID")</f>
        <v>3.5944621719452039</v>
      </c>
      <c r="G90" t="str">
        <f>_xll.BDP($C90,"MATURITY")</f>
        <v>4/3/2031</v>
      </c>
      <c r="H90" t="str">
        <f>_xll.BDP($C90,"RTG_SP")</f>
        <v>CCC+</v>
      </c>
    </row>
    <row r="91" spans="1:8" x14ac:dyDescent="0.25">
      <c r="A91" s="1" t="s">
        <v>133</v>
      </c>
      <c r="B91" s="1" t="s">
        <v>960</v>
      </c>
      <c r="C91" s="1" t="s">
        <v>961</v>
      </c>
      <c r="D91" s="1" t="s">
        <v>962</v>
      </c>
      <c r="E91">
        <f>_xll.BDP($C91,"DUR_ADJ_MID")</f>
        <v>1.2032116198647353</v>
      </c>
      <c r="F91">
        <f>_xll.BDP($C91,"OAS_SPREAD_DUR_MID")</f>
        <v>1.5715057015568592</v>
      </c>
      <c r="G91" t="str">
        <f>_xll.BDP($C91,"MATURITY")</f>
        <v>10/15/2028</v>
      </c>
      <c r="H91" t="str">
        <f>_xll.BDP($C91,"RTG_SP")</f>
        <v>B+</v>
      </c>
    </row>
    <row r="92" spans="1:8" x14ac:dyDescent="0.25">
      <c r="A92" s="1" t="s">
        <v>133</v>
      </c>
      <c r="B92" s="1" t="s">
        <v>963</v>
      </c>
      <c r="C92" s="1" t="s">
        <v>964</v>
      </c>
      <c r="D92" s="1" t="s">
        <v>965</v>
      </c>
      <c r="E92">
        <f>_xll.BDP($C92,"DUR_ADJ_MID")</f>
        <v>2.4935267529535348</v>
      </c>
      <c r="F92">
        <f>_xll.BDP($C92,"OAS_SPREAD_DUR_MID")</f>
        <v>2.7303095918139748</v>
      </c>
      <c r="G92" t="str">
        <f>_xll.BDP($C92,"MATURITY")</f>
        <v>6/1/2030</v>
      </c>
      <c r="H92" t="str">
        <f>_xll.BDP($C92,"RTG_SP")</f>
        <v>B</v>
      </c>
    </row>
    <row r="93" spans="1:8" x14ac:dyDescent="0.25">
      <c r="A93" s="1" t="s">
        <v>133</v>
      </c>
      <c r="B93" s="1" t="s">
        <v>966</v>
      </c>
      <c r="C93" s="1" t="s">
        <v>967</v>
      </c>
      <c r="D93" s="1" t="s">
        <v>968</v>
      </c>
      <c r="E93">
        <f>_xll.BDP($C93,"DUR_ADJ_MID")</f>
        <v>3.1954298228773044</v>
      </c>
      <c r="F93">
        <f>_xll.BDP($C93,"OAS_SPREAD_DUR_MID")</f>
        <v>2.8177524674741865</v>
      </c>
      <c r="G93" t="str">
        <f>_xll.BDP($C93,"MATURITY")</f>
        <v>5/15/2031</v>
      </c>
      <c r="H93" t="str">
        <f>_xll.BDP($C93,"RTG_SP")</f>
        <v>BB</v>
      </c>
    </row>
    <row r="94" spans="1:8" x14ac:dyDescent="0.25">
      <c r="A94" s="1" t="s">
        <v>133</v>
      </c>
      <c r="B94" s="1" t="s">
        <v>969</v>
      </c>
      <c r="C94" s="1" t="s">
        <v>970</v>
      </c>
      <c r="D94" s="1" t="s">
        <v>971</v>
      </c>
      <c r="E94">
        <f>_xll.BDP($C94,"DUR_ADJ_MID")</f>
        <v>2.4836311534121713</v>
      </c>
      <c r="F94">
        <f>_xll.BDP($C94,"OAS_SPREAD_DUR_MID")</f>
        <v>2.2913198110068151</v>
      </c>
      <c r="G94" t="str">
        <f>_xll.BDP($C94,"MATURITY")</f>
        <v>3/15/2029</v>
      </c>
      <c r="H94" t="str">
        <f>_xll.BDP($C94,"RTG_SP")</f>
        <v>BB</v>
      </c>
    </row>
    <row r="95" spans="1:8" x14ac:dyDescent="0.25">
      <c r="A95" s="1" t="s">
        <v>133</v>
      </c>
      <c r="B95" s="1" t="s">
        <v>972</v>
      </c>
      <c r="C95" s="1" t="s">
        <v>973</v>
      </c>
      <c r="D95" s="1" t="s">
        <v>974</v>
      </c>
      <c r="E95">
        <f>_xll.BDP($C95,"DUR_ADJ_MID")</f>
        <v>3.2836912520428765</v>
      </c>
      <c r="F95">
        <f>_xll.BDP($C95,"OAS_SPREAD_DUR_MID")</f>
        <v>3.3627275381619546</v>
      </c>
      <c r="G95" t="str">
        <f>_xll.BDP($C95,"MATURITY")</f>
        <v>4/15/2031</v>
      </c>
      <c r="H95" t="str">
        <f>_xll.BDP($C95,"RTG_SP")</f>
        <v>BB-</v>
      </c>
    </row>
    <row r="96" spans="1:8" x14ac:dyDescent="0.25">
      <c r="A96" s="1" t="s">
        <v>133</v>
      </c>
      <c r="B96" s="1" t="s">
        <v>975</v>
      </c>
      <c r="C96" s="1" t="s">
        <v>976</v>
      </c>
      <c r="D96" s="1" t="s">
        <v>977</v>
      </c>
      <c r="E96">
        <f>_xll.BDP($C96,"DUR_ADJ_MID")</f>
        <v>3.5120423262532308</v>
      </c>
      <c r="F96">
        <f>_xll.BDP($C96,"OAS_SPREAD_DUR_MID")</f>
        <v>3.0172797942240721</v>
      </c>
      <c r="G96" t="str">
        <f>_xll.BDP($C96,"MATURITY")</f>
        <v>6/1/2030</v>
      </c>
      <c r="H96" t="str">
        <f>_xll.BDP($C96,"RTG_SP")</f>
        <v>BB-</v>
      </c>
    </row>
    <row r="97" spans="1:8" x14ac:dyDescent="0.25">
      <c r="A97" s="1" t="s">
        <v>133</v>
      </c>
      <c r="B97" s="1" t="s">
        <v>978</v>
      </c>
      <c r="C97" s="1" t="s">
        <v>979</v>
      </c>
      <c r="D97" s="1" t="s">
        <v>980</v>
      </c>
      <c r="E97">
        <f>_xll.BDP($C97,"DUR_ADJ_MID")</f>
        <v>3.5960484924668461</v>
      </c>
      <c r="F97">
        <f>_xll.BDP($C97,"OAS_SPREAD_DUR_MID")</f>
        <v>3.6738155911231325</v>
      </c>
      <c r="G97" t="str">
        <f>_xll.BDP($C97,"MATURITY")</f>
        <v>1/22/2031</v>
      </c>
      <c r="H97" t="str">
        <f>_xll.BDP($C97,"RTG_SP")</f>
        <v>BB-</v>
      </c>
    </row>
    <row r="98" spans="1:8" x14ac:dyDescent="0.25">
      <c r="A98" s="1" t="s">
        <v>133</v>
      </c>
      <c r="B98" s="1" t="s">
        <v>981</v>
      </c>
      <c r="C98" s="1" t="s">
        <v>982</v>
      </c>
      <c r="D98" s="1" t="s">
        <v>983</v>
      </c>
      <c r="E98">
        <f>_xll.BDP($C98,"DUR_ADJ_MID")</f>
        <v>2.2034365623412846</v>
      </c>
      <c r="F98">
        <f>_xll.BDP($C98,"OAS_SPREAD_DUR_MID")</f>
        <v>2.181542724852354</v>
      </c>
      <c r="G98" t="str">
        <f>_xll.BDP($C98,"MATURITY")</f>
        <v>2/15/2031</v>
      </c>
      <c r="H98" t="str">
        <f>_xll.BDP($C98,"RTG_SP")</f>
        <v>B+</v>
      </c>
    </row>
    <row r="99" spans="1:8" x14ac:dyDescent="0.25">
      <c r="A99" s="1" t="s">
        <v>133</v>
      </c>
      <c r="B99" s="1" t="s">
        <v>984</v>
      </c>
      <c r="C99" s="1" t="s">
        <v>985</v>
      </c>
      <c r="D99" s="1" t="s">
        <v>986</v>
      </c>
      <c r="E99">
        <f>_xll.BDP($C99,"DUR_ADJ_MID")</f>
        <v>0.36653698359901887</v>
      </c>
      <c r="F99">
        <f>_xll.BDP($C99,"OAS_SPREAD_DUR_MID")</f>
        <v>0.36721601422274769</v>
      </c>
      <c r="G99" t="str">
        <f>_xll.BDP($C99,"MATURITY")</f>
        <v>11/15/2027</v>
      </c>
      <c r="H99" t="str">
        <f>_xll.BDP($C99,"RTG_SP")</f>
        <v>B *+</v>
      </c>
    </row>
    <row r="100" spans="1:8" x14ac:dyDescent="0.25">
      <c r="A100" s="1" t="s">
        <v>133</v>
      </c>
      <c r="B100" s="1" t="s">
        <v>987</v>
      </c>
      <c r="C100" s="1" t="s">
        <v>988</v>
      </c>
      <c r="D100" s="1" t="s">
        <v>989</v>
      </c>
      <c r="E100">
        <f>_xll.BDP($C100,"DUR_ADJ_MID")</f>
        <v>1.8043598405176458</v>
      </c>
      <c r="F100">
        <f>_xll.BDP($C100,"OAS_SPREAD_DUR_MID")</f>
        <v>1.6169790063472229</v>
      </c>
      <c r="G100" t="str">
        <f>_xll.BDP($C100,"MATURITY")</f>
        <v>8/1/2029</v>
      </c>
      <c r="H100" t="str">
        <f>_xll.BDP($C100,"RTG_SP")</f>
        <v>B+</v>
      </c>
    </row>
    <row r="101" spans="1:8" x14ac:dyDescent="0.25">
      <c r="A101" s="1" t="s">
        <v>133</v>
      </c>
      <c r="B101" s="1" t="s">
        <v>990</v>
      </c>
      <c r="C101" s="1" t="s">
        <v>991</v>
      </c>
      <c r="D101" s="1" t="s">
        <v>992</v>
      </c>
      <c r="E101">
        <f>_xll.BDP($C101,"DUR_ADJ_MID")</f>
        <v>1.7474526784868054</v>
      </c>
      <c r="F101">
        <f>_xll.BDP($C101,"OAS_SPREAD_DUR_MID")</f>
        <v>1.7828301210772102</v>
      </c>
      <c r="G101" t="str">
        <f>_xll.BDP($C101,"MATURITY")</f>
        <v>8/28/2028</v>
      </c>
      <c r="H101" t="str">
        <f>_xll.BDP($C101,"RTG_SP")</f>
        <v>BB-</v>
      </c>
    </row>
    <row r="102" spans="1:8" x14ac:dyDescent="0.25">
      <c r="A102" s="1" t="s">
        <v>133</v>
      </c>
      <c r="B102" s="1" t="s">
        <v>993</v>
      </c>
      <c r="C102" s="1" t="s">
        <v>994</v>
      </c>
      <c r="D102" s="1" t="s">
        <v>995</v>
      </c>
      <c r="E102">
        <f>_xll.BDP($C102,"DUR_ADJ_MID")</f>
        <v>1.9504502043031156</v>
      </c>
      <c r="F102">
        <f>_xll.BDP($C102,"OAS_SPREAD_DUR_MID")</f>
        <v>1.9527525389369178</v>
      </c>
      <c r="G102" t="str">
        <f>_xll.BDP($C102,"MATURITY")</f>
        <v>8/15/2028</v>
      </c>
      <c r="H102" t="str">
        <f>_xll.BDP($C102,"RTG_SP")</f>
        <v>CCC+</v>
      </c>
    </row>
    <row r="103" spans="1:8" x14ac:dyDescent="0.25">
      <c r="A103" s="1" t="s">
        <v>133</v>
      </c>
      <c r="B103" s="1" t="s">
        <v>996</v>
      </c>
      <c r="C103" s="1" t="s">
        <v>997</v>
      </c>
      <c r="D103" s="1" t="s">
        <v>998</v>
      </c>
      <c r="E103">
        <f>_xll.BDP($C103,"DUR_ADJ_MID")</f>
        <v>1.8139211450409816</v>
      </c>
      <c r="F103">
        <f>_xll.BDP($C103,"OAS_SPREAD_DUR_MID")</f>
        <v>1.8060934333842897</v>
      </c>
      <c r="G103" t="str">
        <f>_xll.BDP($C103,"MATURITY")</f>
        <v>12/15/2030</v>
      </c>
      <c r="H103" t="str">
        <f>_xll.BDP($C103,"RTG_SP")</f>
        <v>BB-</v>
      </c>
    </row>
    <row r="104" spans="1:8" x14ac:dyDescent="0.25">
      <c r="A104" s="1" t="s">
        <v>133</v>
      </c>
      <c r="B104" s="1" t="s">
        <v>999</v>
      </c>
      <c r="C104" s="1" t="s">
        <v>1000</v>
      </c>
      <c r="D104" s="1" t="s">
        <v>1001</v>
      </c>
      <c r="E104">
        <f>_xll.BDP($C104,"DUR_ADJ_MID")</f>
        <v>1.637013203111642</v>
      </c>
      <c r="F104">
        <f>_xll.BDP($C104,"OAS_SPREAD_DUR_MID")</f>
        <v>1.5239031323818197</v>
      </c>
      <c r="G104" t="str">
        <f>_xll.BDP($C104,"MATURITY")</f>
        <v>5/1/2029</v>
      </c>
      <c r="H104" t="str">
        <f>_xll.BDP($C104,"RTG_SP")</f>
        <v>B-</v>
      </c>
    </row>
    <row r="105" spans="1:8" x14ac:dyDescent="0.25">
      <c r="A105" s="1" t="s">
        <v>133</v>
      </c>
      <c r="B105" s="1" t="s">
        <v>1002</v>
      </c>
      <c r="C105" s="1" t="s">
        <v>1003</v>
      </c>
      <c r="D105" s="1" t="s">
        <v>1004</v>
      </c>
      <c r="E105">
        <f>_xll.BDP($C105,"DUR_ADJ_MID")</f>
        <v>2.7638762251599837E-3</v>
      </c>
      <c r="F105">
        <f>_xll.BDP($C105,"OAS_SPREAD_DUR_MID")</f>
        <v>1.0951826600158617E-3</v>
      </c>
      <c r="G105" t="str">
        <f>_xll.BDP($C105,"MATURITY")</f>
        <v>11/1/2026</v>
      </c>
      <c r="H105" t="str">
        <f>_xll.BDP($C105,"RTG_SP")</f>
        <v>B</v>
      </c>
    </row>
    <row r="106" spans="1:8" x14ac:dyDescent="0.25">
      <c r="A106" s="1" t="s">
        <v>133</v>
      </c>
      <c r="B106" s="1" t="s">
        <v>1005</v>
      </c>
      <c r="C106" s="1" t="s">
        <v>1006</v>
      </c>
      <c r="D106" s="1" t="s">
        <v>1007</v>
      </c>
      <c r="E106">
        <f>_xll.BDP($C106,"DUR_ADJ_MID")</f>
        <v>2.8825795191245276</v>
      </c>
      <c r="F106">
        <f>_xll.BDP($C106,"OAS_SPREAD_DUR_MID")</f>
        <v>2.9876585041371433</v>
      </c>
      <c r="G106" t="str">
        <f>_xll.BDP($C106,"MATURITY")</f>
        <v>4/15/2031</v>
      </c>
      <c r="H106" t="str">
        <f>_xll.BDP($C106,"RTG_SP")</f>
        <v>#N/A N/A</v>
      </c>
    </row>
    <row r="107" spans="1:8" x14ac:dyDescent="0.25">
      <c r="A107" s="1" t="s">
        <v>133</v>
      </c>
      <c r="B107" s="1" t="s">
        <v>1008</v>
      </c>
      <c r="C107" s="1" t="s">
        <v>1009</v>
      </c>
      <c r="D107" s="1" t="s">
        <v>1010</v>
      </c>
      <c r="E107">
        <f>_xll.BDP($C107,"DUR_ADJ_MID")</f>
        <v>1.6564531067924828</v>
      </c>
      <c r="F107">
        <f>_xll.BDP($C107,"OAS_SPREAD_DUR_MID")</f>
        <v>1.6587856117161961</v>
      </c>
      <c r="G107" t="str">
        <f>_xll.BDP($C107,"MATURITY")</f>
        <v>4/15/2029</v>
      </c>
      <c r="H107" t="str">
        <f>_xll.BDP($C107,"RTG_SP")</f>
        <v>BB+</v>
      </c>
    </row>
    <row r="108" spans="1:8" x14ac:dyDescent="0.25">
      <c r="A108" s="1" t="s">
        <v>133</v>
      </c>
      <c r="B108" s="1" t="s">
        <v>1011</v>
      </c>
      <c r="C108" s="1" t="s">
        <v>1012</v>
      </c>
      <c r="D108" s="1" t="s">
        <v>1013</v>
      </c>
      <c r="E108">
        <f>_xll.BDP($C108,"DUR_ADJ_MID")</f>
        <v>3.8082958878491691</v>
      </c>
      <c r="F108" t="str">
        <f>_xll.BDP($C108,"OAS_SPREAD_DUR_MID")</f>
        <v>#N/A Field Not Applicable</v>
      </c>
      <c r="G108" t="str">
        <f>_xll.BDP($C108,"MATURITY")</f>
        <v>4/1/2056</v>
      </c>
      <c r="H108" t="str">
        <f>_xll.BDP($C108,"RTG_SP")</f>
        <v>BB+</v>
      </c>
    </row>
    <row r="109" spans="1:8" x14ac:dyDescent="0.25">
      <c r="A109" s="1" t="s">
        <v>133</v>
      </c>
      <c r="B109" s="1" t="s">
        <v>1014</v>
      </c>
      <c r="C109" s="1" t="s">
        <v>1015</v>
      </c>
      <c r="D109" s="1" t="s">
        <v>1016</v>
      </c>
      <c r="E109">
        <f>_xll.BDP($C109,"DUR_ADJ_MID")</f>
        <v>2.7007971419543075</v>
      </c>
      <c r="F109">
        <f>_xll.BDP($C109,"OAS_SPREAD_DUR_MID")</f>
        <v>2.668333159652557</v>
      </c>
      <c r="G109" t="str">
        <f>_xll.BDP($C109,"MATURITY")</f>
        <v>8/15/2029</v>
      </c>
      <c r="H109" t="str">
        <f>_xll.BDP($C109,"RTG_SP")</f>
        <v>#N/A N/A</v>
      </c>
    </row>
    <row r="110" spans="1:8" x14ac:dyDescent="0.25">
      <c r="A110" s="1" t="s">
        <v>133</v>
      </c>
      <c r="B110" s="1" t="s">
        <v>1017</v>
      </c>
      <c r="C110" s="1" t="s">
        <v>1018</v>
      </c>
      <c r="D110" s="1" t="s">
        <v>1019</v>
      </c>
      <c r="E110">
        <f>_xll.BDP($C110,"DUR_ADJ_MID")</f>
        <v>2.8321368800040729</v>
      </c>
      <c r="F110">
        <f>_xll.BDP($C110,"OAS_SPREAD_DUR_MID")</f>
        <v>2.4184862367019924</v>
      </c>
      <c r="G110" t="str">
        <f>_xll.BDP($C110,"MATURITY")</f>
        <v>1/15/2031</v>
      </c>
      <c r="H110" t="str">
        <f>_xll.BDP($C110,"RTG_SP")</f>
        <v>B</v>
      </c>
    </row>
    <row r="111" spans="1:8" x14ac:dyDescent="0.25">
      <c r="A111" s="1" t="s">
        <v>133</v>
      </c>
      <c r="B111" s="1" t="s">
        <v>1020</v>
      </c>
      <c r="C111" s="1" t="s">
        <v>1021</v>
      </c>
      <c r="D111" s="1" t="s">
        <v>1022</v>
      </c>
      <c r="E111">
        <f>_xll.BDP($C111,"DUR_ADJ_MID")</f>
        <v>2.5255678655181288</v>
      </c>
      <c r="F111">
        <f>_xll.BDP($C111,"OAS_SPREAD_DUR_MID")</f>
        <v>2.0438506358455051</v>
      </c>
      <c r="G111" t="str">
        <f>_xll.BDP($C111,"MATURITY")</f>
        <v>5/1/2031</v>
      </c>
      <c r="H111" t="str">
        <f>_xll.BDP($C111,"RTG_SP")</f>
        <v>BB</v>
      </c>
    </row>
    <row r="112" spans="1:8" x14ac:dyDescent="0.25">
      <c r="A112" s="1" t="s">
        <v>133</v>
      </c>
      <c r="B112" s="1" t="s">
        <v>1023</v>
      </c>
      <c r="C112" s="1" t="s">
        <v>1024</v>
      </c>
      <c r="D112" s="1" t="s">
        <v>1025</v>
      </c>
      <c r="E112">
        <f>_xll.BDP($C112,"DUR_ADJ_MID")</f>
        <v>2.4742934826425391</v>
      </c>
      <c r="F112">
        <f>_xll.BDP($C112,"OAS_SPREAD_DUR_MID")</f>
        <v>2.4507091808994046</v>
      </c>
      <c r="G112" t="str">
        <f>_xll.BDP($C112,"MATURITY")</f>
        <v>5/15/2031</v>
      </c>
      <c r="H112" t="str">
        <f>_xll.BDP($C112,"RTG_SP")</f>
        <v>B</v>
      </c>
    </row>
    <row r="113" spans="1:8" x14ac:dyDescent="0.25">
      <c r="A113" s="1" t="s">
        <v>133</v>
      </c>
      <c r="B113" s="1" t="s">
        <v>1026</v>
      </c>
      <c r="C113" s="1" t="s">
        <v>1027</v>
      </c>
      <c r="D113" s="1" t="s">
        <v>1028</v>
      </c>
      <c r="E113">
        <f>_xll.BDP($C113,"DUR_ADJ_MID")</f>
        <v>0.59838434787201833</v>
      </c>
      <c r="F113">
        <f>_xll.BDP($C113,"OAS_SPREAD_DUR_MID")</f>
        <v>0.58019372631470612</v>
      </c>
      <c r="G113" t="str">
        <f>_xll.BDP($C113,"MATURITY")</f>
        <v>2/15/2027</v>
      </c>
      <c r="H113" t="str">
        <f>_xll.BDP($C113,"RTG_SP")</f>
        <v>BB-</v>
      </c>
    </row>
    <row r="114" spans="1:8" x14ac:dyDescent="0.25">
      <c r="A114" s="1" t="s">
        <v>133</v>
      </c>
      <c r="B114" s="1" t="s">
        <v>1029</v>
      </c>
      <c r="C114" s="1" t="s">
        <v>1030</v>
      </c>
      <c r="D114" s="1" t="s">
        <v>1031</v>
      </c>
      <c r="E114">
        <f>_xll.BDP($C114,"DUR_ADJ_MID")</f>
        <v>2.2476460026885201</v>
      </c>
      <c r="F114">
        <f>_xll.BDP($C114,"OAS_SPREAD_DUR_MID")</f>
        <v>1.8922575590862767</v>
      </c>
      <c r="G114" t="str">
        <f>_xll.BDP($C114,"MATURITY")</f>
        <v>1/15/2031</v>
      </c>
      <c r="H114" t="str">
        <f>_xll.BDP($C114,"RTG_SP")</f>
        <v>BB</v>
      </c>
    </row>
    <row r="115" spans="1:8" x14ac:dyDescent="0.25">
      <c r="A115" s="1" t="s">
        <v>133</v>
      </c>
      <c r="B115" s="1" t="s">
        <v>1032</v>
      </c>
      <c r="C115" s="1" t="s">
        <v>1033</v>
      </c>
      <c r="D115" s="1" t="s">
        <v>1034</v>
      </c>
      <c r="E115">
        <f>_xll.BDP($C115,"DUR_ADJ_MID")</f>
        <v>0.50525363826212311</v>
      </c>
      <c r="F115">
        <f>_xll.BDP($C115,"OAS_SPREAD_DUR_MID")</f>
        <v>0.74493980766846013</v>
      </c>
      <c r="G115" t="str">
        <f>_xll.BDP($C115,"MATURITY")</f>
        <v>1/15/2029</v>
      </c>
      <c r="H115" t="str">
        <f>_xll.BDP($C115,"RTG_SP")</f>
        <v>B+</v>
      </c>
    </row>
    <row r="116" spans="1:8" x14ac:dyDescent="0.25">
      <c r="A116" s="1" t="s">
        <v>133</v>
      </c>
      <c r="B116" s="1" t="s">
        <v>1035</v>
      </c>
      <c r="C116" s="1" t="s">
        <v>1036</v>
      </c>
      <c r="D116" s="1" t="s">
        <v>1037</v>
      </c>
      <c r="E116">
        <f>_xll.BDP($C116,"DUR_ADJ_MID")</f>
        <v>1.3429533984950532</v>
      </c>
      <c r="F116">
        <f>_xll.BDP($C116,"OAS_SPREAD_DUR_MID")</f>
        <v>0.52741024455583563</v>
      </c>
      <c r="G116" t="str">
        <f>_xll.BDP($C116,"MATURITY")</f>
        <v>12/1/2027</v>
      </c>
      <c r="H116" t="str">
        <f>_xll.BDP($C116,"RTG_SP")</f>
        <v>BB-</v>
      </c>
    </row>
    <row r="117" spans="1:8" x14ac:dyDescent="0.25">
      <c r="A117" s="1" t="s">
        <v>133</v>
      </c>
      <c r="B117" s="1" t="s">
        <v>1038</v>
      </c>
      <c r="C117" s="1" t="s">
        <v>1039</v>
      </c>
      <c r="D117" s="1" t="s">
        <v>1040</v>
      </c>
      <c r="E117">
        <f>_xll.BDP($C117,"DUR_ADJ_MID")</f>
        <v>2.6960992127936181</v>
      </c>
      <c r="F117">
        <f>_xll.BDP($C117,"OAS_SPREAD_DUR_MID")</f>
        <v>2.6685610025226398</v>
      </c>
      <c r="G117" t="str">
        <f>_xll.BDP($C117,"MATURITY")</f>
        <v>7/15/2029</v>
      </c>
      <c r="H117" t="str">
        <f>_xll.BDP($C117,"RTG_SP")</f>
        <v>B+</v>
      </c>
    </row>
    <row r="118" spans="1:8" x14ac:dyDescent="0.25">
      <c r="A118" s="1" t="s">
        <v>133</v>
      </c>
      <c r="B118" s="1" t="s">
        <v>1041</v>
      </c>
      <c r="C118" s="1" t="s">
        <v>1042</v>
      </c>
      <c r="D118" s="1" t="s">
        <v>1043</v>
      </c>
      <c r="E118">
        <f>_xll.BDP($C118,"DUR_ADJ_MID")</f>
        <v>1.6108474548872911</v>
      </c>
      <c r="F118">
        <f>_xll.BDP($C118,"OAS_SPREAD_DUR_MID")</f>
        <v>1.6017913761884233</v>
      </c>
      <c r="G118" t="str">
        <f>_xll.BDP($C118,"MATURITY")</f>
        <v>3/15/2028</v>
      </c>
      <c r="H118" t="str">
        <f>_xll.BDP($C118,"RTG_SP")</f>
        <v>BB-</v>
      </c>
    </row>
    <row r="119" spans="1:8" x14ac:dyDescent="0.25">
      <c r="A119" s="1" t="s">
        <v>133</v>
      </c>
      <c r="B119" s="1" t="s">
        <v>1044</v>
      </c>
      <c r="C119" s="1" t="s">
        <v>1045</v>
      </c>
      <c r="D119" s="1" t="s">
        <v>1046</v>
      </c>
      <c r="E119">
        <f>_xll.BDP($C119,"DUR_ADJ_MID")</f>
        <v>1.9361001854379631</v>
      </c>
      <c r="F119">
        <f>_xll.BDP($C119,"OAS_SPREAD_DUR_MID")</f>
        <v>0.84823820255180227</v>
      </c>
      <c r="G119" t="str">
        <f>_xll.BDP($C119,"MATURITY")</f>
        <v>9/1/2030</v>
      </c>
      <c r="H119" t="str">
        <f>_xll.BDP($C119,"RTG_SP")</f>
        <v>BB</v>
      </c>
    </row>
    <row r="120" spans="1:8" x14ac:dyDescent="0.25">
      <c r="A120" s="1" t="s">
        <v>133</v>
      </c>
      <c r="B120" s="1" t="s">
        <v>1047</v>
      </c>
      <c r="C120" s="1" t="s">
        <v>1048</v>
      </c>
      <c r="D120" s="1" t="s">
        <v>1049</v>
      </c>
      <c r="E120">
        <f>_xll.BDP($C120,"DUR_ADJ_MID")</f>
        <v>1.9722489631248172</v>
      </c>
      <c r="F120">
        <f>_xll.BDP($C120,"OAS_SPREAD_DUR_MID")</f>
        <v>1.8982786257124138</v>
      </c>
      <c r="G120" t="str">
        <f>_xll.BDP($C120,"MATURITY")</f>
        <v>8/15/2028</v>
      </c>
      <c r="H120" t="str">
        <f>_xll.BDP($C120,"RTG_SP")</f>
        <v>BB+</v>
      </c>
    </row>
    <row r="121" spans="1:8" x14ac:dyDescent="0.25">
      <c r="A121" s="1" t="s">
        <v>133</v>
      </c>
      <c r="B121" s="1" t="s">
        <v>1050</v>
      </c>
      <c r="C121" s="1" t="s">
        <v>1051</v>
      </c>
      <c r="D121" s="1" t="s">
        <v>1052</v>
      </c>
      <c r="E121">
        <f>_xll.BDP($C121,"DUR_ADJ_MID")</f>
        <v>1.9551753221635813</v>
      </c>
      <c r="F121">
        <f>_xll.BDP($C121,"OAS_SPREAD_DUR_MID")</f>
        <v>1.8835829162069526</v>
      </c>
      <c r="G121" t="str">
        <f>_xll.BDP($C121,"MATURITY")</f>
        <v>9/1/2029</v>
      </c>
      <c r="H121" t="str">
        <f>_xll.BDP($C121,"RTG_SP")</f>
        <v>BB-</v>
      </c>
    </row>
    <row r="122" spans="1:8" x14ac:dyDescent="0.25">
      <c r="A122" s="1" t="s">
        <v>133</v>
      </c>
      <c r="B122" s="1" t="s">
        <v>1053</v>
      </c>
      <c r="C122" s="1" t="s">
        <v>1054</v>
      </c>
      <c r="D122" s="1" t="s">
        <v>1055</v>
      </c>
      <c r="E122">
        <f>_xll.BDP($C122,"DUR_ADJ_MID")</f>
        <v>2.698282411289596</v>
      </c>
      <c r="F122">
        <f>_xll.BDP($C122,"OAS_SPREAD_DUR_MID")</f>
        <v>2.7794937373415967</v>
      </c>
      <c r="G122" t="str">
        <f>_xll.BDP($C122,"MATURITY")</f>
        <v>9/15/2030</v>
      </c>
      <c r="H122" t="str">
        <f>_xll.BDP($C122,"RTG_SP")</f>
        <v>#N/A N/A</v>
      </c>
    </row>
    <row r="123" spans="1:8" x14ac:dyDescent="0.25">
      <c r="A123" s="1" t="s">
        <v>133</v>
      </c>
      <c r="B123" s="1" t="s">
        <v>1056</v>
      </c>
      <c r="C123" s="1" t="s">
        <v>1057</v>
      </c>
      <c r="D123" s="1" t="s">
        <v>1058</v>
      </c>
      <c r="E123">
        <f>_xll.BDP($C123,"DUR_ADJ_MID")</f>
        <v>1.8134687825241642</v>
      </c>
      <c r="F123">
        <f>_xll.BDP($C123,"OAS_SPREAD_DUR_MID")</f>
        <v>1.6889978154792105</v>
      </c>
      <c r="G123" t="str">
        <f>_xll.BDP($C123,"MATURITY")</f>
        <v>6/15/2029</v>
      </c>
      <c r="H123" t="str">
        <f>_xll.BDP($C123,"RTG_SP")</f>
        <v>BB-</v>
      </c>
    </row>
    <row r="124" spans="1:8" x14ac:dyDescent="0.25">
      <c r="A124" s="1" t="s">
        <v>133</v>
      </c>
      <c r="B124" s="1" t="s">
        <v>1059</v>
      </c>
      <c r="C124" s="1" t="s">
        <v>1060</v>
      </c>
      <c r="D124" s="1" t="s">
        <v>1061</v>
      </c>
      <c r="E124">
        <f>_xll.BDP($C124,"DUR_ADJ_MID")</f>
        <v>1.8158245617223576</v>
      </c>
      <c r="F124">
        <f>_xll.BDP($C124,"OAS_SPREAD_DUR_MID")</f>
        <v>1.1270271567915342</v>
      </c>
      <c r="G124" t="str">
        <f>_xll.BDP($C124,"MATURITY")</f>
        <v>1/31/2030</v>
      </c>
      <c r="H124" t="str">
        <f>_xll.BDP($C124,"RTG_SP")</f>
        <v>CCC</v>
      </c>
    </row>
    <row r="125" spans="1:8" x14ac:dyDescent="0.25">
      <c r="A125" s="1" t="s">
        <v>133</v>
      </c>
      <c r="B125" s="1" t="s">
        <v>1062</v>
      </c>
      <c r="C125" s="1" t="s">
        <v>1063</v>
      </c>
      <c r="D125" s="1" t="s">
        <v>1064</v>
      </c>
      <c r="E125">
        <f>_xll.BDP($C125,"DUR_ADJ_MID")</f>
        <v>2.3128813807628883</v>
      </c>
      <c r="F125">
        <f>_xll.BDP($C125,"OAS_SPREAD_DUR_MID")</f>
        <v>1.2946670487915939</v>
      </c>
      <c r="G125" t="str">
        <f>_xll.BDP($C125,"MATURITY")</f>
        <v>2/1/2029</v>
      </c>
      <c r="H125" t="str">
        <f>_xll.BDP($C125,"RTG_SP")</f>
        <v>BB+</v>
      </c>
    </row>
    <row r="126" spans="1:8" x14ac:dyDescent="0.25">
      <c r="A126" s="1" t="s">
        <v>133</v>
      </c>
      <c r="B126" s="1" t="s">
        <v>1065</v>
      </c>
      <c r="C126" s="1" t="s">
        <v>1066</v>
      </c>
      <c r="D126" s="1" t="s">
        <v>1067</v>
      </c>
      <c r="E126">
        <f>_xll.BDP($C126,"DUR_ADJ_MID")</f>
        <v>3.7395540243163214</v>
      </c>
      <c r="F126">
        <f>_xll.BDP($C126,"OAS_SPREAD_DUR_MID")</f>
        <v>3.2121330336349128</v>
      </c>
      <c r="G126" t="str">
        <f>_xll.BDP($C126,"MATURITY")</f>
        <v>2/15/2031</v>
      </c>
      <c r="H126" t="str">
        <f>_xll.BDP($C126,"RTG_SP")</f>
        <v>B</v>
      </c>
    </row>
    <row r="127" spans="1:8" x14ac:dyDescent="0.25">
      <c r="A127" s="1" t="s">
        <v>133</v>
      </c>
      <c r="B127" s="1" t="s">
        <v>1068</v>
      </c>
      <c r="C127" s="1" t="s">
        <v>1069</v>
      </c>
      <c r="D127" s="1" t="s">
        <v>1070</v>
      </c>
      <c r="E127">
        <f>_xll.BDP($C127,"DUR_ADJ_MID")</f>
        <v>1.8023879537140548</v>
      </c>
      <c r="F127">
        <f>_xll.BDP($C127,"OAS_SPREAD_DUR_MID")</f>
        <v>1.7061863019264689</v>
      </c>
      <c r="G127" t="str">
        <f>_xll.BDP($C127,"MATURITY")</f>
        <v>6/15/2030</v>
      </c>
      <c r="H127" t="str">
        <f>_xll.BDP($C127,"RTG_SP")</f>
        <v>B+</v>
      </c>
    </row>
    <row r="128" spans="1:8" x14ac:dyDescent="0.25">
      <c r="A128" s="1" t="s">
        <v>133</v>
      </c>
      <c r="B128" s="1" t="s">
        <v>1071</v>
      </c>
      <c r="C128" s="1" t="s">
        <v>1072</v>
      </c>
      <c r="D128" s="1" t="s">
        <v>1073</v>
      </c>
      <c r="E128">
        <f>_xll.BDP($C128,"DUR_ADJ_MID")</f>
        <v>2.6008560920905834</v>
      </c>
      <c r="F128">
        <f>_xll.BDP($C128,"OAS_SPREAD_DUR_MID")</f>
        <v>2.5256708518662991</v>
      </c>
      <c r="G128" t="str">
        <f>_xll.BDP($C128,"MATURITY")</f>
        <v>5/1/2029</v>
      </c>
      <c r="H128" t="str">
        <f>_xll.BDP($C128,"RTG_SP")</f>
        <v>BB *</v>
      </c>
    </row>
    <row r="129" spans="1:8" x14ac:dyDescent="0.25">
      <c r="A129" s="1" t="s">
        <v>133</v>
      </c>
      <c r="B129" s="1" t="s">
        <v>1074</v>
      </c>
      <c r="C129" s="1" t="s">
        <v>1075</v>
      </c>
      <c r="D129" s="1" t="s">
        <v>1076</v>
      </c>
      <c r="E129">
        <f>_xll.BDP($C129,"DUR_ADJ_MID")</f>
        <v>0.28466797899810792</v>
      </c>
      <c r="F129">
        <f>_xll.BDP($C129,"OAS_SPREAD_DUR_MID")</f>
        <v>0.31377078388510066</v>
      </c>
      <c r="G129" t="str">
        <f>_xll.BDP($C129,"MATURITY")</f>
        <v>10/15/2028</v>
      </c>
      <c r="H129" t="str">
        <f>_xll.BDP($C129,"RTG_SP")</f>
        <v>B+</v>
      </c>
    </row>
    <row r="130" spans="1:8" x14ac:dyDescent="0.25">
      <c r="A130" s="1" t="s">
        <v>133</v>
      </c>
      <c r="B130" s="1" t="s">
        <v>1077</v>
      </c>
      <c r="C130" s="1" t="s">
        <v>1078</v>
      </c>
      <c r="D130" s="1" t="s">
        <v>1079</v>
      </c>
      <c r="E130">
        <f>_xll.BDP($C130,"DUR_ADJ_MID")</f>
        <v>2.6751431537020292</v>
      </c>
      <c r="F130">
        <f>_xll.BDP($C130,"OAS_SPREAD_DUR_MID")</f>
        <v>1.7370991533818738</v>
      </c>
      <c r="G130" t="str">
        <f>_xll.BDP($C130,"MATURITY")</f>
        <v>8/1/2029</v>
      </c>
      <c r="H130" t="str">
        <f>_xll.BDP($C130,"RTG_SP")</f>
        <v>B-</v>
      </c>
    </row>
    <row r="131" spans="1:8" x14ac:dyDescent="0.25">
      <c r="A131" s="1" t="s">
        <v>133</v>
      </c>
      <c r="B131" s="1" t="s">
        <v>1080</v>
      </c>
      <c r="C131" s="1" t="s">
        <v>1081</v>
      </c>
      <c r="D131" s="1" t="s">
        <v>1082</v>
      </c>
      <c r="E131">
        <f>_xll.BDP($C131,"DUR_ADJ_MID")</f>
        <v>2.3377016963787804</v>
      </c>
      <c r="F131">
        <f>_xll.BDP($C131,"OAS_SPREAD_DUR_MID")</f>
        <v>2.2013403722428095</v>
      </c>
      <c r="G131" t="str">
        <f>_xll.BDP($C131,"MATURITY")</f>
        <v>5/1/2029</v>
      </c>
      <c r="H131" t="str">
        <f>_xll.BDP($C131,"RTG_SP")</f>
        <v>CCC+</v>
      </c>
    </row>
    <row r="132" spans="1:8" x14ac:dyDescent="0.25">
      <c r="A132" s="1" t="s">
        <v>133</v>
      </c>
      <c r="B132" s="1" t="s">
        <v>1083</v>
      </c>
      <c r="C132" s="1" t="s">
        <v>1084</v>
      </c>
      <c r="D132" s="1" t="s">
        <v>1085</v>
      </c>
      <c r="E132">
        <f>_xll.BDP($C132,"DUR_ADJ_MID")</f>
        <v>2.6301472818536604</v>
      </c>
      <c r="F132">
        <f>_xll.BDP($C132,"OAS_SPREAD_DUR_MID")</f>
        <v>2.0923683791079606</v>
      </c>
      <c r="G132" t="str">
        <f>_xll.BDP($C132,"MATURITY")</f>
        <v>5/15/2029</v>
      </c>
      <c r="H132" t="str">
        <f>_xll.BDP($C132,"RTG_SP")</f>
        <v>BB</v>
      </c>
    </row>
    <row r="133" spans="1:8" x14ac:dyDescent="0.25">
      <c r="A133" s="1" t="s">
        <v>133</v>
      </c>
      <c r="B133" s="1" t="s">
        <v>1086</v>
      </c>
      <c r="C133" s="1" t="s">
        <v>1087</v>
      </c>
      <c r="D133" s="1" t="s">
        <v>1088</v>
      </c>
      <c r="E133">
        <f>_xll.BDP($C133,"DUR_ADJ_MID")</f>
        <v>2.8825470460848432</v>
      </c>
      <c r="F133">
        <f>_xll.BDP($C133,"OAS_SPREAD_DUR_MID")</f>
        <v>2.3334998071957296</v>
      </c>
      <c r="G133" t="str">
        <f>_xll.BDP($C133,"MATURITY")</f>
        <v>9/15/2029</v>
      </c>
      <c r="H133" t="str">
        <f>_xll.BDP($C133,"RTG_SP")</f>
        <v>BB-</v>
      </c>
    </row>
    <row r="134" spans="1:8" x14ac:dyDescent="0.25">
      <c r="A134" s="1" t="s">
        <v>133</v>
      </c>
      <c r="B134" s="1" t="s">
        <v>1089</v>
      </c>
      <c r="C134" s="1" t="s">
        <v>1090</v>
      </c>
      <c r="D134" s="1" t="s">
        <v>1091</v>
      </c>
      <c r="E134">
        <f>_xll.BDP($C134,"DUR_ADJ_MID")</f>
        <v>2.2985925590622198</v>
      </c>
      <c r="F134">
        <f>_xll.BDP($C134,"OAS_SPREAD_DUR_MID")</f>
        <v>1.9369406412276806</v>
      </c>
      <c r="G134" t="str">
        <f>_xll.BDP($C134,"MATURITY")</f>
        <v>2/15/2029</v>
      </c>
      <c r="H134" t="str">
        <f>_xll.BDP($C134,"RTG_SP")</f>
        <v>B-</v>
      </c>
    </row>
    <row r="135" spans="1:8" x14ac:dyDescent="0.25">
      <c r="A135" s="1" t="s">
        <v>133</v>
      </c>
      <c r="B135" s="1" t="s">
        <v>1092</v>
      </c>
      <c r="C135" s="1" t="s">
        <v>1093</v>
      </c>
      <c r="D135" s="1" t="s">
        <v>1094</v>
      </c>
      <c r="E135">
        <f>_xll.BDP($C135,"DUR_ADJ_MID")</f>
        <v>2.5162017752639114</v>
      </c>
      <c r="F135">
        <f>_xll.BDP($C135,"OAS_SPREAD_DUR_MID")</f>
        <v>2.1640316632121639</v>
      </c>
      <c r="G135" t="str">
        <f>_xll.BDP($C135,"MATURITY")</f>
        <v>4/30/2031</v>
      </c>
      <c r="H135" t="str">
        <f>_xll.BDP($C135,"RTG_SP")</f>
        <v>BB</v>
      </c>
    </row>
    <row r="136" spans="1:8" x14ac:dyDescent="0.25">
      <c r="A136" s="1" t="s">
        <v>133</v>
      </c>
      <c r="B136" s="1" t="s">
        <v>1095</v>
      </c>
      <c r="C136" s="1" t="s">
        <v>1096</v>
      </c>
      <c r="D136" s="1" t="s">
        <v>1097</v>
      </c>
      <c r="E136">
        <f>_xll.BDP($C136,"DUR_ADJ_MID")</f>
        <v>2.5201129218964304</v>
      </c>
      <c r="F136">
        <f>_xll.BDP($C136,"OAS_SPREAD_DUR_MID")</f>
        <v>1.7110301713837512</v>
      </c>
      <c r="G136" t="str">
        <f>_xll.BDP($C136,"MATURITY")</f>
        <v>5/15/2030</v>
      </c>
      <c r="H136" t="str">
        <f>_xll.BDP($C136,"RTG_SP")</f>
        <v>#N/A N/A</v>
      </c>
    </row>
    <row r="137" spans="1:8" x14ac:dyDescent="0.25">
      <c r="A137" s="1" t="s">
        <v>133</v>
      </c>
      <c r="B137" s="1" t="s">
        <v>1098</v>
      </c>
      <c r="C137" s="1" t="s">
        <v>1099</v>
      </c>
      <c r="D137" s="1" t="s">
        <v>1100</v>
      </c>
      <c r="E137">
        <f>_xll.BDP($C137,"DUR_ADJ_MID")</f>
        <v>1.5338008899801214</v>
      </c>
      <c r="F137">
        <f>_xll.BDP($C137,"OAS_SPREAD_DUR_MID")</f>
        <v>1.6331180090832731</v>
      </c>
      <c r="G137" t="str">
        <f>_xll.BDP($C137,"MATURITY")</f>
        <v>3/15/2030</v>
      </c>
      <c r="H137" t="str">
        <f>_xll.BDP($C137,"RTG_SP")</f>
        <v>B-</v>
      </c>
    </row>
    <row r="138" spans="1:8" x14ac:dyDescent="0.25">
      <c r="A138" s="1" t="s">
        <v>133</v>
      </c>
      <c r="B138" s="1" t="s">
        <v>1101</v>
      </c>
      <c r="C138" s="1" t="s">
        <v>1102</v>
      </c>
      <c r="D138" s="1" t="s">
        <v>1103</v>
      </c>
      <c r="E138">
        <f>_xll.BDP($C138,"DUR_ADJ_MID")</f>
        <v>0.88302995189389089</v>
      </c>
      <c r="F138">
        <f>_xll.BDP($C138,"OAS_SPREAD_DUR_MID")</f>
        <v>0.6207226452266309</v>
      </c>
      <c r="G138" t="str">
        <f>_xll.BDP($C138,"MATURITY")</f>
        <v>6/1/2027</v>
      </c>
      <c r="H138" t="str">
        <f>_xll.BDP($C138,"RTG_SP")</f>
        <v>BB+</v>
      </c>
    </row>
    <row r="139" spans="1:8" x14ac:dyDescent="0.25">
      <c r="A139" s="1" t="s">
        <v>133</v>
      </c>
      <c r="B139" s="1" t="s">
        <v>1104</v>
      </c>
      <c r="C139" s="1" t="s">
        <v>1105</v>
      </c>
      <c r="D139" s="1" t="s">
        <v>1106</v>
      </c>
      <c r="E139">
        <f>_xll.BDP($C139,"DUR_ADJ_MID")</f>
        <v>1.3717345686797231</v>
      </c>
      <c r="F139">
        <f>_xll.BDP($C139,"OAS_SPREAD_DUR_MID")</f>
        <v>1.232231397905448</v>
      </c>
      <c r="G139" t="str">
        <f>_xll.BDP($C139,"MATURITY")</f>
        <v>12/15/2028</v>
      </c>
      <c r="H139" t="str">
        <f>_xll.BDP($C139,"RTG_SP")</f>
        <v>BB+</v>
      </c>
    </row>
    <row r="140" spans="1:8" x14ac:dyDescent="0.25">
      <c r="A140" s="1" t="s">
        <v>133</v>
      </c>
      <c r="B140" s="1" t="s">
        <v>1107</v>
      </c>
      <c r="C140" s="1" t="s">
        <v>1108</v>
      </c>
      <c r="D140" s="1" t="s">
        <v>1109</v>
      </c>
      <c r="E140">
        <f>_xll.BDP($C140,"DUR_ADJ_MID")</f>
        <v>1.3875061140097513</v>
      </c>
      <c r="F140">
        <f>_xll.BDP($C140,"OAS_SPREAD_DUR_MID")</f>
        <v>0.9949898498460561</v>
      </c>
      <c r="G140" t="str">
        <f>_xll.BDP($C140,"MATURITY")</f>
        <v>12/15/2027</v>
      </c>
      <c r="H140" t="str">
        <f>_xll.BDP($C140,"RTG_SP")</f>
        <v>BB+</v>
      </c>
    </row>
    <row r="141" spans="1:8" x14ac:dyDescent="0.25">
      <c r="A141" s="1" t="s">
        <v>133</v>
      </c>
      <c r="B141" s="1" t="s">
        <v>1110</v>
      </c>
      <c r="C141" s="1" t="s">
        <v>1111</v>
      </c>
      <c r="D141" s="1" t="s">
        <v>1112</v>
      </c>
      <c r="E141">
        <f>_xll.BDP($C141,"DUR_ADJ_MID")</f>
        <v>1.4703472085842548</v>
      </c>
      <c r="F141">
        <f>_xll.BDP($C141,"OAS_SPREAD_DUR_MID")</f>
        <v>1.4747790302561867</v>
      </c>
      <c r="G141" t="str">
        <f>_xll.BDP($C141,"MATURITY")</f>
        <v>2/1/2028</v>
      </c>
      <c r="H141" t="str">
        <f>_xll.BDP($C141,"RTG_SP")</f>
        <v>BB+</v>
      </c>
    </row>
    <row r="142" spans="1:8" x14ac:dyDescent="0.25">
      <c r="A142" s="1" t="s">
        <v>133</v>
      </c>
      <c r="B142" s="1" t="s">
        <v>1113</v>
      </c>
      <c r="C142" s="1" t="s">
        <v>1114</v>
      </c>
      <c r="D142" s="1" t="s">
        <v>1115</v>
      </c>
      <c r="E142">
        <f>_xll.BDP($C142,"DUR_ADJ_MID")</f>
        <v>0.28409241459167672</v>
      </c>
      <c r="F142">
        <f>_xll.BDP($C142,"OAS_SPREAD_DUR_MID")</f>
        <v>0.66148459295238748</v>
      </c>
      <c r="G142" t="str">
        <f>_xll.BDP($C142,"MATURITY")</f>
        <v>10/15/2028</v>
      </c>
      <c r="H142" t="str">
        <f>_xll.BDP($C142,"RTG_SP")</f>
        <v>B+</v>
      </c>
    </row>
    <row r="143" spans="1:8" x14ac:dyDescent="0.25">
      <c r="A143" s="1" t="s">
        <v>133</v>
      </c>
      <c r="B143" s="1" t="s">
        <v>1116</v>
      </c>
      <c r="C143" s="1" t="s">
        <v>1117</v>
      </c>
      <c r="D143" s="1" t="s">
        <v>1118</v>
      </c>
      <c r="E143">
        <f>_xll.BDP($C143,"DUR_ADJ_MID")</f>
        <v>4.0706839427184773</v>
      </c>
      <c r="F143">
        <f>_xll.BDP($C143,"OAS_SPREAD_DUR_MID")</f>
        <v>3.9233405315380594</v>
      </c>
      <c r="G143" t="str">
        <f>_xll.BDP($C143,"MATURITY")</f>
        <v>1/15/2031</v>
      </c>
      <c r="H143" t="str">
        <f>_xll.BDP($C143,"RTG_SP")</f>
        <v>BB</v>
      </c>
    </row>
    <row r="144" spans="1:8" x14ac:dyDescent="0.25">
      <c r="A144" s="1" t="s">
        <v>133</v>
      </c>
      <c r="B144" s="1" t="s">
        <v>1119</v>
      </c>
      <c r="C144" s="1" t="s">
        <v>1120</v>
      </c>
      <c r="D144" s="1" t="s">
        <v>1121</v>
      </c>
      <c r="E144">
        <f>_xll.BDP($C144,"DUR_ADJ_MID")</f>
        <v>3.6882381482143729</v>
      </c>
      <c r="F144">
        <f>_xll.BDP($C144,"OAS_SPREAD_DUR_MID")</f>
        <v>3.1594784168079491</v>
      </c>
      <c r="G144" t="str">
        <f>_xll.BDP($C144,"MATURITY")</f>
        <v>10/1/2030</v>
      </c>
      <c r="H144" t="str">
        <f>_xll.BDP($C144,"RTG_SP")</f>
        <v>BB+</v>
      </c>
    </row>
    <row r="145" spans="1:8" x14ac:dyDescent="0.25">
      <c r="A145" s="1" t="s">
        <v>133</v>
      </c>
      <c r="B145" s="1" t="s">
        <v>1122</v>
      </c>
      <c r="C145" s="1" t="s">
        <v>1123</v>
      </c>
      <c r="D145" s="1" t="s">
        <v>1124</v>
      </c>
      <c r="E145">
        <f>_xll.BDP($C145,"DUR_ADJ_MID")</f>
        <v>3.8825495405794649E-2</v>
      </c>
      <c r="F145">
        <f>_xll.BDP($C145,"OAS_SPREAD_DUR_MID")</f>
        <v>3.74733096688325E-2</v>
      </c>
      <c r="G145" t="str">
        <f>_xll.BDP($C145,"MATURITY")</f>
        <v>5/15/2027</v>
      </c>
      <c r="H145" t="str">
        <f>_xll.BDP($C145,"RTG_SP")</f>
        <v>BB+</v>
      </c>
    </row>
    <row r="146" spans="1:8" x14ac:dyDescent="0.25">
      <c r="A146" s="1" t="s">
        <v>133</v>
      </c>
      <c r="B146" s="1" t="s">
        <v>1125</v>
      </c>
      <c r="C146" s="1" t="s">
        <v>1126</v>
      </c>
      <c r="D146" s="1" t="s">
        <v>1127</v>
      </c>
      <c r="E146">
        <f>_xll.BDP($C146,"DUR_ADJ_MID")</f>
        <v>0.5189687762574503</v>
      </c>
      <c r="F146">
        <f>_xll.BDP($C146,"OAS_SPREAD_DUR_MID")</f>
        <v>0.57684478837128372</v>
      </c>
      <c r="G146" t="str">
        <f>_xll.BDP($C146,"MATURITY")</f>
        <v>4/15/2027</v>
      </c>
      <c r="H146" t="str">
        <f>_xll.BDP($C146,"RTG_SP")</f>
        <v>BB-</v>
      </c>
    </row>
    <row r="147" spans="1:8" x14ac:dyDescent="0.25">
      <c r="A147" s="1" t="s">
        <v>133</v>
      </c>
      <c r="B147" s="1" t="s">
        <v>1128</v>
      </c>
      <c r="C147" s="1" t="s">
        <v>1129</v>
      </c>
      <c r="D147" s="1" t="s">
        <v>1130</v>
      </c>
      <c r="E147">
        <f>_xll.BDP($C147,"DUR_ADJ_MID")</f>
        <v>1.2071741031006498</v>
      </c>
      <c r="F147">
        <f>_xll.BDP($C147,"OAS_SPREAD_DUR_MID")</f>
        <v>1.2077811613733205</v>
      </c>
      <c r="G147" t="str">
        <f>_xll.BDP($C147,"MATURITY")</f>
        <v>10/15/2027</v>
      </c>
      <c r="H147" t="str">
        <f>_xll.BDP($C147,"RTG_SP")</f>
        <v>CCC+</v>
      </c>
    </row>
    <row r="148" spans="1:8" x14ac:dyDescent="0.25">
      <c r="A148" s="1" t="s">
        <v>133</v>
      </c>
      <c r="B148" s="1" t="s">
        <v>1131</v>
      </c>
      <c r="C148" s="1" t="s">
        <v>1132</v>
      </c>
      <c r="D148" s="1" t="s">
        <v>1133</v>
      </c>
      <c r="E148">
        <f>_xll.BDP($C148,"DUR_ADJ_MID")</f>
        <v>2.4995504974901648</v>
      </c>
      <c r="F148">
        <f>_xll.BDP($C148,"OAS_SPREAD_DUR_MID")</f>
        <v>2.5012767494036003</v>
      </c>
      <c r="G148" t="str">
        <f>_xll.BDP($C148,"MATURITY")</f>
        <v>6/1/2029</v>
      </c>
      <c r="H148" t="str">
        <f>_xll.BDP($C148,"RTG_SP")</f>
        <v>CCC-</v>
      </c>
    </row>
    <row r="149" spans="1:8" x14ac:dyDescent="0.25">
      <c r="A149" s="1" t="s">
        <v>133</v>
      </c>
      <c r="B149" s="1" t="s">
        <v>1134</v>
      </c>
      <c r="C149" s="1" t="s">
        <v>1135</v>
      </c>
      <c r="D149" s="1" t="s">
        <v>1136</v>
      </c>
      <c r="E149">
        <f>_xll.BDP($C149,"DUR_ADJ_MID")</f>
        <v>2.3567257724419419</v>
      </c>
      <c r="F149">
        <f>_xll.BDP($C149,"OAS_SPREAD_DUR_MID")</f>
        <v>1.2836779550864252</v>
      </c>
      <c r="G149" t="str">
        <f>_xll.BDP($C149,"MATURITY")</f>
        <v>2/15/2029</v>
      </c>
      <c r="H149" t="str">
        <f>_xll.BDP($C149,"RTG_SP")</f>
        <v>BB</v>
      </c>
    </row>
    <row r="150" spans="1:8" x14ac:dyDescent="0.25">
      <c r="A150" s="1" t="s">
        <v>133</v>
      </c>
      <c r="B150" s="1" t="s">
        <v>1137</v>
      </c>
      <c r="C150" s="1" t="s">
        <v>1138</v>
      </c>
      <c r="D150" s="1" t="s">
        <v>1139</v>
      </c>
      <c r="E150">
        <f>_xll.BDP($C150,"DUR_ADJ_MID")</f>
        <v>3.0678690028711637</v>
      </c>
      <c r="F150">
        <f>_xll.BDP($C150,"OAS_SPREAD_DUR_MID")</f>
        <v>2.3740936810034121</v>
      </c>
      <c r="G150" t="str">
        <f>_xll.BDP($C150,"MATURITY")</f>
        <v>4/15/2030</v>
      </c>
      <c r="H150" t="str">
        <f>_xll.BDP($C150,"RTG_SP")</f>
        <v>CCC+</v>
      </c>
    </row>
    <row r="151" spans="1:8" x14ac:dyDescent="0.25">
      <c r="A151" s="1" t="s">
        <v>133</v>
      </c>
      <c r="B151" s="1" t="s">
        <v>1140</v>
      </c>
      <c r="C151" s="1" t="s">
        <v>1141</v>
      </c>
      <c r="D151" s="1" t="s">
        <v>1142</v>
      </c>
      <c r="E151">
        <f>_xll.BDP($C151,"DUR_ADJ_MID")</f>
        <v>0.16536069560950528</v>
      </c>
      <c r="F151">
        <f>_xll.BDP($C151,"OAS_SPREAD_DUR_MID")</f>
        <v>0.16556944854065872</v>
      </c>
      <c r="G151" t="str">
        <f>_xll.BDP($C151,"MATURITY")</f>
        <v>9/1/2028</v>
      </c>
      <c r="H151" t="str">
        <f>_xll.BDP($C151,"RTG_SP")</f>
        <v>B-</v>
      </c>
    </row>
    <row r="152" spans="1:8" x14ac:dyDescent="0.25">
      <c r="A152" s="1" t="s">
        <v>133</v>
      </c>
      <c r="B152" s="1" t="s">
        <v>1143</v>
      </c>
      <c r="C152" s="1" t="s">
        <v>1144</v>
      </c>
      <c r="D152" s="1" t="s">
        <v>1145</v>
      </c>
      <c r="E152">
        <f>_xll.BDP($C152,"DUR_ADJ_MID")</f>
        <v>2.9224676639161733</v>
      </c>
      <c r="F152">
        <f>_xll.BDP($C152,"OAS_SPREAD_DUR_MID")</f>
        <v>2.9269238703797171</v>
      </c>
      <c r="G152" t="str">
        <f>_xll.BDP($C152,"MATURITY")</f>
        <v>2/15/2030</v>
      </c>
      <c r="H152" t="str">
        <f>_xll.BDP($C152,"RTG_SP")</f>
        <v>CCC+</v>
      </c>
    </row>
    <row r="153" spans="1:8" x14ac:dyDescent="0.25">
      <c r="A153" s="1" t="s">
        <v>133</v>
      </c>
      <c r="B153" s="1" t="s">
        <v>1146</v>
      </c>
      <c r="C153" s="1" t="s">
        <v>1147</v>
      </c>
      <c r="D153" s="1" t="s">
        <v>1148</v>
      </c>
      <c r="E153">
        <f>_xll.BDP($C153,"DUR_ADJ_MID")</f>
        <v>3.1813877635230754</v>
      </c>
      <c r="F153">
        <f>_xll.BDP($C153,"OAS_SPREAD_DUR_MID")</f>
        <v>1.954166008342602</v>
      </c>
      <c r="G153" t="str">
        <f>_xll.BDP($C153,"MATURITY")</f>
        <v>2/15/2030</v>
      </c>
      <c r="H153" t="str">
        <f>_xll.BDP($C153,"RTG_SP")</f>
        <v>BB</v>
      </c>
    </row>
    <row r="154" spans="1:8" x14ac:dyDescent="0.25">
      <c r="A154" s="1" t="s">
        <v>133</v>
      </c>
      <c r="B154" s="1" t="s">
        <v>1149</v>
      </c>
      <c r="C154" s="1" t="s">
        <v>1150</v>
      </c>
      <c r="D154" s="1" t="s">
        <v>1151</v>
      </c>
      <c r="E154">
        <f>_xll.BDP($C154,"DUR_ADJ_MID")</f>
        <v>3.3262249293805044</v>
      </c>
      <c r="F154">
        <f>_xll.BDP($C154,"OAS_SPREAD_DUR_MID")</f>
        <v>3.3957243622063382</v>
      </c>
      <c r="G154" t="str">
        <f>_xll.BDP($C154,"MATURITY")</f>
        <v>4/30/2031</v>
      </c>
      <c r="H154" t="str">
        <f>_xll.BDP($C154,"RTG_SP")</f>
        <v>BB-</v>
      </c>
    </row>
    <row r="155" spans="1:8" x14ac:dyDescent="0.25">
      <c r="A155" s="1" t="s">
        <v>133</v>
      </c>
      <c r="B155" s="1" t="s">
        <v>1152</v>
      </c>
      <c r="C155" s="1" t="s">
        <v>1153</v>
      </c>
      <c r="D155" s="1" t="s">
        <v>1154</v>
      </c>
      <c r="E155">
        <f>_xll.BDP($C155,"DUR_ADJ_MID")</f>
        <v>2.7049954272147545</v>
      </c>
      <c r="F155">
        <f>_xll.BDP($C155,"OAS_SPREAD_DUR_MID")</f>
        <v>2.6756496245975456</v>
      </c>
      <c r="G155" t="str">
        <f>_xll.BDP($C155,"MATURITY")</f>
        <v>8/1/2030</v>
      </c>
      <c r="H155" t="str">
        <f>_xll.BDP($C155,"RTG_SP")</f>
        <v>BB</v>
      </c>
    </row>
    <row r="156" spans="1:8" x14ac:dyDescent="0.25">
      <c r="A156" s="1" t="s">
        <v>133</v>
      </c>
      <c r="B156" s="1" t="s">
        <v>1155</v>
      </c>
      <c r="C156" s="1" t="s">
        <v>1156</v>
      </c>
      <c r="D156" s="1" t="s">
        <v>1157</v>
      </c>
      <c r="E156">
        <f>_xll.BDP($C156,"DUR_ADJ_MID")</f>
        <v>3.2221897094335263</v>
      </c>
      <c r="F156">
        <f>_xll.BDP($C156,"OAS_SPREAD_DUR_MID")</f>
        <v>2.7956834617274531</v>
      </c>
      <c r="G156" t="str">
        <f>_xll.BDP($C156,"MATURITY")</f>
        <v>4/1/2031</v>
      </c>
      <c r="H156" t="str">
        <f>_xll.BDP($C156,"RTG_SP")</f>
        <v>#N/A N/A</v>
      </c>
    </row>
    <row r="157" spans="1:8" x14ac:dyDescent="0.25">
      <c r="A157" s="1" t="s">
        <v>133</v>
      </c>
      <c r="B157" s="1" t="s">
        <v>1158</v>
      </c>
      <c r="C157" s="1" t="s">
        <v>1159</v>
      </c>
      <c r="D157" s="1" t="s">
        <v>1160</v>
      </c>
      <c r="E157">
        <f>_xll.BDP($C157,"DUR_ADJ_MID")</f>
        <v>3.0771518352584559</v>
      </c>
      <c r="F157">
        <f>_xll.BDP($C157,"OAS_SPREAD_DUR_MID")</f>
        <v>2.8459518605294956</v>
      </c>
      <c r="G157" t="str">
        <f>_xll.BDP($C157,"MATURITY")</f>
        <v>2/15/2030</v>
      </c>
      <c r="H157" t="str">
        <f>_xll.BDP($C157,"RTG_SP")</f>
        <v>CCC</v>
      </c>
    </row>
    <row r="158" spans="1:8" x14ac:dyDescent="0.25">
      <c r="A158" s="1" t="s">
        <v>133</v>
      </c>
      <c r="B158" s="1" t="s">
        <v>1161</v>
      </c>
      <c r="C158" s="1" t="s">
        <v>1162</v>
      </c>
      <c r="D158" s="1" t="s">
        <v>1163</v>
      </c>
      <c r="E158">
        <f>_xll.BDP($C158,"DUR_ADJ_MID")</f>
        <v>2.4345443005229916</v>
      </c>
      <c r="F158">
        <f>_xll.BDP($C158,"OAS_SPREAD_DUR_MID")</f>
        <v>1.9378332980251667</v>
      </c>
      <c r="G158" t="str">
        <f>_xll.BDP($C158,"MATURITY")</f>
        <v>4/15/2030</v>
      </c>
      <c r="H158" t="str">
        <f>_xll.BDP($C158,"RTG_SP")</f>
        <v>B-</v>
      </c>
    </row>
    <row r="159" spans="1:8" x14ac:dyDescent="0.25">
      <c r="A159" s="1" t="s">
        <v>133</v>
      </c>
      <c r="B159" s="1" t="s">
        <v>1164</v>
      </c>
      <c r="C159" s="1" t="s">
        <v>1165</v>
      </c>
      <c r="D159" s="1" t="s">
        <v>1166</v>
      </c>
      <c r="E159">
        <f>_xll.BDP($C159,"DUR_ADJ_MID")</f>
        <v>1.8435853257426489</v>
      </c>
      <c r="F159">
        <f>_xll.BDP($C159,"OAS_SPREAD_DUR_MID")</f>
        <v>1.6553486838557971</v>
      </c>
      <c r="G159" t="str">
        <f>_xll.BDP($C159,"MATURITY")</f>
        <v>6/15/2028</v>
      </c>
      <c r="H159" t="str">
        <f>_xll.BDP($C159,"RTG_SP")</f>
        <v>BB-</v>
      </c>
    </row>
    <row r="160" spans="1:8" x14ac:dyDescent="0.25">
      <c r="A160" s="1" t="s">
        <v>133</v>
      </c>
      <c r="B160" s="1" t="s">
        <v>1167</v>
      </c>
      <c r="C160" s="1" t="s">
        <v>1168</v>
      </c>
      <c r="D160" s="1" t="s">
        <v>1169</v>
      </c>
      <c r="E160">
        <f>_xll.BDP($C160,"DUR_ADJ_MID")</f>
        <v>2.9125552394545338</v>
      </c>
      <c r="F160">
        <f>_xll.BDP($C160,"OAS_SPREAD_DUR_MID")</f>
        <v>1.4215904353440765</v>
      </c>
      <c r="G160" t="str">
        <f>_xll.BDP($C160,"MATURITY")</f>
        <v>10/1/2029</v>
      </c>
      <c r="H160" t="str">
        <f>_xll.BDP($C160,"RTG_SP")</f>
        <v>BB-</v>
      </c>
    </row>
    <row r="161" spans="1:8" x14ac:dyDescent="0.25">
      <c r="A161" s="1" t="s">
        <v>133</v>
      </c>
      <c r="B161" s="1" t="s">
        <v>1170</v>
      </c>
      <c r="C161" s="1" t="s">
        <v>1171</v>
      </c>
      <c r="D161" s="1" t="s">
        <v>1172</v>
      </c>
      <c r="E161">
        <f>_xll.BDP($C161,"DUR_ADJ_MID")</f>
        <v>2.892505636204699</v>
      </c>
      <c r="F161">
        <f>_xll.BDP($C161,"OAS_SPREAD_DUR_MID")</f>
        <v>2.2346555068019018</v>
      </c>
      <c r="G161" t="str">
        <f>_xll.BDP($C161,"MATURITY")</f>
        <v>9/15/2029</v>
      </c>
      <c r="H161" t="str">
        <f>_xll.BDP($C161,"RTG_SP")</f>
        <v>BB+</v>
      </c>
    </row>
    <row r="162" spans="1:8" x14ac:dyDescent="0.25">
      <c r="A162" s="1" t="s">
        <v>133</v>
      </c>
      <c r="B162" s="1" t="s">
        <v>1173</v>
      </c>
      <c r="C162" s="1" t="s">
        <v>1174</v>
      </c>
      <c r="D162" s="1" t="s">
        <v>1175</v>
      </c>
      <c r="E162">
        <f>_xll.BDP($C162,"DUR_ADJ_MID")</f>
        <v>1.6494318348194641</v>
      </c>
      <c r="F162">
        <f>_xll.BDP($C162,"OAS_SPREAD_DUR_MID")</f>
        <v>1.6937127883109666</v>
      </c>
      <c r="G162" t="str">
        <f>_xll.BDP($C162,"MATURITY")</f>
        <v>2/19/2029</v>
      </c>
      <c r="H162" t="str">
        <f>_xll.BDP($C162,"RTG_SP")</f>
        <v>CCC+</v>
      </c>
    </row>
    <row r="163" spans="1:8" x14ac:dyDescent="0.25">
      <c r="A163" s="1" t="s">
        <v>133</v>
      </c>
      <c r="B163" s="1" t="s">
        <v>1176</v>
      </c>
      <c r="C163" s="1" t="s">
        <v>1177</v>
      </c>
      <c r="D163" s="1" t="s">
        <v>1178</v>
      </c>
      <c r="E163">
        <f>_xll.BDP($C163,"DUR_ADJ_MID")</f>
        <v>3.8061449466243653</v>
      </c>
      <c r="F163">
        <f>_xll.BDP($C163,"OAS_SPREAD_DUR_MID")</f>
        <v>3.3882745038789084</v>
      </c>
      <c r="G163" t="str">
        <f>_xll.BDP($C163,"MATURITY")</f>
        <v>1/15/2031</v>
      </c>
      <c r="H163" t="str">
        <f>_xll.BDP($C163,"RTG_SP")</f>
        <v>B+</v>
      </c>
    </row>
    <row r="164" spans="1:8" x14ac:dyDescent="0.25">
      <c r="A164" s="1" t="s">
        <v>133</v>
      </c>
      <c r="B164" s="1" t="s">
        <v>1179</v>
      </c>
      <c r="C164" s="1" t="s">
        <v>1180</v>
      </c>
      <c r="D164" s="1" t="s">
        <v>1181</v>
      </c>
      <c r="E164">
        <f>_xll.BDP($C164,"DUR_ADJ_MID")</f>
        <v>2.6981017274137837</v>
      </c>
      <c r="F164">
        <f>_xll.BDP($C164,"OAS_SPREAD_DUR_MID")</f>
        <v>1.6310322542700066</v>
      </c>
      <c r="G164" t="str">
        <f>_xll.BDP($C164,"MATURITY")</f>
        <v>6/15/2029</v>
      </c>
      <c r="H164" t="str">
        <f>_xll.BDP($C164,"RTG_SP")</f>
        <v>BB</v>
      </c>
    </row>
    <row r="165" spans="1:8" x14ac:dyDescent="0.25">
      <c r="A165" s="1" t="s">
        <v>133</v>
      </c>
      <c r="B165" s="1" t="s">
        <v>1182</v>
      </c>
      <c r="C165" s="1" t="s">
        <v>1183</v>
      </c>
      <c r="D165" s="1" t="s">
        <v>1184</v>
      </c>
      <c r="E165">
        <f>_xll.BDP($C165,"DUR_ADJ_MID")</f>
        <v>2.4208950012579158</v>
      </c>
      <c r="F165">
        <f>_xll.BDP($C165,"OAS_SPREAD_DUR_MID")</f>
        <v>2.3465095371789553</v>
      </c>
      <c r="G165" t="str">
        <f>_xll.BDP($C165,"MATURITY")</f>
        <v>3/15/2029</v>
      </c>
      <c r="H165" t="str">
        <f>_xll.BDP($C165,"RTG_SP")</f>
        <v>BB-</v>
      </c>
    </row>
    <row r="166" spans="1:8" x14ac:dyDescent="0.25">
      <c r="A166" s="1" t="s">
        <v>133</v>
      </c>
      <c r="B166" s="1" t="s">
        <v>1185</v>
      </c>
      <c r="C166" s="1" t="s">
        <v>1186</v>
      </c>
      <c r="D166" s="1" t="s">
        <v>1187</v>
      </c>
      <c r="E166">
        <f>_xll.BDP($C166,"DUR_ADJ_MID")</f>
        <v>2.7790119530744164</v>
      </c>
      <c r="F166">
        <f>_xll.BDP($C166,"OAS_SPREAD_DUR_MID")</f>
        <v>2.8228988040049861</v>
      </c>
      <c r="G166" t="str">
        <f>_xll.BDP($C166,"MATURITY")</f>
        <v>5/15/2031</v>
      </c>
      <c r="H166" t="str">
        <f>_xll.BDP($C166,"RTG_SP")</f>
        <v>B-</v>
      </c>
    </row>
    <row r="167" spans="1:8" x14ac:dyDescent="0.25">
      <c r="A167" s="1" t="s">
        <v>133</v>
      </c>
      <c r="B167" s="1" t="s">
        <v>1188</v>
      </c>
      <c r="C167" s="1" t="s">
        <v>1189</v>
      </c>
      <c r="D167" s="1" t="s">
        <v>1190</v>
      </c>
      <c r="E167">
        <f>_xll.BDP($C167,"DUR_ADJ_MID")</f>
        <v>2.8300680114070422</v>
      </c>
      <c r="F167">
        <f>_xll.BDP($C167,"OAS_SPREAD_DUR_MID")</f>
        <v>2.8465578054907423</v>
      </c>
      <c r="G167" t="str">
        <f>_xll.BDP($C167,"MATURITY")</f>
        <v>11/1/2030</v>
      </c>
      <c r="H167" t="str">
        <f>_xll.BDP($C167,"RTG_SP")</f>
        <v>B+</v>
      </c>
    </row>
    <row r="168" spans="1:8" x14ac:dyDescent="0.25">
      <c r="A168" s="1" t="s">
        <v>133</v>
      </c>
      <c r="B168" s="1" t="s">
        <v>1191</v>
      </c>
      <c r="C168" s="1" t="s">
        <v>1192</v>
      </c>
      <c r="D168" s="1" t="s">
        <v>1193</v>
      </c>
      <c r="E168">
        <f>_xll.BDP($C168,"DUR_ADJ_MID")</f>
        <v>1.5364014534002535</v>
      </c>
      <c r="F168">
        <f>_xll.BDP($C168,"OAS_SPREAD_DUR_MID")</f>
        <v>1.5470659047744963</v>
      </c>
      <c r="G168" t="str">
        <f>_xll.BDP($C168,"MATURITY")</f>
        <v>6/1/2028</v>
      </c>
      <c r="H168" t="str">
        <f>_xll.BDP($C168,"RTG_SP")</f>
        <v>B+</v>
      </c>
    </row>
    <row r="169" spans="1:8" x14ac:dyDescent="0.25">
      <c r="A169" s="1" t="s">
        <v>133</v>
      </c>
      <c r="B169" s="1" t="s">
        <v>1194</v>
      </c>
      <c r="C169" s="1" t="s">
        <v>1195</v>
      </c>
      <c r="D169" s="1" t="s">
        <v>1196</v>
      </c>
      <c r="E169">
        <f>_xll.BDP($C169,"DUR_ADJ_MID")</f>
        <v>2.1575822560135376</v>
      </c>
      <c r="F169">
        <f>_xll.BDP($C169,"OAS_SPREAD_DUR_MID")</f>
        <v>1.9235681770763011</v>
      </c>
      <c r="G169" t="str">
        <f>_xll.BDP($C169,"MATURITY")</f>
        <v>11/1/2028</v>
      </c>
      <c r="H169" t="str">
        <f>_xll.BDP($C169,"RTG_SP")</f>
        <v>BB-</v>
      </c>
    </row>
    <row r="170" spans="1:8" x14ac:dyDescent="0.25">
      <c r="A170" s="1" t="s">
        <v>133</v>
      </c>
      <c r="B170" s="1" t="s">
        <v>1197</v>
      </c>
      <c r="C170" s="1" t="s">
        <v>1198</v>
      </c>
      <c r="D170" s="1" t="s">
        <v>1199</v>
      </c>
      <c r="E170">
        <f>_xll.BDP($C170,"DUR_ADJ_MID")</f>
        <v>2.0276011238853857</v>
      </c>
      <c r="F170">
        <f>_xll.BDP($C170,"OAS_SPREAD_DUR_MID")</f>
        <v>2.0602189400642619</v>
      </c>
      <c r="G170" t="str">
        <f>_xll.BDP($C170,"MATURITY")</f>
        <v>1/15/2029</v>
      </c>
      <c r="H170" t="str">
        <f>_xll.BDP($C170,"RTG_SP")</f>
        <v>BB</v>
      </c>
    </row>
    <row r="171" spans="1:8" x14ac:dyDescent="0.25">
      <c r="A171" s="1" t="s">
        <v>133</v>
      </c>
      <c r="B171" s="1" t="s">
        <v>1200</v>
      </c>
      <c r="C171" s="1" t="s">
        <v>1201</v>
      </c>
      <c r="D171" s="1" t="s">
        <v>1202</v>
      </c>
      <c r="E171">
        <f>_xll.BDP($C171,"DUR_ADJ_MID")</f>
        <v>1.1465490140524124</v>
      </c>
      <c r="F171">
        <f>_xll.BDP($C171,"OAS_SPREAD_DUR_MID")</f>
        <v>1.1425384567544365</v>
      </c>
      <c r="G171" t="str">
        <f>_xll.BDP($C171,"MATURITY")</f>
        <v>9/17/2027</v>
      </c>
      <c r="H171" t="str">
        <f>_xll.BDP($C171,"RTG_SP")</f>
        <v>BB-</v>
      </c>
    </row>
    <row r="172" spans="1:8" x14ac:dyDescent="0.25">
      <c r="A172" s="1" t="s">
        <v>133</v>
      </c>
      <c r="B172" s="1" t="s">
        <v>1203</v>
      </c>
      <c r="C172" s="1" t="s">
        <v>1204</v>
      </c>
      <c r="D172" s="1" t="s">
        <v>1205</v>
      </c>
      <c r="E172">
        <f>_xll.BDP($C172,"DUR_ADJ_MID")</f>
        <v>0.24408037768305343</v>
      </c>
      <c r="F172">
        <f>_xll.BDP($C172,"OAS_SPREAD_DUR_MID")</f>
        <v>0.25665021156447171</v>
      </c>
      <c r="G172" t="str">
        <f>_xll.BDP($C172,"MATURITY")</f>
        <v>9/30/2027</v>
      </c>
      <c r="H172" t="str">
        <f>_xll.BDP($C172,"RTG_SP")</f>
        <v>BB-</v>
      </c>
    </row>
    <row r="173" spans="1:8" x14ac:dyDescent="0.25">
      <c r="A173" s="1" t="s">
        <v>133</v>
      </c>
      <c r="B173" s="1" t="s">
        <v>1206</v>
      </c>
      <c r="C173" s="1" t="s">
        <v>1207</v>
      </c>
      <c r="D173" s="1" t="s">
        <v>1208</v>
      </c>
      <c r="E173">
        <f>_xll.BDP($C173,"DUR_ADJ_MID")</f>
        <v>3.1719966120531162</v>
      </c>
      <c r="F173">
        <f>_xll.BDP($C173,"OAS_SPREAD_DUR_MID")</f>
        <v>2.8126889774673081</v>
      </c>
      <c r="G173" t="str">
        <f>_xll.BDP($C173,"MATURITY")</f>
        <v>1/30/2030</v>
      </c>
      <c r="H173" t="str">
        <f>_xll.BDP($C173,"RTG_SP")</f>
        <v>BB</v>
      </c>
    </row>
    <row r="174" spans="1:8" x14ac:dyDescent="0.25">
      <c r="A174" s="1" t="s">
        <v>133</v>
      </c>
      <c r="B174" s="1" t="s">
        <v>1209</v>
      </c>
      <c r="C174" s="1" t="s">
        <v>1210</v>
      </c>
      <c r="D174" s="1" t="s">
        <v>1211</v>
      </c>
      <c r="E174">
        <f>_xll.BDP($C174,"DUR_ADJ_MID")</f>
        <v>2.8761376878949383</v>
      </c>
      <c r="F174">
        <f>_xll.BDP($C174,"OAS_SPREAD_DUR_MID")</f>
        <v>2.9416637701706345</v>
      </c>
      <c r="G174" t="str">
        <f>_xll.BDP($C174,"MATURITY")</f>
        <v>10/1/2030</v>
      </c>
      <c r="H174" t="str">
        <f>_xll.BDP($C174,"RTG_SP")</f>
        <v>BB</v>
      </c>
    </row>
    <row r="175" spans="1:8" x14ac:dyDescent="0.25">
      <c r="A175" s="1" t="s">
        <v>133</v>
      </c>
      <c r="B175" s="1" t="s">
        <v>1212</v>
      </c>
      <c r="C175" s="1" t="s">
        <v>1213</v>
      </c>
      <c r="D175" s="1" t="s">
        <v>1214</v>
      </c>
      <c r="E175">
        <f>_xll.BDP($C175,"DUR_ADJ_MID")</f>
        <v>2.8413838316886548</v>
      </c>
      <c r="F175">
        <f>_xll.BDP($C175,"OAS_SPREAD_DUR_MID")</f>
        <v>2.9252756514343519</v>
      </c>
      <c r="G175" t="str">
        <f>_xll.BDP($C175,"MATURITY")</f>
        <v>1/24/2030</v>
      </c>
      <c r="H175" t="str">
        <f>_xll.BDP($C175,"RTG_SP")</f>
        <v>NR</v>
      </c>
    </row>
    <row r="176" spans="1:8" x14ac:dyDescent="0.25">
      <c r="A176" s="1" t="s">
        <v>133</v>
      </c>
      <c r="B176" s="1" t="s">
        <v>1215</v>
      </c>
      <c r="C176" s="1" t="s">
        <v>1216</v>
      </c>
      <c r="D176" s="1" t="s">
        <v>1217</v>
      </c>
      <c r="E176">
        <f>_xll.BDP($C176,"DUR_ADJ_MID")</f>
        <v>3.834728816620645</v>
      </c>
      <c r="F176">
        <f>_xll.BDP($C176,"OAS_SPREAD_DUR_MID")</f>
        <v>3.6219379461370478</v>
      </c>
      <c r="G176" t="str">
        <f>_xll.BDP($C176,"MATURITY")</f>
        <v>10/15/2030</v>
      </c>
      <c r="H176" t="str">
        <f>_xll.BDP($C176,"RTG_SP")</f>
        <v>BB-</v>
      </c>
    </row>
    <row r="177" spans="1:8" x14ac:dyDescent="0.25">
      <c r="A177" s="1" t="s">
        <v>133</v>
      </c>
      <c r="B177" s="1" t="s">
        <v>1218</v>
      </c>
      <c r="C177" s="1" t="s">
        <v>1219</v>
      </c>
      <c r="D177" s="1" t="s">
        <v>1220</v>
      </c>
      <c r="E177">
        <f>_xll.BDP($C177,"DUR_ADJ_MID")</f>
        <v>3.2258373294551435</v>
      </c>
      <c r="F177">
        <f>_xll.BDP($C177,"OAS_SPREAD_DUR_MID")</f>
        <v>3.2274548879780043</v>
      </c>
      <c r="G177" t="str">
        <f>_xll.BDP($C177,"MATURITY")</f>
        <v>2/15/2030</v>
      </c>
      <c r="H177" t="str">
        <f>_xll.BDP($C177,"RTG_SP")</f>
        <v>BB</v>
      </c>
    </row>
    <row r="178" spans="1:8" x14ac:dyDescent="0.25">
      <c r="A178" s="1" t="s">
        <v>133</v>
      </c>
      <c r="B178" s="1" t="s">
        <v>1221</v>
      </c>
      <c r="C178" s="1" t="s">
        <v>1222</v>
      </c>
      <c r="D178" s="1" t="s">
        <v>1223</v>
      </c>
      <c r="E178">
        <f>_xll.BDP($C178,"DUR_ADJ_MID")</f>
        <v>1.8778252960260287</v>
      </c>
      <c r="F178">
        <f>_xll.BDP($C178,"OAS_SPREAD_DUR_MID")</f>
        <v>1.2338585035510292</v>
      </c>
      <c r="G178" t="str">
        <f>_xll.BDP($C178,"MATURITY")</f>
        <v>7/1/2028</v>
      </c>
      <c r="H178" t="str">
        <f>_xll.BDP($C178,"RTG_SP")</f>
        <v>BB+</v>
      </c>
    </row>
    <row r="179" spans="1:8" x14ac:dyDescent="0.25">
      <c r="A179" s="1" t="s">
        <v>133</v>
      </c>
      <c r="B179" s="1" t="s">
        <v>1224</v>
      </c>
      <c r="C179" s="1" t="s">
        <v>1225</v>
      </c>
      <c r="D179" s="1" t="s">
        <v>1226</v>
      </c>
      <c r="E179">
        <f>_xll.BDP($C179,"DUR_ADJ_MID")</f>
        <v>0.54843821021806383</v>
      </c>
      <c r="F179">
        <f>_xll.BDP($C179,"OAS_SPREAD_DUR_MID")</f>
        <v>0.55427912121685297</v>
      </c>
      <c r="G179" t="str">
        <f>_xll.BDP($C179,"MATURITY")</f>
        <v>2/1/2028</v>
      </c>
      <c r="H179" t="str">
        <f>_xll.BDP($C179,"RTG_SP")</f>
        <v>BB</v>
      </c>
    </row>
    <row r="180" spans="1:8" x14ac:dyDescent="0.25">
      <c r="A180" s="1" t="s">
        <v>133</v>
      </c>
      <c r="B180" s="1" t="s">
        <v>1227</v>
      </c>
      <c r="C180" s="1" t="s">
        <v>1228</v>
      </c>
      <c r="D180" s="1" t="s">
        <v>1229</v>
      </c>
      <c r="E180">
        <f>_xll.BDP($C180,"DUR_ADJ_MID")</f>
        <v>3.9770114227189812</v>
      </c>
      <c r="F180">
        <f>_xll.BDP($C180,"OAS_SPREAD_DUR_MID")</f>
        <v>3.4166919354272181</v>
      </c>
      <c r="G180" t="str">
        <f>_xll.BDP($C180,"MATURITY")</f>
        <v>5/1/2031</v>
      </c>
      <c r="H180" t="str">
        <f>_xll.BDP($C180,"RTG_SP")</f>
        <v>(P)BB</v>
      </c>
    </row>
    <row r="181" spans="1:8" x14ac:dyDescent="0.25">
      <c r="A181" s="1" t="s">
        <v>133</v>
      </c>
      <c r="B181" s="1" t="s">
        <v>1230</v>
      </c>
      <c r="C181" s="1" t="s">
        <v>1231</v>
      </c>
      <c r="D181" s="1" t="s">
        <v>1232</v>
      </c>
      <c r="E181">
        <f>_xll.BDP($C181,"DUR_ADJ_MID")</f>
        <v>1.9486413713907469</v>
      </c>
      <c r="F181">
        <f>_xll.BDP($C181,"OAS_SPREAD_DUR_MID")</f>
        <v>2.413764278681326</v>
      </c>
      <c r="G181" t="str">
        <f>_xll.BDP($C181,"MATURITY")</f>
        <v>3/15/2031</v>
      </c>
      <c r="H181" t="str">
        <f>_xll.BDP($C181,"RTG_SP")</f>
        <v>B-</v>
      </c>
    </row>
    <row r="182" spans="1:8" x14ac:dyDescent="0.25">
      <c r="A182" s="1" t="s">
        <v>133</v>
      </c>
      <c r="B182" s="1" t="s">
        <v>1233</v>
      </c>
      <c r="C182" s="1" t="s">
        <v>1234</v>
      </c>
      <c r="D182" s="1" t="s">
        <v>1235</v>
      </c>
      <c r="E182">
        <f>_xll.BDP($C182,"DUR_ADJ_MID")</f>
        <v>2.5937825031463233</v>
      </c>
      <c r="F182">
        <f>_xll.BDP($C182,"OAS_SPREAD_DUR_MID")</f>
        <v>1.9680415827215847</v>
      </c>
      <c r="G182" t="str">
        <f>_xll.BDP($C182,"MATURITY")</f>
        <v>5/1/2029</v>
      </c>
      <c r="H182" t="str">
        <f>_xll.BDP($C182,"RTG_SP")</f>
        <v>BB-</v>
      </c>
    </row>
    <row r="183" spans="1:8" x14ac:dyDescent="0.25">
      <c r="A183" s="1" t="s">
        <v>133</v>
      </c>
      <c r="B183" s="1" t="s">
        <v>1236</v>
      </c>
      <c r="C183" s="1" t="s">
        <v>1237</v>
      </c>
      <c r="D183" s="1" t="s">
        <v>1238</v>
      </c>
      <c r="E183">
        <f>_xll.BDP($C183,"DUR_ADJ_MID")</f>
        <v>2.674730966557799</v>
      </c>
      <c r="F183">
        <f>_xll.BDP($C183,"OAS_SPREAD_DUR_MID")</f>
        <v>2.6759567147935144</v>
      </c>
      <c r="G183" t="str">
        <f>_xll.BDP($C183,"MATURITY")</f>
        <v>6/15/2029</v>
      </c>
      <c r="H183" t="str">
        <f>_xll.BDP($C183,"RTG_SP")</f>
        <v>B</v>
      </c>
    </row>
    <row r="184" spans="1:8" x14ac:dyDescent="0.25">
      <c r="A184" s="1" t="s">
        <v>133</v>
      </c>
      <c r="B184" s="1" t="s">
        <v>1239</v>
      </c>
      <c r="C184" s="1" t="s">
        <v>1240</v>
      </c>
      <c r="D184" s="1" t="s">
        <v>1241</v>
      </c>
      <c r="E184">
        <f>_xll.BDP($C184,"DUR_ADJ_MID")</f>
        <v>3.2094394674638274</v>
      </c>
      <c r="F184">
        <f>_xll.BDP($C184,"OAS_SPREAD_DUR_MID")</f>
        <v>3.2918682840524061</v>
      </c>
      <c r="G184" t="str">
        <f>_xll.BDP($C184,"MATURITY")</f>
        <v>4/1/2031</v>
      </c>
      <c r="H184" t="str">
        <f>_xll.BDP($C184,"RTG_SP")</f>
        <v>B</v>
      </c>
    </row>
    <row r="185" spans="1:8" x14ac:dyDescent="0.25">
      <c r="A185" s="1" t="s">
        <v>133</v>
      </c>
      <c r="B185" s="1" t="s">
        <v>1242</v>
      </c>
      <c r="C185" s="1" t="s">
        <v>1243</v>
      </c>
      <c r="D185" s="1" t="s">
        <v>1244</v>
      </c>
      <c r="E185">
        <f>_xll.BDP($C185,"DUR_ADJ_MID")</f>
        <v>2.4383029245988661</v>
      </c>
      <c r="F185">
        <f>_xll.BDP($C185,"OAS_SPREAD_DUR_MID")</f>
        <v>2.4378275637046647</v>
      </c>
      <c r="G185" t="str">
        <f>_xll.BDP($C185,"MATURITY")</f>
        <v>3/15/2029</v>
      </c>
      <c r="H185" t="str">
        <f>_xll.BDP($C185,"RTG_SP")</f>
        <v>B</v>
      </c>
    </row>
    <row r="186" spans="1:8" x14ac:dyDescent="0.25">
      <c r="A186" s="1" t="s">
        <v>133</v>
      </c>
      <c r="B186" s="1" t="s">
        <v>1245</v>
      </c>
      <c r="C186" s="1" t="s">
        <v>1246</v>
      </c>
      <c r="D186" s="1" t="s">
        <v>1247</v>
      </c>
      <c r="E186">
        <f>_xll.BDP($C186,"DUR_ADJ_MID")</f>
        <v>0.50783105998477462</v>
      </c>
      <c r="F186">
        <f>_xll.BDP($C186,"OAS_SPREAD_DUR_MID")</f>
        <v>0.68812657386881226</v>
      </c>
      <c r="G186" t="str">
        <f>_xll.BDP($C186,"MATURITY")</f>
        <v>1/15/2029</v>
      </c>
      <c r="H186" t="str">
        <f>_xll.BDP($C186,"RTG_SP")</f>
        <v>BB-</v>
      </c>
    </row>
    <row r="187" spans="1:8" x14ac:dyDescent="0.25">
      <c r="A187" s="1" t="s">
        <v>133</v>
      </c>
      <c r="B187" s="1" t="s">
        <v>1248</v>
      </c>
      <c r="C187" s="1" t="s">
        <v>1249</v>
      </c>
      <c r="D187" s="1" t="s">
        <v>1250</v>
      </c>
      <c r="E187">
        <f>_xll.BDP($C187,"DUR_ADJ_MID")</f>
        <v>4.212990930475244</v>
      </c>
      <c r="F187">
        <f>_xll.BDP($C187,"OAS_SPREAD_DUR_MID")</f>
        <v>4.1318452084246076</v>
      </c>
      <c r="G187" t="str">
        <f>_xll.BDP($C187,"MATURITY")</f>
        <v>4/1/2031</v>
      </c>
      <c r="H187" t="str">
        <f>_xll.BDP($C187,"RTG_SP")</f>
        <v>BB-</v>
      </c>
    </row>
    <row r="188" spans="1:8" x14ac:dyDescent="0.25">
      <c r="A188" s="1" t="s">
        <v>133</v>
      </c>
      <c r="B188" s="1" t="s">
        <v>1251</v>
      </c>
      <c r="C188" s="1" t="s">
        <v>1252</v>
      </c>
      <c r="D188" s="1" t="s">
        <v>1253</v>
      </c>
      <c r="E188">
        <f>_xll.BDP($C188,"DUR_ADJ_MID")</f>
        <v>1.8917451510581178</v>
      </c>
      <c r="F188">
        <f>_xll.BDP($C188,"OAS_SPREAD_DUR_MID")</f>
        <v>1.2748457326871765</v>
      </c>
      <c r="G188" t="str">
        <f>_xll.BDP($C188,"MATURITY")</f>
        <v>9/1/2029</v>
      </c>
      <c r="H188" t="str">
        <f>_xll.BDP($C188,"RTG_SP")</f>
        <v>B</v>
      </c>
    </row>
    <row r="189" spans="1:8" x14ac:dyDescent="0.25">
      <c r="A189" s="1" t="s">
        <v>133</v>
      </c>
      <c r="B189" s="1" t="s">
        <v>1254</v>
      </c>
      <c r="C189" s="1" t="s">
        <v>1255</v>
      </c>
      <c r="D189" s="1" t="s">
        <v>1256</v>
      </c>
      <c r="E189">
        <f>_xll.BDP($C189,"DUR_ADJ_MID")</f>
        <v>4.1297984100966154</v>
      </c>
      <c r="F189">
        <f>_xll.BDP($C189,"OAS_SPREAD_DUR_MID")</f>
        <v>3.9360357009535165</v>
      </c>
      <c r="G189" t="str">
        <f>_xll.BDP($C189,"MATURITY")</f>
        <v>3/1/2031</v>
      </c>
      <c r="H189" t="str">
        <f>_xll.BDP($C189,"RTG_SP")</f>
        <v>BB</v>
      </c>
    </row>
    <row r="190" spans="1:8" x14ac:dyDescent="0.25">
      <c r="A190" s="1" t="s">
        <v>133</v>
      </c>
      <c r="B190" s="1" t="s">
        <v>1257</v>
      </c>
      <c r="C190" s="1" t="s">
        <v>1258</v>
      </c>
      <c r="D190" s="1" t="s">
        <v>1259</v>
      </c>
      <c r="E190">
        <f>_xll.BDP($C190,"DUR_ADJ_MID")</f>
        <v>2.4019896168994546</v>
      </c>
      <c r="F190">
        <f>_xll.BDP($C190,"OAS_SPREAD_DUR_MID")</f>
        <v>2.4027506659658679</v>
      </c>
      <c r="G190" t="str">
        <f>_xll.BDP($C190,"MATURITY")</f>
        <v>4/15/2029</v>
      </c>
      <c r="H190" t="str">
        <f>_xll.BDP($C190,"RTG_SP")</f>
        <v>BB</v>
      </c>
    </row>
    <row r="191" spans="1:8" x14ac:dyDescent="0.25">
      <c r="A191" s="1" t="s">
        <v>133</v>
      </c>
      <c r="B191" s="1" t="s">
        <v>1260</v>
      </c>
      <c r="C191" s="1" t="s">
        <v>1261</v>
      </c>
      <c r="D191" s="1" t="s">
        <v>1262</v>
      </c>
      <c r="E191">
        <f>_xll.BDP($C191,"DUR_ADJ_MID")</f>
        <v>0.58538857934946464</v>
      </c>
      <c r="F191">
        <f>_xll.BDP($C191,"OAS_SPREAD_DUR_MID")</f>
        <v>0.84241232571762659</v>
      </c>
      <c r="G191" t="str">
        <f>_xll.BDP($C191,"MATURITY")</f>
        <v>2/15/2030</v>
      </c>
      <c r="H191" t="str">
        <f>_xll.BDP($C191,"RTG_SP")</f>
        <v>BB-</v>
      </c>
    </row>
    <row r="192" spans="1:8" x14ac:dyDescent="0.25">
      <c r="A192" s="1" t="s">
        <v>133</v>
      </c>
      <c r="B192" s="1" t="s">
        <v>1263</v>
      </c>
      <c r="C192" s="1" t="s">
        <v>1264</v>
      </c>
      <c r="D192" s="1" t="s">
        <v>1265</v>
      </c>
      <c r="E192">
        <f>_xll.BDP($C192,"DUR_ADJ_MID")</f>
        <v>3.1214084889986347</v>
      </c>
      <c r="F192" t="str">
        <f>_xll.BDP($C192,"OAS_SPREAD_DUR_MID")</f>
        <v>#N/A Field Not Applicable</v>
      </c>
      <c r="G192" t="str">
        <f>_xll.BDP($C192,"MATURITY")</f>
        <v>4/15/2055</v>
      </c>
      <c r="H192" t="str">
        <f>_xll.BDP($C192,"RTG_SP")</f>
        <v>BB</v>
      </c>
    </row>
    <row r="193" spans="1:8" x14ac:dyDescent="0.25">
      <c r="A193" s="1" t="s">
        <v>133</v>
      </c>
      <c r="B193" s="1" t="s">
        <v>1266</v>
      </c>
      <c r="C193" s="1" t="s">
        <v>1267</v>
      </c>
      <c r="D193" s="1" t="s">
        <v>1268</v>
      </c>
      <c r="E193">
        <f>_xll.BDP($C193,"DUR_ADJ_MID")</f>
        <v>0.59846286103710833</v>
      </c>
      <c r="F193">
        <f>_xll.BDP($C193,"OAS_SPREAD_DUR_MID")</f>
        <v>0.59368625192580804</v>
      </c>
      <c r="G193" t="str">
        <f>_xll.BDP($C193,"MATURITY")</f>
        <v>2/15/2027</v>
      </c>
      <c r="H193" t="str">
        <f>_xll.BDP($C193,"RTG_SP")</f>
        <v>BBB-</v>
      </c>
    </row>
    <row r="194" spans="1:8" x14ac:dyDescent="0.25">
      <c r="A194" s="1" t="s">
        <v>133</v>
      </c>
      <c r="B194" s="1" t="s">
        <v>1269</v>
      </c>
      <c r="C194" s="1" t="s">
        <v>1270</v>
      </c>
      <c r="D194" s="1" t="s">
        <v>1271</v>
      </c>
      <c r="E194">
        <f>_xll.BDP($C194,"DUR_ADJ_MID")</f>
        <v>2.3320751999924849</v>
      </c>
      <c r="F194">
        <f>_xll.BDP($C194,"OAS_SPREAD_DUR_MID")</f>
        <v>2.6450058578929099</v>
      </c>
      <c r="G194" t="str">
        <f>_xll.BDP($C194,"MATURITY")</f>
        <v>9/30/2030</v>
      </c>
      <c r="H194" t="str">
        <f>_xll.BDP($C194,"RTG_SP")</f>
        <v>B+</v>
      </c>
    </row>
    <row r="195" spans="1:8" x14ac:dyDescent="0.25">
      <c r="A195" s="1" t="s">
        <v>133</v>
      </c>
      <c r="B195" s="1" t="s">
        <v>1272</v>
      </c>
      <c r="C195" s="1" t="s">
        <v>1273</v>
      </c>
      <c r="D195" s="1" t="s">
        <v>1274</v>
      </c>
      <c r="E195">
        <f>_xll.BDP($C195,"DUR_ADJ_MID")</f>
        <v>7.7408173355936222E-2</v>
      </c>
      <c r="F195">
        <f>_xll.BDP($C195,"OAS_SPREAD_DUR_MID")</f>
        <v>8.8898140579904167E-2</v>
      </c>
      <c r="G195" t="str">
        <f>_xll.BDP($C195,"MATURITY")</f>
        <v>1/15/2027</v>
      </c>
      <c r="H195" t="str">
        <f>_xll.BDP($C195,"RTG_SP")</f>
        <v>BB</v>
      </c>
    </row>
    <row r="196" spans="1:8" x14ac:dyDescent="0.25">
      <c r="A196" s="1" t="s">
        <v>133</v>
      </c>
      <c r="B196" s="1" t="s">
        <v>1275</v>
      </c>
      <c r="C196" s="1" t="s">
        <v>1276</v>
      </c>
      <c r="D196" s="1" t="s">
        <v>1277</v>
      </c>
      <c r="E196">
        <f>_xll.BDP($C196,"DUR_ADJ_MID")</f>
        <v>3.7089938440890187</v>
      </c>
      <c r="F196">
        <f>_xll.BDP($C196,"OAS_SPREAD_DUR_MID")</f>
        <v>3.2929933935218645</v>
      </c>
      <c r="G196" t="str">
        <f>_xll.BDP($C196,"MATURITY")</f>
        <v>3/1/2031</v>
      </c>
      <c r="H196" t="str">
        <f>_xll.BDP($C196,"RTG_SP")</f>
        <v>(P)BB+</v>
      </c>
    </row>
    <row r="197" spans="1:8" x14ac:dyDescent="0.25">
      <c r="A197" s="1" t="s">
        <v>133</v>
      </c>
      <c r="B197" s="1" t="s">
        <v>1278</v>
      </c>
      <c r="C197" s="1" t="s">
        <v>1279</v>
      </c>
      <c r="D197" s="1" t="s">
        <v>1280</v>
      </c>
      <c r="E197">
        <f>_xll.BDP($C197,"DUR_ADJ_MID")</f>
        <v>1.7393456873008812</v>
      </c>
      <c r="F197">
        <f>_xll.BDP($C197,"OAS_SPREAD_DUR_MID")</f>
        <v>1.764995551645455</v>
      </c>
      <c r="G197" t="str">
        <f>_xll.BDP($C197,"MATURITY")</f>
        <v>6/15/2029</v>
      </c>
      <c r="H197" t="str">
        <f>_xll.BDP($C197,"RTG_SP")</f>
        <v>B</v>
      </c>
    </row>
    <row r="198" spans="1:8" x14ac:dyDescent="0.25">
      <c r="A198" s="1" t="s">
        <v>133</v>
      </c>
      <c r="B198" s="1" t="s">
        <v>1281</v>
      </c>
      <c r="C198" s="1" t="s">
        <v>1282</v>
      </c>
      <c r="D198" s="1" t="s">
        <v>1283</v>
      </c>
      <c r="E198">
        <f>_xll.BDP($C198,"DUR_ADJ_MID")</f>
        <v>1.635869398928901</v>
      </c>
      <c r="F198">
        <f>_xll.BDP($C198,"OAS_SPREAD_DUR_MID")</f>
        <v>1.2556699227833914</v>
      </c>
      <c r="G198" t="str">
        <f>_xll.BDP($C198,"MATURITY")</f>
        <v>4/1/2028</v>
      </c>
      <c r="H198" t="str">
        <f>_xll.BDP($C198,"RTG_SP")</f>
        <v>BB-</v>
      </c>
    </row>
    <row r="199" spans="1:8" x14ac:dyDescent="0.25">
      <c r="A199" s="1" t="s">
        <v>133</v>
      </c>
      <c r="B199" s="1" t="s">
        <v>1284</v>
      </c>
      <c r="C199" s="1" t="s">
        <v>1285</v>
      </c>
      <c r="D199" s="1" t="s">
        <v>1286</v>
      </c>
      <c r="E199">
        <f>_xll.BDP($C199,"DUR_ADJ_MID")</f>
        <v>0.36517384606103026</v>
      </c>
      <c r="F199">
        <f>_xll.BDP($C199,"OAS_SPREAD_DUR_MID")</f>
        <v>0.53730269848886458</v>
      </c>
      <c r="G199" t="str">
        <f>_xll.BDP($C199,"MATURITY")</f>
        <v>11/15/2029</v>
      </c>
      <c r="H199" t="str">
        <f>_xll.BDP($C199,"RTG_SP")</f>
        <v>BB-</v>
      </c>
    </row>
    <row r="200" spans="1:8" x14ac:dyDescent="0.25">
      <c r="A200" s="1" t="s">
        <v>133</v>
      </c>
      <c r="B200" s="1" t="s">
        <v>1287</v>
      </c>
      <c r="C200" s="1" t="s">
        <v>1288</v>
      </c>
      <c r="D200" s="1" t="s">
        <v>1289</v>
      </c>
      <c r="E200">
        <f>_xll.BDP($C200,"DUR_ADJ_MID")</f>
        <v>1.5069060339311384</v>
      </c>
      <c r="F200">
        <f>_xll.BDP($C200,"OAS_SPREAD_DUR_MID")</f>
        <v>1.4826197648486172</v>
      </c>
      <c r="G200" t="str">
        <f>_xll.BDP($C200,"MATURITY")</f>
        <v>2/15/2028</v>
      </c>
      <c r="H200" t="str">
        <f>_xll.BDP($C200,"RTG_SP")</f>
        <v>B-</v>
      </c>
    </row>
    <row r="201" spans="1:8" x14ac:dyDescent="0.25">
      <c r="A201" s="1" t="s">
        <v>133</v>
      </c>
      <c r="B201" s="1" t="s">
        <v>1290</v>
      </c>
      <c r="C201" s="1" t="s">
        <v>1291</v>
      </c>
      <c r="D201" s="1" t="s">
        <v>1292</v>
      </c>
      <c r="E201">
        <f>_xll.BDP($C201,"DUR_ADJ_MID")</f>
        <v>1.1601162378365797</v>
      </c>
      <c r="F201">
        <f>_xll.BDP($C201,"OAS_SPREAD_DUR_MID")</f>
        <v>1.2127813492164521</v>
      </c>
      <c r="G201" t="str">
        <f>_xll.BDP($C201,"MATURITY")</f>
        <v>9/30/2027</v>
      </c>
      <c r="H201" t="str">
        <f>_xll.BDP($C201,"RTG_SP")</f>
        <v>B</v>
      </c>
    </row>
    <row r="202" spans="1:8" x14ac:dyDescent="0.25">
      <c r="A202" s="1" t="s">
        <v>133</v>
      </c>
      <c r="B202" s="1" t="s">
        <v>1293</v>
      </c>
      <c r="C202" s="1" t="s">
        <v>1294</v>
      </c>
      <c r="D202" s="1" t="s">
        <v>1295</v>
      </c>
      <c r="E202">
        <f>_xll.BDP($C202,"DUR_ADJ_MID")</f>
        <v>1.0209921118116556</v>
      </c>
      <c r="F202">
        <f>_xll.BDP($C202,"OAS_SPREAD_DUR_MID")</f>
        <v>0.52218894949844408</v>
      </c>
      <c r="G202" t="str">
        <f>_xll.BDP($C202,"MATURITY")</f>
        <v>8/1/2027</v>
      </c>
      <c r="H202" t="str">
        <f>_xll.BDP($C202,"RTG_SP")</f>
        <v>BB+</v>
      </c>
    </row>
    <row r="203" spans="1:8" x14ac:dyDescent="0.25">
      <c r="A203" s="1" t="s">
        <v>133</v>
      </c>
      <c r="B203" s="1" t="s">
        <v>1296</v>
      </c>
      <c r="C203" s="1" t="s">
        <v>1297</v>
      </c>
      <c r="D203" s="1" t="s">
        <v>1298</v>
      </c>
      <c r="E203">
        <f>_xll.BDP($C203,"DUR_ADJ_MID")</f>
        <v>4.003818451812494</v>
      </c>
      <c r="F203">
        <f>_xll.BDP($C203,"OAS_SPREAD_DUR_MID")</f>
        <v>2.6364228386768507</v>
      </c>
      <c r="G203" t="str">
        <f>_xll.BDP($C203,"MATURITY")</f>
        <v>5/15/2031</v>
      </c>
      <c r="H203" t="str">
        <f>_xll.BDP($C203,"RTG_SP")</f>
        <v>B</v>
      </c>
    </row>
    <row r="204" spans="1:8" x14ac:dyDescent="0.25">
      <c r="A204" s="1" t="s">
        <v>133</v>
      </c>
      <c r="B204" s="1" t="s">
        <v>1299</v>
      </c>
      <c r="C204" s="1" t="s">
        <v>1300</v>
      </c>
      <c r="D204" s="1" t="s">
        <v>1301</v>
      </c>
      <c r="E204">
        <f>_xll.BDP($C204,"DUR_ADJ_MID")</f>
        <v>3.3654890794675523</v>
      </c>
      <c r="F204">
        <f>_xll.BDP($C204,"OAS_SPREAD_DUR_MID")</f>
        <v>3.3045609976330774</v>
      </c>
      <c r="G204" t="str">
        <f>_xll.BDP($C204,"MATURITY")</f>
        <v>5/15/2031</v>
      </c>
      <c r="H204" t="str">
        <f>_xll.BDP($C204,"RTG_SP")</f>
        <v>BB-</v>
      </c>
    </row>
    <row r="205" spans="1:8" x14ac:dyDescent="0.25">
      <c r="A205" s="1" t="s">
        <v>133</v>
      </c>
      <c r="B205" s="1" t="s">
        <v>1302</v>
      </c>
      <c r="C205" s="1" t="s">
        <v>1303</v>
      </c>
      <c r="D205" s="1" t="s">
        <v>1304</v>
      </c>
      <c r="E205">
        <f>_xll.BDP($C205,"DUR_ADJ_MID")</f>
        <v>3.8718271279754175</v>
      </c>
      <c r="F205">
        <f>_xll.BDP($C205,"OAS_SPREAD_DUR_MID")</f>
        <v>3.4690018166127232</v>
      </c>
      <c r="G205" t="str">
        <f>_xll.BDP($C205,"MATURITY")</f>
        <v>4/15/2031</v>
      </c>
      <c r="H205" t="str">
        <f>_xll.BDP($C205,"RTG_SP")</f>
        <v>B-</v>
      </c>
    </row>
    <row r="206" spans="1:8" x14ac:dyDescent="0.25">
      <c r="A206" s="1" t="s">
        <v>133</v>
      </c>
      <c r="B206" s="1" t="s">
        <v>1305</v>
      </c>
      <c r="C206" s="1" t="s">
        <v>1306</v>
      </c>
      <c r="D206" s="1" t="s">
        <v>1307</v>
      </c>
      <c r="E206">
        <f>_xll.BDP($C206,"DUR_ADJ_MID")</f>
        <v>1.2630731072921171</v>
      </c>
      <c r="F206">
        <f>_xll.BDP($C206,"OAS_SPREAD_DUR_MID")</f>
        <v>1.1202887799121157</v>
      </c>
      <c r="G206" t="str">
        <f>_xll.BDP($C206,"MATURITY")</f>
        <v>11/1/2027</v>
      </c>
      <c r="H206" t="str">
        <f>_xll.BDP($C206,"RTG_SP")</f>
        <v>BB+</v>
      </c>
    </row>
    <row r="207" spans="1:8" x14ac:dyDescent="0.25">
      <c r="A207" s="1" t="s">
        <v>133</v>
      </c>
      <c r="B207" s="1" t="s">
        <v>1308</v>
      </c>
      <c r="C207" s="1" t="s">
        <v>1309</v>
      </c>
      <c r="D207" s="1" t="s">
        <v>1310</v>
      </c>
      <c r="E207">
        <f>_xll.BDP($C207,"DUR_ADJ_MID")</f>
        <v>3.0170150502978288</v>
      </c>
      <c r="F207">
        <f>_xll.BDP($C207,"OAS_SPREAD_DUR_MID")</f>
        <v>2.8461373461277293</v>
      </c>
      <c r="G207" t="str">
        <f>_xll.BDP($C207,"MATURITY")</f>
        <v>11/15/2029</v>
      </c>
      <c r="H207" t="str">
        <f>_xll.BDP($C207,"RTG_SP")</f>
        <v>BB</v>
      </c>
    </row>
    <row r="208" spans="1:8" x14ac:dyDescent="0.25">
      <c r="A208" s="1" t="s">
        <v>133</v>
      </c>
      <c r="B208" s="1" t="s">
        <v>1311</v>
      </c>
      <c r="C208" s="1" t="s">
        <v>1312</v>
      </c>
      <c r="D208" s="1" t="s">
        <v>1199</v>
      </c>
      <c r="E208">
        <f>_xll.BDP($C208,"DUR_ADJ_MID")</f>
        <v>2.7718649617270432</v>
      </c>
      <c r="F208">
        <f>_xll.BDP($C208,"OAS_SPREAD_DUR_MID")</f>
        <v>2.8600164194965019</v>
      </c>
      <c r="G208" t="str">
        <f>_xll.BDP($C208,"MATURITY")</f>
        <v>8/15/2030</v>
      </c>
      <c r="H208" t="str">
        <f>_xll.BDP($C208,"RTG_SP")</f>
        <v>BB+</v>
      </c>
    </row>
    <row r="209" spans="1:8" x14ac:dyDescent="0.25">
      <c r="A209" s="1" t="s">
        <v>133</v>
      </c>
      <c r="B209" s="1" t="s">
        <v>1313</v>
      </c>
      <c r="C209" s="1" t="s">
        <v>1314</v>
      </c>
      <c r="D209" s="1" t="s">
        <v>1315</v>
      </c>
      <c r="E209">
        <f>_xll.BDP($C209,"DUR_ADJ_MID")</f>
        <v>0.32758899711518069</v>
      </c>
      <c r="F209">
        <f>_xll.BDP($C209,"OAS_SPREAD_DUR_MID")</f>
        <v>0.59990289866724134</v>
      </c>
      <c r="G209" t="str">
        <f>_xll.BDP($C209,"MATURITY")</f>
        <v>11/1/2028</v>
      </c>
      <c r="H209" t="str">
        <f>_xll.BDP($C209,"RTG_SP")</f>
        <v>B+</v>
      </c>
    </row>
    <row r="210" spans="1:8" x14ac:dyDescent="0.25">
      <c r="A210" s="1" t="s">
        <v>133</v>
      </c>
      <c r="B210" s="1" t="s">
        <v>1316</v>
      </c>
      <c r="C210" s="1" t="s">
        <v>1317</v>
      </c>
      <c r="D210" s="1" t="s">
        <v>1318</v>
      </c>
      <c r="E210">
        <f>_xll.BDP($C210,"DUR_ADJ_MID")</f>
        <v>3.5568865490263559</v>
      </c>
      <c r="F210">
        <f>_xll.BDP($C210,"OAS_SPREAD_DUR_MID")</f>
        <v>3.3356608506955734</v>
      </c>
      <c r="G210" t="str">
        <f>_xll.BDP($C210,"MATURITY")</f>
        <v>7/15/2030</v>
      </c>
      <c r="H210" t="str">
        <f>_xll.BDP($C210,"RTG_SP")</f>
        <v>BB+</v>
      </c>
    </row>
    <row r="211" spans="1:8" x14ac:dyDescent="0.25">
      <c r="A211" s="1" t="s">
        <v>133</v>
      </c>
      <c r="B211" s="1" t="s">
        <v>1319</v>
      </c>
      <c r="C211" s="1" t="s">
        <v>1320</v>
      </c>
      <c r="D211" s="1" t="s">
        <v>1321</v>
      </c>
      <c r="E211">
        <f>_xll.BDP($C211,"DUR_ADJ_MID")</f>
        <v>2.0273503141648681</v>
      </c>
      <c r="F211">
        <f>_xll.BDP($C211,"OAS_SPREAD_DUR_MID")</f>
        <v>2.0865914410210249</v>
      </c>
      <c r="G211" t="str">
        <f>_xll.BDP($C211,"MATURITY")</f>
        <v>4/1/2029</v>
      </c>
      <c r="H211" t="str">
        <f>_xll.BDP($C211,"RTG_SP")</f>
        <v>BB-</v>
      </c>
    </row>
    <row r="212" spans="1:8" x14ac:dyDescent="0.25">
      <c r="A212" s="1" t="s">
        <v>133</v>
      </c>
      <c r="B212" s="1" t="s">
        <v>1322</v>
      </c>
      <c r="C212" s="1" t="s">
        <v>1323</v>
      </c>
      <c r="D212" s="1" t="s">
        <v>1324</v>
      </c>
      <c r="E212">
        <f>_xll.BDP($C212,"DUR_ADJ_MID")</f>
        <v>2.9828157692910771</v>
      </c>
      <c r="F212">
        <f>_xll.BDP($C212,"OAS_SPREAD_DUR_MID")</f>
        <v>2.5103683914220669</v>
      </c>
      <c r="G212" t="str">
        <f>_xll.BDP($C212,"MATURITY")</f>
        <v>12/15/2030</v>
      </c>
      <c r="H212" t="str">
        <f>_xll.BDP($C212,"RTG_SP")</f>
        <v>#N/A N/A</v>
      </c>
    </row>
    <row r="213" spans="1:8" x14ac:dyDescent="0.25">
      <c r="A213" s="1" t="s">
        <v>133</v>
      </c>
      <c r="B213" s="1" t="s">
        <v>1325</v>
      </c>
      <c r="C213" s="1" t="s">
        <v>1326</v>
      </c>
      <c r="D213" s="1" t="s">
        <v>1327</v>
      </c>
      <c r="E213">
        <f>_xll.BDP($C213,"DUR_ADJ_MID")</f>
        <v>2.4681460775788038</v>
      </c>
      <c r="F213">
        <f>_xll.BDP($C213,"OAS_SPREAD_DUR_MID")</f>
        <v>1.8506554730160101</v>
      </c>
      <c r="G213" t="str">
        <f>_xll.BDP($C213,"MATURITY")</f>
        <v>5/15/2029</v>
      </c>
      <c r="H213" t="str">
        <f>_xll.BDP($C213,"RTG_SP")</f>
        <v>NR</v>
      </c>
    </row>
    <row r="214" spans="1:8" x14ac:dyDescent="0.25">
      <c r="A214" s="1" t="s">
        <v>133</v>
      </c>
      <c r="B214" s="1" t="s">
        <v>1328</v>
      </c>
      <c r="C214" s="1" t="s">
        <v>1329</v>
      </c>
      <c r="D214" s="1" t="s">
        <v>1330</v>
      </c>
      <c r="E214">
        <f>_xll.BDP($C214,"DUR_ADJ_MID")</f>
        <v>1.5159826401742467</v>
      </c>
      <c r="F214">
        <f>_xll.BDP($C214,"OAS_SPREAD_DUR_MID")</f>
        <v>1.3548057206501443</v>
      </c>
      <c r="G214" t="str">
        <f>_xll.BDP($C214,"MATURITY")</f>
        <v>3/1/2031</v>
      </c>
      <c r="H214" t="str">
        <f>_xll.BDP($C214,"RTG_SP")</f>
        <v>BB</v>
      </c>
    </row>
    <row r="215" spans="1:8" x14ac:dyDescent="0.25">
      <c r="A215" s="1" t="s">
        <v>133</v>
      </c>
      <c r="B215" s="1" t="s">
        <v>1331</v>
      </c>
      <c r="C215" s="1" t="s">
        <v>1332</v>
      </c>
      <c r="D215" s="1" t="s">
        <v>1333</v>
      </c>
      <c r="E215">
        <f>_xll.BDP($C215,"DUR_ADJ_MID")</f>
        <v>1.8376537011262157</v>
      </c>
      <c r="F215">
        <f>_xll.BDP($C215,"OAS_SPREAD_DUR_MID")</f>
        <v>0.92122686199408921</v>
      </c>
      <c r="G215" t="str">
        <f>_xll.BDP($C215,"MATURITY")</f>
        <v>10/31/2029</v>
      </c>
      <c r="H215" t="str">
        <f>_xll.BDP($C215,"RTG_SP")</f>
        <v>B+</v>
      </c>
    </row>
    <row r="216" spans="1:8" x14ac:dyDescent="0.25">
      <c r="A216" s="1" t="s">
        <v>133</v>
      </c>
      <c r="B216" s="1" t="s">
        <v>1334</v>
      </c>
      <c r="C216" s="1" t="s">
        <v>1335</v>
      </c>
      <c r="D216" s="1" t="s">
        <v>1336</v>
      </c>
      <c r="E216">
        <f>_xll.BDP($C216,"DUR_ADJ_MID")</f>
        <v>0.20344162642929089</v>
      </c>
      <c r="F216">
        <f>_xll.BDP($C216,"OAS_SPREAD_DUR_MID")</f>
        <v>0.48671091408712969</v>
      </c>
      <c r="G216" t="str">
        <f>_xll.BDP($C216,"MATURITY")</f>
        <v>9/15/2028</v>
      </c>
      <c r="H216" t="str">
        <f>_xll.BDP($C216,"RTG_SP")</f>
        <v>BB+</v>
      </c>
    </row>
    <row r="217" spans="1:8" x14ac:dyDescent="0.25">
      <c r="A217" s="1" t="s">
        <v>133</v>
      </c>
      <c r="B217" s="1" t="s">
        <v>1337</v>
      </c>
      <c r="C217" s="1" t="s">
        <v>1338</v>
      </c>
      <c r="D217" s="1" t="s">
        <v>1339</v>
      </c>
      <c r="E217">
        <f>_xll.BDP($C217,"DUR_ADJ_MID")</f>
        <v>2.2567932511340767</v>
      </c>
      <c r="F217">
        <f>_xll.BDP($C217,"OAS_SPREAD_DUR_MID")</f>
        <v>2.3456394018864342</v>
      </c>
      <c r="G217" t="str">
        <f>_xll.BDP($C217,"MATURITY")</f>
        <v>3/19/2029</v>
      </c>
      <c r="H217" t="str">
        <f>_xll.BDP($C217,"RTG_SP")</f>
        <v>BBB-</v>
      </c>
    </row>
    <row r="218" spans="1:8" x14ac:dyDescent="0.25">
      <c r="A218" s="1" t="s">
        <v>133</v>
      </c>
      <c r="B218" s="1" t="s">
        <v>1340</v>
      </c>
      <c r="C218" s="1" t="s">
        <v>1341</v>
      </c>
      <c r="D218" s="1" t="s">
        <v>1342</v>
      </c>
      <c r="E218">
        <f>_xll.BDP($C218,"DUR_ADJ_MID")</f>
        <v>2.7964333446214189</v>
      </c>
      <c r="F218">
        <f>_xll.BDP($C218,"OAS_SPREAD_DUR_MID")</f>
        <v>2.710130234263993</v>
      </c>
      <c r="G218" t="str">
        <f>_xll.BDP($C218,"MATURITY")</f>
        <v>2/15/2031</v>
      </c>
      <c r="H218" t="str">
        <f>_xll.BDP($C218,"RTG_SP")</f>
        <v>CCC</v>
      </c>
    </row>
    <row r="219" spans="1:8" x14ac:dyDescent="0.25">
      <c r="A219" s="1" t="s">
        <v>133</v>
      </c>
      <c r="B219" s="1" t="s">
        <v>1343</v>
      </c>
      <c r="C219" s="1" t="s">
        <v>1344</v>
      </c>
      <c r="D219" s="1" t="s">
        <v>1345</v>
      </c>
      <c r="E219">
        <f>_xll.BDP($C219,"DUR_ADJ_MID")</f>
        <v>0.88049785162826955</v>
      </c>
      <c r="F219">
        <f>_xll.BDP($C219,"OAS_SPREAD_DUR_MID")</f>
        <v>0.60063026313875767</v>
      </c>
      <c r="G219" t="str">
        <f>_xll.BDP($C219,"MATURITY")</f>
        <v>6/1/2027</v>
      </c>
      <c r="H219" t="str">
        <f>_xll.BDP($C219,"RTG_SP")</f>
        <v>BB *</v>
      </c>
    </row>
    <row r="220" spans="1:8" x14ac:dyDescent="0.25">
      <c r="A220" s="1" t="s">
        <v>133</v>
      </c>
      <c r="B220" s="1" t="s">
        <v>1346</v>
      </c>
      <c r="C220" s="1" t="s">
        <v>1347</v>
      </c>
      <c r="D220" s="1" t="s">
        <v>1348</v>
      </c>
      <c r="E220">
        <f>_xll.BDP($C220,"DUR_ADJ_MID")</f>
        <v>3.3383736053952942</v>
      </c>
      <c r="F220">
        <f>_xll.BDP($C220,"OAS_SPREAD_DUR_MID")</f>
        <v>3.4297726013194048</v>
      </c>
      <c r="G220" t="str">
        <f>_xll.BDP($C220,"MATURITY")</f>
        <v>5/1/2031</v>
      </c>
      <c r="H220" t="str">
        <f>_xll.BDP($C220,"RTG_SP")</f>
        <v>B+</v>
      </c>
    </row>
    <row r="221" spans="1:8" x14ac:dyDescent="0.25">
      <c r="A221" s="1" t="s">
        <v>133</v>
      </c>
      <c r="B221" s="1" t="s">
        <v>1349</v>
      </c>
      <c r="C221" s="1" t="s">
        <v>1350</v>
      </c>
      <c r="D221" s="1" t="s">
        <v>1351</v>
      </c>
      <c r="E221">
        <f>_xll.BDP($C221,"DUR_ADJ_MID")</f>
        <v>2.5731401690164351</v>
      </c>
      <c r="F221">
        <f>_xll.BDP($C221,"OAS_SPREAD_DUR_MID")</f>
        <v>2.4466983676740446</v>
      </c>
      <c r="G221" t="str">
        <f>_xll.BDP($C221,"MATURITY")</f>
        <v>4/15/2029</v>
      </c>
      <c r="H221" t="str">
        <f>_xll.BDP($C221,"RTG_SP")</f>
        <v>BB</v>
      </c>
    </row>
    <row r="222" spans="1:8" x14ac:dyDescent="0.25">
      <c r="A222" s="1" t="s">
        <v>133</v>
      </c>
      <c r="B222" s="1" t="s">
        <v>1352</v>
      </c>
      <c r="C222" s="1" t="s">
        <v>1353</v>
      </c>
      <c r="D222" s="1" t="s">
        <v>1354</v>
      </c>
      <c r="E222">
        <f>_xll.BDP($C222,"DUR_ADJ_MID")</f>
        <v>3.8935051997233357E-2</v>
      </c>
      <c r="F222">
        <f>_xll.BDP($C222,"OAS_SPREAD_DUR_MID")</f>
        <v>3.8847516003564272E-2</v>
      </c>
      <c r="G222" t="str">
        <f>_xll.BDP($C222,"MATURITY")</f>
        <v>10/1/2028</v>
      </c>
      <c r="H222" t="str">
        <f>_xll.BDP($C222,"RTG_SP")</f>
        <v>B</v>
      </c>
    </row>
    <row r="223" spans="1:8" x14ac:dyDescent="0.25">
      <c r="A223" s="1" t="s">
        <v>133</v>
      </c>
      <c r="B223" s="1" t="s">
        <v>1355</v>
      </c>
      <c r="C223" s="1" t="s">
        <v>1356</v>
      </c>
      <c r="D223" s="1" t="s">
        <v>1357</v>
      </c>
      <c r="E223">
        <f>_xll.BDP($C223,"DUR_ADJ_MID")</f>
        <v>0.35699583999200224</v>
      </c>
      <c r="F223">
        <f>_xll.BDP($C223,"OAS_SPREAD_DUR_MID")</f>
        <v>0.40081720759878708</v>
      </c>
      <c r="G223" t="str">
        <f>_xll.BDP($C223,"MATURITY")</f>
        <v>11/17/2028</v>
      </c>
      <c r="H223" t="str">
        <f>_xll.BDP($C223,"RTG_SP")</f>
        <v>B-</v>
      </c>
    </row>
    <row r="224" spans="1:8" x14ac:dyDescent="0.25">
      <c r="A224" s="1" t="s">
        <v>133</v>
      </c>
      <c r="B224" s="1" t="s">
        <v>1358</v>
      </c>
      <c r="C224" s="1" t="s">
        <v>1359</v>
      </c>
      <c r="D224" s="1" t="s">
        <v>1360</v>
      </c>
      <c r="E224">
        <f>_xll.BDP($C224,"DUR_ADJ_MID")</f>
        <v>0.94891954366885078</v>
      </c>
      <c r="F224">
        <f>_xll.BDP($C224,"OAS_SPREAD_DUR_MID")</f>
        <v>1.4182398490828694</v>
      </c>
      <c r="G224" t="str">
        <f>_xll.BDP($C224,"MATURITY")</f>
        <v>7/15/2030</v>
      </c>
      <c r="H224" t="str">
        <f>_xll.BDP($C224,"RTG_SP")</f>
        <v>BB-</v>
      </c>
    </row>
    <row r="225" spans="1:8" x14ac:dyDescent="0.25">
      <c r="A225" s="1" t="s">
        <v>133</v>
      </c>
      <c r="B225" s="1" t="s">
        <v>1361</v>
      </c>
      <c r="C225" s="1" t="s">
        <v>1362</v>
      </c>
      <c r="D225" s="1" t="s">
        <v>1363</v>
      </c>
      <c r="E225">
        <f>_xll.BDP($C225,"DUR_ADJ_MID")</f>
        <v>1.5356555784977703</v>
      </c>
      <c r="F225">
        <f>_xll.BDP($C225,"OAS_SPREAD_DUR_MID")</f>
        <v>1.5158486901551327</v>
      </c>
      <c r="G225" t="str">
        <f>_xll.BDP($C225,"MATURITY")</f>
        <v>3/1/2029</v>
      </c>
      <c r="H225" t="str">
        <f>_xll.BDP($C225,"RTG_SP")</f>
        <v>BB-</v>
      </c>
    </row>
    <row r="226" spans="1:8" x14ac:dyDescent="0.25">
      <c r="A226" s="1" t="s">
        <v>133</v>
      </c>
      <c r="B226" s="1" t="s">
        <v>1364</v>
      </c>
      <c r="C226" s="1" t="s">
        <v>1365</v>
      </c>
      <c r="D226" s="1" t="s">
        <v>1366</v>
      </c>
      <c r="E226">
        <f>_xll.BDP($C226,"DUR_ADJ_MID")</f>
        <v>1.7046692749397752</v>
      </c>
      <c r="F226">
        <f>_xll.BDP($C226,"OAS_SPREAD_DUR_MID")</f>
        <v>1.412130282429346</v>
      </c>
      <c r="G226" t="str">
        <f>_xll.BDP($C226,"MATURITY")</f>
        <v>5/15/2029</v>
      </c>
      <c r="H226" t="str">
        <f>_xll.BDP($C226,"RTG_SP")</f>
        <v>B</v>
      </c>
    </row>
    <row r="227" spans="1:8" x14ac:dyDescent="0.25">
      <c r="A227" s="1" t="s">
        <v>133</v>
      </c>
      <c r="B227" s="1" t="s">
        <v>1367</v>
      </c>
      <c r="C227" s="1" t="s">
        <v>1368</v>
      </c>
      <c r="D227" s="1" t="s">
        <v>1369</v>
      </c>
      <c r="E227">
        <f>_xll.BDP($C227,"DUR_ADJ_MID")</f>
        <v>3.1218439141055616</v>
      </c>
      <c r="F227">
        <f>_xll.BDP($C227,"OAS_SPREAD_DUR_MID")</f>
        <v>2.1548150631248526</v>
      </c>
      <c r="G227" t="str">
        <f>_xll.BDP($C227,"MATURITY")</f>
        <v>12/15/2029</v>
      </c>
      <c r="H227" t="str">
        <f>_xll.BDP($C227,"RTG_SP")</f>
        <v>BB-</v>
      </c>
    </row>
    <row r="228" spans="1:8" x14ac:dyDescent="0.25">
      <c r="A228" s="1" t="s">
        <v>133</v>
      </c>
      <c r="B228" s="1" t="s">
        <v>1370</v>
      </c>
      <c r="C228" s="1" t="s">
        <v>1371</v>
      </c>
      <c r="D228" s="1" t="s">
        <v>1372</v>
      </c>
      <c r="E228">
        <f>_xll.BDP($C228,"DUR_ADJ_MID")</f>
        <v>3.7433390259341008</v>
      </c>
      <c r="F228">
        <f>_xll.BDP($C228,"OAS_SPREAD_DUR_MID")</f>
        <v>3.175584314178153</v>
      </c>
      <c r="G228" t="str">
        <f>_xll.BDP($C228,"MATURITY")</f>
        <v>2/1/2031</v>
      </c>
      <c r="H228" t="str">
        <f>_xll.BDP($C228,"RTG_SP")</f>
        <v>B</v>
      </c>
    </row>
    <row r="229" spans="1:8" x14ac:dyDescent="0.25">
      <c r="A229" s="1" t="s">
        <v>133</v>
      </c>
      <c r="B229" s="1" t="s">
        <v>1373</v>
      </c>
      <c r="C229" s="1" t="s">
        <v>1374</v>
      </c>
      <c r="D229" s="1" t="s">
        <v>1375</v>
      </c>
      <c r="E229">
        <f>_xll.BDP($C229,"DUR_ADJ_MID")</f>
        <v>2.4217451799866518</v>
      </c>
      <c r="F229">
        <f>_xll.BDP($C229,"OAS_SPREAD_DUR_MID")</f>
        <v>2.3207159354865756</v>
      </c>
      <c r="G229" t="str">
        <f>_xll.BDP($C229,"MATURITY")</f>
        <v>3/1/2029</v>
      </c>
      <c r="H229" t="str">
        <f>_xll.BDP($C229,"RTG_SP")</f>
        <v>BB+</v>
      </c>
    </row>
    <row r="230" spans="1:8" x14ac:dyDescent="0.25">
      <c r="A230" s="1" t="s">
        <v>133</v>
      </c>
      <c r="B230" s="1" t="s">
        <v>1376</v>
      </c>
      <c r="C230" s="1" t="s">
        <v>1377</v>
      </c>
      <c r="D230" s="1" t="s">
        <v>1378</v>
      </c>
      <c r="E230">
        <f>_xll.BDP($C230,"DUR_ADJ_MID")</f>
        <v>0.94642566812116991</v>
      </c>
      <c r="F230">
        <f>_xll.BDP($C230,"OAS_SPREAD_DUR_MID")</f>
        <v>1.6001195467494156</v>
      </c>
      <c r="G230" t="str">
        <f>_xll.BDP($C230,"MATURITY")</f>
        <v>6/30/2030</v>
      </c>
      <c r="H230" t="str">
        <f>_xll.BDP($C230,"RTG_SP")</f>
        <v>B</v>
      </c>
    </row>
    <row r="231" spans="1:8" x14ac:dyDescent="0.25">
      <c r="A231" s="1" t="s">
        <v>133</v>
      </c>
      <c r="B231" s="1" t="s">
        <v>1379</v>
      </c>
      <c r="C231" s="1" t="s">
        <v>1380</v>
      </c>
      <c r="D231" s="1" t="s">
        <v>1381</v>
      </c>
      <c r="E231">
        <f>_xll.BDP($C231,"DUR_ADJ_MID")</f>
        <v>3.5046602421496376</v>
      </c>
      <c r="F231">
        <f>_xll.BDP($C231,"OAS_SPREAD_DUR_MID")</f>
        <v>3.4998067531992838</v>
      </c>
      <c r="G231" t="str">
        <f>_xll.BDP($C231,"MATURITY")</f>
        <v>4/23/2030</v>
      </c>
      <c r="H231" t="str">
        <f>_xll.BDP($C231,"RTG_SP")</f>
        <v>BB</v>
      </c>
    </row>
    <row r="232" spans="1:8" x14ac:dyDescent="0.25">
      <c r="A232" s="1" t="s">
        <v>133</v>
      </c>
      <c r="B232" s="1" t="s">
        <v>1382</v>
      </c>
      <c r="C232" s="1" t="s">
        <v>1383</v>
      </c>
      <c r="D232" s="1" t="s">
        <v>1384</v>
      </c>
      <c r="E232">
        <f>_xll.BDP($C232,"DUR_ADJ_MID")</f>
        <v>0.53676232946763491</v>
      </c>
      <c r="F232">
        <f>_xll.BDP($C232,"OAS_SPREAD_DUR_MID")</f>
        <v>0.40410927356931953</v>
      </c>
      <c r="G232" t="str">
        <f>_xll.BDP($C232,"MATURITY")</f>
        <v>1/31/2027</v>
      </c>
      <c r="H232" t="str">
        <f>_xll.BDP($C232,"RTG_SP")</f>
        <v>CCC+</v>
      </c>
    </row>
    <row r="233" spans="1:8" x14ac:dyDescent="0.25">
      <c r="A233" s="1" t="s">
        <v>133</v>
      </c>
      <c r="B233" s="1" t="s">
        <v>1385</v>
      </c>
      <c r="C233" s="1" t="s">
        <v>1386</v>
      </c>
      <c r="D233" s="1" t="s">
        <v>1387</v>
      </c>
      <c r="E233">
        <f>_xll.BDP($C233,"DUR_ADJ_MID")</f>
        <v>3.6653880985225862</v>
      </c>
      <c r="F233">
        <f>_xll.BDP($C233,"OAS_SPREAD_DUR_MID")</f>
        <v>3.7267752577780318</v>
      </c>
      <c r="G233" t="str">
        <f>_xll.BDP($C233,"MATURITY")</f>
        <v>12/15/2030</v>
      </c>
      <c r="H233" t="str">
        <f>_xll.BDP($C233,"RTG_SP")</f>
        <v>BB+</v>
      </c>
    </row>
    <row r="234" spans="1:8" x14ac:dyDescent="0.25">
      <c r="A234" s="1" t="s">
        <v>133</v>
      </c>
      <c r="B234" s="1" t="s">
        <v>1388</v>
      </c>
      <c r="C234" s="1" t="s">
        <v>1389</v>
      </c>
      <c r="D234" s="1" t="s">
        <v>1390</v>
      </c>
      <c r="E234">
        <f>_xll.BDP($C234,"DUR_ADJ_MID")</f>
        <v>3.3266943055839584</v>
      </c>
      <c r="F234">
        <f>_xll.BDP($C234,"OAS_SPREAD_DUR_MID")</f>
        <v>3.3262749808361352</v>
      </c>
      <c r="G234" t="str">
        <f>_xll.BDP($C234,"MATURITY")</f>
        <v>7/15/2030</v>
      </c>
      <c r="H234" t="str">
        <f>_xll.BDP($C234,"RTG_SP")</f>
        <v>B-</v>
      </c>
    </row>
    <row r="235" spans="1:8" x14ac:dyDescent="0.25">
      <c r="A235" s="1" t="s">
        <v>133</v>
      </c>
      <c r="B235" s="1" t="s">
        <v>1391</v>
      </c>
      <c r="C235" s="1" t="s">
        <v>1392</v>
      </c>
      <c r="D235" s="1" t="s">
        <v>1393</v>
      </c>
      <c r="E235">
        <f>_xll.BDP($C235,"DUR_ADJ_MID")</f>
        <v>3.0422459486921798</v>
      </c>
      <c r="F235">
        <f>_xll.BDP($C235,"OAS_SPREAD_DUR_MID")</f>
        <v>2.9225491490042796</v>
      </c>
      <c r="G235" t="str">
        <f>_xll.BDP($C235,"MATURITY")</f>
        <v>2/1/2030</v>
      </c>
      <c r="H235" t="str">
        <f>_xll.BDP($C235,"RTG_SP")</f>
        <v>B</v>
      </c>
    </row>
    <row r="236" spans="1:8" x14ac:dyDescent="0.25">
      <c r="A236" s="1" t="s">
        <v>133</v>
      </c>
      <c r="B236" s="1" t="s">
        <v>1394</v>
      </c>
      <c r="C236" s="1" t="s">
        <v>1395</v>
      </c>
      <c r="D236" s="1" t="s">
        <v>1396</v>
      </c>
      <c r="E236">
        <f>_xll.BDP($C236,"DUR_ADJ_MID")</f>
        <v>2.9012787983897512</v>
      </c>
      <c r="F236">
        <f>_xll.BDP($C236,"OAS_SPREAD_DUR_MID")</f>
        <v>2.4498537623575962</v>
      </c>
      <c r="G236" t="str">
        <f>_xll.BDP($C236,"MATURITY")</f>
        <v>11/1/2030</v>
      </c>
      <c r="H236" t="str">
        <f>_xll.BDP($C236,"RTG_SP")</f>
        <v>B+</v>
      </c>
    </row>
    <row r="237" spans="1:8" x14ac:dyDescent="0.25">
      <c r="A237" s="1" t="s">
        <v>133</v>
      </c>
      <c r="B237" s="1" t="s">
        <v>1397</v>
      </c>
      <c r="C237" s="1" t="s">
        <v>1398</v>
      </c>
      <c r="D237" s="1" t="s">
        <v>1399</v>
      </c>
      <c r="E237">
        <f>_xll.BDP($C237,"DUR_ADJ_MID")</f>
        <v>2.8459494479866692</v>
      </c>
      <c r="F237">
        <f>_xll.BDP($C237,"OAS_SPREAD_DUR_MID")</f>
        <v>2.1479860453780582</v>
      </c>
      <c r="G237" t="str">
        <f>_xll.BDP($C237,"MATURITY")</f>
        <v>10/15/2030</v>
      </c>
      <c r="H237" t="str">
        <f>_xll.BDP($C237,"RTG_SP")</f>
        <v>BB</v>
      </c>
    </row>
    <row r="238" spans="1:8" x14ac:dyDescent="0.25">
      <c r="A238" s="1" t="s">
        <v>133</v>
      </c>
      <c r="B238" s="1" t="s">
        <v>1400</v>
      </c>
      <c r="C238" s="1" t="s">
        <v>1401</v>
      </c>
      <c r="D238" s="1" t="s">
        <v>1402</v>
      </c>
      <c r="E238">
        <f>_xll.BDP($C238,"DUR_ADJ_MID")</f>
        <v>3.6526496298929243</v>
      </c>
      <c r="F238">
        <f>_xll.BDP($C238,"OAS_SPREAD_DUR_MID")</f>
        <v>3.6931191038005622</v>
      </c>
      <c r="G238" t="str">
        <f>_xll.BDP($C238,"MATURITY")</f>
        <v>2/15/2031</v>
      </c>
      <c r="H238" t="str">
        <f>_xll.BDP($C238,"RTG_SP")</f>
        <v>BB-</v>
      </c>
    </row>
    <row r="239" spans="1:8" x14ac:dyDescent="0.25">
      <c r="A239" s="1" t="s">
        <v>139</v>
      </c>
      <c r="B239" s="1" t="s">
        <v>1403</v>
      </c>
      <c r="C239" s="1" t="s">
        <v>1404</v>
      </c>
      <c r="D239" s="1" t="s">
        <v>1405</v>
      </c>
      <c r="E239">
        <f>_xll.BDP($C239,"DUR_ADJ_MID")</f>
        <v>3.4187108691052011</v>
      </c>
      <c r="F239">
        <f>_xll.BDP($C239,"OAS_SPREAD_DUR_MID")</f>
        <v>3.417859000486732</v>
      </c>
      <c r="G239" t="str">
        <f>_xll.BDP($C239,"MATURITY")</f>
        <v>5/15/2030</v>
      </c>
      <c r="H239" t="str">
        <f>_xll.BDP($C239,"RTG_SP")</f>
        <v>#N/A N/A</v>
      </c>
    </row>
    <row r="240" spans="1:8" x14ac:dyDescent="0.25">
      <c r="A240" s="1" t="s">
        <v>139</v>
      </c>
      <c r="B240" s="1" t="s">
        <v>1406</v>
      </c>
      <c r="C240" s="1" t="s">
        <v>1407</v>
      </c>
      <c r="D240" s="1" t="s">
        <v>1408</v>
      </c>
      <c r="E240">
        <f>_xll.BDP($C240,"DUR_ADJ_MID")</f>
        <v>4.0088365634614025</v>
      </c>
      <c r="F240">
        <f>_xll.BDP($C240,"OAS_SPREAD_DUR_MID")</f>
        <v>4.0105832122296299</v>
      </c>
      <c r="G240" t="str">
        <f>_xll.BDP($C240,"MATURITY")</f>
        <v>2/15/2031</v>
      </c>
      <c r="H240" t="str">
        <f>_xll.BDP($C240,"RTG_SP")</f>
        <v>#N/A N/A</v>
      </c>
    </row>
    <row r="241" spans="1:8" x14ac:dyDescent="0.25">
      <c r="A241" s="1" t="s">
        <v>139</v>
      </c>
      <c r="B241" s="1" t="s">
        <v>1409</v>
      </c>
      <c r="C241" s="1" t="s">
        <v>1410</v>
      </c>
      <c r="D241" s="1" t="s">
        <v>1411</v>
      </c>
      <c r="E241">
        <f>_xll.BDP($C241,"DUR_ADJ_MID")</f>
        <v>2.9749912934352634</v>
      </c>
      <c r="F241">
        <f>_xll.BDP($C241,"OAS_SPREAD_DUR_MID")</f>
        <v>2.9745696550437759</v>
      </c>
      <c r="G241" t="str">
        <f>_xll.BDP($C241,"MATURITY")</f>
        <v>8/15/2029</v>
      </c>
      <c r="H241" t="str">
        <f>_xll.BDP($C241,"RTG_SP")</f>
        <v>#N/A N/A</v>
      </c>
    </row>
    <row r="242" spans="1:8" x14ac:dyDescent="0.25">
      <c r="A242" s="1" t="s">
        <v>139</v>
      </c>
      <c r="B242" s="1" t="s">
        <v>1412</v>
      </c>
      <c r="C242" s="1" t="s">
        <v>1413</v>
      </c>
      <c r="D242" s="1" t="s">
        <v>1414</v>
      </c>
      <c r="E242">
        <f>_xll.BDP($C242,"DUR_ADJ_MID")</f>
        <v>3.2115661549648129</v>
      </c>
      <c r="F242">
        <f>_xll.BDP($C242,"OAS_SPREAD_DUR_MID")</f>
        <v>3.2148451640243612</v>
      </c>
      <c r="G242" t="str">
        <f>_xll.BDP($C242,"MATURITY")</f>
        <v>11/15/2029</v>
      </c>
      <c r="H242" t="str">
        <f>_xll.BDP($C242,"RTG_SP")</f>
        <v>#N/A N/A</v>
      </c>
    </row>
    <row r="243" spans="1:8" x14ac:dyDescent="0.25">
      <c r="A243" s="1" t="s">
        <v>139</v>
      </c>
      <c r="B243" s="1" t="s">
        <v>1415</v>
      </c>
      <c r="C243" s="1" t="s">
        <v>1416</v>
      </c>
      <c r="D243" s="1" t="s">
        <v>1417</v>
      </c>
      <c r="E243">
        <f>_xll.BDP($C243,"DUR_ADJ_MID")</f>
        <v>3.443474765513947</v>
      </c>
      <c r="F243">
        <f>_xll.BDP($C243,"OAS_SPREAD_DUR_MID")</f>
        <v>3.4465837284738723</v>
      </c>
      <c r="G243" t="str">
        <f>_xll.BDP($C243,"MATURITY")</f>
        <v>2/15/2030</v>
      </c>
      <c r="H243" t="str">
        <f>_xll.BDP($C243,"RTG_SP")</f>
        <v>#N/A N/A</v>
      </c>
    </row>
    <row r="244" spans="1:8" x14ac:dyDescent="0.25">
      <c r="A244" s="1" t="s">
        <v>139</v>
      </c>
      <c r="B244" s="1" t="s">
        <v>1418</v>
      </c>
      <c r="C244" s="1" t="s">
        <v>1419</v>
      </c>
      <c r="D244" s="1" t="s">
        <v>1420</v>
      </c>
      <c r="E244">
        <f>_xll.BDP($C244,"DUR_ADJ_MID")</f>
        <v>3.7468609942835109</v>
      </c>
      <c r="F244">
        <f>_xll.BDP($C244,"OAS_SPREAD_DUR_MID")</f>
        <v>3.7459253560083354</v>
      </c>
      <c r="G244" t="str">
        <f>_xll.BDP($C244,"MATURITY")</f>
        <v>5/15/2030</v>
      </c>
      <c r="H244" t="str">
        <f>_xll.BDP($C244,"RTG_SP")</f>
        <v>#N/A N/A</v>
      </c>
    </row>
    <row r="245" spans="1:8" x14ac:dyDescent="0.25">
      <c r="A245" s="1" t="s">
        <v>139</v>
      </c>
      <c r="B245" s="1" t="s">
        <v>1421</v>
      </c>
      <c r="C245" s="1" t="s">
        <v>1422</v>
      </c>
      <c r="D245" s="1" t="s">
        <v>1423</v>
      </c>
      <c r="E245">
        <f>_xll.BDP($C245,"DUR_ADJ_MID")</f>
        <v>3.979746125003921</v>
      </c>
      <c r="F245">
        <f>_xll.BDP($C245,"OAS_SPREAD_DUR_MID")</f>
        <v>3.9786386861299028</v>
      </c>
      <c r="G245" t="str">
        <f>_xll.BDP($C245,"MATURITY")</f>
        <v>8/15/2030</v>
      </c>
      <c r="H245" t="str">
        <f>_xll.BDP($C245,"RTG_SP")</f>
        <v>#N/A N/A</v>
      </c>
    </row>
    <row r="246" spans="1:8" x14ac:dyDescent="0.25">
      <c r="A246" s="1" t="s">
        <v>139</v>
      </c>
      <c r="B246" s="1" t="s">
        <v>1424</v>
      </c>
      <c r="C246" s="1" t="s">
        <v>1425</v>
      </c>
      <c r="D246" s="1" t="s">
        <v>1426</v>
      </c>
      <c r="E246">
        <f>_xll.BDP($C246,"DUR_ADJ_MID")</f>
        <v>4.1995206020288309</v>
      </c>
      <c r="F246">
        <f>_xll.BDP($C246,"OAS_SPREAD_DUR_MID")</f>
        <v>4.2021657332699336</v>
      </c>
      <c r="G246" t="str">
        <f>_xll.BDP($C246,"MATURITY")</f>
        <v>11/15/2030</v>
      </c>
      <c r="H246" t="str">
        <f>_xll.BDP($C246,"RTG_SP")</f>
        <v>#N/A N/A</v>
      </c>
    </row>
    <row r="247" spans="1:8" x14ac:dyDescent="0.25">
      <c r="A247" s="1" t="s">
        <v>139</v>
      </c>
      <c r="B247" s="1" t="s">
        <v>1427</v>
      </c>
      <c r="C247" s="1" t="s">
        <v>1428</v>
      </c>
      <c r="D247" s="1" t="s">
        <v>1429</v>
      </c>
      <c r="E247">
        <f>_xll.BDP($C247,"DUR_ADJ_MID")</f>
        <v>4.3968505541023024</v>
      </c>
      <c r="F247">
        <f>_xll.BDP($C247,"OAS_SPREAD_DUR_MID")</f>
        <v>4.3992923896440601</v>
      </c>
      <c r="G247" t="str">
        <f>_xll.BDP($C247,"MATURITY")</f>
        <v>2/15/2031</v>
      </c>
      <c r="H247" t="str">
        <f>_xll.BDP($C247,"RTG_SP")</f>
        <v>#N/A N/A</v>
      </c>
    </row>
    <row r="248" spans="1:8" x14ac:dyDescent="0.25">
      <c r="A248" s="1" t="s">
        <v>139</v>
      </c>
      <c r="B248" s="1" t="s">
        <v>1430</v>
      </c>
      <c r="C248" s="1" t="s">
        <v>1431</v>
      </c>
      <c r="D248" s="1" t="s">
        <v>1432</v>
      </c>
      <c r="E248">
        <f>_xll.BDP($C248,"DUR_ADJ_MID")</f>
        <v>4.5845968539377715</v>
      </c>
      <c r="F248">
        <f>_xll.BDP($C248,"OAS_SPREAD_DUR_MID")</f>
        <v>4.5829665834477158</v>
      </c>
      <c r="G248" t="str">
        <f>_xll.BDP($C248,"MATURITY")</f>
        <v>5/15/2031</v>
      </c>
      <c r="H248" t="str">
        <f>_xll.BDP($C248,"RTG_SP")</f>
        <v>#N/A N/A</v>
      </c>
    </row>
    <row r="249" spans="1:8" x14ac:dyDescent="0.25">
      <c r="A249" s="1" t="s">
        <v>139</v>
      </c>
      <c r="B249" s="1" t="s">
        <v>1433</v>
      </c>
      <c r="C249" s="1" t="s">
        <v>1434</v>
      </c>
      <c r="D249" s="1" t="s">
        <v>1435</v>
      </c>
      <c r="E249">
        <f>_xll.BDP($C249,"DUR_ADJ_MID")</f>
        <v>4.8377163721250795</v>
      </c>
      <c r="F249">
        <f>_xll.BDP($C249,"OAS_SPREAD_DUR_MID")</f>
        <v>4.8358920015603211</v>
      </c>
      <c r="G249" t="str">
        <f>_xll.BDP($C249,"MATURITY")</f>
        <v>8/15/2031</v>
      </c>
      <c r="H249" t="str">
        <f>_xll.BDP($C249,"RTG_SP")</f>
        <v>#N/A N/A</v>
      </c>
    </row>
    <row r="250" spans="1:8" x14ac:dyDescent="0.25">
      <c r="A250" s="1" t="s">
        <v>139</v>
      </c>
      <c r="B250" s="1" t="s">
        <v>1436</v>
      </c>
      <c r="C250" s="1" t="s">
        <v>1437</v>
      </c>
      <c r="D250" s="1" t="s">
        <v>1438</v>
      </c>
      <c r="E250">
        <f>_xll.BDP($C250,"DUR_ADJ_MID")</f>
        <v>5.0633966719943819</v>
      </c>
      <c r="F250">
        <f>_xll.BDP($C250,"OAS_SPREAD_DUR_MID")</f>
        <v>5.0651367305544355</v>
      </c>
      <c r="G250" t="str">
        <f>_xll.BDP($C250,"MATURITY")</f>
        <v>11/15/2031</v>
      </c>
      <c r="H250" t="str">
        <f>_xll.BDP($C250,"RTG_SP")</f>
        <v>#N/A N/A</v>
      </c>
    </row>
    <row r="251" spans="1:8" x14ac:dyDescent="0.25">
      <c r="A251" s="1" t="s">
        <v>139</v>
      </c>
      <c r="B251" s="1" t="s">
        <v>1439</v>
      </c>
      <c r="C251" s="1" t="s">
        <v>1440</v>
      </c>
      <c r="D251" s="1" t="s">
        <v>1441</v>
      </c>
      <c r="E251">
        <f>_xll.BDP($C251,"DUR_ADJ_MID")</f>
        <v>5.1915281957036932</v>
      </c>
      <c r="F251">
        <f>_xll.BDP($C251,"OAS_SPREAD_DUR_MID")</f>
        <v>5.1928249820487853</v>
      </c>
      <c r="G251" t="str">
        <f>_xll.BDP($C251,"MATURITY")</f>
        <v>2/15/2032</v>
      </c>
      <c r="H251" t="str">
        <f>_xll.BDP($C251,"RTG_SP")</f>
        <v>#N/A N/A</v>
      </c>
    </row>
    <row r="252" spans="1:8" x14ac:dyDescent="0.25">
      <c r="A252" s="1" t="s">
        <v>139</v>
      </c>
      <c r="B252" s="1" t="s">
        <v>1442</v>
      </c>
      <c r="C252" s="1" t="s">
        <v>1443</v>
      </c>
      <c r="D252" s="1" t="s">
        <v>1444</v>
      </c>
      <c r="E252">
        <f>_xll.BDP($C252,"DUR_ADJ_MID")</f>
        <v>5.2925793435423305</v>
      </c>
      <c r="F252">
        <f>_xll.BDP($C252,"OAS_SPREAD_DUR_MID")</f>
        <v>5.2921209965397322</v>
      </c>
      <c r="G252" t="str">
        <f>_xll.BDP($C252,"MATURITY")</f>
        <v>5/15/2032</v>
      </c>
      <c r="H252" t="str">
        <f>_xll.BDP($C252,"RTG_SP")</f>
        <v>#N/A N/A</v>
      </c>
    </row>
    <row r="253" spans="1:8" x14ac:dyDescent="0.25">
      <c r="A253" s="1" t="s">
        <v>139</v>
      </c>
      <c r="B253" s="1" t="s">
        <v>1445</v>
      </c>
      <c r="C253" s="1" t="s">
        <v>1446</v>
      </c>
      <c r="D253" s="1" t="s">
        <v>1447</v>
      </c>
      <c r="E253">
        <f>_xll.BDP($C253,"DUR_ADJ_MID")</f>
        <v>2.7558541592734671</v>
      </c>
      <c r="F253">
        <f>_xll.BDP($C253,"OAS_SPREAD_DUR_MID")</f>
        <v>2.7562863987423025</v>
      </c>
      <c r="G253" t="str">
        <f>_xll.BDP($C253,"MATURITY")</f>
        <v>5/31/2029</v>
      </c>
      <c r="H253" t="str">
        <f>_xll.BDP($C253,"RTG_SP")</f>
        <v>#N/A N/A</v>
      </c>
    </row>
    <row r="254" spans="1:8" x14ac:dyDescent="0.25">
      <c r="A254" s="1" t="s">
        <v>139</v>
      </c>
      <c r="B254" s="1" t="s">
        <v>1448</v>
      </c>
      <c r="C254" s="1" t="s">
        <v>1449</v>
      </c>
      <c r="D254" s="1" t="s">
        <v>1450</v>
      </c>
      <c r="E254">
        <f>_xll.BDP($C254,"DUR_ADJ_MID")</f>
        <v>2.8195496219074938</v>
      </c>
      <c r="F254">
        <f>_xll.BDP($C254,"OAS_SPREAD_DUR_MID")</f>
        <v>2.8202616513127379</v>
      </c>
      <c r="G254" t="str">
        <f>_xll.BDP($C254,"MATURITY")</f>
        <v>6/30/2029</v>
      </c>
      <c r="H254" t="str">
        <f>_xll.BDP($C254,"RTG_SP")</f>
        <v>#N/A N/A</v>
      </c>
    </row>
    <row r="255" spans="1:8" x14ac:dyDescent="0.25">
      <c r="A255" s="1" t="s">
        <v>139</v>
      </c>
      <c r="B255" s="1" t="s">
        <v>1451</v>
      </c>
      <c r="C255" s="1" t="s">
        <v>1452</v>
      </c>
      <c r="D255" s="1" t="s">
        <v>1453</v>
      </c>
      <c r="E255">
        <f>_xll.BDP($C255,"DUR_ADJ_MID")</f>
        <v>2.885790092959482</v>
      </c>
      <c r="F255">
        <f>_xll.BDP($C255,"OAS_SPREAD_DUR_MID")</f>
        <v>2.8857467612935355</v>
      </c>
      <c r="G255" t="str">
        <f>_xll.BDP($C255,"MATURITY")</f>
        <v>7/31/2029</v>
      </c>
      <c r="H255" t="str">
        <f>_xll.BDP($C255,"RTG_SP")</f>
        <v>#N/A N/A</v>
      </c>
    </row>
    <row r="256" spans="1:8" x14ac:dyDescent="0.25">
      <c r="A256" s="1" t="s">
        <v>139</v>
      </c>
      <c r="B256" s="1" t="s">
        <v>1454</v>
      </c>
      <c r="C256" s="1" t="s">
        <v>1455</v>
      </c>
      <c r="D256" s="1" t="s">
        <v>1456</v>
      </c>
      <c r="E256">
        <f>_xll.BDP($C256,"DUR_ADJ_MID")</f>
        <v>5.4756605740609796</v>
      </c>
      <c r="F256">
        <f>_xll.BDP($C256,"OAS_SPREAD_DUR_MID")</f>
        <v>5.4748476837417295</v>
      </c>
      <c r="G256" t="str">
        <f>_xll.BDP($C256,"MATURITY")</f>
        <v>8/15/2032</v>
      </c>
      <c r="H256" t="str">
        <f>_xll.BDP($C256,"RTG_SP")</f>
        <v>#N/A N/A</v>
      </c>
    </row>
    <row r="257" spans="1:8" x14ac:dyDescent="0.25">
      <c r="A257" s="1" t="s">
        <v>139</v>
      </c>
      <c r="B257" s="1" t="s">
        <v>1457</v>
      </c>
      <c r="C257" s="1" t="s">
        <v>1458</v>
      </c>
      <c r="D257" s="1" t="s">
        <v>1459</v>
      </c>
      <c r="E257">
        <f>_xll.BDP($C257,"DUR_ADJ_MID")</f>
        <v>2.9438934110490851</v>
      </c>
      <c r="F257">
        <f>_xll.BDP($C257,"OAS_SPREAD_DUR_MID")</f>
        <v>2.9454838121652029</v>
      </c>
      <c r="G257" t="str">
        <f>_xll.BDP($C257,"MATURITY")</f>
        <v>8/31/2029</v>
      </c>
      <c r="H257" t="str">
        <f>_xll.BDP($C257,"RTG_SP")</f>
        <v>#N/A N/A</v>
      </c>
    </row>
    <row r="258" spans="1:8" x14ac:dyDescent="0.25">
      <c r="A258" s="1" t="s">
        <v>139</v>
      </c>
      <c r="B258" s="1" t="s">
        <v>1460</v>
      </c>
      <c r="C258" s="1" t="s">
        <v>1461</v>
      </c>
      <c r="D258" s="1" t="s">
        <v>1462</v>
      </c>
      <c r="E258">
        <f>_xll.BDP($C258,"DUR_ADJ_MID")</f>
        <v>2.9920693878078066</v>
      </c>
      <c r="F258">
        <f>_xll.BDP($C258,"OAS_SPREAD_DUR_MID")</f>
        <v>2.9929907249895917</v>
      </c>
      <c r="G258" t="str">
        <f>_xll.BDP($C258,"MATURITY")</f>
        <v>9/30/2029</v>
      </c>
      <c r="H258" t="str">
        <f>_xll.BDP($C258,"RTG_SP")</f>
        <v>#N/A N/A</v>
      </c>
    </row>
    <row r="259" spans="1:8" x14ac:dyDescent="0.25">
      <c r="A259" s="1" t="s">
        <v>139</v>
      </c>
      <c r="B259" s="1" t="s">
        <v>1463</v>
      </c>
      <c r="C259" s="1" t="s">
        <v>1464</v>
      </c>
      <c r="D259" s="1" t="s">
        <v>1465</v>
      </c>
      <c r="E259">
        <f>_xll.BDP($C259,"DUR_ADJ_MID")</f>
        <v>3.0677655857055566</v>
      </c>
      <c r="F259">
        <f>_xll.BDP($C259,"OAS_SPREAD_DUR_MID")</f>
        <v>3.0705131343641194</v>
      </c>
      <c r="G259" t="str">
        <f>_xll.BDP($C259,"MATURITY")</f>
        <v>10/31/2029</v>
      </c>
      <c r="H259" t="str">
        <f>_xll.BDP($C259,"RTG_SP")</f>
        <v>#N/A N/A</v>
      </c>
    </row>
    <row r="260" spans="1:8" x14ac:dyDescent="0.25">
      <c r="A260" s="1" t="s">
        <v>139</v>
      </c>
      <c r="B260" s="1" t="s">
        <v>1466</v>
      </c>
      <c r="C260" s="1" t="s">
        <v>1467</v>
      </c>
      <c r="D260" s="1" t="s">
        <v>1468</v>
      </c>
      <c r="E260">
        <f>_xll.BDP($C260,"DUR_ADJ_MID")</f>
        <v>5.5184960705869361</v>
      </c>
      <c r="F260">
        <f>_xll.BDP($C260,"OAS_SPREAD_DUR_MID")</f>
        <v>5.5200667075117122</v>
      </c>
      <c r="G260" t="str">
        <f>_xll.BDP($C260,"MATURITY")</f>
        <v>11/15/2032</v>
      </c>
      <c r="H260" t="str">
        <f>_xll.BDP($C260,"RTG_SP")</f>
        <v>#N/A N/A</v>
      </c>
    </row>
    <row r="261" spans="1:8" x14ac:dyDescent="0.25">
      <c r="A261" s="1" t="s">
        <v>139</v>
      </c>
      <c r="B261" s="1" t="s">
        <v>1469</v>
      </c>
      <c r="C261" s="1" t="s">
        <v>1470</v>
      </c>
      <c r="D261" s="1" t="s">
        <v>1471</v>
      </c>
      <c r="E261">
        <f>_xll.BDP($C261,"DUR_ADJ_MID")</f>
        <v>3.1552186217414531</v>
      </c>
      <c r="F261">
        <f>_xll.BDP($C261,"OAS_SPREAD_DUR_MID")</f>
        <v>3.156476341305599</v>
      </c>
      <c r="G261" t="str">
        <f>_xll.BDP($C261,"MATURITY")</f>
        <v>11/30/2029</v>
      </c>
      <c r="H261" t="str">
        <f>_xll.BDP($C261,"RTG_SP")</f>
        <v>#N/A N/A</v>
      </c>
    </row>
    <row r="262" spans="1:8" x14ac:dyDescent="0.25">
      <c r="A262" s="1" t="s">
        <v>139</v>
      </c>
      <c r="B262" s="1" t="s">
        <v>1472</v>
      </c>
      <c r="C262" s="1" t="s">
        <v>1473</v>
      </c>
      <c r="D262" s="1" t="s">
        <v>1474</v>
      </c>
      <c r="E262">
        <f>_xll.BDP($C262,"DUR_ADJ_MID")</f>
        <v>3.2354931503894533</v>
      </c>
      <c r="F262">
        <f>_xll.BDP($C262,"OAS_SPREAD_DUR_MID")</f>
        <v>3.2394984104489075</v>
      </c>
      <c r="G262" t="str">
        <f>_xll.BDP($C262,"MATURITY")</f>
        <v>12/31/2029</v>
      </c>
      <c r="H262" t="str">
        <f>_xll.BDP($C262,"RTG_SP")</f>
        <v>#N/A N/A</v>
      </c>
    </row>
    <row r="263" spans="1:8" x14ac:dyDescent="0.25">
      <c r="A263" s="1" t="s">
        <v>139</v>
      </c>
      <c r="B263" s="1" t="s">
        <v>1475</v>
      </c>
      <c r="C263" s="1" t="s">
        <v>1476</v>
      </c>
      <c r="D263" s="1" t="s">
        <v>1477</v>
      </c>
      <c r="E263">
        <f>_xll.BDP($C263,"DUR_ADJ_MID")</f>
        <v>3.278485106664212</v>
      </c>
      <c r="F263">
        <f>_xll.BDP($C263,"OAS_SPREAD_DUR_MID")</f>
        <v>3.2817061970037624</v>
      </c>
      <c r="G263" t="str">
        <f>_xll.BDP($C263,"MATURITY")</f>
        <v>1/31/2030</v>
      </c>
      <c r="H263" t="str">
        <f>_xll.BDP($C263,"RTG_SP")</f>
        <v>#N/A N/A</v>
      </c>
    </row>
    <row r="264" spans="1:8" x14ac:dyDescent="0.25">
      <c r="A264" s="1" t="s">
        <v>139</v>
      </c>
      <c r="B264" s="1" t="s">
        <v>1478</v>
      </c>
      <c r="C264" s="1" t="s">
        <v>1479</v>
      </c>
      <c r="D264" s="1" t="s">
        <v>1480</v>
      </c>
      <c r="E264">
        <f>_xll.BDP($C264,"DUR_ADJ_MID")</f>
        <v>5.748131708882025</v>
      </c>
      <c r="F264">
        <f>_xll.BDP($C264,"OAS_SPREAD_DUR_MID")</f>
        <v>5.7494722147725303</v>
      </c>
      <c r="G264" t="str">
        <f>_xll.BDP($C264,"MATURITY")</f>
        <v>2/15/2033</v>
      </c>
      <c r="H264" t="str">
        <f>_xll.BDP($C264,"RTG_SP")</f>
        <v>#N/A N/A</v>
      </c>
    </row>
    <row r="265" spans="1:8" x14ac:dyDescent="0.25">
      <c r="A265" s="1" t="s">
        <v>139</v>
      </c>
      <c r="B265" s="1" t="s">
        <v>1481</v>
      </c>
      <c r="C265" s="1" t="s">
        <v>1482</v>
      </c>
      <c r="D265" s="1" t="s">
        <v>1483</v>
      </c>
      <c r="E265">
        <f>_xll.BDP($C265,"DUR_ADJ_MID")</f>
        <v>3.3315241149791324</v>
      </c>
      <c r="F265">
        <f>_xll.BDP($C265,"OAS_SPREAD_DUR_MID")</f>
        <v>3.3291045076453458</v>
      </c>
      <c r="G265" t="str">
        <f>_xll.BDP($C265,"MATURITY")</f>
        <v>2/28/2030</v>
      </c>
      <c r="H265" t="str">
        <f>_xll.BDP($C265,"RTG_SP")</f>
        <v>#N/A N/A</v>
      </c>
    </row>
    <row r="266" spans="1:8" x14ac:dyDescent="0.25">
      <c r="A266" s="1" t="s">
        <v>139</v>
      </c>
      <c r="B266" s="1" t="s">
        <v>1484</v>
      </c>
      <c r="C266" s="1" t="s">
        <v>1485</v>
      </c>
      <c r="D266" s="1" t="s">
        <v>1486</v>
      </c>
      <c r="E266">
        <f>_xll.BDP($C266,"DUR_ADJ_MID")</f>
        <v>3.4335779472863344</v>
      </c>
      <c r="F266">
        <f>_xll.BDP($C266,"OAS_SPREAD_DUR_MID")</f>
        <v>3.4329480920014146</v>
      </c>
      <c r="G266" t="str">
        <f>_xll.BDP($C266,"MATURITY")</f>
        <v>3/31/2030</v>
      </c>
      <c r="H266" t="str">
        <f>_xll.BDP($C266,"RTG_SP")</f>
        <v>#N/A N/A</v>
      </c>
    </row>
    <row r="267" spans="1:8" x14ac:dyDescent="0.25">
      <c r="A267" s="1" t="s">
        <v>139</v>
      </c>
      <c r="B267" s="1" t="s">
        <v>1487</v>
      </c>
      <c r="C267" s="1" t="s">
        <v>1488</v>
      </c>
      <c r="D267" s="1" t="s">
        <v>1489</v>
      </c>
      <c r="E267">
        <f>_xll.BDP($C267,"DUR_ADJ_MID")</f>
        <v>3.5219177419742058</v>
      </c>
      <c r="F267">
        <f>_xll.BDP($C267,"OAS_SPREAD_DUR_MID")</f>
        <v>3.52072035030884</v>
      </c>
      <c r="G267" t="str">
        <f>_xll.BDP($C267,"MATURITY")</f>
        <v>4/30/2030</v>
      </c>
      <c r="H267" t="str">
        <f>_xll.BDP($C267,"RTG_SP")</f>
        <v>#N/A N/A</v>
      </c>
    </row>
    <row r="268" spans="1:8" x14ac:dyDescent="0.25">
      <c r="A268" s="1" t="s">
        <v>139</v>
      </c>
      <c r="B268" s="1" t="s">
        <v>1490</v>
      </c>
      <c r="C268" s="1" t="s">
        <v>1491</v>
      </c>
      <c r="D268" s="1" t="s">
        <v>1492</v>
      </c>
      <c r="E268">
        <f>_xll.BDP($C268,"DUR_ADJ_MID")</f>
        <v>6.0108590048006603</v>
      </c>
      <c r="F268">
        <f>_xll.BDP($C268,"OAS_SPREAD_DUR_MID")</f>
        <v>6.0086667511971035</v>
      </c>
      <c r="G268" t="str">
        <f>_xll.BDP($C268,"MATURITY")</f>
        <v>5/15/2033</v>
      </c>
      <c r="H268" t="str">
        <f>_xll.BDP($C268,"RTG_SP")</f>
        <v>#N/A N/A</v>
      </c>
    </row>
    <row r="269" spans="1:8" x14ac:dyDescent="0.25">
      <c r="A269" s="1" t="s">
        <v>139</v>
      </c>
      <c r="B269" s="1" t="s">
        <v>1493</v>
      </c>
      <c r="C269" s="1" t="s">
        <v>1494</v>
      </c>
      <c r="D269" s="1" t="s">
        <v>1495</v>
      </c>
      <c r="E269">
        <f>_xll.BDP($C269,"DUR_ADJ_MID")</f>
        <v>3.589672993193826</v>
      </c>
      <c r="F269">
        <f>_xll.BDP($C269,"OAS_SPREAD_DUR_MID")</f>
        <v>3.5893650116550293</v>
      </c>
      <c r="G269" t="str">
        <f>_xll.BDP($C269,"MATURITY")</f>
        <v>5/31/2030</v>
      </c>
      <c r="H269" t="str">
        <f>_xll.BDP($C269,"RTG_SP")</f>
        <v>#N/A N/A</v>
      </c>
    </row>
    <row r="270" spans="1:8" x14ac:dyDescent="0.25">
      <c r="A270" s="1" t="s">
        <v>139</v>
      </c>
      <c r="B270" s="1" t="s">
        <v>1496</v>
      </c>
      <c r="C270" s="1" t="s">
        <v>1497</v>
      </c>
      <c r="D270" s="1" t="s">
        <v>1498</v>
      </c>
      <c r="E270">
        <f>_xll.BDP($C270,"DUR_ADJ_MID")</f>
        <v>3.6698473537090326</v>
      </c>
      <c r="F270">
        <f>_xll.BDP($C270,"OAS_SPREAD_DUR_MID")</f>
        <v>3.6698851454515165</v>
      </c>
      <c r="G270" t="str">
        <f>_xll.BDP($C270,"MATURITY")</f>
        <v>6/30/2030</v>
      </c>
      <c r="H270" t="str">
        <f>_xll.BDP($C270,"RTG_SP")</f>
        <v>#N/A N/A</v>
      </c>
    </row>
    <row r="271" spans="1:8" x14ac:dyDescent="0.25">
      <c r="A271" s="1" t="s">
        <v>139</v>
      </c>
      <c r="B271" s="1" t="s">
        <v>1499</v>
      </c>
      <c r="C271" s="1" t="s">
        <v>1500</v>
      </c>
      <c r="D271" s="1" t="s">
        <v>1501</v>
      </c>
      <c r="E271">
        <f>_xll.BDP($C271,"DUR_ADJ_MID")</f>
        <v>3.6675651333652612</v>
      </c>
      <c r="F271">
        <f>_xll.BDP($C271,"OAS_SPREAD_DUR_MID")</f>
        <v>3.6668456946212427</v>
      </c>
      <c r="G271" t="str">
        <f>_xll.BDP($C271,"MATURITY")</f>
        <v>7/31/2030</v>
      </c>
      <c r="H271" t="str">
        <f>_xll.BDP($C271,"RTG_SP")</f>
        <v>#N/A N/A</v>
      </c>
    </row>
    <row r="272" spans="1:8" x14ac:dyDescent="0.25">
      <c r="A272" s="1" t="s">
        <v>139</v>
      </c>
      <c r="B272" s="1" t="s">
        <v>1502</v>
      </c>
      <c r="C272" s="1" t="s">
        <v>1503</v>
      </c>
      <c r="D272" s="1" t="s">
        <v>1504</v>
      </c>
      <c r="E272">
        <f>_xll.BDP($C272,"DUR_ADJ_MID")</f>
        <v>3.7400035299697683</v>
      </c>
      <c r="F272">
        <f>_xll.BDP($C272,"OAS_SPREAD_DUR_MID")</f>
        <v>3.740656640415517</v>
      </c>
      <c r="G272" t="str">
        <f>_xll.BDP($C272,"MATURITY")</f>
        <v>8/31/2030</v>
      </c>
      <c r="H272" t="str">
        <f>_xll.BDP($C272,"RTG_SP")</f>
        <v>#N/A N/A</v>
      </c>
    </row>
    <row r="273" spans="1:8" x14ac:dyDescent="0.25">
      <c r="A273" s="1" t="s">
        <v>139</v>
      </c>
      <c r="B273" s="1" t="s">
        <v>1505</v>
      </c>
      <c r="C273" s="1" t="s">
        <v>1506</v>
      </c>
      <c r="D273" s="1" t="s">
        <v>1507</v>
      </c>
      <c r="E273">
        <f>_xll.BDP($C273,"DUR_ADJ_MID")</f>
        <v>3.7875221213474553</v>
      </c>
      <c r="F273">
        <f>_xll.BDP($C273,"OAS_SPREAD_DUR_MID")</f>
        <v>3.7875927953716015</v>
      </c>
      <c r="G273" t="str">
        <f>_xll.BDP($C273,"MATURITY")</f>
        <v>9/30/2030</v>
      </c>
      <c r="H273" t="str">
        <f>_xll.BDP($C273,"RTG_SP")</f>
        <v>#N/A N/A</v>
      </c>
    </row>
    <row r="274" spans="1:8" x14ac:dyDescent="0.25">
      <c r="A274" s="1" t="s">
        <v>139</v>
      </c>
      <c r="B274" s="1" t="s">
        <v>1508</v>
      </c>
      <c r="C274" s="1" t="s">
        <v>1509</v>
      </c>
      <c r="D274" s="1" t="s">
        <v>1510</v>
      </c>
      <c r="E274">
        <f>_xll.BDP($C274,"DUR_ADJ_MID")</f>
        <v>3.8523008601530653</v>
      </c>
      <c r="F274">
        <f>_xll.BDP($C274,"OAS_SPREAD_DUR_MID")</f>
        <v>3.8540897000360781</v>
      </c>
      <c r="G274" t="str">
        <f>_xll.BDP($C274,"MATURITY")</f>
        <v>10/31/2030</v>
      </c>
      <c r="H274" t="str">
        <f>_xll.BDP($C274,"RTG_SP")</f>
        <v>#N/A N/A</v>
      </c>
    </row>
    <row r="275" spans="1:8" x14ac:dyDescent="0.25">
      <c r="A275" s="1" t="s">
        <v>139</v>
      </c>
      <c r="B275" s="1" t="s">
        <v>1511</v>
      </c>
      <c r="C275" s="1" t="s">
        <v>1512</v>
      </c>
      <c r="D275" s="1" t="s">
        <v>1513</v>
      </c>
      <c r="E275">
        <f>_xll.BDP($C275,"DUR_ADJ_MID")</f>
        <v>3.9673001300836477</v>
      </c>
      <c r="F275">
        <f>_xll.BDP($C275,"OAS_SPREAD_DUR_MID")</f>
        <v>3.9677082113316824</v>
      </c>
      <c r="G275" t="str">
        <f>_xll.BDP($C275,"MATURITY")</f>
        <v>11/30/2030</v>
      </c>
      <c r="H275" t="str">
        <f>_xll.BDP($C275,"RTG_SP")</f>
        <v>#N/A N/A</v>
      </c>
    </row>
    <row r="276" spans="1:8" x14ac:dyDescent="0.25">
      <c r="A276" s="1" t="s">
        <v>139</v>
      </c>
      <c r="B276" s="1" t="s">
        <v>1514</v>
      </c>
      <c r="C276" s="1" t="s">
        <v>1515</v>
      </c>
      <c r="D276" s="1" t="s">
        <v>1516</v>
      </c>
      <c r="E276">
        <f>_xll.BDP($C276,"DUR_ADJ_MID")</f>
        <v>4.0906337176885961</v>
      </c>
      <c r="F276">
        <f>_xll.BDP($C276,"OAS_SPREAD_DUR_MID")</f>
        <v>4.0938036226179957</v>
      </c>
      <c r="G276" t="str">
        <f>_xll.BDP($C276,"MATURITY")</f>
        <v>12/31/2030</v>
      </c>
      <c r="H276" t="str">
        <f>_xll.BDP($C276,"RTG_SP")</f>
        <v>#N/A N/A</v>
      </c>
    </row>
    <row r="277" spans="1:8" x14ac:dyDescent="0.25">
      <c r="A277" s="1" t="s">
        <v>139</v>
      </c>
      <c r="B277" s="1" t="s">
        <v>1517</v>
      </c>
      <c r="C277" s="1" t="s">
        <v>1518</v>
      </c>
      <c r="D277" s="1" t="s">
        <v>1519</v>
      </c>
      <c r="E277">
        <f>_xll.BDP($C277,"DUR_ADJ_MID")</f>
        <v>4.0763943692630296</v>
      </c>
      <c r="F277">
        <f>_xll.BDP($C277,"OAS_SPREAD_DUR_MID")</f>
        <v>4.0787046757229852</v>
      </c>
      <c r="G277" t="str">
        <f>_xll.BDP($C277,"MATURITY")</f>
        <v>1/31/2031</v>
      </c>
      <c r="H277" t="str">
        <f>_xll.BDP($C277,"RTG_SP")</f>
        <v>#N/A N/A</v>
      </c>
    </row>
    <row r="278" spans="1:8" x14ac:dyDescent="0.25">
      <c r="A278" s="1" t="s">
        <v>139</v>
      </c>
      <c r="B278" s="1" t="s">
        <v>1520</v>
      </c>
      <c r="C278" s="1" t="s">
        <v>1521</v>
      </c>
      <c r="D278" s="1" t="s">
        <v>1522</v>
      </c>
      <c r="E278">
        <f>_xll.BDP($C278,"DUR_ADJ_MID")</f>
        <v>4.1368099762887196</v>
      </c>
      <c r="F278">
        <f>_xll.BDP($C278,"OAS_SPREAD_DUR_MID")</f>
        <v>4.133675577242701</v>
      </c>
      <c r="G278" t="str">
        <f>_xll.BDP($C278,"MATURITY")</f>
        <v>2/28/2031</v>
      </c>
      <c r="H278" t="str">
        <f>_xll.BDP($C278,"RTG_SP")</f>
        <v>#N/A N/A</v>
      </c>
    </row>
    <row r="279" spans="1:8" x14ac:dyDescent="0.25">
      <c r="A279" s="1" t="s">
        <v>139</v>
      </c>
      <c r="B279" s="1" t="s">
        <v>1523</v>
      </c>
      <c r="C279" s="1" t="s">
        <v>1524</v>
      </c>
      <c r="D279" s="1" t="s">
        <v>1525</v>
      </c>
      <c r="E279">
        <f>_xll.BDP($C279,"DUR_ADJ_MID")</f>
        <v>4.2282101078891419</v>
      </c>
      <c r="F279">
        <f>_xll.BDP($C279,"OAS_SPREAD_DUR_MID")</f>
        <v>4.2267930216504794</v>
      </c>
      <c r="G279" t="str">
        <f>_xll.BDP($C279,"MATURITY")</f>
        <v>3/31/2031</v>
      </c>
      <c r="H279" t="str">
        <f>_xll.BDP($C279,"RTG_SP")</f>
        <v>#N/A N/A</v>
      </c>
    </row>
    <row r="280" spans="1:8" x14ac:dyDescent="0.25">
      <c r="A280" s="1" t="s">
        <v>139</v>
      </c>
      <c r="B280" s="1" t="s">
        <v>1526</v>
      </c>
      <c r="C280" s="1" t="s">
        <v>1527</v>
      </c>
      <c r="D280" s="1" t="s">
        <v>1528</v>
      </c>
      <c r="E280">
        <f>_xll.BDP($C280,"DUR_ADJ_MID")</f>
        <v>4.2685110183893569</v>
      </c>
      <c r="F280">
        <f>_xll.BDP($C280,"OAS_SPREAD_DUR_MID")</f>
        <v>4.2666032476166791</v>
      </c>
      <c r="G280" t="str">
        <f>_xll.BDP($C280,"MATURITY")</f>
        <v>4/30/2031</v>
      </c>
      <c r="H280" t="str">
        <f>_xll.BDP($C280,"RTG_SP")</f>
        <v>#N/A N/A</v>
      </c>
    </row>
    <row r="281" spans="1:8" x14ac:dyDescent="0.25">
      <c r="A281" s="1" t="s">
        <v>139</v>
      </c>
      <c r="B281" s="1" t="s">
        <v>1529</v>
      </c>
      <c r="C281" s="1" t="s">
        <v>1530</v>
      </c>
      <c r="D281" s="1" t="s">
        <v>1531</v>
      </c>
      <c r="E281">
        <f>_xll.BDP($C281,"DUR_ADJ_MID")</f>
        <v>2.6999325263729599</v>
      </c>
      <c r="F281">
        <f>_xll.BDP($C281,"OAS_SPREAD_DUR_MID")</f>
        <v>2.7003220369585308</v>
      </c>
      <c r="G281" t="str">
        <f>_xll.BDP($C281,"MATURITY")</f>
        <v>5/31/2029</v>
      </c>
      <c r="H281" t="str">
        <f>_xll.BDP($C281,"RTG_SP")</f>
        <v>#N/A N/A</v>
      </c>
    </row>
    <row r="282" spans="1:8" x14ac:dyDescent="0.25">
      <c r="A282" s="1" t="s">
        <v>139</v>
      </c>
      <c r="B282" s="1" t="s">
        <v>1532</v>
      </c>
      <c r="C282" s="1" t="s">
        <v>1533</v>
      </c>
      <c r="D282" s="1" t="s">
        <v>1534</v>
      </c>
      <c r="E282">
        <f>_xll.BDP($C282,"DUR_ADJ_MID")</f>
        <v>4.3504508111837623</v>
      </c>
      <c r="F282">
        <f>_xll.BDP($C282,"OAS_SPREAD_DUR_MID")</f>
        <v>4.3493267308670296</v>
      </c>
      <c r="G282" t="str">
        <f>_xll.BDP($C282,"MATURITY")</f>
        <v>5/31/2031</v>
      </c>
      <c r="H282" t="str">
        <f>_xll.BDP($C282,"RTG_SP")</f>
        <v>#N/A N/A</v>
      </c>
    </row>
    <row r="283" spans="1:8" x14ac:dyDescent="0.25">
      <c r="A283" s="1" t="s">
        <v>139</v>
      </c>
      <c r="B283" s="1" t="s">
        <v>1535</v>
      </c>
      <c r="C283" s="1" t="s">
        <v>1536</v>
      </c>
      <c r="D283" s="1" t="s">
        <v>1537</v>
      </c>
      <c r="E283">
        <f>_xll.BDP($C283,"DUR_ADJ_MID")</f>
        <v>4.4611649293455189</v>
      </c>
      <c r="F283">
        <f>_xll.BDP($C283,"OAS_SPREAD_DUR_MID")</f>
        <v>4.4604994168722278</v>
      </c>
      <c r="G283" t="str">
        <f>_xll.BDP($C283,"MATURITY")</f>
        <v>6/30/2031</v>
      </c>
      <c r="H283" t="str">
        <f>_xll.BDP($C283,"RTG_SP")</f>
        <v>#N/A N/A</v>
      </c>
    </row>
    <row r="284" spans="1:8" x14ac:dyDescent="0.25">
      <c r="A284" s="1" t="s">
        <v>139</v>
      </c>
      <c r="B284" s="1" t="s">
        <v>1538</v>
      </c>
      <c r="C284" s="1" t="s">
        <v>1539</v>
      </c>
      <c r="D284" s="1" t="s">
        <v>1540</v>
      </c>
      <c r="E284">
        <f>_xll.BDP($C284,"DUR_ADJ_MID")</f>
        <v>2.7878804442774165</v>
      </c>
      <c r="F284">
        <f>_xll.BDP($C284,"OAS_SPREAD_DUR_MID")</f>
        <v>2.7886060532010499</v>
      </c>
      <c r="G284" t="str">
        <f>_xll.BDP($C284,"MATURITY")</f>
        <v>6/30/2029</v>
      </c>
      <c r="H284" t="str">
        <f>_xll.BDP($C284,"RTG_SP")</f>
        <v>#N/A N/A</v>
      </c>
    </row>
    <row r="285" spans="1:8" x14ac:dyDescent="0.25">
      <c r="A285" s="1" t="s">
        <v>139</v>
      </c>
      <c r="B285" s="1" t="s">
        <v>1541</v>
      </c>
      <c r="C285" s="1" t="s">
        <v>1542</v>
      </c>
      <c r="D285" s="1" t="s">
        <v>1543</v>
      </c>
      <c r="E285">
        <f>_xll.BDP($C285,"DUR_ADJ_MID")</f>
        <v>2.8244415599702473</v>
      </c>
      <c r="F285">
        <f>_xll.BDP($C285,"OAS_SPREAD_DUR_MID")</f>
        <v>2.824403459506108</v>
      </c>
      <c r="G285" t="str">
        <f>_xll.BDP($C285,"MATURITY")</f>
        <v>7/31/2029</v>
      </c>
      <c r="H285" t="str">
        <f>_xll.BDP($C285,"RTG_SP")</f>
        <v>#N/A N/A</v>
      </c>
    </row>
    <row r="286" spans="1:8" x14ac:dyDescent="0.25">
      <c r="A286" s="1" t="s">
        <v>139</v>
      </c>
      <c r="B286" s="1" t="s">
        <v>1544</v>
      </c>
      <c r="C286" s="1" t="s">
        <v>1545</v>
      </c>
      <c r="D286" s="1" t="s">
        <v>1546</v>
      </c>
      <c r="E286">
        <f>_xll.BDP($C286,"DUR_ADJ_MID")</f>
        <v>4.4647113110752512</v>
      </c>
      <c r="F286">
        <f>_xll.BDP($C286,"OAS_SPREAD_DUR_MID")</f>
        <v>4.4632400862509627</v>
      </c>
      <c r="G286" t="str">
        <f>_xll.BDP($C286,"MATURITY")</f>
        <v>7/31/2031</v>
      </c>
      <c r="H286" t="str">
        <f>_xll.BDP($C286,"RTG_SP")</f>
        <v>#N/A N/A</v>
      </c>
    </row>
    <row r="287" spans="1:8" x14ac:dyDescent="0.25">
      <c r="A287" s="1" t="s">
        <v>139</v>
      </c>
      <c r="B287" s="1" t="s">
        <v>1547</v>
      </c>
      <c r="C287" s="1" t="s">
        <v>1548</v>
      </c>
      <c r="D287" s="1" t="s">
        <v>1549</v>
      </c>
      <c r="E287">
        <f>_xll.BDP($C287,"DUR_ADJ_MID")</f>
        <v>4.583545142572488</v>
      </c>
      <c r="F287">
        <f>_xll.BDP($C287,"OAS_SPREAD_DUR_MID")</f>
        <v>4.5833008512962836</v>
      </c>
      <c r="G287" t="str">
        <f>_xll.BDP($C287,"MATURITY")</f>
        <v>8/31/2031</v>
      </c>
      <c r="H287" t="str">
        <f>_xll.BDP($C287,"RTG_SP")</f>
        <v>#N/A N/A</v>
      </c>
    </row>
    <row r="288" spans="1:8" x14ac:dyDescent="0.25">
      <c r="A288" s="1" t="s">
        <v>139</v>
      </c>
      <c r="B288" s="1" t="s">
        <v>1550</v>
      </c>
      <c r="C288" s="1" t="s">
        <v>1551</v>
      </c>
      <c r="D288" s="1" t="s">
        <v>1552</v>
      </c>
      <c r="E288">
        <f>_xll.BDP($C288,"DUR_ADJ_MID")</f>
        <v>2.9217489900189508</v>
      </c>
      <c r="F288">
        <f>_xll.BDP($C288,"OAS_SPREAD_DUR_MID")</f>
        <v>2.9232918449256839</v>
      </c>
      <c r="G288" t="str">
        <f>_xll.BDP($C288,"MATURITY")</f>
        <v>8/31/2029</v>
      </c>
      <c r="H288" t="str">
        <f>_xll.BDP($C288,"RTG_SP")</f>
        <v>#N/A N/A</v>
      </c>
    </row>
    <row r="289" spans="1:8" x14ac:dyDescent="0.25">
      <c r="A289" s="1" t="s">
        <v>139</v>
      </c>
      <c r="B289" s="1" t="s">
        <v>1553</v>
      </c>
      <c r="C289" s="1" t="s">
        <v>1554</v>
      </c>
      <c r="D289" s="1" t="s">
        <v>1555</v>
      </c>
      <c r="E289">
        <f>_xll.BDP($C289,"DUR_ADJ_MID")</f>
        <v>4.6777599747087608</v>
      </c>
      <c r="F289">
        <f>_xll.BDP($C289,"OAS_SPREAD_DUR_MID")</f>
        <v>4.6769927948102481</v>
      </c>
      <c r="G289" t="str">
        <f>_xll.BDP($C289,"MATURITY")</f>
        <v>9/30/2031</v>
      </c>
      <c r="H289" t="str">
        <f>_xll.BDP($C289,"RTG_SP")</f>
        <v>#N/A N/A</v>
      </c>
    </row>
    <row r="290" spans="1:8" x14ac:dyDescent="0.25">
      <c r="A290" s="1" t="s">
        <v>139</v>
      </c>
      <c r="B290" s="1" t="s">
        <v>1556</v>
      </c>
      <c r="C290" s="1" t="s">
        <v>1557</v>
      </c>
      <c r="D290" s="1" t="s">
        <v>1558</v>
      </c>
      <c r="E290">
        <f>_xll.BDP($C290,"DUR_ADJ_MID")</f>
        <v>3.0083474819448854</v>
      </c>
      <c r="F290">
        <f>_xll.BDP($C290,"OAS_SPREAD_DUR_MID")</f>
        <v>3.0092917237376851</v>
      </c>
      <c r="G290" t="str">
        <f>_xll.BDP($C290,"MATURITY")</f>
        <v>9/30/2029</v>
      </c>
      <c r="H290" t="str">
        <f>_xll.BDP($C290,"RTG_SP")</f>
        <v>#N/A N/A</v>
      </c>
    </row>
    <row r="291" spans="1:8" x14ac:dyDescent="0.25">
      <c r="A291" s="1" t="s">
        <v>139</v>
      </c>
      <c r="B291" s="1" t="s">
        <v>1559</v>
      </c>
      <c r="C291" s="1" t="s">
        <v>1560</v>
      </c>
      <c r="D291" s="1" t="s">
        <v>1561</v>
      </c>
      <c r="E291">
        <f>_xll.BDP($C291,"DUR_ADJ_MID")</f>
        <v>3.0625435031542314</v>
      </c>
      <c r="F291">
        <f>_xll.BDP($C291,"OAS_SPREAD_DUR_MID")</f>
        <v>3.0652783754727286</v>
      </c>
      <c r="G291" t="str">
        <f>_xll.BDP($C291,"MATURITY")</f>
        <v>10/31/2029</v>
      </c>
      <c r="H291" t="str">
        <f>_xll.BDP($C291,"RTG_SP")</f>
        <v>#N/A N/A</v>
      </c>
    </row>
    <row r="292" spans="1:8" x14ac:dyDescent="0.25">
      <c r="A292" s="1" t="s">
        <v>139</v>
      </c>
      <c r="B292" s="1" t="s">
        <v>1562</v>
      </c>
      <c r="C292" s="1" t="s">
        <v>1563</v>
      </c>
      <c r="D292" s="1" t="s">
        <v>1564</v>
      </c>
      <c r="E292">
        <f>_xll.BDP($C292,"DUR_ADJ_MID")</f>
        <v>4.7078092186307234</v>
      </c>
      <c r="F292">
        <f>_xll.BDP($C292,"OAS_SPREAD_DUR_MID")</f>
        <v>4.7086444421428721</v>
      </c>
      <c r="G292" t="str">
        <f>_xll.BDP($C292,"MATURITY")</f>
        <v>10/31/2031</v>
      </c>
      <c r="H292" t="str">
        <f>_xll.BDP($C292,"RTG_SP")</f>
        <v>#N/A N/A</v>
      </c>
    </row>
    <row r="293" spans="1:8" x14ac:dyDescent="0.25">
      <c r="A293" s="1" t="s">
        <v>139</v>
      </c>
      <c r="B293" s="1" t="s">
        <v>1565</v>
      </c>
      <c r="C293" s="1" t="s">
        <v>1566</v>
      </c>
      <c r="D293" s="1" t="s">
        <v>1567</v>
      </c>
      <c r="E293">
        <f>_xll.BDP($C293,"DUR_ADJ_MID")</f>
        <v>4.7896705230637409</v>
      </c>
      <c r="F293">
        <f>_xll.BDP($C293,"OAS_SPREAD_DUR_MID")</f>
        <v>4.7890495373207571</v>
      </c>
      <c r="G293" t="str">
        <f>_xll.BDP($C293,"MATURITY")</f>
        <v>11/30/2031</v>
      </c>
      <c r="H293" t="str">
        <f>_xll.BDP($C293,"RTG_SP")</f>
        <v>#N/A N/A</v>
      </c>
    </row>
    <row r="294" spans="1:8" x14ac:dyDescent="0.25">
      <c r="A294" s="1" t="s">
        <v>139</v>
      </c>
      <c r="B294" s="1" t="s">
        <v>1568</v>
      </c>
      <c r="C294" s="1" t="s">
        <v>1569</v>
      </c>
      <c r="D294" s="1" t="s">
        <v>1570</v>
      </c>
      <c r="E294">
        <f>_xll.BDP($C294,"DUR_ADJ_MID")</f>
        <v>3.1446677069654512</v>
      </c>
      <c r="F294">
        <f>_xll.BDP($C294,"OAS_SPREAD_DUR_MID")</f>
        <v>3.1459084979231249</v>
      </c>
      <c r="G294" t="str">
        <f>_xll.BDP($C294,"MATURITY")</f>
        <v>11/30/2029</v>
      </c>
      <c r="H294" t="str">
        <f>_xll.BDP($C294,"RTG_SP")</f>
        <v>#N/A N/A</v>
      </c>
    </row>
    <row r="295" spans="1:8" x14ac:dyDescent="0.25">
      <c r="A295" s="1" t="s">
        <v>139</v>
      </c>
      <c r="B295" s="1" t="s">
        <v>1571</v>
      </c>
      <c r="C295" s="1" t="s">
        <v>1572</v>
      </c>
      <c r="D295" s="1" t="s">
        <v>1573</v>
      </c>
      <c r="E295">
        <f>_xll.BDP($C295,"DUR_ADJ_MID")</f>
        <v>4.8331999125598992</v>
      </c>
      <c r="F295">
        <f>_xll.BDP($C295,"OAS_SPREAD_DUR_MID")</f>
        <v>4.8351006402066128</v>
      </c>
      <c r="G295" t="str">
        <f>_xll.BDP($C295,"MATURITY")</f>
        <v>12/31/2031</v>
      </c>
      <c r="H295" t="str">
        <f>_xll.BDP($C295,"RTG_SP")</f>
        <v>#N/A N/A</v>
      </c>
    </row>
    <row r="296" spans="1:8" x14ac:dyDescent="0.25">
      <c r="A296" s="1" t="s">
        <v>139</v>
      </c>
      <c r="B296" s="1" t="s">
        <v>1574</v>
      </c>
      <c r="C296" s="1" t="s">
        <v>1575</v>
      </c>
      <c r="D296" s="1" t="s">
        <v>1576</v>
      </c>
      <c r="E296">
        <f>_xll.BDP($C296,"DUR_ADJ_MID")</f>
        <v>3.2144159157004526</v>
      </c>
      <c r="F296">
        <f>_xll.BDP($C296,"OAS_SPREAD_DUR_MID")</f>
        <v>3.2183733508478225</v>
      </c>
      <c r="G296" t="str">
        <f>_xll.BDP($C296,"MATURITY")</f>
        <v>12/31/2029</v>
      </c>
      <c r="H296" t="str">
        <f>_xll.BDP($C296,"RTG_SP")</f>
        <v>#N/A N/A</v>
      </c>
    </row>
    <row r="297" spans="1:8" x14ac:dyDescent="0.25">
      <c r="A297" s="1" t="s">
        <v>139</v>
      </c>
      <c r="B297" s="1" t="s">
        <v>1577</v>
      </c>
      <c r="C297" s="1" t="s">
        <v>1578</v>
      </c>
      <c r="D297" s="1" t="s">
        <v>1579</v>
      </c>
      <c r="E297">
        <f>_xll.BDP($C297,"DUR_ADJ_MID")</f>
        <v>3.2365265602715603</v>
      </c>
      <c r="F297">
        <f>_xll.BDP($C297,"OAS_SPREAD_DUR_MID")</f>
        <v>3.2396593308932036</v>
      </c>
      <c r="G297" t="str">
        <f>_xll.BDP($C297,"MATURITY")</f>
        <v>1/31/2030</v>
      </c>
      <c r="H297" t="str">
        <f>_xll.BDP($C297,"RTG_SP")</f>
        <v>#N/A N/A</v>
      </c>
    </row>
    <row r="298" spans="1:8" x14ac:dyDescent="0.25">
      <c r="A298" s="1" t="s">
        <v>139</v>
      </c>
      <c r="B298" s="1" t="s">
        <v>1580</v>
      </c>
      <c r="C298" s="1" t="s">
        <v>1581</v>
      </c>
      <c r="D298" s="1" t="s">
        <v>1582</v>
      </c>
      <c r="E298">
        <f>_xll.BDP($C298,"DUR_ADJ_MID")</f>
        <v>4.8257957028341831</v>
      </c>
      <c r="F298">
        <f>_xll.BDP($C298,"OAS_SPREAD_DUR_MID")</f>
        <v>4.8268360167782483</v>
      </c>
      <c r="G298" t="str">
        <f>_xll.BDP($C298,"MATURITY")</f>
        <v>1/31/2032</v>
      </c>
      <c r="H298" t="str">
        <f>_xll.BDP($C298,"RTG_SP")</f>
        <v>#N/A N/A</v>
      </c>
    </row>
    <row r="299" spans="1:8" x14ac:dyDescent="0.25">
      <c r="A299" s="1" t="s">
        <v>139</v>
      </c>
      <c r="B299" s="1" t="s">
        <v>1583</v>
      </c>
      <c r="C299" s="1" t="s">
        <v>1584</v>
      </c>
      <c r="D299" s="1" t="s">
        <v>1585</v>
      </c>
      <c r="E299">
        <f>_xll.BDP($C299,"DUR_ADJ_MID")</f>
        <v>4.9355614125215936</v>
      </c>
      <c r="F299">
        <f>_xll.BDP($C299,"OAS_SPREAD_DUR_MID")</f>
        <v>4.9334653538372724</v>
      </c>
      <c r="G299" t="str">
        <f>_xll.BDP($C299,"MATURITY")</f>
        <v>2/29/2032</v>
      </c>
      <c r="H299" t="str">
        <f>_xll.BDP($C299,"RTG_SP")</f>
        <v>#N/A N/A</v>
      </c>
    </row>
    <row r="300" spans="1:8" x14ac:dyDescent="0.25">
      <c r="A300" s="1" t="s">
        <v>139</v>
      </c>
      <c r="B300" s="1" t="s">
        <v>1586</v>
      </c>
      <c r="C300" s="1" t="s">
        <v>1587</v>
      </c>
      <c r="D300" s="1" t="s">
        <v>1588</v>
      </c>
      <c r="E300">
        <f>_xll.BDP($C300,"DUR_ADJ_MID")</f>
        <v>5.0164733638214676</v>
      </c>
      <c r="F300">
        <f>_xll.BDP($C300,"OAS_SPREAD_DUR_MID")</f>
        <v>5.0159781386692384</v>
      </c>
      <c r="G300" t="str">
        <f>_xll.BDP($C300,"MATURITY")</f>
        <v>3/31/2032</v>
      </c>
      <c r="H300" t="str">
        <f>_xll.BDP($C300,"RTG_SP")</f>
        <v>#N/A N/A</v>
      </c>
    </row>
    <row r="301" spans="1:8" x14ac:dyDescent="0.25">
      <c r="A301" s="1" t="s">
        <v>139</v>
      </c>
      <c r="B301" s="1" t="s">
        <v>1589</v>
      </c>
      <c r="C301" s="1" t="s">
        <v>1590</v>
      </c>
      <c r="D301" s="1" t="s">
        <v>1591</v>
      </c>
      <c r="E301">
        <f>_xll.BDP($C301,"DUR_ADJ_MID")</f>
        <v>3.4126068620192762</v>
      </c>
      <c r="F301">
        <f>_xll.BDP($C301,"OAS_SPREAD_DUR_MID")</f>
        <v>3.4119654408315565</v>
      </c>
      <c r="G301" t="str">
        <f>_xll.BDP($C301,"MATURITY")</f>
        <v>3/31/2030</v>
      </c>
      <c r="H301" t="str">
        <f>_xll.BDP($C301,"RTG_SP")</f>
        <v>#N/A N/A</v>
      </c>
    </row>
    <row r="302" spans="1:8" x14ac:dyDescent="0.25">
      <c r="A302" s="1" t="s">
        <v>139</v>
      </c>
      <c r="B302" s="1" t="s">
        <v>1592</v>
      </c>
      <c r="C302" s="1" t="s">
        <v>1593</v>
      </c>
      <c r="D302" s="1" t="s">
        <v>1594</v>
      </c>
      <c r="E302">
        <f>_xll.BDP($C302,"DUR_ADJ_MID")</f>
        <v>3.5007312192538818</v>
      </c>
      <c r="F302">
        <f>_xll.BDP($C302,"OAS_SPREAD_DUR_MID")</f>
        <v>3.4995388934576477</v>
      </c>
      <c r="G302" t="str">
        <f>_xll.BDP($C302,"MATURITY")</f>
        <v>4/30/2030</v>
      </c>
      <c r="H302" t="str">
        <f>_xll.BDP($C302,"RTG_SP")</f>
        <v>#N/A N/A</v>
      </c>
    </row>
    <row r="303" spans="1:8" x14ac:dyDescent="0.25">
      <c r="A303" s="1" t="s">
        <v>139</v>
      </c>
      <c r="B303" s="1" t="s">
        <v>1595</v>
      </c>
      <c r="C303" s="1" t="s">
        <v>1596</v>
      </c>
      <c r="D303" s="1" t="s">
        <v>1597</v>
      </c>
      <c r="E303">
        <f>_xll.BDP($C303,"DUR_ADJ_MID")</f>
        <v>5.1120481312095611</v>
      </c>
      <c r="F303">
        <f>_xll.BDP($C303,"OAS_SPREAD_DUR_MID")</f>
        <v>5.1110651380722238</v>
      </c>
      <c r="G303" t="str">
        <f>_xll.BDP($C303,"MATURITY")</f>
        <v>4/30/2032</v>
      </c>
      <c r="H303" t="str">
        <f>_xll.BDP($C303,"RTG_SP")</f>
        <v>#N/A N/A</v>
      </c>
    </row>
    <row r="304" spans="1:8" x14ac:dyDescent="0.25">
      <c r="A304" s="1" t="s">
        <v>139</v>
      </c>
      <c r="B304" s="1" t="s">
        <v>1598</v>
      </c>
      <c r="C304" s="1" t="s">
        <v>1599</v>
      </c>
      <c r="D304" s="1" t="s">
        <v>1600</v>
      </c>
      <c r="E304">
        <f>_xll.BDP($C304,"DUR_ADJ_MID")</f>
        <v>5.1792749649507659</v>
      </c>
      <c r="F304">
        <f>_xll.BDP($C304,"OAS_SPREAD_DUR_MID")</f>
        <v>5.1789541738390747</v>
      </c>
      <c r="G304" t="str">
        <f>_xll.BDP($C304,"MATURITY")</f>
        <v>5/31/2032</v>
      </c>
      <c r="H304" t="str">
        <f>_xll.BDP($C304,"RTG_SP")</f>
        <v>#N/A N/A</v>
      </c>
    </row>
    <row r="305" spans="1:8" x14ac:dyDescent="0.25">
      <c r="A305" s="1" t="s">
        <v>139</v>
      </c>
      <c r="B305" s="1" t="s">
        <v>1601</v>
      </c>
      <c r="C305" s="1" t="s">
        <v>1602</v>
      </c>
      <c r="D305" s="1" t="s">
        <v>1603</v>
      </c>
      <c r="E305">
        <f>_xll.BDP($C305,"DUR_ADJ_MID")</f>
        <v>3.5757299544287391</v>
      </c>
      <c r="F305">
        <f>_xll.BDP($C305,"OAS_SPREAD_DUR_MID")</f>
        <v>3.5754136756944357</v>
      </c>
      <c r="G305" t="str">
        <f>_xll.BDP($C305,"MATURITY")</f>
        <v>5/31/2030</v>
      </c>
      <c r="H305" t="str">
        <f>_xll.BDP($C305,"RTG_SP")</f>
        <v>#N/A N/A</v>
      </c>
    </row>
    <row r="306" spans="1:8" x14ac:dyDescent="0.25">
      <c r="A306" s="1" t="s">
        <v>139</v>
      </c>
      <c r="B306" s="1" t="s">
        <v>1604</v>
      </c>
      <c r="C306" s="1" t="s">
        <v>1605</v>
      </c>
      <c r="D306" s="1" t="s">
        <v>1606</v>
      </c>
      <c r="E306">
        <f>_xll.BDP($C306,"DUR_ADJ_MID")</f>
        <v>5.2739498783586036</v>
      </c>
      <c r="F306">
        <f>_xll.BDP($C306,"OAS_SPREAD_DUR_MID")</f>
        <v>5.2740804536823429</v>
      </c>
      <c r="G306" t="str">
        <f>_xll.BDP($C306,"MATURITY")</f>
        <v>6/30/2032</v>
      </c>
      <c r="H306" t="str">
        <f>_xll.BDP($C306,"RTG_SP")</f>
        <v>#N/A N/A</v>
      </c>
    </row>
    <row r="307" spans="1:8" x14ac:dyDescent="0.25">
      <c r="A307" s="1" t="s">
        <v>139</v>
      </c>
      <c r="B307" s="1" t="s">
        <v>1607</v>
      </c>
      <c r="C307" s="1" t="s">
        <v>1608</v>
      </c>
      <c r="D307" s="1" t="s">
        <v>1609</v>
      </c>
      <c r="E307">
        <f>_xll.BDP($C307,"DUR_ADJ_MID")</f>
        <v>3.6628629736155274</v>
      </c>
      <c r="F307">
        <f>_xll.BDP($C307,"OAS_SPREAD_DUR_MID")</f>
        <v>3.6629021536344686</v>
      </c>
      <c r="G307" t="str">
        <f>_xll.BDP($C307,"MATURITY")</f>
        <v>6/30/2030</v>
      </c>
      <c r="H307" t="str">
        <f>_xll.BDP($C307,"RTG_SP")</f>
        <v>#N/A N/A</v>
      </c>
    </row>
    <row r="308" spans="1:8" x14ac:dyDescent="0.25">
      <c r="A308" s="1" t="s">
        <v>139</v>
      </c>
      <c r="B308" s="1" t="s">
        <v>1610</v>
      </c>
      <c r="C308" s="1" t="s">
        <v>1611</v>
      </c>
      <c r="D308" s="1" t="s">
        <v>1612</v>
      </c>
      <c r="E308">
        <f>_xll.BDP($C308,"DUR_ADJ_MID")</f>
        <v>3.6763074917630449</v>
      </c>
      <c r="F308">
        <f>_xll.BDP($C308,"OAS_SPREAD_DUR_MID")</f>
        <v>3.6755866729066082</v>
      </c>
      <c r="G308" t="str">
        <f>_xll.BDP($C308,"MATURITY")</f>
        <v>7/31/2030</v>
      </c>
      <c r="H308" t="str">
        <f>_xll.BDP($C308,"RTG_SP")</f>
        <v>#N/A N/A</v>
      </c>
    </row>
    <row r="309" spans="1:8" x14ac:dyDescent="0.25">
      <c r="A309" s="1" t="s">
        <v>139</v>
      </c>
      <c r="B309" s="1" t="s">
        <v>1613</v>
      </c>
      <c r="C309" s="1" t="s">
        <v>1614</v>
      </c>
      <c r="D309" s="1" t="s">
        <v>1615</v>
      </c>
      <c r="E309">
        <f>_xll.BDP($C309,"DUR_ADJ_MID")</f>
        <v>5.2526376687049012</v>
      </c>
      <c r="F309">
        <f>_xll.BDP($C309,"OAS_SPREAD_DUR_MID")</f>
        <v>5.2519076552878392</v>
      </c>
      <c r="G309" t="str">
        <f>_xll.BDP($C309,"MATURITY")</f>
        <v>7/31/2032</v>
      </c>
      <c r="H309" t="str">
        <f>_xll.BDP($C309,"RTG_SP")</f>
        <v>#N/A N/A</v>
      </c>
    </row>
    <row r="310" spans="1:8" x14ac:dyDescent="0.25">
      <c r="A310" s="1" t="s">
        <v>139</v>
      </c>
      <c r="B310" s="1" t="s">
        <v>1616</v>
      </c>
      <c r="C310" s="1" t="s">
        <v>1617</v>
      </c>
      <c r="D310" s="1" t="s">
        <v>1618</v>
      </c>
      <c r="E310">
        <f>_xll.BDP($C310,"DUR_ADJ_MID")</f>
        <v>5.350759326499519</v>
      </c>
      <c r="F310">
        <f>_xll.BDP($C310,"OAS_SPREAD_DUR_MID")</f>
        <v>5.3511188379651884</v>
      </c>
      <c r="G310" t="str">
        <f>_xll.BDP($C310,"MATURITY")</f>
        <v>8/31/2032</v>
      </c>
      <c r="H310" t="str">
        <f>_xll.BDP($C310,"RTG_SP")</f>
        <v>#N/A N/A</v>
      </c>
    </row>
    <row r="311" spans="1:8" x14ac:dyDescent="0.25">
      <c r="A311" s="1" t="s">
        <v>139</v>
      </c>
      <c r="B311" s="1" t="s">
        <v>1619</v>
      </c>
      <c r="C311" s="1" t="s">
        <v>1620</v>
      </c>
      <c r="D311" s="1" t="s">
        <v>1621</v>
      </c>
      <c r="E311">
        <f>_xll.BDP($C311,"DUR_ADJ_MID")</f>
        <v>3.7750963520729632</v>
      </c>
      <c r="F311">
        <f>_xll.BDP($C311,"OAS_SPREAD_DUR_MID")</f>
        <v>3.7758080647848158</v>
      </c>
      <c r="G311" t="str">
        <f>_xll.BDP($C311,"MATURITY")</f>
        <v>8/31/2030</v>
      </c>
      <c r="H311" t="str">
        <f>_xll.BDP($C311,"RTG_SP")</f>
        <v>#N/A N/A</v>
      </c>
    </row>
    <row r="312" spans="1:8" x14ac:dyDescent="0.25">
      <c r="A312" s="1" t="s">
        <v>139</v>
      </c>
      <c r="B312" s="1" t="s">
        <v>1622</v>
      </c>
      <c r="C312" s="1" t="s">
        <v>1623</v>
      </c>
      <c r="D312" s="1" t="s">
        <v>1624</v>
      </c>
      <c r="E312">
        <f>_xll.BDP($C312,"DUR_ADJ_MID")</f>
        <v>5.4315860258929787</v>
      </c>
      <c r="F312">
        <f>_xll.BDP($C312,"OAS_SPREAD_DUR_MID")</f>
        <v>5.4314044376998014</v>
      </c>
      <c r="G312" t="str">
        <f>_xll.BDP($C312,"MATURITY")</f>
        <v>9/30/2032</v>
      </c>
      <c r="H312" t="str">
        <f>_xll.BDP($C312,"RTG_SP")</f>
        <v>#N/A N/A</v>
      </c>
    </row>
    <row r="313" spans="1:8" x14ac:dyDescent="0.25">
      <c r="A313" s="1" t="s">
        <v>139</v>
      </c>
      <c r="B313" s="1" t="s">
        <v>1625</v>
      </c>
      <c r="C313" s="1" t="s">
        <v>1626</v>
      </c>
      <c r="D313" s="1" t="s">
        <v>1627</v>
      </c>
      <c r="E313">
        <f>_xll.BDP($C313,"DUR_ADJ_MID")</f>
        <v>3.8562707014455331</v>
      </c>
      <c r="F313">
        <f>_xll.BDP($C313,"OAS_SPREAD_DUR_MID")</f>
        <v>3.8564175904335039</v>
      </c>
      <c r="G313" t="str">
        <f>_xll.BDP($C313,"MATURITY")</f>
        <v>9/30/2030</v>
      </c>
      <c r="H313" t="str">
        <f>_xll.BDP($C313,"RTG_SP")</f>
        <v>#N/A N/A</v>
      </c>
    </row>
    <row r="314" spans="1:8" x14ac:dyDescent="0.25">
      <c r="A314" s="1" t="s">
        <v>139</v>
      </c>
      <c r="B314" s="1" t="s">
        <v>1628</v>
      </c>
      <c r="C314" s="1" t="s">
        <v>1629</v>
      </c>
      <c r="D314" s="1" t="s">
        <v>1630</v>
      </c>
      <c r="E314">
        <f>_xll.BDP($C314,"DUR_ADJ_MID")</f>
        <v>3.9373701048139327</v>
      </c>
      <c r="F314">
        <f>_xll.BDP($C314,"OAS_SPREAD_DUR_MID")</f>
        <v>3.9393073906867593</v>
      </c>
      <c r="G314" t="str">
        <f>_xll.BDP($C314,"MATURITY")</f>
        <v>10/31/2030</v>
      </c>
      <c r="H314" t="str">
        <f>_xll.BDP($C314,"RTG_SP")</f>
        <v>#N/A N/A</v>
      </c>
    </row>
    <row r="315" spans="1:8" x14ac:dyDescent="0.25">
      <c r="A315" s="1" t="s">
        <v>139</v>
      </c>
      <c r="B315" s="1" t="s">
        <v>1631</v>
      </c>
      <c r="C315" s="1" t="s">
        <v>1632</v>
      </c>
      <c r="D315" s="1" t="s">
        <v>1633</v>
      </c>
      <c r="E315">
        <f>_xll.BDP($C315,"DUR_ADJ_MID")</f>
        <v>5.529829598936038</v>
      </c>
      <c r="F315">
        <f>_xll.BDP($C315,"OAS_SPREAD_DUR_MID")</f>
        <v>5.5313098132330509</v>
      </c>
      <c r="G315" t="str">
        <f>_xll.BDP($C315,"MATURITY")</f>
        <v>10/31/2032</v>
      </c>
      <c r="H315" t="str">
        <f>_xll.BDP($C315,"RTG_SP")</f>
        <v>#N/A N/A</v>
      </c>
    </row>
    <row r="316" spans="1:8" x14ac:dyDescent="0.25">
      <c r="A316" s="1" t="s">
        <v>139</v>
      </c>
      <c r="B316" s="1" t="s">
        <v>1634</v>
      </c>
      <c r="C316" s="1" t="s">
        <v>1635</v>
      </c>
      <c r="D316" s="1" t="s">
        <v>1636</v>
      </c>
      <c r="E316">
        <f>_xll.BDP($C316,"DUR_ADJ_MID")</f>
        <v>5.6117114112790629</v>
      </c>
      <c r="F316">
        <f>_xll.BDP($C316,"OAS_SPREAD_DUR_MID")</f>
        <v>5.6117307039220856</v>
      </c>
      <c r="G316" t="str">
        <f>_xll.BDP($C316,"MATURITY")</f>
        <v>11/30/2032</v>
      </c>
      <c r="H316" t="str">
        <f>_xll.BDP($C316,"RTG_SP")</f>
        <v>#N/A N/A</v>
      </c>
    </row>
    <row r="317" spans="1:8" x14ac:dyDescent="0.25">
      <c r="A317" s="1" t="s">
        <v>139</v>
      </c>
      <c r="B317" s="1" t="s">
        <v>1637</v>
      </c>
      <c r="C317" s="1" t="s">
        <v>1638</v>
      </c>
      <c r="D317" s="1" t="s">
        <v>1639</v>
      </c>
      <c r="E317">
        <f>_xll.BDP($C317,"DUR_ADJ_MID")</f>
        <v>4.0283499438866279</v>
      </c>
      <c r="F317">
        <f>_xll.BDP($C317,"OAS_SPREAD_DUR_MID")</f>
        <v>4.0288308449201864</v>
      </c>
      <c r="G317" t="str">
        <f>_xll.BDP($C317,"MATURITY")</f>
        <v>11/30/2030</v>
      </c>
      <c r="H317" t="str">
        <f>_xll.BDP($C317,"RTG_SP")</f>
        <v>#N/A N/A</v>
      </c>
    </row>
    <row r="318" spans="1:8" x14ac:dyDescent="0.25">
      <c r="A318" s="1" t="s">
        <v>139</v>
      </c>
      <c r="B318" s="1" t="s">
        <v>1640</v>
      </c>
      <c r="C318" s="1" t="s">
        <v>1641</v>
      </c>
      <c r="D318" s="1" t="s">
        <v>1642</v>
      </c>
      <c r="E318">
        <f>_xll.BDP($C318,"DUR_ADJ_MID")</f>
        <v>5.6744040831928757</v>
      </c>
      <c r="F318">
        <f>_xll.BDP($C318,"OAS_SPREAD_DUR_MID")</f>
        <v>5.676913497549898</v>
      </c>
      <c r="G318" t="str">
        <f>_xll.BDP($C318,"MATURITY")</f>
        <v>12/31/2032</v>
      </c>
      <c r="H318" t="str">
        <f>_xll.BDP($C318,"RTG_SP")</f>
        <v>#N/A N/A</v>
      </c>
    </row>
    <row r="319" spans="1:8" x14ac:dyDescent="0.25">
      <c r="A319" s="1" t="s">
        <v>139</v>
      </c>
      <c r="B319" s="1" t="s">
        <v>1643</v>
      </c>
      <c r="C319" s="1" t="s">
        <v>1644</v>
      </c>
      <c r="D319" s="1" t="s">
        <v>1645</v>
      </c>
      <c r="E319">
        <f>_xll.BDP($C319,"DUR_ADJ_MID")</f>
        <v>4.0995856100592647</v>
      </c>
      <c r="F319">
        <f>_xll.BDP($C319,"OAS_SPREAD_DUR_MID")</f>
        <v>4.1027700728121932</v>
      </c>
      <c r="G319" t="str">
        <f>_xll.BDP($C319,"MATURITY")</f>
        <v>12/31/2030</v>
      </c>
      <c r="H319" t="str">
        <f>_xll.BDP($C319,"RTG_SP")</f>
        <v>#N/A N/A</v>
      </c>
    </row>
    <row r="320" spans="1:8" x14ac:dyDescent="0.25">
      <c r="A320" s="1" t="s">
        <v>139</v>
      </c>
      <c r="B320" s="1" t="s">
        <v>1646</v>
      </c>
      <c r="C320" s="1" t="s">
        <v>1647</v>
      </c>
      <c r="D320" s="1" t="s">
        <v>1648</v>
      </c>
      <c r="E320">
        <f>_xll.BDP($C320,"DUR_ADJ_MID")</f>
        <v>4.0978328215314006</v>
      </c>
      <c r="F320">
        <f>_xll.BDP($C320,"OAS_SPREAD_DUR_MID")</f>
        <v>4.1001777944303432</v>
      </c>
      <c r="G320" t="str">
        <f>_xll.BDP($C320,"MATURITY")</f>
        <v>1/31/2031</v>
      </c>
      <c r="H320" t="str">
        <f>_xll.BDP($C320,"RTG_SP")</f>
        <v>#N/A N/A</v>
      </c>
    </row>
    <row r="321" spans="1:8" x14ac:dyDescent="0.25">
      <c r="A321" s="1" t="s">
        <v>139</v>
      </c>
      <c r="B321" s="1" t="s">
        <v>1649</v>
      </c>
      <c r="C321" s="1" t="s">
        <v>1650</v>
      </c>
      <c r="D321" s="1" t="s">
        <v>1651</v>
      </c>
      <c r="E321">
        <f>_xll.BDP($C321,"DUR_ADJ_MID")</f>
        <v>5.6282028001281219</v>
      </c>
      <c r="F321">
        <f>_xll.BDP($C321,"OAS_SPREAD_DUR_MID")</f>
        <v>5.6297192666513549</v>
      </c>
      <c r="G321" t="str">
        <f>_xll.BDP($C321,"MATURITY")</f>
        <v>1/31/2033</v>
      </c>
      <c r="H321" t="str">
        <f>_xll.BDP($C321,"RTG_SP")</f>
        <v>#N/A N/A</v>
      </c>
    </row>
    <row r="322" spans="1:8" x14ac:dyDescent="0.25">
      <c r="A322" s="1" t="s">
        <v>139</v>
      </c>
      <c r="B322" s="1" t="s">
        <v>1652</v>
      </c>
      <c r="C322" s="1" t="s">
        <v>1653</v>
      </c>
      <c r="D322" s="1" t="s">
        <v>1654</v>
      </c>
      <c r="E322">
        <f>_xll.BDP($C322,"DUR_ADJ_MID")</f>
        <v>5.7486191069637265</v>
      </c>
      <c r="F322">
        <f>_xll.BDP($C322,"OAS_SPREAD_DUR_MID")</f>
        <v>5.744981144121537</v>
      </c>
      <c r="G322" t="str">
        <f>_xll.BDP($C322,"MATURITY")</f>
        <v>2/28/2033</v>
      </c>
      <c r="H322" t="str">
        <f>_xll.BDP($C322,"RTG_SP")</f>
        <v>#N/A N/A</v>
      </c>
    </row>
    <row r="323" spans="1:8" x14ac:dyDescent="0.25">
      <c r="A323" s="1" t="s">
        <v>139</v>
      </c>
      <c r="B323" s="1" t="s">
        <v>1655</v>
      </c>
      <c r="C323" s="1" t="s">
        <v>1656</v>
      </c>
      <c r="D323" s="1" t="s">
        <v>1657</v>
      </c>
      <c r="E323">
        <f>_xll.BDP($C323,"DUR_ADJ_MID")</f>
        <v>4.2011348888969868</v>
      </c>
      <c r="F323">
        <f>_xll.BDP($C323,"OAS_SPREAD_DUR_MID")</f>
        <v>4.1979833464769127</v>
      </c>
      <c r="G323" t="str">
        <f>_xll.BDP($C323,"MATURITY")</f>
        <v>2/28/2031</v>
      </c>
      <c r="H323" t="str">
        <f>_xll.BDP($C323,"RTG_SP")</f>
        <v>#N/A N/A</v>
      </c>
    </row>
    <row r="324" spans="1:8" x14ac:dyDescent="0.25">
      <c r="A324" s="1" t="s">
        <v>139</v>
      </c>
      <c r="B324" s="1" t="s">
        <v>1658</v>
      </c>
      <c r="C324" s="1" t="s">
        <v>1659</v>
      </c>
      <c r="D324" s="1" t="s">
        <v>1660</v>
      </c>
      <c r="E324">
        <f>_xll.BDP($C324,"DUR_ADJ_MID")</f>
        <v>5.7522569455693402</v>
      </c>
      <c r="F324">
        <f>_xll.BDP($C324,"OAS_SPREAD_DUR_MID")</f>
        <v>5.7499687379734921</v>
      </c>
      <c r="G324" t="str">
        <f>_xll.BDP($C324,"MATURITY")</f>
        <v>3/31/2033</v>
      </c>
      <c r="H324" t="str">
        <f>_xll.BDP($C324,"RTG_SP")</f>
        <v>#N/A N/A</v>
      </c>
    </row>
    <row r="325" spans="1:8" x14ac:dyDescent="0.25">
      <c r="A325" s="1" t="s">
        <v>139</v>
      </c>
      <c r="B325" s="1" t="s">
        <v>1661</v>
      </c>
      <c r="C325" s="1" t="s">
        <v>1662</v>
      </c>
      <c r="D325" s="1" t="s">
        <v>1663</v>
      </c>
      <c r="E325">
        <f>_xll.BDP($C325,"DUR_ADJ_MID")</f>
        <v>4.249455887779745</v>
      </c>
      <c r="F325">
        <f>_xll.BDP($C325,"OAS_SPREAD_DUR_MID")</f>
        <v>4.2480461461529648</v>
      </c>
      <c r="G325" t="str">
        <f>_xll.BDP($C325,"MATURITY")</f>
        <v>3/31/2031</v>
      </c>
      <c r="H325" t="str">
        <f>_xll.BDP($C325,"RTG_SP")</f>
        <v>#N/A N/A</v>
      </c>
    </row>
    <row r="326" spans="1:8" x14ac:dyDescent="0.25">
      <c r="A326" s="1" t="s">
        <v>139</v>
      </c>
      <c r="B326" s="1" t="s">
        <v>1664</v>
      </c>
      <c r="C326" s="1" t="s">
        <v>1665</v>
      </c>
      <c r="D326" s="1" t="s">
        <v>1666</v>
      </c>
      <c r="E326">
        <f>_xll.BDP($C326,"DUR_ADJ_MID")</f>
        <v>4.3306510446344708</v>
      </c>
      <c r="F326">
        <f>_xll.BDP($C326,"OAS_SPREAD_DUR_MID")</f>
        <v>4.3287322495450029</v>
      </c>
      <c r="G326" t="str">
        <f>_xll.BDP($C326,"MATURITY")</f>
        <v>4/30/2031</v>
      </c>
      <c r="H326" t="str">
        <f>_xll.BDP($C326,"RTG_SP")</f>
        <v>#N/A N/A</v>
      </c>
    </row>
    <row r="327" spans="1:8" x14ac:dyDescent="0.25">
      <c r="A327" s="1" t="s">
        <v>139</v>
      </c>
      <c r="B327" s="1" t="s">
        <v>1667</v>
      </c>
      <c r="C327" s="1" t="s">
        <v>1668</v>
      </c>
      <c r="D327" s="1" t="s">
        <v>1669</v>
      </c>
      <c r="E327">
        <f>_xll.BDP($C327,"DUR_ADJ_MID")</f>
        <v>5.8518060403377055</v>
      </c>
      <c r="F327">
        <f>_xll.BDP($C327,"OAS_SPREAD_DUR_MID")</f>
        <v>5.8490714586546568</v>
      </c>
      <c r="G327" t="str">
        <f>_xll.BDP($C327,"MATURITY")</f>
        <v>4/30/2033</v>
      </c>
      <c r="H327" t="str">
        <f>_xll.BDP($C327,"RTG_SP")</f>
        <v>#N/A N/A</v>
      </c>
    </row>
    <row r="328" spans="1:8" x14ac:dyDescent="0.25">
      <c r="A328" s="1" t="s">
        <v>145</v>
      </c>
      <c r="B328" s="1" t="s">
        <v>1670</v>
      </c>
      <c r="C328" s="1" t="s">
        <v>1671</v>
      </c>
      <c r="D328" s="1" t="s">
        <v>1672</v>
      </c>
      <c r="E328">
        <f>_xll.BDP($C328,"DUR_ADJ_MID")</f>
        <v>1.5234543817104749</v>
      </c>
      <c r="F328">
        <f>_xll.BDP($C328,"OAS_SPREAD_DUR_MID")</f>
        <v>1.5280146812422115</v>
      </c>
      <c r="G328" t="str">
        <f>_xll.BDP($C328,"MATURITY")</f>
        <v>2/1/2028</v>
      </c>
      <c r="H328" t="str">
        <f>_xll.BDP($C328,"RTG_SP")</f>
        <v>BBB</v>
      </c>
    </row>
    <row r="329" spans="1:8" x14ac:dyDescent="0.25">
      <c r="A329" s="1" t="s">
        <v>145</v>
      </c>
      <c r="B329" s="1" t="s">
        <v>1673</v>
      </c>
      <c r="C329" s="1" t="s">
        <v>1674</v>
      </c>
      <c r="D329" s="1" t="s">
        <v>1675</v>
      </c>
      <c r="E329">
        <f>_xll.BDP($C329,"DUR_ADJ_MID")</f>
        <v>4.1813986938692134</v>
      </c>
      <c r="F329">
        <f>_xll.BDP($C329,"OAS_SPREAD_DUR_MID")</f>
        <v>4.1474009619330889</v>
      </c>
      <c r="G329" t="str">
        <f>_xll.BDP($C329,"MATURITY")</f>
        <v>3/15/2031</v>
      </c>
      <c r="H329" t="str">
        <f>_xll.BDP($C329,"RTG_SP")</f>
        <v>A+</v>
      </c>
    </row>
    <row r="330" spans="1:8" x14ac:dyDescent="0.25">
      <c r="A330" s="1" t="s">
        <v>145</v>
      </c>
      <c r="B330" s="1" t="s">
        <v>1676</v>
      </c>
      <c r="C330" s="1" t="s">
        <v>1677</v>
      </c>
      <c r="D330" s="1" t="s">
        <v>1678</v>
      </c>
      <c r="E330">
        <f>_xll.BDP($C330,"DUR_ADJ_MID")</f>
        <v>3.1517607094695359</v>
      </c>
      <c r="F330">
        <f>_xll.BDP($C330,"OAS_SPREAD_DUR_MID")</f>
        <v>3.1102045741808184</v>
      </c>
      <c r="G330" t="str">
        <f>_xll.BDP($C330,"MATURITY")</f>
        <v>11/21/2029</v>
      </c>
      <c r="H330" t="str">
        <f>_xll.BDP($C330,"RTG_SP")</f>
        <v>A-</v>
      </c>
    </row>
    <row r="331" spans="1:8" x14ac:dyDescent="0.25">
      <c r="A331" s="1" t="s">
        <v>145</v>
      </c>
      <c r="B331" s="1" t="s">
        <v>1679</v>
      </c>
      <c r="C331" s="1" t="s">
        <v>1680</v>
      </c>
      <c r="D331" s="1" t="s">
        <v>1681</v>
      </c>
      <c r="E331">
        <f>_xll.BDP($C331,"DUR_ADJ_MID")</f>
        <v>3.3419460069700073</v>
      </c>
      <c r="F331">
        <f>_xll.BDP($C331,"OAS_SPREAD_DUR_MID")</f>
        <v>3.3401985358955191</v>
      </c>
      <c r="G331" t="str">
        <f>_xll.BDP($C331,"MATURITY")</f>
        <v>2/1/2030</v>
      </c>
      <c r="H331" t="str">
        <f>_xll.BDP($C331,"RTG_SP")</f>
        <v>A+</v>
      </c>
    </row>
    <row r="332" spans="1:8" x14ac:dyDescent="0.25">
      <c r="A332" s="1" t="s">
        <v>145</v>
      </c>
      <c r="B332" s="1" t="s">
        <v>1682</v>
      </c>
      <c r="C332" s="1" t="s">
        <v>1683</v>
      </c>
      <c r="D332" s="1" t="s">
        <v>1684</v>
      </c>
      <c r="E332">
        <f>_xll.BDP($C332,"DUR_ADJ_MID")</f>
        <v>3.9510557466413525</v>
      </c>
      <c r="F332">
        <f>_xll.BDP($C332,"OAS_SPREAD_DUR_MID")</f>
        <v>3.8380740867010306</v>
      </c>
      <c r="G332" t="str">
        <f>_xll.BDP($C332,"MATURITY")</f>
        <v>12/15/2030</v>
      </c>
      <c r="H332" t="str">
        <f>_xll.BDP($C332,"RTG_SP")</f>
        <v>BBB+</v>
      </c>
    </row>
    <row r="333" spans="1:8" x14ac:dyDescent="0.25">
      <c r="A333" s="1" t="s">
        <v>145</v>
      </c>
      <c r="B333" s="1" t="s">
        <v>1685</v>
      </c>
      <c r="C333" s="1" t="s">
        <v>1686</v>
      </c>
      <c r="D333" s="1" t="s">
        <v>1687</v>
      </c>
      <c r="E333">
        <f>_xll.BDP($C333,"DUR_ADJ_MID")</f>
        <v>1.3755409672179775</v>
      </c>
      <c r="F333">
        <f>_xll.BDP($C333,"OAS_SPREAD_DUR_MID")</f>
        <v>1.34341561745862</v>
      </c>
      <c r="G333" t="str">
        <f>_xll.BDP($C333,"MATURITY")</f>
        <v>12/6/2027</v>
      </c>
      <c r="H333" t="str">
        <f>_xll.BDP($C333,"RTG_SP")</f>
        <v>A+</v>
      </c>
    </row>
    <row r="334" spans="1:8" x14ac:dyDescent="0.25">
      <c r="A334" s="1" t="s">
        <v>145</v>
      </c>
      <c r="B334" s="1" t="s">
        <v>1688</v>
      </c>
      <c r="C334" s="1" t="s">
        <v>1689</v>
      </c>
      <c r="D334" s="1" t="s">
        <v>1690</v>
      </c>
      <c r="E334">
        <f>_xll.BDP($C334,"DUR_ADJ_MID")</f>
        <v>3.5466881714371166</v>
      </c>
      <c r="F334">
        <f>_xll.BDP($C334,"OAS_SPREAD_DUR_MID")</f>
        <v>3.4690868796924685</v>
      </c>
      <c r="G334" t="str">
        <f>_xll.BDP($C334,"MATURITY")</f>
        <v>5/15/2030</v>
      </c>
      <c r="H334" t="str">
        <f>_xll.BDP($C334,"RTG_SP")</f>
        <v>AA</v>
      </c>
    </row>
    <row r="335" spans="1:8" x14ac:dyDescent="0.25">
      <c r="A335" s="1" t="s">
        <v>145</v>
      </c>
      <c r="B335" s="1" t="s">
        <v>1691</v>
      </c>
      <c r="C335" s="1" t="s">
        <v>1692</v>
      </c>
      <c r="D335" s="1" t="s">
        <v>1693</v>
      </c>
      <c r="E335">
        <f>_xll.BDP($C335,"DUR_ADJ_MID")</f>
        <v>4.0956403043979277</v>
      </c>
      <c r="F335">
        <f>_xll.BDP($C335,"OAS_SPREAD_DUR_MID")</f>
        <v>4.0681648312021199</v>
      </c>
      <c r="G335" t="str">
        <f>_xll.BDP($C335,"MATURITY")</f>
        <v>2/15/2031</v>
      </c>
      <c r="H335" t="str">
        <f>_xll.BDP($C335,"RTG_SP")</f>
        <v>AA+</v>
      </c>
    </row>
    <row r="336" spans="1:8" x14ac:dyDescent="0.25">
      <c r="A336" s="1" t="s">
        <v>145</v>
      </c>
      <c r="B336" s="1" t="s">
        <v>1694</v>
      </c>
      <c r="C336" s="1" t="s">
        <v>1695</v>
      </c>
      <c r="D336" s="1" t="s">
        <v>1696</v>
      </c>
      <c r="E336">
        <f>_xll.BDP($C336,"DUR_ADJ_MID")</f>
        <v>2.1772243937306328</v>
      </c>
      <c r="F336">
        <f>_xll.BDP($C336,"OAS_SPREAD_DUR_MID")</f>
        <v>2.2669210593082387</v>
      </c>
      <c r="G336" t="str">
        <f>_xll.BDP($C336,"MATURITY")</f>
        <v>2/14/2029</v>
      </c>
      <c r="H336" t="str">
        <f>_xll.BDP($C336,"RTG_SP")</f>
        <v>BBB+</v>
      </c>
    </row>
    <row r="337" spans="1:8" x14ac:dyDescent="0.25">
      <c r="A337" s="1" t="s">
        <v>145</v>
      </c>
      <c r="B337" s="1" t="s">
        <v>1697</v>
      </c>
      <c r="C337" s="1" t="s">
        <v>1698</v>
      </c>
      <c r="D337" s="1" t="s">
        <v>1699</v>
      </c>
      <c r="E337">
        <f>_xll.BDP($C337,"DUR_ADJ_MID")</f>
        <v>4.1572441019518518</v>
      </c>
      <c r="F337">
        <f>_xll.BDP($C337,"OAS_SPREAD_DUR_MID")</f>
        <v>4.1205021713545724</v>
      </c>
      <c r="G337" t="str">
        <f>_xll.BDP($C337,"MATURITY")</f>
        <v>3/13/2031</v>
      </c>
      <c r="H337" t="str">
        <f>_xll.BDP($C337,"RTG_SP")</f>
        <v>AA</v>
      </c>
    </row>
    <row r="338" spans="1:8" x14ac:dyDescent="0.25">
      <c r="A338" s="1" t="s">
        <v>145</v>
      </c>
      <c r="B338" s="1" t="s">
        <v>1700</v>
      </c>
      <c r="C338" s="1" t="s">
        <v>1701</v>
      </c>
      <c r="D338" s="1" t="s">
        <v>1702</v>
      </c>
      <c r="E338">
        <f>_xll.BDP($C338,"DUR_ADJ_MID")</f>
        <v>1.7096211736303983</v>
      </c>
      <c r="F338" t="str">
        <f>_xll.BDP($C338,"OAS_SPREAD_DUR_MID")</f>
        <v>#N/A Field Not Applicable</v>
      </c>
      <c r="G338" t="str">
        <f>_xll.BDP($C338,"MATURITY")</f>
        <v>4/25/2029</v>
      </c>
      <c r="H338" t="str">
        <f>_xll.BDP($C338,"RTG_SP")</f>
        <v>A-</v>
      </c>
    </row>
    <row r="339" spans="1:8" x14ac:dyDescent="0.25">
      <c r="A339" s="1" t="s">
        <v>145</v>
      </c>
      <c r="B339" s="1" t="s">
        <v>1703</v>
      </c>
      <c r="C339" s="1" t="s">
        <v>1704</v>
      </c>
      <c r="D339" s="1" t="s">
        <v>1705</v>
      </c>
      <c r="E339">
        <f>_xll.BDP($C339,"DUR_ADJ_MID")</f>
        <v>2.0298155531919195</v>
      </c>
      <c r="F339">
        <f>_xll.BDP($C339,"OAS_SPREAD_DUR_MID")</f>
        <v>1.963424581756894</v>
      </c>
      <c r="G339" t="str">
        <f>_xll.BDP($C339,"MATURITY")</f>
        <v>9/1/2028</v>
      </c>
      <c r="H339" t="str">
        <f>_xll.BDP($C339,"RTG_SP")</f>
        <v>A</v>
      </c>
    </row>
    <row r="340" spans="1:8" x14ac:dyDescent="0.25">
      <c r="A340" s="1" t="s">
        <v>145</v>
      </c>
      <c r="B340" s="1" t="s">
        <v>1706</v>
      </c>
      <c r="C340" s="1" t="s">
        <v>1707</v>
      </c>
      <c r="D340" s="1" t="s">
        <v>1708</v>
      </c>
      <c r="E340">
        <f>_xll.BDP($C340,"DUR_ADJ_MID")</f>
        <v>1.4854733816768795</v>
      </c>
      <c r="F340">
        <f>_xll.BDP($C340,"OAS_SPREAD_DUR_MID")</f>
        <v>1.5097605904630722</v>
      </c>
      <c r="G340" t="str">
        <f>_xll.BDP($C340,"MATURITY")</f>
        <v>3/2/2028</v>
      </c>
      <c r="H340" t="str">
        <f>_xll.BDP($C340,"RTG_SP")</f>
        <v>BBB+</v>
      </c>
    </row>
    <row r="341" spans="1:8" x14ac:dyDescent="0.25">
      <c r="A341" s="1" t="s">
        <v>145</v>
      </c>
      <c r="B341" s="1" t="s">
        <v>1709</v>
      </c>
      <c r="C341" s="1" t="s">
        <v>1710</v>
      </c>
      <c r="D341" s="1" t="s">
        <v>1711</v>
      </c>
      <c r="E341">
        <f>_xll.BDP($C341,"DUR_ADJ_MID")</f>
        <v>1.8432794740985312</v>
      </c>
      <c r="F341">
        <f>_xll.BDP($C341,"OAS_SPREAD_DUR_MID")</f>
        <v>1.8087460957461121</v>
      </c>
      <c r="G341" t="str">
        <f>_xll.BDP($C341,"MATURITY")</f>
        <v>6/12/2028</v>
      </c>
      <c r="H341" t="str">
        <f>_xll.BDP($C341,"RTG_SP")</f>
        <v>A-</v>
      </c>
    </row>
    <row r="342" spans="1:8" x14ac:dyDescent="0.25">
      <c r="A342" s="1" t="s">
        <v>145</v>
      </c>
      <c r="B342" s="1" t="s">
        <v>1712</v>
      </c>
      <c r="C342" s="1" t="s">
        <v>1713</v>
      </c>
      <c r="D342" s="1" t="s">
        <v>1714</v>
      </c>
      <c r="E342">
        <f>_xll.BDP($C342,"DUR_ADJ_MID")</f>
        <v>3.5987393948228261</v>
      </c>
      <c r="F342">
        <f>_xll.BDP($C342,"OAS_SPREAD_DUR_MID")</f>
        <v>3.5302807561614493</v>
      </c>
      <c r="G342" t="str">
        <f>_xll.BDP($C342,"MATURITY")</f>
        <v>6/1/2030</v>
      </c>
      <c r="H342" t="str">
        <f>_xll.BDP($C342,"RTG_SP")</f>
        <v>A-</v>
      </c>
    </row>
    <row r="343" spans="1:8" x14ac:dyDescent="0.25">
      <c r="A343" s="1" t="s">
        <v>145</v>
      </c>
      <c r="B343" s="1" t="s">
        <v>1715</v>
      </c>
      <c r="C343" s="1" t="s">
        <v>1716</v>
      </c>
      <c r="D343" s="1" t="s">
        <v>1717</v>
      </c>
      <c r="E343">
        <f>_xll.BDP($C343,"DUR_ADJ_MID")</f>
        <v>4.3110517647387736</v>
      </c>
      <c r="F343">
        <f>_xll.BDP($C343,"OAS_SPREAD_DUR_MID")</f>
        <v>4.2927723310503465</v>
      </c>
      <c r="G343" t="str">
        <f>_xll.BDP($C343,"MATURITY")</f>
        <v>3/15/2031</v>
      </c>
      <c r="H343" t="str">
        <f>_xll.BDP($C343,"RTG_SP")</f>
        <v>A-</v>
      </c>
    </row>
    <row r="344" spans="1:8" x14ac:dyDescent="0.25">
      <c r="A344" s="1" t="s">
        <v>145</v>
      </c>
      <c r="B344" s="1" t="s">
        <v>1718</v>
      </c>
      <c r="C344" s="1" t="s">
        <v>1719</v>
      </c>
      <c r="D344" s="1" t="s">
        <v>1720</v>
      </c>
      <c r="E344">
        <f>_xll.BDP($C344,"DUR_ADJ_MID")</f>
        <v>4.3139419861333943</v>
      </c>
      <c r="F344">
        <f>_xll.BDP($C344,"OAS_SPREAD_DUR_MID")</f>
        <v>4.3149402988017274</v>
      </c>
      <c r="G344" t="str">
        <f>_xll.BDP($C344,"MATURITY")</f>
        <v>2/8/2031</v>
      </c>
      <c r="H344" t="str">
        <f>_xll.BDP($C344,"RTG_SP")</f>
        <v>AA+</v>
      </c>
    </row>
    <row r="345" spans="1:8" x14ac:dyDescent="0.25">
      <c r="A345" s="1" t="s">
        <v>145</v>
      </c>
      <c r="B345" s="1" t="s">
        <v>1721</v>
      </c>
      <c r="C345" s="1" t="s">
        <v>1722</v>
      </c>
      <c r="D345" s="1" t="s">
        <v>1723</v>
      </c>
      <c r="E345">
        <f>_xll.BDP($C345,"DUR_ADJ_MID")</f>
        <v>1.8639688782487711</v>
      </c>
      <c r="F345">
        <f>_xll.BDP($C345,"OAS_SPREAD_DUR_MID")</f>
        <v>1.8648239479018842</v>
      </c>
      <c r="G345" t="str">
        <f>_xll.BDP($C345,"MATURITY")</f>
        <v>6/15/2028</v>
      </c>
      <c r="H345" t="str">
        <f>_xll.BDP($C345,"RTG_SP")</f>
        <v>BBB</v>
      </c>
    </row>
    <row r="346" spans="1:8" x14ac:dyDescent="0.25">
      <c r="A346" s="1" t="s">
        <v>145</v>
      </c>
      <c r="B346" s="1" t="s">
        <v>1724</v>
      </c>
      <c r="C346" s="1" t="s">
        <v>1725</v>
      </c>
      <c r="D346" s="1" t="s">
        <v>1726</v>
      </c>
      <c r="E346">
        <f>_xll.BDP($C346,"DUR_ADJ_MID")</f>
        <v>2.3254095402314316</v>
      </c>
      <c r="F346">
        <f>_xll.BDP($C346,"OAS_SPREAD_DUR_MID")</f>
        <v>2.350262370209856</v>
      </c>
      <c r="G346" t="str">
        <f>_xll.BDP($C346,"MATURITY")</f>
        <v>3/1/2029</v>
      </c>
      <c r="H346" t="str">
        <f>_xll.BDP($C346,"RTG_SP")</f>
        <v>BBB</v>
      </c>
    </row>
    <row r="347" spans="1:8" x14ac:dyDescent="0.25">
      <c r="A347" s="1" t="s">
        <v>145</v>
      </c>
      <c r="B347" s="1" t="s">
        <v>1727</v>
      </c>
      <c r="C347" s="1" t="s">
        <v>1728</v>
      </c>
      <c r="D347" s="1" t="s">
        <v>1729</v>
      </c>
      <c r="E347">
        <f>_xll.BDP($C347,"DUR_ADJ_MID")</f>
        <v>1.4928338447641389</v>
      </c>
      <c r="F347">
        <f>_xll.BDP($C347,"OAS_SPREAD_DUR_MID")</f>
        <v>1.5186663604200084</v>
      </c>
      <c r="G347" t="str">
        <f>_xll.BDP($C347,"MATURITY")</f>
        <v>3/3/2028</v>
      </c>
      <c r="H347" t="str">
        <f>_xll.BDP($C347,"RTG_SP")</f>
        <v>A+</v>
      </c>
    </row>
    <row r="348" spans="1:8" x14ac:dyDescent="0.25">
      <c r="A348" s="1" t="s">
        <v>145</v>
      </c>
      <c r="B348" s="1" t="s">
        <v>1730</v>
      </c>
      <c r="C348" s="1" t="s">
        <v>1731</v>
      </c>
      <c r="D348" s="1" t="s">
        <v>1732</v>
      </c>
      <c r="E348">
        <f>_xll.BDP($C348,"DUR_ADJ_MID")</f>
        <v>4.14387060967106</v>
      </c>
      <c r="F348">
        <f>_xll.BDP($C348,"OAS_SPREAD_DUR_MID")</f>
        <v>4.1044856232501381</v>
      </c>
      <c r="G348" t="str">
        <f>_xll.BDP($C348,"MATURITY")</f>
        <v>3/23/2031</v>
      </c>
      <c r="H348" t="str">
        <f>_xll.BDP($C348,"RTG_SP")</f>
        <v>BBB</v>
      </c>
    </row>
    <row r="349" spans="1:8" x14ac:dyDescent="0.25">
      <c r="A349" s="1" t="s">
        <v>145</v>
      </c>
      <c r="B349" s="1" t="s">
        <v>1733</v>
      </c>
      <c r="C349" s="1" t="s">
        <v>1734</v>
      </c>
      <c r="D349" s="1" t="s">
        <v>1735</v>
      </c>
      <c r="E349">
        <f>_xll.BDP($C349,"DUR_ADJ_MID")</f>
        <v>2.7137767518983322</v>
      </c>
      <c r="F349">
        <f>_xll.BDP($C349,"OAS_SPREAD_DUR_MID")</f>
        <v>2.6485658616817869</v>
      </c>
      <c r="G349" t="str">
        <f>_xll.BDP($C349,"MATURITY")</f>
        <v>6/1/2029</v>
      </c>
      <c r="H349" t="str">
        <f>_xll.BDP($C349,"RTG_SP")</f>
        <v>BBB</v>
      </c>
    </row>
    <row r="350" spans="1:8" x14ac:dyDescent="0.25">
      <c r="A350" s="1" t="s">
        <v>145</v>
      </c>
      <c r="B350" s="1" t="s">
        <v>1736</v>
      </c>
      <c r="C350" s="1" t="s">
        <v>1737</v>
      </c>
      <c r="D350" s="1" t="s">
        <v>1738</v>
      </c>
      <c r="E350">
        <f>_xll.BDP($C350,"DUR_ADJ_MID")</f>
        <v>3.3785381691963159</v>
      </c>
      <c r="F350">
        <f>_xll.BDP($C350,"OAS_SPREAD_DUR_MID")</f>
        <v>3.4038704566036402</v>
      </c>
      <c r="G350" t="str">
        <f>_xll.BDP($C350,"MATURITY")</f>
        <v>8/2/2030</v>
      </c>
      <c r="H350" t="str">
        <f>_xll.BDP($C350,"RTG_SP")</f>
        <v>BBB+</v>
      </c>
    </row>
    <row r="351" spans="1:8" x14ac:dyDescent="0.25">
      <c r="A351" s="1" t="s">
        <v>145</v>
      </c>
      <c r="B351" s="1" t="s">
        <v>1739</v>
      </c>
      <c r="C351" s="1" t="s">
        <v>1740</v>
      </c>
      <c r="D351" s="1" t="s">
        <v>1741</v>
      </c>
      <c r="E351">
        <f>_xll.BDP($C351,"DUR_ADJ_MID")</f>
        <v>3.2086252805569999</v>
      </c>
      <c r="F351">
        <f>_xll.BDP($C351,"OAS_SPREAD_DUR_MID")</f>
        <v>3.2310608881763301</v>
      </c>
      <c r="G351" t="str">
        <f>_xll.BDP($C351,"MATURITY")</f>
        <v>4/2/2030</v>
      </c>
      <c r="H351" t="str">
        <f>_xll.BDP($C351,"RTG_SP")</f>
        <v>BBB-</v>
      </c>
    </row>
    <row r="352" spans="1:8" x14ac:dyDescent="0.25">
      <c r="A352" s="1" t="s">
        <v>145</v>
      </c>
      <c r="B352" s="1" t="s">
        <v>1742</v>
      </c>
      <c r="C352" s="1" t="s">
        <v>1743</v>
      </c>
      <c r="D352" s="1" t="s">
        <v>1744</v>
      </c>
      <c r="E352">
        <f>_xll.BDP($C352,"DUR_ADJ_MID")</f>
        <v>4.2352421675972129</v>
      </c>
      <c r="F352">
        <f>_xll.BDP($C352,"OAS_SPREAD_DUR_MID")</f>
        <v>4.2340004370818196</v>
      </c>
      <c r="G352" t="str">
        <f>_xll.BDP($C352,"MATURITY")</f>
        <v>5/8/2031</v>
      </c>
      <c r="H352" t="str">
        <f>_xll.BDP($C352,"RTG_SP")</f>
        <v>A-</v>
      </c>
    </row>
    <row r="353" spans="1:8" x14ac:dyDescent="0.25">
      <c r="A353" s="1" t="s">
        <v>145</v>
      </c>
      <c r="B353" s="1" t="s">
        <v>1745</v>
      </c>
      <c r="C353" s="1" t="s">
        <v>1746</v>
      </c>
      <c r="D353" s="1" t="s">
        <v>1747</v>
      </c>
      <c r="E353">
        <f>_xll.BDP($C353,"DUR_ADJ_MID")</f>
        <v>1.4118190360563965</v>
      </c>
      <c r="F353" t="str">
        <f>_xll.BDP($C353,"OAS_SPREAD_DUR_MID")</f>
        <v>#N/A Field Not Applicable</v>
      </c>
      <c r="G353" t="str">
        <f>_xll.BDP($C353,"MATURITY")</f>
        <v>12/20/2028</v>
      </c>
      <c r="H353" t="str">
        <f>_xll.BDP($C353,"RTG_SP")</f>
        <v>A-</v>
      </c>
    </row>
    <row r="354" spans="1:8" x14ac:dyDescent="0.25">
      <c r="A354" s="1" t="s">
        <v>145</v>
      </c>
      <c r="B354" s="1" t="s">
        <v>1748</v>
      </c>
      <c r="C354" s="1" t="s">
        <v>1749</v>
      </c>
      <c r="D354" s="1" t="s">
        <v>1750</v>
      </c>
      <c r="E354">
        <f>_xll.BDP($C354,"DUR_ADJ_MID")</f>
        <v>4.3944424067127867</v>
      </c>
      <c r="F354" t="str">
        <f>_xll.BDP($C354,"OAS_SPREAD_DUR_MID")</f>
        <v>#N/A Field Not Applicable</v>
      </c>
      <c r="G354" t="str">
        <f>_xll.BDP($C354,"MATURITY")</f>
        <v>4/22/2032</v>
      </c>
      <c r="H354" t="str">
        <f>_xll.BDP($C354,"RTG_SP")</f>
        <v>A-</v>
      </c>
    </row>
    <row r="355" spans="1:8" x14ac:dyDescent="0.25">
      <c r="A355" s="1" t="s">
        <v>145</v>
      </c>
      <c r="B355" s="1" t="s">
        <v>1751</v>
      </c>
      <c r="C355" s="1" t="s">
        <v>1752</v>
      </c>
      <c r="D355" s="1" t="s">
        <v>1753</v>
      </c>
      <c r="E355">
        <f>_xll.BDP($C355,"DUR_ADJ_MID")</f>
        <v>1.4008324553594032</v>
      </c>
      <c r="F355">
        <f>_xll.BDP($C355,"OAS_SPREAD_DUR_MID")</f>
        <v>1.4283562359228996</v>
      </c>
      <c r="G355" t="str">
        <f>_xll.BDP($C355,"MATURITY")</f>
        <v>2/1/2028</v>
      </c>
      <c r="H355" t="str">
        <f>_xll.BDP($C355,"RTG_SP")</f>
        <v>A-</v>
      </c>
    </row>
    <row r="356" spans="1:8" x14ac:dyDescent="0.25">
      <c r="A356" s="1" t="s">
        <v>145</v>
      </c>
      <c r="B356" s="1" t="s">
        <v>1754</v>
      </c>
      <c r="C356" s="1" t="s">
        <v>1755</v>
      </c>
      <c r="D356" s="1" t="s">
        <v>1756</v>
      </c>
      <c r="E356">
        <f>_xll.BDP($C356,"DUR_ADJ_MID")</f>
        <v>3.2164011705815683</v>
      </c>
      <c r="F356" t="str">
        <f>_xll.BDP($C356,"OAS_SPREAD_DUR_MID")</f>
        <v>#N/A Field Not Applicable</v>
      </c>
      <c r="G356" t="str">
        <f>_xll.BDP($C356,"MATURITY")</f>
        <v>2/11/2031</v>
      </c>
      <c r="H356" t="str">
        <f>_xll.BDP($C356,"RTG_SP")</f>
        <v>A</v>
      </c>
    </row>
    <row r="357" spans="1:8" x14ac:dyDescent="0.25">
      <c r="A357" s="1" t="s">
        <v>145</v>
      </c>
      <c r="B357" s="1" t="s">
        <v>1757</v>
      </c>
      <c r="C357" s="1" t="s">
        <v>1758</v>
      </c>
      <c r="D357" s="1" t="s">
        <v>1759</v>
      </c>
      <c r="E357">
        <f>_xll.BDP($C357,"DUR_ADJ_MID")</f>
        <v>3.2124572819106016</v>
      </c>
      <c r="F357" t="str">
        <f>_xll.BDP($C357,"OAS_SPREAD_DUR_MID")</f>
        <v>#N/A Field Not Applicable</v>
      </c>
      <c r="G357" t="str">
        <f>_xll.BDP($C357,"MATURITY")</f>
        <v>2/14/2031</v>
      </c>
      <c r="H357" t="str">
        <f>_xll.BDP($C357,"RTG_SP")</f>
        <v>A-</v>
      </c>
    </row>
    <row r="358" spans="1:8" x14ac:dyDescent="0.25">
      <c r="A358" s="1" t="s">
        <v>145</v>
      </c>
      <c r="B358" s="1" t="s">
        <v>1760</v>
      </c>
      <c r="C358" s="1" t="s">
        <v>1761</v>
      </c>
      <c r="D358" s="1" t="s">
        <v>1762</v>
      </c>
      <c r="E358">
        <f>_xll.BDP($C358,"DUR_ADJ_MID")</f>
        <v>3.2266950120950928</v>
      </c>
      <c r="F358" t="str">
        <f>_xll.BDP($C358,"OAS_SPREAD_DUR_MID")</f>
        <v>#N/A Field Not Applicable</v>
      </c>
      <c r="G358" t="str">
        <f>_xll.BDP($C358,"MATURITY")</f>
        <v>2/25/2031</v>
      </c>
      <c r="H358" t="str">
        <f>_xll.BDP($C358,"RTG_SP")</f>
        <v>BBB+</v>
      </c>
    </row>
    <row r="359" spans="1:8" x14ac:dyDescent="0.25">
      <c r="A359" s="1" t="s">
        <v>145</v>
      </c>
      <c r="B359" s="1" t="s">
        <v>1763</v>
      </c>
      <c r="C359" s="1" t="s">
        <v>1764</v>
      </c>
      <c r="D359" s="1" t="s">
        <v>1765</v>
      </c>
      <c r="E359">
        <f>_xll.BDP($C359,"DUR_ADJ_MID")</f>
        <v>3.5798019533439294</v>
      </c>
      <c r="F359">
        <f>_xll.BDP($C359,"OAS_SPREAD_DUR_MID")</f>
        <v>3.5631421604742997</v>
      </c>
      <c r="G359" t="str">
        <f>_xll.BDP($C359,"MATURITY")</f>
        <v>4/30/2030</v>
      </c>
      <c r="H359" t="str">
        <f>_xll.BDP($C359,"RTG_SP")</f>
        <v>AA-</v>
      </c>
    </row>
    <row r="360" spans="1:8" x14ac:dyDescent="0.25">
      <c r="A360" s="1" t="s">
        <v>145</v>
      </c>
      <c r="B360" s="1" t="s">
        <v>1766</v>
      </c>
      <c r="C360" s="1" t="s">
        <v>1767</v>
      </c>
      <c r="D360" s="1" t="s">
        <v>1768</v>
      </c>
      <c r="E360">
        <f>_xll.BDP($C360,"DUR_ADJ_MID")</f>
        <v>4.1240711168146555</v>
      </c>
      <c r="F360">
        <f>_xll.BDP($C360,"OAS_SPREAD_DUR_MID")</f>
        <v>4.0917419760596765</v>
      </c>
      <c r="G360" t="str">
        <f>_xll.BDP($C360,"MATURITY")</f>
        <v>5/15/2031</v>
      </c>
      <c r="H360" t="str">
        <f>_xll.BDP($C360,"RTG_SP")</f>
        <v>BBB-</v>
      </c>
    </row>
    <row r="361" spans="1:8" x14ac:dyDescent="0.25">
      <c r="A361" s="1" t="s">
        <v>145</v>
      </c>
      <c r="B361" s="1" t="s">
        <v>1769</v>
      </c>
      <c r="C361" s="1" t="s">
        <v>1770</v>
      </c>
      <c r="D361" s="1" t="s">
        <v>1771</v>
      </c>
      <c r="E361">
        <f>_xll.BDP($C361,"DUR_ADJ_MID")</f>
        <v>1.6608325163438737</v>
      </c>
      <c r="F361">
        <f>_xll.BDP($C361,"OAS_SPREAD_DUR_MID")</f>
        <v>1.6314942581701148</v>
      </c>
      <c r="G361" t="str">
        <f>_xll.BDP($C361,"MATURITY")</f>
        <v>4/13/2028</v>
      </c>
      <c r="H361" t="str">
        <f>_xll.BDP($C361,"RTG_SP")</f>
        <v>BBB-</v>
      </c>
    </row>
    <row r="362" spans="1:8" x14ac:dyDescent="0.25">
      <c r="A362" s="1" t="s">
        <v>145</v>
      </c>
      <c r="B362" s="1" t="s">
        <v>1772</v>
      </c>
      <c r="C362" s="1" t="s">
        <v>1773</v>
      </c>
      <c r="D362" s="1" t="s">
        <v>1774</v>
      </c>
      <c r="E362">
        <f>_xll.BDP($C362,"DUR_ADJ_MID")</f>
        <v>3.2156575682306614</v>
      </c>
      <c r="F362">
        <f>_xll.BDP($C362,"OAS_SPREAD_DUR_MID")</f>
        <v>3.2869503340290116</v>
      </c>
      <c r="G362" t="str">
        <f>_xll.BDP($C362,"MATURITY")</f>
        <v>5/1/2030</v>
      </c>
      <c r="H362" t="str">
        <f>_xll.BDP($C362,"RTG_SP")</f>
        <v>BBB-</v>
      </c>
    </row>
    <row r="363" spans="1:8" x14ac:dyDescent="0.25">
      <c r="A363" s="1" t="s">
        <v>145</v>
      </c>
      <c r="B363" s="1" t="s">
        <v>1775</v>
      </c>
      <c r="C363" s="1" t="s">
        <v>1776</v>
      </c>
      <c r="D363" s="1" t="s">
        <v>1777</v>
      </c>
      <c r="E363">
        <f>_xll.BDP($C363,"DUR_ADJ_MID")</f>
        <v>4.1152076842354539</v>
      </c>
      <c r="F363">
        <f>_xll.BDP($C363,"OAS_SPREAD_DUR_MID")</f>
        <v>4.0865059562591597</v>
      </c>
      <c r="G363" t="str">
        <f>_xll.BDP($C363,"MATURITY")</f>
        <v>1/30/2031</v>
      </c>
      <c r="H363" t="str">
        <f>_xll.BDP($C363,"RTG_SP")</f>
        <v>BBB</v>
      </c>
    </row>
    <row r="364" spans="1:8" x14ac:dyDescent="0.25">
      <c r="A364" s="1" t="s">
        <v>145</v>
      </c>
      <c r="B364" s="1" t="s">
        <v>1778</v>
      </c>
      <c r="C364" s="1" t="s">
        <v>1779</v>
      </c>
      <c r="D364" s="1" t="s">
        <v>1780</v>
      </c>
      <c r="E364">
        <f>_xll.BDP($C364,"DUR_ADJ_MID")</f>
        <v>2.1959606389523527</v>
      </c>
      <c r="F364">
        <f>_xll.BDP($C364,"OAS_SPREAD_DUR_MID")</f>
        <v>2.0910450118639998</v>
      </c>
      <c r="G364" t="str">
        <f>_xll.BDP($C364,"MATURITY")</f>
        <v>11/6/2028</v>
      </c>
      <c r="H364" t="str">
        <f>_xll.BDP($C364,"RTG_SP")</f>
        <v>A-</v>
      </c>
    </row>
    <row r="365" spans="1:8" x14ac:dyDescent="0.25">
      <c r="A365" s="1" t="s">
        <v>145</v>
      </c>
      <c r="B365" s="1" t="s">
        <v>1781</v>
      </c>
      <c r="C365" s="1" t="s">
        <v>1782</v>
      </c>
      <c r="D365" s="1" t="s">
        <v>1783</v>
      </c>
      <c r="E365">
        <f>_xll.BDP($C365,"DUR_ADJ_MID")</f>
        <v>3.6893155011661816</v>
      </c>
      <c r="F365">
        <f>_xll.BDP($C365,"OAS_SPREAD_DUR_MID")</f>
        <v>3.6902205882719676</v>
      </c>
      <c r="G365" t="str">
        <f>_xll.BDP($C365,"MATURITY")</f>
        <v>12/15/2030</v>
      </c>
      <c r="H365" t="str">
        <f>_xll.BDP($C365,"RTG_SP")</f>
        <v>BBB</v>
      </c>
    </row>
    <row r="366" spans="1:8" x14ac:dyDescent="0.25">
      <c r="A366" s="1" t="s">
        <v>145</v>
      </c>
      <c r="B366" s="1" t="s">
        <v>1784</v>
      </c>
      <c r="C366" s="1" t="s">
        <v>1785</v>
      </c>
      <c r="D366" s="1" t="s">
        <v>1786</v>
      </c>
      <c r="E366">
        <f>_xll.BDP($C366,"DUR_ADJ_MID")</f>
        <v>2.6614778233891907</v>
      </c>
      <c r="F366">
        <f>_xll.BDP($C366,"OAS_SPREAD_DUR_MID")</f>
        <v>2.562945175256762</v>
      </c>
      <c r="G366" t="str">
        <f>_xll.BDP($C366,"MATURITY")</f>
        <v>5/15/2029</v>
      </c>
      <c r="H366" t="str">
        <f>_xll.BDP($C366,"RTG_SP")</f>
        <v>BBB</v>
      </c>
    </row>
    <row r="367" spans="1:8" x14ac:dyDescent="0.25">
      <c r="A367" s="1" t="s">
        <v>145</v>
      </c>
      <c r="B367" s="1" t="s">
        <v>1787</v>
      </c>
      <c r="C367" s="1" t="s">
        <v>1788</v>
      </c>
      <c r="D367" s="1" t="s">
        <v>1789</v>
      </c>
      <c r="E367">
        <f>_xll.BDP($C367,"DUR_ADJ_MID")</f>
        <v>3.2594280892432383</v>
      </c>
      <c r="F367">
        <f>_xll.BDP($C367,"OAS_SPREAD_DUR_MID")</f>
        <v>3.1972157994624055</v>
      </c>
      <c r="G367" t="str">
        <f>_xll.BDP($C367,"MATURITY")</f>
        <v>2/15/2030</v>
      </c>
      <c r="H367" t="str">
        <f>_xll.BDP($C367,"RTG_SP")</f>
        <v>A-</v>
      </c>
    </row>
    <row r="368" spans="1:8" x14ac:dyDescent="0.25">
      <c r="A368" s="1" t="s">
        <v>145</v>
      </c>
      <c r="B368" s="1" t="s">
        <v>1790</v>
      </c>
      <c r="C368" s="1" t="s">
        <v>1791</v>
      </c>
      <c r="D368" s="1" t="s">
        <v>1792</v>
      </c>
      <c r="E368">
        <f>_xll.BDP($C368,"DUR_ADJ_MID")</f>
        <v>1.6888252558130592</v>
      </c>
      <c r="F368">
        <f>_xll.BDP($C368,"OAS_SPREAD_DUR_MID")</f>
        <v>1.6055903775686715</v>
      </c>
      <c r="G368" t="str">
        <f>_xll.BDP($C368,"MATURITY")</f>
        <v>4/15/2028</v>
      </c>
      <c r="H368" t="str">
        <f>_xll.BDP($C368,"RTG_SP")</f>
        <v>BBB+</v>
      </c>
    </row>
    <row r="369" spans="1:8" x14ac:dyDescent="0.25">
      <c r="A369" s="1" t="s">
        <v>145</v>
      </c>
      <c r="B369" s="1" t="s">
        <v>1793</v>
      </c>
      <c r="C369" s="1" t="s">
        <v>1794</v>
      </c>
      <c r="D369" s="1" t="s">
        <v>1795</v>
      </c>
      <c r="E369">
        <f>_xll.BDP($C369,"DUR_ADJ_MID")</f>
        <v>2.1354013387563153</v>
      </c>
      <c r="F369">
        <f>_xll.BDP($C369,"OAS_SPREAD_DUR_MID")</f>
        <v>2.0237646071413682</v>
      </c>
      <c r="G369" t="str">
        <f>_xll.BDP($C369,"MATURITY")</f>
        <v>10/15/2028</v>
      </c>
      <c r="H369" t="str">
        <f>_xll.BDP($C369,"RTG_SP")</f>
        <v>A-</v>
      </c>
    </row>
    <row r="370" spans="1:8" x14ac:dyDescent="0.25">
      <c r="A370" s="1" t="s">
        <v>145</v>
      </c>
      <c r="B370" s="1" t="s">
        <v>1796</v>
      </c>
      <c r="C370" s="1" t="s">
        <v>1797</v>
      </c>
      <c r="D370" s="1" t="s">
        <v>1798</v>
      </c>
      <c r="E370">
        <f>_xll.BDP($C370,"DUR_ADJ_MID")</f>
        <v>3.3032342656378915</v>
      </c>
      <c r="F370" t="str">
        <f>_xll.BDP($C370,"OAS_SPREAD_DUR_MID")</f>
        <v>#N/A Field Not Applicable</v>
      </c>
      <c r="G370" t="str">
        <f>_xll.BDP($C370,"MATURITY")</f>
        <v>6/1/2050</v>
      </c>
      <c r="H370" t="str">
        <f>_xll.BDP($C370,"RTG_SP")</f>
        <v>BBB-</v>
      </c>
    </row>
    <row r="371" spans="1:8" x14ac:dyDescent="0.25">
      <c r="A371" s="1" t="s">
        <v>145</v>
      </c>
      <c r="B371" s="1" t="s">
        <v>1799</v>
      </c>
      <c r="C371" s="1" t="s">
        <v>1800</v>
      </c>
      <c r="D371" s="1" t="s">
        <v>1801</v>
      </c>
      <c r="E371">
        <f>_xll.BDP($C371,"DUR_ADJ_MID")</f>
        <v>1.6333264797918983</v>
      </c>
      <c r="F371">
        <f>_xll.BDP($C371,"OAS_SPREAD_DUR_MID")</f>
        <v>1.5403405978550948</v>
      </c>
      <c r="G371" t="str">
        <f>_xll.BDP($C371,"MATURITY")</f>
        <v>3/25/2028</v>
      </c>
      <c r="H371" t="str">
        <f>_xll.BDP($C371,"RTG_SP")</f>
        <v>BBB</v>
      </c>
    </row>
    <row r="372" spans="1:8" x14ac:dyDescent="0.25">
      <c r="A372" s="1" t="s">
        <v>145</v>
      </c>
      <c r="B372" s="1" t="s">
        <v>1802</v>
      </c>
      <c r="C372" s="1" t="s">
        <v>1803</v>
      </c>
      <c r="D372" s="1" t="s">
        <v>1804</v>
      </c>
      <c r="E372">
        <f>_xll.BDP($C372,"DUR_ADJ_MID")</f>
        <v>1.6396091584870109</v>
      </c>
      <c r="F372">
        <f>_xll.BDP($C372,"OAS_SPREAD_DUR_MID")</f>
        <v>1.6688340256488343</v>
      </c>
      <c r="G372" t="str">
        <f>_xll.BDP($C372,"MATURITY")</f>
        <v>4/28/2028</v>
      </c>
      <c r="H372" t="str">
        <f>_xll.BDP($C372,"RTG_SP")</f>
        <v>A-</v>
      </c>
    </row>
    <row r="373" spans="1:8" x14ac:dyDescent="0.25">
      <c r="A373" s="1" t="s">
        <v>145</v>
      </c>
      <c r="B373" s="1" t="s">
        <v>1805</v>
      </c>
      <c r="C373" s="1" t="s">
        <v>1806</v>
      </c>
      <c r="D373" s="1" t="s">
        <v>1807</v>
      </c>
      <c r="E373">
        <f>_xll.BDP($C373,"DUR_ADJ_MID")</f>
        <v>2.3679026059398485</v>
      </c>
      <c r="F373" t="str">
        <f>_xll.BDP($C373,"OAS_SPREAD_DUR_MID")</f>
        <v>#N/A Field Not Applicable</v>
      </c>
      <c r="G373" t="str">
        <f>_xll.BDP($C373,"MATURITY")</f>
        <v>1/29/2030</v>
      </c>
      <c r="H373" t="str">
        <f>_xll.BDP($C373,"RTG_SP")</f>
        <v>A-</v>
      </c>
    </row>
    <row r="374" spans="1:8" x14ac:dyDescent="0.25">
      <c r="A374" s="1" t="s">
        <v>145</v>
      </c>
      <c r="B374" s="1" t="s">
        <v>1808</v>
      </c>
      <c r="C374" s="1" t="s">
        <v>1809</v>
      </c>
      <c r="D374" s="1" t="s">
        <v>1810</v>
      </c>
      <c r="E374">
        <f>_xll.BDP($C374,"DUR_ADJ_MID")</f>
        <v>2.4865646064839964</v>
      </c>
      <c r="F374" t="str">
        <f>_xll.BDP($C374,"OAS_SPREAD_DUR_MID")</f>
        <v>#N/A Field Not Applicable</v>
      </c>
      <c r="G374" t="str">
        <f>_xll.BDP($C374,"MATURITY")</f>
        <v>3/1/2030</v>
      </c>
      <c r="H374" t="str">
        <f>_xll.BDP($C374,"RTG_SP")</f>
        <v>BBB</v>
      </c>
    </row>
    <row r="375" spans="1:8" x14ac:dyDescent="0.25">
      <c r="A375" s="1" t="s">
        <v>145</v>
      </c>
      <c r="B375" s="1" t="s">
        <v>1811</v>
      </c>
      <c r="C375" s="1" t="s">
        <v>1812</v>
      </c>
      <c r="D375" s="1" t="s">
        <v>1813</v>
      </c>
      <c r="E375">
        <f>_xll.BDP($C375,"DUR_ADJ_MID")</f>
        <v>1.8048660381237203</v>
      </c>
      <c r="F375" t="str">
        <f>_xll.BDP($C375,"OAS_SPREAD_DUR_MID")</f>
        <v>#N/A Field Not Applicable</v>
      </c>
      <c r="G375" t="str">
        <f>_xll.BDP($C375,"MATURITY")</f>
        <v>6/8/2029</v>
      </c>
      <c r="H375" t="str">
        <f>_xll.BDP($C375,"RTG_SP")</f>
        <v>BBB</v>
      </c>
    </row>
    <row r="376" spans="1:8" x14ac:dyDescent="0.25">
      <c r="A376" s="1" t="s">
        <v>145</v>
      </c>
      <c r="B376" s="1" t="s">
        <v>1814</v>
      </c>
      <c r="C376" s="1" t="s">
        <v>1815</v>
      </c>
      <c r="D376" s="1" t="s">
        <v>1816</v>
      </c>
      <c r="E376">
        <f>_xll.BDP($C376,"DUR_ADJ_MID")</f>
        <v>2.3156236590075592</v>
      </c>
      <c r="F376">
        <f>_xll.BDP($C376,"OAS_SPREAD_DUR_MID")</f>
        <v>2.3449604343815129</v>
      </c>
      <c r="G376" t="str">
        <f>_xll.BDP($C376,"MATURITY")</f>
        <v>2/15/2029</v>
      </c>
      <c r="H376" t="str">
        <f>_xll.BDP($C376,"RTG_SP")</f>
        <v>BBB</v>
      </c>
    </row>
    <row r="377" spans="1:8" x14ac:dyDescent="0.25">
      <c r="A377" s="1" t="s">
        <v>145</v>
      </c>
      <c r="B377" s="1" t="s">
        <v>1817</v>
      </c>
      <c r="C377" s="1" t="s">
        <v>1818</v>
      </c>
      <c r="D377" s="1" t="s">
        <v>1819</v>
      </c>
      <c r="E377">
        <f>_xll.BDP($C377,"DUR_ADJ_MID")</f>
        <v>4.3052462477814171</v>
      </c>
      <c r="F377">
        <f>_xll.BDP($C377,"OAS_SPREAD_DUR_MID")</f>
        <v>4.3037123312117611</v>
      </c>
      <c r="G377" t="str">
        <f>_xll.BDP($C377,"MATURITY")</f>
        <v>5/15/2031</v>
      </c>
      <c r="H377" t="str">
        <f>_xll.BDP($C377,"RTG_SP")</f>
        <v>A</v>
      </c>
    </row>
    <row r="378" spans="1:8" x14ac:dyDescent="0.25">
      <c r="A378" s="1" t="s">
        <v>145</v>
      </c>
      <c r="B378" s="1" t="s">
        <v>1820</v>
      </c>
      <c r="C378" s="1" t="s">
        <v>1821</v>
      </c>
      <c r="D378" s="1" t="s">
        <v>1822</v>
      </c>
      <c r="E378">
        <f>_xll.BDP($C378,"DUR_ADJ_MID")</f>
        <v>3.6201960434581975</v>
      </c>
      <c r="F378">
        <f>_xll.BDP($C378,"OAS_SPREAD_DUR_MID")</f>
        <v>3.6077603626111374</v>
      </c>
      <c r="G378" t="str">
        <f>_xll.BDP($C378,"MATURITY")</f>
        <v>5/11/2030</v>
      </c>
      <c r="H378" t="str">
        <f>_xll.BDP($C378,"RTG_SP")</f>
        <v>AA-</v>
      </c>
    </row>
    <row r="379" spans="1:8" x14ac:dyDescent="0.25">
      <c r="A379" s="1" t="s">
        <v>145</v>
      </c>
      <c r="B379" s="1" t="s">
        <v>1823</v>
      </c>
      <c r="C379" s="1" t="s">
        <v>1824</v>
      </c>
      <c r="D379" s="1" t="s">
        <v>1825</v>
      </c>
      <c r="E379">
        <f>_xll.BDP($C379,"DUR_ADJ_MID")</f>
        <v>2.3563042422842808</v>
      </c>
      <c r="F379">
        <f>_xll.BDP($C379,"OAS_SPREAD_DUR_MID")</f>
        <v>2.3869946646081046</v>
      </c>
      <c r="G379" t="str">
        <f>_xll.BDP($C379,"MATURITY")</f>
        <v>2/26/2029</v>
      </c>
      <c r="H379" t="str">
        <f>_xll.BDP($C379,"RTG_SP")</f>
        <v>AA-</v>
      </c>
    </row>
    <row r="380" spans="1:8" x14ac:dyDescent="0.25">
      <c r="A380" s="1" t="s">
        <v>145</v>
      </c>
      <c r="B380" s="1" t="s">
        <v>1826</v>
      </c>
      <c r="C380" s="1" t="s">
        <v>1827</v>
      </c>
      <c r="D380" s="1" t="s">
        <v>1828</v>
      </c>
      <c r="E380">
        <f>_xll.BDP($C380,"DUR_ADJ_MID")</f>
        <v>3.9258145125170869</v>
      </c>
      <c r="F380">
        <f>_xll.BDP($C380,"OAS_SPREAD_DUR_MID")</f>
        <v>3.9760988976974172</v>
      </c>
      <c r="G380" t="str">
        <f>_xll.BDP($C380,"MATURITY")</f>
        <v>2/26/2031</v>
      </c>
      <c r="H380" t="str">
        <f>_xll.BDP($C380,"RTG_SP")</f>
        <v>AA-</v>
      </c>
    </row>
    <row r="381" spans="1:8" x14ac:dyDescent="0.25">
      <c r="A381" s="1" t="s">
        <v>145</v>
      </c>
      <c r="B381" s="1" t="s">
        <v>1829</v>
      </c>
      <c r="C381" s="1" t="s">
        <v>1830</v>
      </c>
      <c r="D381" s="1" t="s">
        <v>1831</v>
      </c>
      <c r="E381">
        <f>_xll.BDP($C381,"DUR_ADJ_MID")</f>
        <v>1.185165678219142</v>
      </c>
      <c r="F381">
        <f>_xll.BDP($C381,"OAS_SPREAD_DUR_MID")</f>
        <v>1.1863643839470714</v>
      </c>
      <c r="G381" t="str">
        <f>_xll.BDP($C381,"MATURITY")</f>
        <v>9/29/2027</v>
      </c>
      <c r="H381" t="str">
        <f>_xll.BDP($C381,"RTG_SP")</f>
        <v>BBB</v>
      </c>
    </row>
    <row r="382" spans="1:8" x14ac:dyDescent="0.25">
      <c r="A382" s="1" t="s">
        <v>145</v>
      </c>
      <c r="B382" s="1" t="s">
        <v>1832</v>
      </c>
      <c r="C382" s="1" t="s">
        <v>1833</v>
      </c>
      <c r="D382" s="1" t="s">
        <v>1834</v>
      </c>
      <c r="E382">
        <f>_xll.BDP($C382,"DUR_ADJ_MID")</f>
        <v>3.3741713056591549</v>
      </c>
      <c r="F382" t="str">
        <f>_xll.BDP($C382,"OAS_SPREAD_DUR_MID")</f>
        <v>#N/A Field Not Applicable</v>
      </c>
      <c r="G382" t="str">
        <f>_xll.BDP($C382,"MATURITY")</f>
        <v>3/31/2031</v>
      </c>
      <c r="H382" t="str">
        <f>_xll.BDP($C382,"RTG_SP")</f>
        <v>BBB+</v>
      </c>
    </row>
    <row r="383" spans="1:8" x14ac:dyDescent="0.25">
      <c r="A383" s="1" t="s">
        <v>145</v>
      </c>
      <c r="B383" s="1" t="s">
        <v>1835</v>
      </c>
      <c r="C383" s="1" t="s">
        <v>1836</v>
      </c>
      <c r="D383" s="1" t="s">
        <v>1837</v>
      </c>
      <c r="E383">
        <f>_xll.BDP($C383,"DUR_ADJ_MID")</f>
        <v>2.3045017847066616</v>
      </c>
      <c r="F383" t="str">
        <f>_xll.BDP($C383,"OAS_SPREAD_DUR_MID")</f>
        <v>#N/A Field Not Applicable</v>
      </c>
      <c r="G383" t="str">
        <f>_xll.BDP($C383,"MATURITY")</f>
        <v>1/23/2030</v>
      </c>
      <c r="H383" t="str">
        <f>_xll.BDP($C383,"RTG_SP")</f>
        <v>BBB+</v>
      </c>
    </row>
    <row r="384" spans="1:8" x14ac:dyDescent="0.25">
      <c r="A384" s="1" t="s">
        <v>145</v>
      </c>
      <c r="B384" s="1" t="s">
        <v>1838</v>
      </c>
      <c r="C384" s="1" t="s">
        <v>1839</v>
      </c>
      <c r="D384" s="1" t="s">
        <v>1840</v>
      </c>
      <c r="E384">
        <f>_xll.BDP($C384,"DUR_ADJ_MID")</f>
        <v>2.3818403465808275</v>
      </c>
      <c r="F384">
        <f>_xll.BDP($C384,"OAS_SPREAD_DUR_MID")</f>
        <v>2.3130161904312168</v>
      </c>
      <c r="G384" t="str">
        <f>_xll.BDP($C384,"MATURITY")</f>
        <v>2/1/2029</v>
      </c>
      <c r="H384" t="str">
        <f>_xll.BDP($C384,"RTG_SP")</f>
        <v>BBB+</v>
      </c>
    </row>
    <row r="385" spans="1:8" x14ac:dyDescent="0.25">
      <c r="A385" s="1" t="s">
        <v>145</v>
      </c>
      <c r="B385" s="1" t="s">
        <v>1841</v>
      </c>
      <c r="C385" s="1" t="s">
        <v>1842</v>
      </c>
      <c r="D385" s="1" t="s">
        <v>1843</v>
      </c>
      <c r="E385">
        <f>_xll.BDP($C385,"DUR_ADJ_MID")</f>
        <v>1.9444626871961839</v>
      </c>
      <c r="F385">
        <f>_xll.BDP($C385,"OAS_SPREAD_DUR_MID")</f>
        <v>2.0407082990071985</v>
      </c>
      <c r="G385" t="str">
        <f>_xll.BDP($C385,"MATURITY")</f>
        <v>11/1/2028</v>
      </c>
      <c r="H385" t="str">
        <f>_xll.BDP($C385,"RTG_SP")</f>
        <v>BBB-</v>
      </c>
    </row>
    <row r="386" spans="1:8" x14ac:dyDescent="0.25">
      <c r="A386" s="1" t="s">
        <v>145</v>
      </c>
      <c r="B386" s="1" t="s">
        <v>1844</v>
      </c>
      <c r="C386" s="1" t="s">
        <v>1845</v>
      </c>
      <c r="D386" s="1" t="s">
        <v>1846</v>
      </c>
      <c r="E386">
        <f>_xll.BDP($C386,"DUR_ADJ_MID")</f>
        <v>3.3877745138313955</v>
      </c>
      <c r="F386" t="str">
        <f>_xll.BDP($C386,"OAS_SPREAD_DUR_MID")</f>
        <v>#N/A Field Not Applicable</v>
      </c>
      <c r="G386" t="str">
        <f>_xll.BDP($C386,"MATURITY")</f>
        <v>4/1/2031</v>
      </c>
      <c r="H386" t="str">
        <f>_xll.BDP($C386,"RTG_SP")</f>
        <v>A-</v>
      </c>
    </row>
    <row r="387" spans="1:8" x14ac:dyDescent="0.25">
      <c r="A387" s="1" t="s">
        <v>145</v>
      </c>
      <c r="B387" s="1" t="s">
        <v>1847</v>
      </c>
      <c r="C387" s="1" t="s">
        <v>1848</v>
      </c>
      <c r="D387" s="1" t="s">
        <v>1849</v>
      </c>
      <c r="E387">
        <f>_xll.BDP($C387,"DUR_ADJ_MID")</f>
        <v>1.5314138338326309</v>
      </c>
      <c r="F387">
        <f>_xll.BDP($C387,"OAS_SPREAD_DUR_MID")</f>
        <v>1.4867793377531371</v>
      </c>
      <c r="G387" t="str">
        <f>_xll.BDP($C387,"MATURITY")</f>
        <v>2/15/2028</v>
      </c>
      <c r="H387" t="str">
        <f>_xll.BDP($C387,"RTG_SP")</f>
        <v>BBB</v>
      </c>
    </row>
    <row r="388" spans="1:8" x14ac:dyDescent="0.25">
      <c r="A388" s="1" t="s">
        <v>145</v>
      </c>
      <c r="B388" s="1" t="s">
        <v>1850</v>
      </c>
      <c r="C388" s="1" t="s">
        <v>1851</v>
      </c>
      <c r="D388" s="1" t="s">
        <v>1852</v>
      </c>
      <c r="E388">
        <f>_xll.BDP($C388,"DUR_ADJ_MID")</f>
        <v>2.3597096787481839</v>
      </c>
      <c r="F388">
        <f>_xll.BDP($C388,"OAS_SPREAD_DUR_MID")</f>
        <v>2.3835876769716258</v>
      </c>
      <c r="G388" t="str">
        <f>_xll.BDP($C388,"MATURITY")</f>
        <v>3/1/2029</v>
      </c>
      <c r="H388" t="str">
        <f>_xll.BDP($C388,"RTG_SP")</f>
        <v>BBB</v>
      </c>
    </row>
    <row r="389" spans="1:8" x14ac:dyDescent="0.25">
      <c r="A389" s="1" t="s">
        <v>145</v>
      </c>
      <c r="B389" s="1" t="s">
        <v>1853</v>
      </c>
      <c r="C389" s="1" t="s">
        <v>1854</v>
      </c>
      <c r="D389" s="1" t="s">
        <v>1855</v>
      </c>
      <c r="E389">
        <f>_xll.BDP($C389,"DUR_ADJ_MID")</f>
        <v>1.4537814860025813</v>
      </c>
      <c r="F389">
        <f>_xll.BDP($C389,"OAS_SPREAD_DUR_MID")</f>
        <v>1.4559316698047504</v>
      </c>
      <c r="G389" t="str">
        <f>_xll.BDP($C389,"MATURITY")</f>
        <v>1/20/2028</v>
      </c>
      <c r="H389" t="str">
        <f>_xll.BDP($C389,"RTG_SP")</f>
        <v>A</v>
      </c>
    </row>
    <row r="390" spans="1:8" x14ac:dyDescent="0.25">
      <c r="A390" s="1" t="s">
        <v>145</v>
      </c>
      <c r="B390" s="1" t="s">
        <v>1856</v>
      </c>
      <c r="C390" s="1" t="s">
        <v>1857</v>
      </c>
      <c r="D390" s="1" t="s">
        <v>1858</v>
      </c>
      <c r="E390">
        <f>_xll.BDP($C390,"DUR_ADJ_MID")</f>
        <v>2.1792392121508652</v>
      </c>
      <c r="F390" t="str">
        <f>_xll.BDP($C390,"OAS_SPREAD_DUR_MID")</f>
        <v>#N/A Field Not Applicable</v>
      </c>
      <c r="G390" t="str">
        <f>_xll.BDP($C390,"MATURITY")</f>
        <v>11/20/2029</v>
      </c>
      <c r="H390" t="str">
        <f>_xll.BDP($C390,"RTG_SP")</f>
        <v>BBB</v>
      </c>
    </row>
    <row r="391" spans="1:8" x14ac:dyDescent="0.25">
      <c r="A391" s="1" t="s">
        <v>145</v>
      </c>
      <c r="B391" s="1" t="s">
        <v>1859</v>
      </c>
      <c r="C391" s="1" t="s">
        <v>1860</v>
      </c>
      <c r="D391" s="1" t="s">
        <v>1861</v>
      </c>
      <c r="E391">
        <f>_xll.BDP($C391,"DUR_ADJ_MID")</f>
        <v>4.1401035436217022</v>
      </c>
      <c r="F391">
        <f>_xll.BDP($C391,"OAS_SPREAD_DUR_MID")</f>
        <v>4.142907747747576</v>
      </c>
      <c r="G391" t="str">
        <f>_xll.BDP($C391,"MATURITY")</f>
        <v>1/13/2031</v>
      </c>
      <c r="H391" t="str">
        <f>_xll.BDP($C391,"RTG_SP")</f>
        <v>A</v>
      </c>
    </row>
    <row r="392" spans="1:8" x14ac:dyDescent="0.25">
      <c r="A392" s="1" t="s">
        <v>145</v>
      </c>
      <c r="B392" s="1" t="s">
        <v>1862</v>
      </c>
      <c r="C392" s="1" t="s">
        <v>1863</v>
      </c>
      <c r="D392" s="1" t="s">
        <v>1864</v>
      </c>
      <c r="E392">
        <f>_xll.BDP($C392,"DUR_ADJ_MID")</f>
        <v>3.4327327938424359</v>
      </c>
      <c r="F392">
        <f>_xll.BDP($C392,"OAS_SPREAD_DUR_MID")</f>
        <v>3.3835656486269898</v>
      </c>
      <c r="G392" t="str">
        <f>_xll.BDP($C392,"MATURITY")</f>
        <v>4/3/2030</v>
      </c>
      <c r="H392" t="str">
        <f>_xll.BDP($C392,"RTG_SP")</f>
        <v>BBB</v>
      </c>
    </row>
    <row r="393" spans="1:8" x14ac:dyDescent="0.25">
      <c r="A393" s="1" t="s">
        <v>145</v>
      </c>
      <c r="B393" s="1" t="s">
        <v>1865</v>
      </c>
      <c r="C393" s="1" t="s">
        <v>1866</v>
      </c>
      <c r="D393" s="1" t="s">
        <v>1867</v>
      </c>
      <c r="E393">
        <f>_xll.BDP($C393,"DUR_ADJ_MID")</f>
        <v>1.7702430505803666</v>
      </c>
      <c r="F393">
        <f>_xll.BDP($C393,"OAS_SPREAD_DUR_MID")</f>
        <v>1.6813885627853209</v>
      </c>
      <c r="G393" t="str">
        <f>_xll.BDP($C393,"MATURITY")</f>
        <v>5/15/2028</v>
      </c>
      <c r="H393" t="str">
        <f>_xll.BDP($C393,"RTG_SP")</f>
        <v>BBB</v>
      </c>
    </row>
    <row r="394" spans="1:8" x14ac:dyDescent="0.25">
      <c r="A394" s="1" t="s">
        <v>145</v>
      </c>
      <c r="B394" s="1" t="s">
        <v>1868</v>
      </c>
      <c r="C394" s="1" t="s">
        <v>1869</v>
      </c>
      <c r="D394" s="1" t="s">
        <v>1870</v>
      </c>
      <c r="E394">
        <f>_xll.BDP($C394,"DUR_ADJ_MID")</f>
        <v>2.2271188169478551</v>
      </c>
      <c r="F394">
        <f>_xll.BDP($C394,"OAS_SPREAD_DUR_MID")</f>
        <v>2.1379280891616057</v>
      </c>
      <c r="G394" t="str">
        <f>_xll.BDP($C394,"MATURITY")</f>
        <v>11/15/2028</v>
      </c>
      <c r="H394" t="str">
        <f>_xll.BDP($C394,"RTG_SP")</f>
        <v>A</v>
      </c>
    </row>
    <row r="395" spans="1:8" x14ac:dyDescent="0.25">
      <c r="A395" s="1" t="s">
        <v>145</v>
      </c>
      <c r="B395" s="1" t="s">
        <v>1871</v>
      </c>
      <c r="C395" s="1" t="s">
        <v>1872</v>
      </c>
      <c r="D395" s="1" t="s">
        <v>1873</v>
      </c>
      <c r="E395">
        <f>_xll.BDP($C395,"DUR_ADJ_MID")</f>
        <v>3.9477248531101501</v>
      </c>
      <c r="F395">
        <f>_xll.BDP($C395,"OAS_SPREAD_DUR_MID")</f>
        <v>3.7392342005447126</v>
      </c>
      <c r="G395" t="str">
        <f>_xll.BDP($C395,"MATURITY")</f>
        <v>1/15/2031</v>
      </c>
      <c r="H395" t="str">
        <f>_xll.BDP($C395,"RTG_SP")</f>
        <v>BBB-</v>
      </c>
    </row>
    <row r="396" spans="1:8" x14ac:dyDescent="0.25">
      <c r="A396" s="1" t="s">
        <v>145</v>
      </c>
      <c r="B396" s="1" t="s">
        <v>1874</v>
      </c>
      <c r="C396" s="1" t="s">
        <v>1875</v>
      </c>
      <c r="D396" s="1" t="s">
        <v>1876</v>
      </c>
      <c r="E396">
        <f>_xll.BDP($C396,"DUR_ADJ_MID")</f>
        <v>2.7020764002079369</v>
      </c>
      <c r="F396">
        <f>_xll.BDP($C396,"OAS_SPREAD_DUR_MID")</f>
        <v>2.7336530025176731</v>
      </c>
      <c r="G396" t="str">
        <f>_xll.BDP($C396,"MATURITY")</f>
        <v>8/1/2029</v>
      </c>
      <c r="H396" t="str">
        <f>_xll.BDP($C396,"RTG_SP")</f>
        <v>BBB</v>
      </c>
    </row>
    <row r="397" spans="1:8" x14ac:dyDescent="0.25">
      <c r="A397" s="1" t="s">
        <v>145</v>
      </c>
      <c r="B397" s="1" t="s">
        <v>1877</v>
      </c>
      <c r="C397" s="1" t="s">
        <v>1878</v>
      </c>
      <c r="D397" s="1" t="s">
        <v>1879</v>
      </c>
      <c r="E397">
        <f>_xll.BDP($C397,"DUR_ADJ_MID")</f>
        <v>2.4818962983665562</v>
      </c>
      <c r="F397">
        <f>_xll.BDP($C397,"OAS_SPREAD_DUR_MID")</f>
        <v>2.4483248061758855</v>
      </c>
      <c r="G397" t="str">
        <f>_xll.BDP($C397,"MATURITY")</f>
        <v>3/6/2029</v>
      </c>
      <c r="H397" t="str">
        <f>_xll.BDP($C397,"RTG_SP")</f>
        <v>A-</v>
      </c>
    </row>
    <row r="398" spans="1:8" x14ac:dyDescent="0.25">
      <c r="A398" s="1" t="s">
        <v>145</v>
      </c>
      <c r="B398" s="1" t="s">
        <v>1880</v>
      </c>
      <c r="C398" s="1" t="s">
        <v>1881</v>
      </c>
      <c r="D398" s="1" t="s">
        <v>1882</v>
      </c>
      <c r="E398">
        <f>_xll.BDP($C398,"DUR_ADJ_MID")</f>
        <v>3.4214933793806028</v>
      </c>
      <c r="F398">
        <f>_xll.BDP($C398,"OAS_SPREAD_DUR_MID")</f>
        <v>3.4045862495557606</v>
      </c>
      <c r="G398" t="str">
        <f>_xll.BDP($C398,"MATURITY")</f>
        <v>3/11/2030</v>
      </c>
      <c r="H398" t="str">
        <f>_xll.BDP($C398,"RTG_SP")</f>
        <v>BBB+</v>
      </c>
    </row>
    <row r="399" spans="1:8" x14ac:dyDescent="0.25">
      <c r="A399" s="1" t="s">
        <v>145</v>
      </c>
      <c r="B399" s="1" t="s">
        <v>1883</v>
      </c>
      <c r="C399" s="1" t="s">
        <v>1884</v>
      </c>
      <c r="D399" s="1" t="s">
        <v>1885</v>
      </c>
      <c r="E399">
        <f>_xll.BDP($C399,"DUR_ADJ_MID")</f>
        <v>2.5572011239694787</v>
      </c>
      <c r="F399">
        <f>_xll.BDP($C399,"OAS_SPREAD_DUR_MID")</f>
        <v>2.5717892948464161</v>
      </c>
      <c r="G399" t="str">
        <f>_xll.BDP($C399,"MATURITY")</f>
        <v>5/28/2029</v>
      </c>
      <c r="H399" t="str">
        <f>_xll.BDP($C399,"RTG_SP")</f>
        <v>BBB-</v>
      </c>
    </row>
    <row r="400" spans="1:8" x14ac:dyDescent="0.25">
      <c r="A400" s="1" t="s">
        <v>145</v>
      </c>
      <c r="B400" s="1" t="s">
        <v>1886</v>
      </c>
      <c r="C400" s="1" t="s">
        <v>1887</v>
      </c>
      <c r="D400" s="1" t="s">
        <v>1888</v>
      </c>
      <c r="E400">
        <f>_xll.BDP($C400,"DUR_ADJ_MID")</f>
        <v>1.6073695013050082</v>
      </c>
      <c r="F400">
        <f>_xll.BDP($C400,"OAS_SPREAD_DUR_MID")</f>
        <v>1.7041902508111553</v>
      </c>
      <c r="G400" t="str">
        <f>_xll.BDP($C400,"MATURITY")</f>
        <v>6/12/2028</v>
      </c>
      <c r="H400" t="str">
        <f>_xll.BDP($C400,"RTG_SP")</f>
        <v>BBB</v>
      </c>
    </row>
    <row r="401" spans="1:8" x14ac:dyDescent="0.25">
      <c r="A401" s="1" t="s">
        <v>145</v>
      </c>
      <c r="B401" s="1" t="s">
        <v>1889</v>
      </c>
      <c r="C401" s="1" t="s">
        <v>1890</v>
      </c>
      <c r="D401" s="1" t="s">
        <v>1891</v>
      </c>
      <c r="E401">
        <f>_xll.BDP($C401,"DUR_ADJ_MID")</f>
        <v>2.331001741732988</v>
      </c>
      <c r="F401">
        <f>_xll.BDP($C401,"OAS_SPREAD_DUR_MID")</f>
        <v>2.3952198977168191</v>
      </c>
      <c r="G401" t="str">
        <f>_xll.BDP($C401,"MATURITY")</f>
        <v>4/15/2029</v>
      </c>
      <c r="H401" t="str">
        <f>_xll.BDP($C401,"RTG_SP")</f>
        <v>BBB</v>
      </c>
    </row>
    <row r="402" spans="1:8" x14ac:dyDescent="0.25">
      <c r="A402" s="1" t="s">
        <v>145</v>
      </c>
      <c r="B402" s="1" t="s">
        <v>1892</v>
      </c>
      <c r="C402" s="1" t="s">
        <v>1893</v>
      </c>
      <c r="D402" s="1" t="s">
        <v>1894</v>
      </c>
      <c r="E402">
        <f>_xll.BDP($C402,"DUR_ADJ_MID")</f>
        <v>2.8536694306646249</v>
      </c>
      <c r="F402">
        <f>_xll.BDP($C402,"OAS_SPREAD_DUR_MID")</f>
        <v>2.8178684890913028</v>
      </c>
      <c r="G402" t="str">
        <f>_xll.BDP($C402,"MATURITY")</f>
        <v>7/31/2029</v>
      </c>
      <c r="H402" t="str">
        <f>_xll.BDP($C402,"RTG_SP")</f>
        <v>A-</v>
      </c>
    </row>
    <row r="403" spans="1:8" x14ac:dyDescent="0.25">
      <c r="A403" s="1" t="s">
        <v>145</v>
      </c>
      <c r="B403" s="1" t="s">
        <v>1895</v>
      </c>
      <c r="C403" s="1" t="s">
        <v>1896</v>
      </c>
      <c r="D403" s="1" t="s">
        <v>1897</v>
      </c>
      <c r="E403">
        <f>_xll.BDP($C403,"DUR_ADJ_MID")</f>
        <v>1.4778832215138364</v>
      </c>
      <c r="F403">
        <f>_xll.BDP($C403,"OAS_SPREAD_DUR_MID")</f>
        <v>1.5003648940372543</v>
      </c>
      <c r="G403" t="str">
        <f>_xll.BDP($C403,"MATURITY")</f>
        <v>3/1/2028</v>
      </c>
      <c r="H403" t="str">
        <f>_xll.BDP($C403,"RTG_SP")</f>
        <v>BBB</v>
      </c>
    </row>
    <row r="404" spans="1:8" x14ac:dyDescent="0.25">
      <c r="A404" s="1" t="s">
        <v>145</v>
      </c>
      <c r="B404" s="1" t="s">
        <v>1898</v>
      </c>
      <c r="C404" s="1" t="s">
        <v>1899</v>
      </c>
      <c r="D404" s="1" t="s">
        <v>1900</v>
      </c>
      <c r="E404">
        <f>_xll.BDP($C404,"DUR_ADJ_MID")</f>
        <v>3.4291576956558147</v>
      </c>
      <c r="F404">
        <f>_xll.BDP($C404,"OAS_SPREAD_DUR_MID")</f>
        <v>3.4712225143386557</v>
      </c>
      <c r="G404" t="str">
        <f>_xll.BDP($C404,"MATURITY")</f>
        <v>7/1/2030</v>
      </c>
      <c r="H404" t="str">
        <f>_xll.BDP($C404,"RTG_SP")</f>
        <v>BBB+</v>
      </c>
    </row>
    <row r="405" spans="1:8" x14ac:dyDescent="0.25">
      <c r="A405" s="1" t="s">
        <v>145</v>
      </c>
      <c r="B405" s="1" t="s">
        <v>1901</v>
      </c>
      <c r="C405" s="1" t="s">
        <v>1902</v>
      </c>
      <c r="D405" s="1" t="s">
        <v>1903</v>
      </c>
      <c r="E405">
        <f>_xll.BDP($C405,"DUR_ADJ_MID")</f>
        <v>3.4054422649928919</v>
      </c>
      <c r="F405">
        <f>_xll.BDP($C405,"OAS_SPREAD_DUR_MID")</f>
        <v>3.3311516526742535</v>
      </c>
      <c r="G405" t="str">
        <f>_xll.BDP($C405,"MATURITY")</f>
        <v>3/19/2030</v>
      </c>
      <c r="H405" t="str">
        <f>_xll.BDP($C405,"RTG_SP")</f>
        <v>AA-</v>
      </c>
    </row>
    <row r="406" spans="1:8" x14ac:dyDescent="0.25">
      <c r="A406" s="1" t="s">
        <v>145</v>
      </c>
      <c r="B406" s="1" t="s">
        <v>1904</v>
      </c>
      <c r="C406" s="1" t="s">
        <v>1905</v>
      </c>
      <c r="D406" s="1" t="s">
        <v>1906</v>
      </c>
      <c r="E406">
        <f>_xll.BDP($C406,"DUR_ADJ_MID")</f>
        <v>1.6920459000212458</v>
      </c>
      <c r="F406">
        <f>_xll.BDP($C406,"OAS_SPREAD_DUR_MID")</f>
        <v>1.7223103834346583</v>
      </c>
      <c r="G406" t="str">
        <f>_xll.BDP($C406,"MATURITY")</f>
        <v>5/15/2028</v>
      </c>
      <c r="H406" t="str">
        <f>_xll.BDP($C406,"RTG_SP")</f>
        <v>AA-</v>
      </c>
    </row>
    <row r="407" spans="1:8" x14ac:dyDescent="0.25">
      <c r="A407" s="1" t="s">
        <v>145</v>
      </c>
      <c r="B407" s="1" t="s">
        <v>1907</v>
      </c>
      <c r="C407" s="1" t="s">
        <v>1908</v>
      </c>
      <c r="D407" s="1" t="s">
        <v>1909</v>
      </c>
      <c r="E407">
        <f>_xll.BDP($C407,"DUR_ADJ_MID")</f>
        <v>3.9261083282804625</v>
      </c>
      <c r="F407">
        <f>_xll.BDP($C407,"OAS_SPREAD_DUR_MID")</f>
        <v>3.8962045867219346</v>
      </c>
      <c r="G407" t="str">
        <f>_xll.BDP($C407,"MATURITY")</f>
        <v>11/15/2030</v>
      </c>
      <c r="H407" t="str">
        <f>_xll.BDP($C407,"RTG_SP")</f>
        <v>AA-</v>
      </c>
    </row>
    <row r="408" spans="1:8" x14ac:dyDescent="0.25">
      <c r="A408" s="1" t="s">
        <v>145</v>
      </c>
      <c r="B408" s="1" t="s">
        <v>1910</v>
      </c>
      <c r="C408" s="1" t="s">
        <v>1911</v>
      </c>
      <c r="D408" s="1" t="s">
        <v>1912</v>
      </c>
      <c r="E408">
        <f>_xll.BDP($C408,"DUR_ADJ_MID")</f>
        <v>4.1492366984402826</v>
      </c>
      <c r="F408">
        <f>_xll.BDP($C408,"OAS_SPREAD_DUR_MID")</f>
        <v>4.1130129180630881</v>
      </c>
      <c r="G408" t="str">
        <f>_xll.BDP($C408,"MATURITY")</f>
        <v>3/15/2031</v>
      </c>
      <c r="H408" t="str">
        <f>_xll.BDP($C408,"RTG_SP")</f>
        <v>BBB+</v>
      </c>
    </row>
    <row r="409" spans="1:8" x14ac:dyDescent="0.25">
      <c r="A409" s="1" t="s">
        <v>145</v>
      </c>
      <c r="B409" s="1" t="s">
        <v>1913</v>
      </c>
      <c r="C409" s="1" t="s">
        <v>1914</v>
      </c>
      <c r="D409" s="1" t="s">
        <v>1915</v>
      </c>
      <c r="E409">
        <f>_xll.BDP($C409,"DUR_ADJ_MID")</f>
        <v>1.5903175791045459</v>
      </c>
      <c r="F409">
        <f>_xll.BDP($C409,"OAS_SPREAD_DUR_MID")</f>
        <v>1.5906441307192209</v>
      </c>
      <c r="G409" t="str">
        <f>_xll.BDP($C409,"MATURITY")</f>
        <v>3/10/2028</v>
      </c>
      <c r="H409" t="str">
        <f>_xll.BDP($C409,"RTG_SP")</f>
        <v>BBB</v>
      </c>
    </row>
    <row r="410" spans="1:8" x14ac:dyDescent="0.25">
      <c r="A410" s="1" t="s">
        <v>145</v>
      </c>
      <c r="B410" s="1" t="s">
        <v>1916</v>
      </c>
      <c r="C410" s="1" t="s">
        <v>1917</v>
      </c>
      <c r="D410" s="1" t="s">
        <v>1918</v>
      </c>
      <c r="E410">
        <f>_xll.BDP($C410,"DUR_ADJ_MID")</f>
        <v>2.4692410574973516</v>
      </c>
      <c r="F410">
        <f>_xll.BDP($C410,"OAS_SPREAD_DUR_MID")</f>
        <v>2.4311630561300031</v>
      </c>
      <c r="G410" t="str">
        <f>_xll.BDP($C410,"MATURITY")</f>
        <v>3/10/2029</v>
      </c>
      <c r="H410" t="str">
        <f>_xll.BDP($C410,"RTG_SP")</f>
        <v>BBB</v>
      </c>
    </row>
    <row r="411" spans="1:8" x14ac:dyDescent="0.25">
      <c r="A411" s="1" t="s">
        <v>145</v>
      </c>
      <c r="B411" s="1" t="s">
        <v>1919</v>
      </c>
      <c r="C411" s="1" t="s">
        <v>1920</v>
      </c>
      <c r="D411" s="1" t="s">
        <v>1921</v>
      </c>
      <c r="E411">
        <f>_xll.BDP($C411,"DUR_ADJ_MID")</f>
        <v>3.2473439515742153</v>
      </c>
      <c r="F411" t="str">
        <f>_xll.BDP($C411,"OAS_SPREAD_DUR_MID")</f>
        <v>#N/A Field Not Applicable</v>
      </c>
      <c r="G411" t="str">
        <f>_xll.BDP($C411,"MATURITY")</f>
        <v>3/7/2031</v>
      </c>
      <c r="H411" t="str">
        <f>_xll.BDP($C411,"RTG_SP")</f>
        <v>#N/A N/A</v>
      </c>
    </row>
    <row r="412" spans="1:8" x14ac:dyDescent="0.25">
      <c r="A412" s="1" t="s">
        <v>145</v>
      </c>
      <c r="B412" s="1" t="s">
        <v>1922</v>
      </c>
      <c r="C412" s="1" t="s">
        <v>1923</v>
      </c>
      <c r="D412" s="1" t="s">
        <v>1924</v>
      </c>
      <c r="E412">
        <f>_xll.BDP($C412,"DUR_ADJ_MID")</f>
        <v>2.801633489943355</v>
      </c>
      <c r="F412">
        <f>_xll.BDP($C412,"OAS_SPREAD_DUR_MID")</f>
        <v>2.7634355905730823</v>
      </c>
      <c r="G412" t="str">
        <f>_xll.BDP($C412,"MATURITY")</f>
        <v>7/1/2029</v>
      </c>
      <c r="H412" t="str">
        <f>_xll.BDP($C412,"RTG_SP")</f>
        <v>BBB</v>
      </c>
    </row>
    <row r="413" spans="1:8" x14ac:dyDescent="0.25">
      <c r="A413" s="1" t="s">
        <v>145</v>
      </c>
      <c r="B413" s="1" t="s">
        <v>1925</v>
      </c>
      <c r="C413" s="1" t="s">
        <v>1926</v>
      </c>
      <c r="D413" s="1" t="s">
        <v>1927</v>
      </c>
      <c r="E413">
        <f>_xll.BDP($C413,"DUR_ADJ_MID")</f>
        <v>2.5879848751528631</v>
      </c>
      <c r="F413">
        <f>_xll.BDP($C413,"OAS_SPREAD_DUR_MID")</f>
        <v>2.4755862775190924</v>
      </c>
      <c r="G413" t="str">
        <f>_xll.BDP($C413,"MATURITY")</f>
        <v>5/3/2029</v>
      </c>
      <c r="H413" t="str">
        <f>_xll.BDP($C413,"RTG_SP")</f>
        <v>BBB-</v>
      </c>
    </row>
    <row r="414" spans="1:8" x14ac:dyDescent="0.25">
      <c r="A414" s="1" t="s">
        <v>145</v>
      </c>
      <c r="B414" s="1" t="s">
        <v>1928</v>
      </c>
      <c r="C414" s="1" t="s">
        <v>1929</v>
      </c>
      <c r="D414" s="1" t="s">
        <v>1930</v>
      </c>
      <c r="E414">
        <f>_xll.BDP($C414,"DUR_ADJ_MID")</f>
        <v>3.6330528726872942</v>
      </c>
      <c r="F414">
        <f>_xll.BDP($C414,"OAS_SPREAD_DUR_MID")</f>
        <v>3.5965370020330591</v>
      </c>
      <c r="G414" t="str">
        <f>_xll.BDP($C414,"MATURITY")</f>
        <v>7/29/2030</v>
      </c>
      <c r="H414" t="str">
        <f>_xll.BDP($C414,"RTG_SP")</f>
        <v>A-</v>
      </c>
    </row>
    <row r="415" spans="1:8" x14ac:dyDescent="0.25">
      <c r="A415" s="1" t="s">
        <v>145</v>
      </c>
      <c r="B415" s="1" t="s">
        <v>1931</v>
      </c>
      <c r="C415" s="1" t="s">
        <v>1932</v>
      </c>
      <c r="D415" s="1" t="s">
        <v>1933</v>
      </c>
      <c r="E415">
        <f>_xll.BDP($C415,"DUR_ADJ_MID")</f>
        <v>1.6949632186810104</v>
      </c>
      <c r="F415">
        <f>_xll.BDP($C415,"OAS_SPREAD_DUR_MID")</f>
        <v>1.6052250196163811</v>
      </c>
      <c r="G415" t="str">
        <f>_xll.BDP($C415,"MATURITY")</f>
        <v>4/17/2028</v>
      </c>
      <c r="H415" t="str">
        <f>_xll.BDP($C415,"RTG_SP")</f>
        <v>BBB</v>
      </c>
    </row>
    <row r="416" spans="1:8" x14ac:dyDescent="0.25">
      <c r="A416" s="1" t="s">
        <v>145</v>
      </c>
      <c r="B416" s="1" t="s">
        <v>1934</v>
      </c>
      <c r="C416" s="1" t="s">
        <v>1935</v>
      </c>
      <c r="D416" s="1" t="s">
        <v>1936</v>
      </c>
      <c r="E416">
        <f>_xll.BDP($C416,"DUR_ADJ_MID")</f>
        <v>1.3306925631693436</v>
      </c>
      <c r="F416">
        <f>_xll.BDP($C416,"OAS_SPREAD_DUR_MID")</f>
        <v>1.3468151917579296</v>
      </c>
      <c r="G416" t="str">
        <f>_xll.BDP($C416,"MATURITY")</f>
        <v>1/9/2028</v>
      </c>
      <c r="H416" t="str">
        <f>_xll.BDP($C416,"RTG_SP")</f>
        <v>BBB</v>
      </c>
    </row>
    <row r="417" spans="1:8" x14ac:dyDescent="0.25">
      <c r="A417" s="1" t="s">
        <v>145</v>
      </c>
      <c r="B417" s="1" t="s">
        <v>1937</v>
      </c>
      <c r="C417" s="1" t="s">
        <v>1938</v>
      </c>
      <c r="D417" s="1" t="s">
        <v>1939</v>
      </c>
      <c r="E417">
        <f>_xll.BDP($C417,"DUR_ADJ_MID")</f>
        <v>3.3309154553928799</v>
      </c>
      <c r="F417">
        <f>_xll.BDP($C417,"OAS_SPREAD_DUR_MID")</f>
        <v>3.2522079474199392</v>
      </c>
      <c r="G417" t="str">
        <f>_xll.BDP($C417,"MATURITY")</f>
        <v>3/15/2030</v>
      </c>
      <c r="H417" t="str">
        <f>_xll.BDP($C417,"RTG_SP")</f>
        <v>A</v>
      </c>
    </row>
    <row r="418" spans="1:8" x14ac:dyDescent="0.25">
      <c r="A418" s="1" t="s">
        <v>145</v>
      </c>
      <c r="B418" s="1" t="s">
        <v>1940</v>
      </c>
      <c r="C418" s="1" t="s">
        <v>1941</v>
      </c>
      <c r="D418" s="1" t="s">
        <v>1942</v>
      </c>
      <c r="E418">
        <f>_xll.BDP($C418,"DUR_ADJ_MID")</f>
        <v>1.7780767282467467</v>
      </c>
      <c r="F418">
        <f>_xll.BDP($C418,"OAS_SPREAD_DUR_MID")</f>
        <v>1.778529779761348</v>
      </c>
      <c r="G418" t="str">
        <f>_xll.BDP($C418,"MATURITY")</f>
        <v>5/15/2028</v>
      </c>
      <c r="H418" t="str">
        <f>_xll.BDP($C418,"RTG_SP")</f>
        <v>A</v>
      </c>
    </row>
    <row r="419" spans="1:8" x14ac:dyDescent="0.25">
      <c r="A419" s="1" t="s">
        <v>145</v>
      </c>
      <c r="B419" s="1" t="s">
        <v>1943</v>
      </c>
      <c r="C419" s="1" t="s">
        <v>1944</v>
      </c>
      <c r="D419" s="1" t="s">
        <v>1945</v>
      </c>
      <c r="E419">
        <f>_xll.BDP($C419,"DUR_ADJ_MID")</f>
        <v>2.5576930488475846</v>
      </c>
      <c r="F419" t="str">
        <f>_xll.BDP($C419,"OAS_SPREAD_DUR_MID")</f>
        <v>#N/A Field Not Applicable</v>
      </c>
      <c r="G419" t="str">
        <f>_xll.BDP($C419,"MATURITY")</f>
        <v>4/25/2030</v>
      </c>
      <c r="H419" t="str">
        <f>_xll.BDP($C419,"RTG_SP")</f>
        <v>BBB+</v>
      </c>
    </row>
    <row r="420" spans="1:8" x14ac:dyDescent="0.25">
      <c r="A420" s="1" t="s">
        <v>145</v>
      </c>
      <c r="B420" s="1" t="s">
        <v>1946</v>
      </c>
      <c r="C420" s="1" t="s">
        <v>1947</v>
      </c>
      <c r="D420" s="1" t="s">
        <v>1948</v>
      </c>
      <c r="E420">
        <f>_xll.BDP($C420,"DUR_ADJ_MID")</f>
        <v>1.460766941032136</v>
      </c>
      <c r="F420" t="str">
        <f>_xll.BDP($C420,"OAS_SPREAD_DUR_MID")</f>
        <v>#N/A Field Not Applicable</v>
      </c>
      <c r="G420" t="str">
        <f>_xll.BDP($C420,"MATURITY")</f>
        <v>1/21/2029</v>
      </c>
      <c r="H420" t="str">
        <f>_xll.BDP($C420,"RTG_SP")</f>
        <v>BBB+</v>
      </c>
    </row>
    <row r="421" spans="1:8" x14ac:dyDescent="0.25">
      <c r="A421" s="1" t="s">
        <v>145</v>
      </c>
      <c r="B421" s="1" t="s">
        <v>1949</v>
      </c>
      <c r="C421" s="1" t="s">
        <v>1950</v>
      </c>
      <c r="D421" s="1" t="s">
        <v>1951</v>
      </c>
      <c r="E421">
        <f>_xll.BDP($C421,"DUR_ADJ_MID")</f>
        <v>3.821890517618693</v>
      </c>
      <c r="F421">
        <f>_xll.BDP($C421,"OAS_SPREAD_DUR_MID")</f>
        <v>3.796579930738214</v>
      </c>
      <c r="G421" t="str">
        <f>_xll.BDP($C421,"MATURITY")</f>
        <v>1/31/2031</v>
      </c>
      <c r="H421" t="str">
        <f>_xll.BDP($C421,"RTG_SP")</f>
        <v>#N/A N/A</v>
      </c>
    </row>
    <row r="422" spans="1:8" x14ac:dyDescent="0.25">
      <c r="A422" s="1" t="s">
        <v>145</v>
      </c>
      <c r="B422" s="1" t="s">
        <v>1952</v>
      </c>
      <c r="C422" s="1" t="s">
        <v>1953</v>
      </c>
      <c r="D422" s="1" t="s">
        <v>1954</v>
      </c>
      <c r="E422">
        <f>_xll.BDP($C422,"DUR_ADJ_MID")</f>
        <v>3.7676475875786251</v>
      </c>
      <c r="F422">
        <f>_xll.BDP($C422,"OAS_SPREAD_DUR_MID")</f>
        <v>3.6728792776891019</v>
      </c>
      <c r="G422" t="str">
        <f>_xll.BDP($C422,"MATURITY")</f>
        <v>9/1/2030</v>
      </c>
      <c r="H422" t="str">
        <f>_xll.BDP($C422,"RTG_SP")</f>
        <v>BBB</v>
      </c>
    </row>
    <row r="423" spans="1:8" x14ac:dyDescent="0.25">
      <c r="A423" s="1" t="s">
        <v>145</v>
      </c>
      <c r="B423" s="1" t="s">
        <v>1955</v>
      </c>
      <c r="C423" s="1" t="s">
        <v>1956</v>
      </c>
      <c r="D423" s="1" t="s">
        <v>1957</v>
      </c>
      <c r="E423">
        <f>_xll.BDP($C423,"DUR_ADJ_MID")</f>
        <v>2.6820328704155947</v>
      </c>
      <c r="F423" t="str">
        <f>_xll.BDP($C423,"OAS_SPREAD_DUR_MID")</f>
        <v>#N/A Field Not Applicable</v>
      </c>
      <c r="G423" t="str">
        <f>_xll.BDP($C423,"MATURITY")</f>
        <v>5/22/2030</v>
      </c>
      <c r="H423" t="str">
        <f>_xll.BDP($C423,"RTG_SP")</f>
        <v>A-</v>
      </c>
    </row>
    <row r="424" spans="1:8" x14ac:dyDescent="0.25">
      <c r="A424" s="1" t="s">
        <v>145</v>
      </c>
      <c r="B424" s="1" t="s">
        <v>1958</v>
      </c>
      <c r="C424" s="1" t="s">
        <v>1959</v>
      </c>
      <c r="D424" s="1" t="s">
        <v>1960</v>
      </c>
      <c r="E424">
        <f>_xll.BDP($C424,"DUR_ADJ_MID")</f>
        <v>1.1826059201679193</v>
      </c>
      <c r="F424" t="str">
        <f>_xll.BDP($C424,"OAS_SPREAD_DUR_MID")</f>
        <v>#N/A Field Not Applicable</v>
      </c>
      <c r="G424" t="str">
        <f>_xll.BDP($C424,"MATURITY")</f>
        <v>9/22/2028</v>
      </c>
      <c r="H424" t="str">
        <f>_xll.BDP($C424,"RTG_SP")</f>
        <v>A-</v>
      </c>
    </row>
    <row r="425" spans="1:8" x14ac:dyDescent="0.25">
      <c r="A425" s="1" t="s">
        <v>145</v>
      </c>
      <c r="B425" s="1" t="s">
        <v>1961</v>
      </c>
      <c r="C425" s="1" t="s">
        <v>1962</v>
      </c>
      <c r="D425" s="1" t="s">
        <v>1963</v>
      </c>
      <c r="E425">
        <f>_xll.BDP($C425,"DUR_ADJ_MID")</f>
        <v>1.8497037347994276</v>
      </c>
      <c r="F425">
        <f>_xll.BDP($C425,"OAS_SPREAD_DUR_MID")</f>
        <v>1.7453198839252557</v>
      </c>
      <c r="G425" t="str">
        <f>_xll.BDP($C425,"MATURITY")</f>
        <v>6/15/2028</v>
      </c>
      <c r="H425" t="str">
        <f>_xll.BDP($C425,"RTG_SP")</f>
        <v>BBB</v>
      </c>
    </row>
    <row r="426" spans="1:8" x14ac:dyDescent="0.25">
      <c r="A426" s="1" t="s">
        <v>145</v>
      </c>
      <c r="B426" s="1" t="s">
        <v>1964</v>
      </c>
      <c r="C426" s="1" t="s">
        <v>1965</v>
      </c>
      <c r="D426" s="1" t="s">
        <v>1966</v>
      </c>
      <c r="E426">
        <f>_xll.BDP($C426,"DUR_ADJ_MID")</f>
        <v>2.9924336232439699</v>
      </c>
      <c r="F426">
        <f>_xll.BDP($C426,"OAS_SPREAD_DUR_MID")</f>
        <v>2.9576496612748024</v>
      </c>
      <c r="G426" t="str">
        <f>_xll.BDP($C426,"MATURITY")</f>
        <v>10/15/2029</v>
      </c>
      <c r="H426" t="str">
        <f>_xll.BDP($C426,"RTG_SP")</f>
        <v>BBB</v>
      </c>
    </row>
    <row r="427" spans="1:8" x14ac:dyDescent="0.25">
      <c r="A427" s="1" t="s">
        <v>145</v>
      </c>
      <c r="B427" s="1" t="s">
        <v>1967</v>
      </c>
      <c r="C427" s="1" t="s">
        <v>1968</v>
      </c>
      <c r="D427" s="1" t="s">
        <v>1969</v>
      </c>
      <c r="E427">
        <f>_xll.BDP($C427,"DUR_ADJ_MID")</f>
        <v>2.7850225139054499</v>
      </c>
      <c r="F427">
        <f>_xll.BDP($C427,"OAS_SPREAD_DUR_MID")</f>
        <v>2.7470023885498995</v>
      </c>
      <c r="G427" t="str">
        <f>_xll.BDP($C427,"MATURITY")</f>
        <v>6/15/2029</v>
      </c>
      <c r="H427" t="str">
        <f>_xll.BDP($C427,"RTG_SP")</f>
        <v>A</v>
      </c>
    </row>
    <row r="428" spans="1:8" x14ac:dyDescent="0.25">
      <c r="A428" s="1" t="s">
        <v>145</v>
      </c>
      <c r="B428" s="1" t="s">
        <v>1970</v>
      </c>
      <c r="C428" s="1" t="s">
        <v>1971</v>
      </c>
      <c r="D428" s="1" t="s">
        <v>1972</v>
      </c>
      <c r="E428">
        <f>_xll.BDP($C428,"DUR_ADJ_MID")</f>
        <v>4.4388629724565885</v>
      </c>
      <c r="F428">
        <f>_xll.BDP($C428,"OAS_SPREAD_DUR_MID")</f>
        <v>4.4365077181038624</v>
      </c>
      <c r="G428" t="str">
        <f>_xll.BDP($C428,"MATURITY")</f>
        <v>3/15/2031</v>
      </c>
      <c r="H428" t="str">
        <f>_xll.BDP($C428,"RTG_SP")</f>
        <v>A</v>
      </c>
    </row>
    <row r="429" spans="1:8" x14ac:dyDescent="0.25">
      <c r="A429" s="1" t="s">
        <v>145</v>
      </c>
      <c r="B429" s="1" t="s">
        <v>1973</v>
      </c>
      <c r="C429" s="1" t="s">
        <v>1974</v>
      </c>
      <c r="D429" s="1" t="s">
        <v>1975</v>
      </c>
      <c r="E429">
        <f>_xll.BDP($C429,"DUR_ADJ_MID")</f>
        <v>4.1582624166589257</v>
      </c>
      <c r="F429">
        <f>_xll.BDP($C429,"OAS_SPREAD_DUR_MID")</f>
        <v>4.1217096278613239</v>
      </c>
      <c r="G429" t="str">
        <f>_xll.BDP($C429,"MATURITY")</f>
        <v>3/16/2031</v>
      </c>
      <c r="H429" t="str">
        <f>_xll.BDP($C429,"RTG_SP")</f>
        <v>BBB+</v>
      </c>
    </row>
    <row r="430" spans="1:8" x14ac:dyDescent="0.25">
      <c r="A430" s="1" t="s">
        <v>145</v>
      </c>
      <c r="B430" s="1" t="s">
        <v>1976</v>
      </c>
      <c r="C430" s="1" t="s">
        <v>1977</v>
      </c>
      <c r="D430" s="1" t="s">
        <v>1978</v>
      </c>
      <c r="E430">
        <f>_xll.BDP($C430,"DUR_ADJ_MID")</f>
        <v>2.373190763051011</v>
      </c>
      <c r="F430">
        <f>_xll.BDP($C430,"OAS_SPREAD_DUR_MID")</f>
        <v>2.358710176714784</v>
      </c>
      <c r="G430" t="str">
        <f>_xll.BDP($C430,"MATURITY")</f>
        <v>1/15/2029</v>
      </c>
      <c r="H430" t="str">
        <f>_xll.BDP($C430,"RTG_SP")</f>
        <v>BBB+</v>
      </c>
    </row>
    <row r="431" spans="1:8" x14ac:dyDescent="0.25">
      <c r="A431" s="1" t="s">
        <v>145</v>
      </c>
      <c r="B431" s="1" t="s">
        <v>1979</v>
      </c>
      <c r="C431" s="1" t="s">
        <v>1980</v>
      </c>
      <c r="D431" s="1" t="s">
        <v>1981</v>
      </c>
      <c r="E431">
        <f>_xll.BDP($C431,"DUR_ADJ_MID")</f>
        <v>1.9498684177560146</v>
      </c>
      <c r="F431" t="str">
        <f>_xll.BDP($C431,"OAS_SPREAD_DUR_MID")</f>
        <v>#N/A Field Not Applicable</v>
      </c>
      <c r="G431" t="str">
        <f>_xll.BDP($C431,"MATURITY")</f>
        <v>8/21/2029</v>
      </c>
      <c r="H431" t="str">
        <f>_xll.BDP($C431,"RTG_SP")</f>
        <v>BBB+</v>
      </c>
    </row>
    <row r="432" spans="1:8" x14ac:dyDescent="0.25">
      <c r="A432" s="1" t="s">
        <v>145</v>
      </c>
      <c r="B432" s="1" t="s">
        <v>1982</v>
      </c>
      <c r="C432" s="1" t="s">
        <v>1983</v>
      </c>
      <c r="D432" s="1" t="s">
        <v>1984</v>
      </c>
      <c r="E432">
        <f>_xll.BDP($C432,"DUR_ADJ_MID")</f>
        <v>4.1284584687628989</v>
      </c>
      <c r="F432" t="str">
        <f>_xll.BDP($C432,"OAS_SPREAD_DUR_MID")</f>
        <v>#N/A Field Not Applicable</v>
      </c>
      <c r="G432" t="str">
        <f>_xll.BDP($C432,"MATURITY")</f>
        <v>3/23/2032</v>
      </c>
      <c r="H432" t="str">
        <f>_xll.BDP($C432,"RTG_SP")</f>
        <v>A-</v>
      </c>
    </row>
    <row r="433" spans="1:8" x14ac:dyDescent="0.25">
      <c r="A433" s="1" t="s">
        <v>145</v>
      </c>
      <c r="B433" s="1" t="s">
        <v>1985</v>
      </c>
      <c r="C433" s="1" t="s">
        <v>1986</v>
      </c>
      <c r="D433" s="1" t="s">
        <v>1987</v>
      </c>
      <c r="E433">
        <f>_xll.BDP($C433,"DUR_ADJ_MID")</f>
        <v>2.7366617330883773</v>
      </c>
      <c r="F433">
        <f>_xll.BDP($C433,"OAS_SPREAD_DUR_MID")</f>
        <v>2.6648345252392756</v>
      </c>
      <c r="G433" t="str">
        <f>_xll.BDP($C433,"MATURITY")</f>
        <v>6/15/2029</v>
      </c>
      <c r="H433" t="str">
        <f>_xll.BDP($C433,"RTG_SP")</f>
        <v>A-</v>
      </c>
    </row>
    <row r="434" spans="1:8" x14ac:dyDescent="0.25">
      <c r="A434" s="1" t="s">
        <v>145</v>
      </c>
      <c r="B434" s="1" t="s">
        <v>1988</v>
      </c>
      <c r="C434" s="1" t="s">
        <v>1989</v>
      </c>
      <c r="D434" s="1" t="s">
        <v>1990</v>
      </c>
      <c r="E434">
        <f>_xll.BDP($C434,"DUR_ADJ_MID")</f>
        <v>2.6830913085804973</v>
      </c>
      <c r="F434">
        <f>_xll.BDP($C434,"OAS_SPREAD_DUR_MID")</f>
        <v>2.6829266778190992</v>
      </c>
      <c r="G434" t="str">
        <f>_xll.BDP($C434,"MATURITY")</f>
        <v>5/15/2029</v>
      </c>
      <c r="H434" t="str">
        <f>_xll.BDP($C434,"RTG_SP")</f>
        <v>A-</v>
      </c>
    </row>
    <row r="435" spans="1:8" x14ac:dyDescent="0.25">
      <c r="A435" s="1" t="s">
        <v>145</v>
      </c>
      <c r="B435" s="1" t="s">
        <v>1991</v>
      </c>
      <c r="C435" s="1" t="s">
        <v>1992</v>
      </c>
      <c r="D435" s="1" t="s">
        <v>1993</v>
      </c>
      <c r="E435">
        <f>_xll.BDP($C435,"DUR_ADJ_MID")</f>
        <v>1.0086557361069683</v>
      </c>
      <c r="F435" t="str">
        <f>_xll.BDP($C435,"OAS_SPREAD_DUR_MID")</f>
        <v>#N/A Field Not Applicable</v>
      </c>
      <c r="G435" t="str">
        <f>_xll.BDP($C435,"MATURITY")</f>
        <v>7/25/2028</v>
      </c>
      <c r="H435" t="str">
        <f>_xll.BDP($C435,"RTG_SP")</f>
        <v>A</v>
      </c>
    </row>
    <row r="436" spans="1:8" x14ac:dyDescent="0.25">
      <c r="A436" s="1" t="s">
        <v>145</v>
      </c>
      <c r="B436" s="1" t="s">
        <v>1994</v>
      </c>
      <c r="C436" s="1" t="s">
        <v>1995</v>
      </c>
      <c r="D436" s="1" t="s">
        <v>1996</v>
      </c>
      <c r="E436">
        <f>_xll.BDP($C436,"DUR_ADJ_MID")</f>
        <v>1.7922590032821379</v>
      </c>
      <c r="F436">
        <f>_xll.BDP($C436,"OAS_SPREAD_DUR_MID")</f>
        <v>1.6728286713878333</v>
      </c>
      <c r="G436" t="str">
        <f>_xll.BDP($C436,"MATURITY")</f>
        <v>5/25/2028</v>
      </c>
      <c r="H436" t="str">
        <f>_xll.BDP($C436,"RTG_SP")</f>
        <v>BBB-</v>
      </c>
    </row>
    <row r="437" spans="1:8" x14ac:dyDescent="0.25">
      <c r="A437" s="1" t="s">
        <v>145</v>
      </c>
      <c r="B437" s="1" t="s">
        <v>1997</v>
      </c>
      <c r="C437" s="1" t="s">
        <v>1998</v>
      </c>
      <c r="D437" s="1" t="s">
        <v>1999</v>
      </c>
      <c r="E437">
        <f>_xll.BDP($C437,"DUR_ADJ_MID")</f>
        <v>3.9457747781163879</v>
      </c>
      <c r="F437">
        <f>_xll.BDP($C437,"OAS_SPREAD_DUR_MID")</f>
        <v>3.9930958220502006</v>
      </c>
      <c r="G437" t="str">
        <f>_xll.BDP($C437,"MATURITY")</f>
        <v>3/15/2031</v>
      </c>
      <c r="H437" t="str">
        <f>_xll.BDP($C437,"RTG_SP")</f>
        <v>BBB-</v>
      </c>
    </row>
    <row r="438" spans="1:8" x14ac:dyDescent="0.25">
      <c r="A438" s="1" t="s">
        <v>145</v>
      </c>
      <c r="B438" s="1" t="s">
        <v>2000</v>
      </c>
      <c r="C438" s="1" t="s">
        <v>2001</v>
      </c>
      <c r="D438" s="1" t="s">
        <v>2002</v>
      </c>
      <c r="E438">
        <f>_xll.BDP($C438,"DUR_ADJ_MID")</f>
        <v>3.34602587003985</v>
      </c>
      <c r="F438" t="str">
        <f>_xll.BDP($C438,"OAS_SPREAD_DUR_MID")</f>
        <v>#N/A Field Not Applicable</v>
      </c>
      <c r="G438" t="str">
        <f>_xll.BDP($C438,"MATURITY")</f>
        <v>4/4/2031</v>
      </c>
      <c r="H438" t="str">
        <f>_xll.BDP($C438,"RTG_SP")</f>
        <v>BBB</v>
      </c>
    </row>
    <row r="439" spans="1:8" x14ac:dyDescent="0.25">
      <c r="A439" s="1" t="s">
        <v>145</v>
      </c>
      <c r="B439" s="1" t="s">
        <v>2003</v>
      </c>
      <c r="C439" s="1" t="s">
        <v>2004</v>
      </c>
      <c r="D439" s="1" t="s">
        <v>2005</v>
      </c>
      <c r="E439">
        <f>_xll.BDP($C439,"DUR_ADJ_MID")</f>
        <v>4.248079992787245</v>
      </c>
      <c r="F439">
        <f>_xll.BDP($C439,"OAS_SPREAD_DUR_MID")</f>
        <v>4.2485091952842895</v>
      </c>
      <c r="G439" t="str">
        <f>_xll.BDP($C439,"MATURITY")</f>
        <v>2/15/2031</v>
      </c>
      <c r="H439" t="str">
        <f>_xll.BDP($C439,"RTG_SP")</f>
        <v>BBB</v>
      </c>
    </row>
    <row r="440" spans="1:8" x14ac:dyDescent="0.25">
      <c r="A440" s="1" t="s">
        <v>145</v>
      </c>
      <c r="B440" s="1" t="s">
        <v>2006</v>
      </c>
      <c r="C440" s="1" t="s">
        <v>2007</v>
      </c>
      <c r="D440" s="1" t="s">
        <v>2008</v>
      </c>
      <c r="E440">
        <f>_xll.BDP($C440,"DUR_ADJ_MID")</f>
        <v>1.2941497805433706</v>
      </c>
      <c r="F440" t="str">
        <f>_xll.BDP($C440,"OAS_SPREAD_DUR_MID")</f>
        <v>#N/A Field Not Applicable</v>
      </c>
      <c r="G440" t="str">
        <f>_xll.BDP($C440,"MATURITY")</f>
        <v>11/7/2028</v>
      </c>
      <c r="H440" t="str">
        <f>_xll.BDP($C440,"RTG_SP")</f>
        <v>A-</v>
      </c>
    </row>
    <row r="441" spans="1:8" x14ac:dyDescent="0.25">
      <c r="A441" s="1" t="s">
        <v>145</v>
      </c>
      <c r="B441" s="1" t="s">
        <v>2009</v>
      </c>
      <c r="C441" s="1" t="s">
        <v>2010</v>
      </c>
      <c r="D441" s="1" t="s">
        <v>2011</v>
      </c>
      <c r="E441">
        <f>_xll.BDP($C441,"DUR_ADJ_MID")</f>
        <v>4.3483361691827174</v>
      </c>
      <c r="F441">
        <f>_xll.BDP($C441,"OAS_SPREAD_DUR_MID")</f>
        <v>4.3279203654165759</v>
      </c>
      <c r="G441" t="str">
        <f>_xll.BDP($C441,"MATURITY")</f>
        <v>4/1/2031</v>
      </c>
      <c r="H441" t="str">
        <f>_xll.BDP($C441,"RTG_SP")</f>
        <v>BBB+</v>
      </c>
    </row>
    <row r="442" spans="1:8" x14ac:dyDescent="0.25">
      <c r="A442" s="1" t="s">
        <v>145</v>
      </c>
      <c r="B442" s="1" t="s">
        <v>2012</v>
      </c>
      <c r="C442" s="1" t="s">
        <v>2013</v>
      </c>
      <c r="D442" s="1" t="s">
        <v>2014</v>
      </c>
      <c r="E442">
        <f>_xll.BDP($C442,"DUR_ADJ_MID")</f>
        <v>2.1143680833392535</v>
      </c>
      <c r="F442" t="str">
        <f>_xll.BDP($C442,"OAS_SPREAD_DUR_MID")</f>
        <v>#N/A Field Not Applicable</v>
      </c>
      <c r="G442" t="str">
        <f>_xll.BDP($C442,"MATURITY")</f>
        <v>10/30/2029</v>
      </c>
      <c r="H442" t="str">
        <f>_xll.BDP($C442,"RTG_SP")</f>
        <v>BBB+</v>
      </c>
    </row>
    <row r="443" spans="1:8" x14ac:dyDescent="0.25">
      <c r="A443" s="1" t="s">
        <v>145</v>
      </c>
      <c r="B443" s="1" t="s">
        <v>2015</v>
      </c>
      <c r="C443" s="1" t="s">
        <v>2016</v>
      </c>
      <c r="D443" s="1" t="s">
        <v>2017</v>
      </c>
      <c r="E443">
        <f>_xll.BDP($C443,"DUR_ADJ_MID")</f>
        <v>4.00235147508588</v>
      </c>
      <c r="F443" t="str">
        <f>_xll.BDP($C443,"OAS_SPREAD_DUR_MID")</f>
        <v>#N/A Field Not Applicable</v>
      </c>
      <c r="G443" t="str">
        <f>_xll.BDP($C443,"MATURITY")</f>
        <v>3/13/2032</v>
      </c>
      <c r="H443" t="str">
        <f>_xll.BDP($C443,"RTG_SP")</f>
        <v>BBB+</v>
      </c>
    </row>
    <row r="444" spans="1:8" x14ac:dyDescent="0.25">
      <c r="A444" s="1" t="s">
        <v>145</v>
      </c>
      <c r="B444" s="1" t="s">
        <v>2018</v>
      </c>
      <c r="C444" s="1" t="s">
        <v>2019</v>
      </c>
      <c r="D444" s="1" t="s">
        <v>2020</v>
      </c>
      <c r="E444">
        <f>_xll.BDP($C444,"DUR_ADJ_MID")</f>
        <v>4.0276269955322137</v>
      </c>
      <c r="F444">
        <f>_xll.BDP($C444,"OAS_SPREAD_DUR_MID")</f>
        <v>3.9961026488577533</v>
      </c>
      <c r="G444" t="str">
        <f>_xll.BDP($C444,"MATURITY")</f>
        <v>2/15/2031</v>
      </c>
      <c r="H444" t="str">
        <f>_xll.BDP($C444,"RTG_SP")</f>
        <v>BBB</v>
      </c>
    </row>
    <row r="445" spans="1:8" x14ac:dyDescent="0.25">
      <c r="A445" s="1" t="s">
        <v>145</v>
      </c>
      <c r="B445" s="1" t="s">
        <v>2021</v>
      </c>
      <c r="C445" s="1" t="s">
        <v>2022</v>
      </c>
      <c r="D445" s="1" t="s">
        <v>2023</v>
      </c>
      <c r="E445">
        <f>_xll.BDP($C445,"DUR_ADJ_MID")</f>
        <v>2.4929267092794856</v>
      </c>
      <c r="F445">
        <f>_xll.BDP($C445,"OAS_SPREAD_DUR_MID")</f>
        <v>2.3742622230242265</v>
      </c>
      <c r="G445" t="str">
        <f>_xll.BDP($C445,"MATURITY")</f>
        <v>3/15/2029</v>
      </c>
      <c r="H445" t="str">
        <f>_xll.BDP($C445,"RTG_SP")</f>
        <v>A-</v>
      </c>
    </row>
    <row r="446" spans="1:8" x14ac:dyDescent="0.25">
      <c r="A446" s="1" t="s">
        <v>145</v>
      </c>
      <c r="B446" s="1" t="s">
        <v>2024</v>
      </c>
      <c r="C446" s="1" t="s">
        <v>2025</v>
      </c>
      <c r="D446" s="1" t="s">
        <v>2026</v>
      </c>
      <c r="E446">
        <f>_xll.BDP($C446,"DUR_ADJ_MID")</f>
        <v>3.5694382867490697</v>
      </c>
      <c r="F446">
        <f>_xll.BDP($C446,"OAS_SPREAD_DUR_MID")</f>
        <v>3.4554728903726479</v>
      </c>
      <c r="G446" t="str">
        <f>_xll.BDP($C446,"MATURITY")</f>
        <v>6/15/2030</v>
      </c>
      <c r="H446" t="str">
        <f>_xll.BDP($C446,"RTG_SP")</f>
        <v>BBB</v>
      </c>
    </row>
    <row r="447" spans="1:8" x14ac:dyDescent="0.25">
      <c r="A447" s="1" t="s">
        <v>145</v>
      </c>
      <c r="B447" s="1" t="s">
        <v>2027</v>
      </c>
      <c r="C447" s="1" t="s">
        <v>2028</v>
      </c>
      <c r="D447" s="1" t="s">
        <v>2029</v>
      </c>
      <c r="E447">
        <f>_xll.BDP($C447,"DUR_ADJ_MID")</f>
        <v>2.7482918929484943</v>
      </c>
      <c r="F447">
        <f>_xll.BDP($C447,"OAS_SPREAD_DUR_MID")</f>
        <v>2.7065998075433879</v>
      </c>
      <c r="G447" t="str">
        <f>_xll.BDP($C447,"MATURITY")</f>
        <v>6/1/2029</v>
      </c>
      <c r="H447" t="str">
        <f>_xll.BDP($C447,"RTG_SP")</f>
        <v>A+</v>
      </c>
    </row>
    <row r="448" spans="1:8" x14ac:dyDescent="0.25">
      <c r="A448" s="1" t="s">
        <v>145</v>
      </c>
      <c r="B448" s="1" t="s">
        <v>2030</v>
      </c>
      <c r="C448" s="1" t="s">
        <v>2031</v>
      </c>
      <c r="D448" s="1" t="s">
        <v>2032</v>
      </c>
      <c r="E448">
        <f>_xll.BDP($C448,"DUR_ADJ_MID")</f>
        <v>2.5041534712327431</v>
      </c>
      <c r="F448">
        <f>_xll.BDP($C448,"OAS_SPREAD_DUR_MID")</f>
        <v>2.4370860001731787</v>
      </c>
      <c r="G448" t="str">
        <f>_xll.BDP($C448,"MATURITY")</f>
        <v>3/7/2029</v>
      </c>
      <c r="H448" t="str">
        <f>_xll.BDP($C448,"RTG_SP")</f>
        <v>A+</v>
      </c>
    </row>
    <row r="449" spans="1:8" x14ac:dyDescent="0.25">
      <c r="A449" s="1" t="s">
        <v>145</v>
      </c>
      <c r="B449" s="1" t="s">
        <v>2033</v>
      </c>
      <c r="C449" s="1" t="s">
        <v>2034</v>
      </c>
      <c r="D449" s="1" t="s">
        <v>2035</v>
      </c>
      <c r="E449">
        <f>_xll.BDP($C449,"DUR_ADJ_MID")</f>
        <v>2.3976951597166107</v>
      </c>
      <c r="F449">
        <f>_xll.BDP($C449,"OAS_SPREAD_DUR_MID")</f>
        <v>2.4213116948373767</v>
      </c>
      <c r="G449" t="str">
        <f>_xll.BDP($C449,"MATURITY")</f>
        <v>3/15/2029</v>
      </c>
      <c r="H449" t="str">
        <f>_xll.BDP($C449,"RTG_SP")</f>
        <v>#N/A N/A</v>
      </c>
    </row>
    <row r="450" spans="1:8" x14ac:dyDescent="0.25">
      <c r="A450" s="1" t="s">
        <v>145</v>
      </c>
      <c r="B450" s="1" t="s">
        <v>2036</v>
      </c>
      <c r="C450" s="1" t="s">
        <v>2037</v>
      </c>
      <c r="D450" s="1" t="s">
        <v>2038</v>
      </c>
      <c r="E450">
        <f>_xll.BDP($C450,"DUR_ADJ_MID")</f>
        <v>2.5974642387136542</v>
      </c>
      <c r="F450">
        <f>_xll.BDP($C450,"OAS_SPREAD_DUR_MID")</f>
        <v>2.5217201457482337</v>
      </c>
      <c r="G450" t="str">
        <f>_xll.BDP($C450,"MATURITY")</f>
        <v>4/15/2029</v>
      </c>
      <c r="H450" t="str">
        <f>_xll.BDP($C450,"RTG_SP")</f>
        <v>A</v>
      </c>
    </row>
    <row r="451" spans="1:8" x14ac:dyDescent="0.25">
      <c r="A451" s="1" t="s">
        <v>145</v>
      </c>
      <c r="B451" s="1" t="s">
        <v>2039</v>
      </c>
      <c r="C451" s="1" t="s">
        <v>2040</v>
      </c>
      <c r="D451" s="1" t="s">
        <v>2041</v>
      </c>
      <c r="E451">
        <f>_xll.BDP($C451,"DUR_ADJ_MID")</f>
        <v>2.8152789180744424</v>
      </c>
      <c r="F451">
        <f>_xll.BDP($C451,"OAS_SPREAD_DUR_MID")</f>
        <v>2.815311354111234</v>
      </c>
      <c r="G451" t="str">
        <f>_xll.BDP($C451,"MATURITY")</f>
        <v>7/18/2029</v>
      </c>
      <c r="H451" t="str">
        <f>_xll.BDP($C451,"RTG_SP")</f>
        <v>A-</v>
      </c>
    </row>
    <row r="452" spans="1:8" x14ac:dyDescent="0.25">
      <c r="A452" s="1" t="s">
        <v>145</v>
      </c>
      <c r="B452" s="1" t="s">
        <v>2042</v>
      </c>
      <c r="C452" s="1" t="s">
        <v>2043</v>
      </c>
      <c r="D452" s="1" t="s">
        <v>2044</v>
      </c>
      <c r="E452">
        <f>_xll.BDP($C452,"DUR_ADJ_MID")</f>
        <v>4.2006443528603983</v>
      </c>
      <c r="F452" t="str">
        <f>_xll.BDP($C452,"OAS_SPREAD_DUR_MID")</f>
        <v>#N/A Field Not Applicable</v>
      </c>
      <c r="G452" t="str">
        <f>_xll.BDP($C452,"MATURITY")</f>
        <v>4/21/2032</v>
      </c>
      <c r="H452" t="str">
        <f>_xll.BDP($C452,"RTG_SP")</f>
        <v>A-</v>
      </c>
    </row>
    <row r="453" spans="1:8" x14ac:dyDescent="0.25">
      <c r="A453" s="1" t="s">
        <v>145</v>
      </c>
      <c r="B453" s="1" t="s">
        <v>2045</v>
      </c>
      <c r="C453" s="1" t="s">
        <v>2046</v>
      </c>
      <c r="D453" s="1" t="s">
        <v>2047</v>
      </c>
      <c r="E453">
        <f>_xll.BDP($C453,"DUR_ADJ_MID")</f>
        <v>3.4597302521737996</v>
      </c>
      <c r="F453" t="str">
        <f>_xll.BDP($C453,"OAS_SPREAD_DUR_MID")</f>
        <v>#N/A Field Not Applicable</v>
      </c>
      <c r="G453" t="str">
        <f>_xll.BDP($C453,"MATURITY")</f>
        <v>5/27/2031</v>
      </c>
      <c r="H453" t="str">
        <f>_xll.BDP($C453,"RTG_SP")</f>
        <v>A-</v>
      </c>
    </row>
    <row r="454" spans="1:8" x14ac:dyDescent="0.25">
      <c r="A454" s="1" t="s">
        <v>145</v>
      </c>
      <c r="B454" s="1" t="s">
        <v>2048</v>
      </c>
      <c r="C454" s="1" t="s">
        <v>2049</v>
      </c>
      <c r="D454" s="1" t="s">
        <v>2050</v>
      </c>
      <c r="E454">
        <f>_xll.BDP($C454,"DUR_ADJ_MID")</f>
        <v>2.3460587005118421</v>
      </c>
      <c r="F454" t="str">
        <f>_xll.BDP($C454,"OAS_SPREAD_DUR_MID")</f>
        <v>#N/A Field Not Applicable</v>
      </c>
      <c r="G454" t="str">
        <f>_xll.BDP($C454,"MATURITY")</f>
        <v>1/23/2030</v>
      </c>
      <c r="H454" t="str">
        <f>_xll.BDP($C454,"RTG_SP")</f>
        <v>A-</v>
      </c>
    </row>
    <row r="455" spans="1:8" x14ac:dyDescent="0.25">
      <c r="A455" s="1" t="s">
        <v>145</v>
      </c>
      <c r="B455" s="1" t="s">
        <v>2051</v>
      </c>
      <c r="C455" s="1" t="s">
        <v>2052</v>
      </c>
      <c r="D455" s="1" t="s">
        <v>2053</v>
      </c>
      <c r="E455">
        <f>_xll.BDP($C455,"DUR_ADJ_MID")</f>
        <v>1.4739438645231848</v>
      </c>
      <c r="F455" t="str">
        <f>_xll.BDP($C455,"OAS_SPREAD_DUR_MID")</f>
        <v>#N/A Field Not Applicable</v>
      </c>
      <c r="G455" t="str">
        <f>_xll.BDP($C455,"MATURITY")</f>
        <v>1/24/2029</v>
      </c>
      <c r="H455" t="str">
        <f>_xll.BDP($C455,"RTG_SP")</f>
        <v>A-</v>
      </c>
    </row>
    <row r="456" spans="1:8" x14ac:dyDescent="0.25">
      <c r="A456" s="1" t="s">
        <v>145</v>
      </c>
      <c r="B456" s="1" t="s">
        <v>2054</v>
      </c>
      <c r="C456" s="1" t="s">
        <v>2055</v>
      </c>
      <c r="D456" s="1" t="s">
        <v>2056</v>
      </c>
      <c r="E456">
        <f>_xll.BDP($C456,"DUR_ADJ_MID")</f>
        <v>4.4643705836315766</v>
      </c>
      <c r="F456">
        <f>_xll.BDP($C456,"OAS_SPREAD_DUR_MID")</f>
        <v>4.4507525103340253</v>
      </c>
      <c r="G456" t="str">
        <f>_xll.BDP($C456,"MATURITY")</f>
        <v>5/11/2031</v>
      </c>
      <c r="H456" t="str">
        <f>_xll.BDP($C456,"RTG_SP")</f>
        <v>BBB+</v>
      </c>
    </row>
    <row r="457" spans="1:8" x14ac:dyDescent="0.25">
      <c r="A457" s="1" t="s">
        <v>145</v>
      </c>
      <c r="B457" s="1" t="s">
        <v>2057</v>
      </c>
      <c r="C457" s="1" t="s">
        <v>2058</v>
      </c>
      <c r="D457" s="1" t="s">
        <v>2059</v>
      </c>
      <c r="E457">
        <f>_xll.BDP($C457,"DUR_ADJ_MID")</f>
        <v>1.5161516313393353</v>
      </c>
      <c r="F457">
        <f>_xll.BDP($C457,"OAS_SPREAD_DUR_MID")</f>
        <v>1.4892998526051313</v>
      </c>
      <c r="G457" t="str">
        <f>_xll.BDP($C457,"MATURITY")</f>
        <v>2/7/2028</v>
      </c>
      <c r="H457" t="str">
        <f>_xll.BDP($C457,"RTG_SP")</f>
        <v>A-</v>
      </c>
    </row>
    <row r="458" spans="1:8" x14ac:dyDescent="0.25">
      <c r="A458" s="1" t="s">
        <v>145</v>
      </c>
      <c r="B458" s="1" t="s">
        <v>2060</v>
      </c>
      <c r="C458" s="1" t="s">
        <v>2061</v>
      </c>
      <c r="D458" s="1" t="s">
        <v>2062</v>
      </c>
      <c r="E458">
        <f>_xll.BDP($C458,"DUR_ADJ_MID")</f>
        <v>2.0171979659970258</v>
      </c>
      <c r="F458" t="str">
        <f>_xll.BDP($C458,"OAS_SPREAD_DUR_MID")</f>
        <v>#N/A Field Not Applicable</v>
      </c>
      <c r="G458" t="str">
        <f>_xll.BDP($C458,"MATURITY")</f>
        <v>9/13/2029</v>
      </c>
      <c r="H458" t="str">
        <f>_xll.BDP($C458,"RTG_SP")</f>
        <v>A-</v>
      </c>
    </row>
    <row r="459" spans="1:8" x14ac:dyDescent="0.25">
      <c r="A459" s="1" t="s">
        <v>145</v>
      </c>
      <c r="B459" s="1" t="s">
        <v>2063</v>
      </c>
      <c r="C459" s="1" t="s">
        <v>2064</v>
      </c>
      <c r="D459" s="1" t="s">
        <v>2065</v>
      </c>
      <c r="E459">
        <f>_xll.BDP($C459,"DUR_ADJ_MID")</f>
        <v>3.6689261332815932</v>
      </c>
      <c r="F459">
        <f>_xll.BDP($C459,"OAS_SPREAD_DUR_MID")</f>
        <v>3.6642676639087575</v>
      </c>
      <c r="G459" t="str">
        <f>_xll.BDP($C459,"MATURITY")</f>
        <v>6/1/2030</v>
      </c>
      <c r="H459" t="str">
        <f>_xll.BDP($C459,"RTG_SP")</f>
        <v>BBB+</v>
      </c>
    </row>
    <row r="460" spans="1:8" x14ac:dyDescent="0.25">
      <c r="A460" s="1" t="s">
        <v>145</v>
      </c>
      <c r="B460" s="1" t="s">
        <v>2066</v>
      </c>
      <c r="C460" s="1" t="s">
        <v>2067</v>
      </c>
      <c r="D460" s="1" t="s">
        <v>2068</v>
      </c>
      <c r="E460">
        <f>_xll.BDP($C460,"DUR_ADJ_MID")</f>
        <v>3.4622133264838233</v>
      </c>
      <c r="F460">
        <f>_xll.BDP($C460,"OAS_SPREAD_DUR_MID")</f>
        <v>3.4266095900488178</v>
      </c>
      <c r="G460" t="str">
        <f>_xll.BDP($C460,"MATURITY")</f>
        <v>3/27/2030</v>
      </c>
      <c r="H460" t="str">
        <f>_xll.BDP($C460,"RTG_SP")</f>
        <v>A+</v>
      </c>
    </row>
    <row r="461" spans="1:8" x14ac:dyDescent="0.25">
      <c r="A461" s="1" t="s">
        <v>145</v>
      </c>
      <c r="B461" s="1" t="s">
        <v>2069</v>
      </c>
      <c r="C461" s="1" t="s">
        <v>2070</v>
      </c>
      <c r="D461" s="1" t="s">
        <v>2071</v>
      </c>
      <c r="E461">
        <f>_xll.BDP($C461,"DUR_ADJ_MID")</f>
        <v>2.6652357721138138</v>
      </c>
      <c r="F461">
        <f>_xll.BDP($C461,"OAS_SPREAD_DUR_MID")</f>
        <v>2.6075501326376673</v>
      </c>
      <c r="G461" t="str">
        <f>_xll.BDP($C461,"MATURITY")</f>
        <v>5/3/2029</v>
      </c>
      <c r="H461" t="str">
        <f>_xll.BDP($C461,"RTG_SP")</f>
        <v>A+</v>
      </c>
    </row>
    <row r="462" spans="1:8" x14ac:dyDescent="0.25">
      <c r="A462" s="1" t="s">
        <v>145</v>
      </c>
      <c r="B462" s="1" t="s">
        <v>2072</v>
      </c>
      <c r="C462" s="1" t="s">
        <v>2073</v>
      </c>
      <c r="D462" s="1" t="s">
        <v>2074</v>
      </c>
      <c r="E462">
        <f>_xll.BDP($C462,"DUR_ADJ_MID")</f>
        <v>1.458721779541875</v>
      </c>
      <c r="F462">
        <f>_xll.BDP($C462,"OAS_SPREAD_DUR_MID")</f>
        <v>1.4377428242644454</v>
      </c>
      <c r="G462" t="str">
        <f>_xll.BDP($C462,"MATURITY")</f>
        <v>1/15/2028</v>
      </c>
      <c r="H462" t="str">
        <f>_xll.BDP($C462,"RTG_SP")</f>
        <v>BBB+</v>
      </c>
    </row>
    <row r="463" spans="1:8" x14ac:dyDescent="0.25">
      <c r="A463" s="1" t="s">
        <v>145</v>
      </c>
      <c r="B463" s="1" t="s">
        <v>2075</v>
      </c>
      <c r="C463" s="1" t="s">
        <v>2076</v>
      </c>
      <c r="D463" s="1" t="s">
        <v>2077</v>
      </c>
      <c r="E463">
        <f>_xll.BDP($C463,"DUR_ADJ_MID")</f>
        <v>2.5066792587548061</v>
      </c>
      <c r="F463">
        <f>_xll.BDP($C463,"OAS_SPREAD_DUR_MID")</f>
        <v>2.4670579751886357</v>
      </c>
      <c r="G463" t="str">
        <f>_xll.BDP($C463,"MATURITY")</f>
        <v>3/16/2029</v>
      </c>
      <c r="H463" t="str">
        <f>_xll.BDP($C463,"RTG_SP")</f>
        <v>AA-</v>
      </c>
    </row>
    <row r="464" spans="1:8" x14ac:dyDescent="0.25">
      <c r="A464" s="1" t="s">
        <v>145</v>
      </c>
      <c r="B464" s="1" t="s">
        <v>2078</v>
      </c>
      <c r="C464" s="1" t="s">
        <v>2079</v>
      </c>
      <c r="D464" s="1" t="s">
        <v>2080</v>
      </c>
      <c r="E464">
        <f>_xll.BDP($C464,"DUR_ADJ_MID")</f>
        <v>1.17305600191591</v>
      </c>
      <c r="F464">
        <f>_xll.BDP($C464,"OAS_SPREAD_DUR_MID")</f>
        <v>1.1485921993368184</v>
      </c>
      <c r="G464" t="str">
        <f>_xll.BDP($C464,"MATURITY")</f>
        <v>9/24/2027</v>
      </c>
      <c r="H464" t="str">
        <f>_xll.BDP($C464,"RTG_SP")</f>
        <v>BBB</v>
      </c>
    </row>
    <row r="465" spans="1:8" x14ac:dyDescent="0.25">
      <c r="A465" s="1" t="s">
        <v>145</v>
      </c>
      <c r="B465" s="1" t="s">
        <v>2081</v>
      </c>
      <c r="C465" s="1" t="s">
        <v>2082</v>
      </c>
      <c r="D465" s="1" t="s">
        <v>2083</v>
      </c>
      <c r="E465">
        <f>_xll.BDP($C465,"DUR_ADJ_MID")</f>
        <v>4.2865230681875337</v>
      </c>
      <c r="F465">
        <f>_xll.BDP($C465,"OAS_SPREAD_DUR_MID")</f>
        <v>4.2770674535134114</v>
      </c>
      <c r="G465" t="str">
        <f>_xll.BDP($C465,"MATURITY")</f>
        <v>3/25/2031</v>
      </c>
      <c r="H465" t="str">
        <f>_xll.BDP($C465,"RTG_SP")</f>
        <v>BBB</v>
      </c>
    </row>
    <row r="466" spans="1:8" x14ac:dyDescent="0.25">
      <c r="A466" s="1" t="s">
        <v>145</v>
      </c>
      <c r="B466" s="1" t="s">
        <v>2084</v>
      </c>
      <c r="C466" s="1" t="s">
        <v>2085</v>
      </c>
      <c r="D466" s="1" t="s">
        <v>2086</v>
      </c>
      <c r="E466">
        <f>_xll.BDP($C466,"DUR_ADJ_MID")</f>
        <v>2.4251809813173861</v>
      </c>
      <c r="F466">
        <f>_xll.BDP($C466,"OAS_SPREAD_DUR_MID")</f>
        <v>2.3819251706874662</v>
      </c>
      <c r="G466" t="str">
        <f>_xll.BDP($C466,"MATURITY")</f>
        <v>3/15/2029</v>
      </c>
      <c r="H466" t="str">
        <f>_xll.BDP($C466,"RTG_SP")</f>
        <v>BBB-</v>
      </c>
    </row>
    <row r="467" spans="1:8" x14ac:dyDescent="0.25">
      <c r="A467" s="1" t="s">
        <v>145</v>
      </c>
      <c r="B467" s="1" t="s">
        <v>2087</v>
      </c>
      <c r="C467" s="1" t="s">
        <v>2088</v>
      </c>
      <c r="D467" s="1" t="s">
        <v>2089</v>
      </c>
      <c r="E467">
        <f>_xll.BDP($C467,"DUR_ADJ_MID")</f>
        <v>2.6175249208361362</v>
      </c>
      <c r="F467" t="str">
        <f>_xll.BDP($C467,"OAS_SPREAD_DUR_MID")</f>
        <v>#N/A Field Not Applicable</v>
      </c>
      <c r="G467" t="str">
        <f>_xll.BDP($C467,"MATURITY")</f>
        <v>5/14/2030</v>
      </c>
      <c r="H467" t="str">
        <f>_xll.BDP($C467,"RTG_SP")</f>
        <v>A-</v>
      </c>
    </row>
    <row r="468" spans="1:8" x14ac:dyDescent="0.25">
      <c r="A468" s="1" t="s">
        <v>145</v>
      </c>
      <c r="B468" s="1" t="s">
        <v>2090</v>
      </c>
      <c r="C468" s="1" t="s">
        <v>2091</v>
      </c>
      <c r="D468" s="1" t="s">
        <v>2092</v>
      </c>
      <c r="E468">
        <f>_xll.BDP($C468,"DUR_ADJ_MID")</f>
        <v>3.4670009440510894</v>
      </c>
      <c r="F468" t="str">
        <f>_xll.BDP($C468,"OAS_SPREAD_DUR_MID")</f>
        <v>#N/A Field Not Applicable</v>
      </c>
      <c r="G468" t="str">
        <f>_xll.BDP($C468,"MATURITY")</f>
        <v>5/13/2031</v>
      </c>
      <c r="H468" t="str">
        <f>_xll.BDP($C468,"RTG_SP")</f>
        <v>A-</v>
      </c>
    </row>
    <row r="469" spans="1:8" x14ac:dyDescent="0.25">
      <c r="A469" s="1" t="s">
        <v>145</v>
      </c>
      <c r="B469" s="1" t="s">
        <v>2093</v>
      </c>
      <c r="C469" s="1" t="s">
        <v>2094</v>
      </c>
      <c r="D469" s="1" t="s">
        <v>2095</v>
      </c>
      <c r="E469">
        <f>_xll.BDP($C469,"DUR_ADJ_MID")</f>
        <v>3.6099150335874834</v>
      </c>
      <c r="F469">
        <f>_xll.BDP($C469,"OAS_SPREAD_DUR_MID")</f>
        <v>3.4083562481631557</v>
      </c>
      <c r="G469" t="str">
        <f>_xll.BDP($C469,"MATURITY")</f>
        <v>7/1/2030</v>
      </c>
      <c r="H469" t="str">
        <f>_xll.BDP($C469,"RTG_SP")</f>
        <v>BBB+</v>
      </c>
    </row>
    <row r="470" spans="1:8" x14ac:dyDescent="0.25">
      <c r="A470" s="1" t="s">
        <v>145</v>
      </c>
      <c r="B470" s="1" t="s">
        <v>2096</v>
      </c>
      <c r="C470" s="1" t="s">
        <v>2097</v>
      </c>
      <c r="D470" s="1" t="s">
        <v>2098</v>
      </c>
      <c r="E470">
        <f>_xll.BDP($C470,"DUR_ADJ_MID")</f>
        <v>1.4275030007725693</v>
      </c>
      <c r="F470">
        <f>_xll.BDP($C470,"OAS_SPREAD_DUR_MID")</f>
        <v>1.4676840222419365</v>
      </c>
      <c r="G470" t="str">
        <f>_xll.BDP($C470,"MATURITY")</f>
        <v>2/7/2028</v>
      </c>
      <c r="H470" t="str">
        <f>_xll.BDP($C470,"RTG_SP")</f>
        <v>A+</v>
      </c>
    </row>
    <row r="471" spans="1:8" x14ac:dyDescent="0.25">
      <c r="A471" s="1" t="s">
        <v>145</v>
      </c>
      <c r="B471" s="1" t="s">
        <v>2099</v>
      </c>
      <c r="C471" s="1" t="s">
        <v>2100</v>
      </c>
      <c r="D471" s="1" t="s">
        <v>2101</v>
      </c>
      <c r="E471">
        <f>_xll.BDP($C471,"DUR_ADJ_MID")</f>
        <v>3.3616829281829168</v>
      </c>
      <c r="F471">
        <f>_xll.BDP($C471,"OAS_SPREAD_DUR_MID")</f>
        <v>3.419076254418806</v>
      </c>
      <c r="G471" t="str">
        <f>_xll.BDP($C471,"MATURITY")</f>
        <v>5/19/2030</v>
      </c>
      <c r="H471" t="str">
        <f>_xll.BDP($C471,"RTG_SP")</f>
        <v>A</v>
      </c>
    </row>
    <row r="472" spans="1:8" x14ac:dyDescent="0.25">
      <c r="A472" s="1" t="s">
        <v>145</v>
      </c>
      <c r="B472" s="1" t="s">
        <v>2102</v>
      </c>
      <c r="C472" s="1" t="s">
        <v>2103</v>
      </c>
      <c r="D472" s="1" t="s">
        <v>2104</v>
      </c>
      <c r="E472">
        <f>_xll.BDP($C472,"DUR_ADJ_MID")</f>
        <v>3.486290697376158</v>
      </c>
      <c r="F472">
        <f>_xll.BDP($C472,"OAS_SPREAD_DUR_MID")</f>
        <v>3.4642887779510758</v>
      </c>
      <c r="G472" t="str">
        <f>_xll.BDP($C472,"MATURITY")</f>
        <v>4/1/2030</v>
      </c>
      <c r="H472" t="str">
        <f>_xll.BDP($C472,"RTG_SP")</f>
        <v>A</v>
      </c>
    </row>
    <row r="473" spans="1:8" x14ac:dyDescent="0.25">
      <c r="A473" s="1" t="s">
        <v>145</v>
      </c>
      <c r="B473" s="1" t="s">
        <v>2105</v>
      </c>
      <c r="C473" s="1" t="s">
        <v>2106</v>
      </c>
      <c r="D473" s="1" t="s">
        <v>2107</v>
      </c>
      <c r="E473">
        <f>_xll.BDP($C473,"DUR_ADJ_MID")</f>
        <v>3.0817190059923214</v>
      </c>
      <c r="F473">
        <f>_xll.BDP($C473,"OAS_SPREAD_DUR_MID")</f>
        <v>3.1343666967474939</v>
      </c>
      <c r="G473" t="str">
        <f>_xll.BDP($C473,"MATURITY")</f>
        <v>2/15/2030</v>
      </c>
      <c r="H473" t="str">
        <f>_xll.BDP($C473,"RTG_SP")</f>
        <v>A-</v>
      </c>
    </row>
    <row r="474" spans="1:8" x14ac:dyDescent="0.25">
      <c r="A474" s="1" t="s">
        <v>145</v>
      </c>
      <c r="B474" s="1" t="s">
        <v>2108</v>
      </c>
      <c r="C474" s="1" t="s">
        <v>2109</v>
      </c>
      <c r="D474" s="1" t="s">
        <v>2110</v>
      </c>
      <c r="E474">
        <f>_xll.BDP($C474,"DUR_ADJ_MID")</f>
        <v>4.1995800635740146</v>
      </c>
      <c r="F474" t="str">
        <f>_xll.BDP($C474,"OAS_SPREAD_DUR_MID")</f>
        <v>#N/A Field Not Applicable</v>
      </c>
      <c r="G474" t="str">
        <f>_xll.BDP($C474,"MATURITY")</f>
        <v>5/19/2032</v>
      </c>
      <c r="H474" t="str">
        <f>_xll.BDP($C474,"RTG_SP")</f>
        <v>BBB-</v>
      </c>
    </row>
    <row r="475" spans="1:8" x14ac:dyDescent="0.25">
      <c r="A475" s="1" t="s">
        <v>145</v>
      </c>
      <c r="B475" s="1" t="s">
        <v>2111</v>
      </c>
      <c r="C475" s="1" t="s">
        <v>2112</v>
      </c>
      <c r="D475" s="1" t="s">
        <v>2113</v>
      </c>
      <c r="E475">
        <f>_xll.BDP($C475,"DUR_ADJ_MID")</f>
        <v>3.4507599289860025</v>
      </c>
      <c r="F475">
        <f>_xll.BDP($C475,"OAS_SPREAD_DUR_MID")</f>
        <v>3.4491796832165713</v>
      </c>
      <c r="G475" t="str">
        <f>_xll.BDP($C475,"MATURITY")</f>
        <v>3/25/2030</v>
      </c>
      <c r="H475" t="str">
        <f>_xll.BDP($C475,"RTG_SP")</f>
        <v>AA-</v>
      </c>
    </row>
    <row r="476" spans="1:8" x14ac:dyDescent="0.25">
      <c r="A476" s="1" t="s">
        <v>145</v>
      </c>
      <c r="B476" s="1" t="s">
        <v>2114</v>
      </c>
      <c r="C476" s="1" t="s">
        <v>2115</v>
      </c>
      <c r="D476" s="1" t="s">
        <v>2116</v>
      </c>
      <c r="E476">
        <f>_xll.BDP($C476,"DUR_ADJ_MID")</f>
        <v>3.5462425926978636</v>
      </c>
      <c r="F476">
        <f>_xll.BDP($C476,"OAS_SPREAD_DUR_MID")</f>
        <v>3.5379738479982574</v>
      </c>
      <c r="G476" t="str">
        <f>_xll.BDP($C476,"MATURITY")</f>
        <v>4/15/2030</v>
      </c>
      <c r="H476" t="str">
        <f>_xll.BDP($C476,"RTG_SP")</f>
        <v>A</v>
      </c>
    </row>
    <row r="477" spans="1:8" x14ac:dyDescent="0.25">
      <c r="A477" s="1" t="s">
        <v>145</v>
      </c>
      <c r="B477" s="1" t="s">
        <v>2117</v>
      </c>
      <c r="C477" s="1" t="s">
        <v>2118</v>
      </c>
      <c r="D477" s="1" t="s">
        <v>2119</v>
      </c>
      <c r="E477">
        <f>_xll.BDP($C477,"DUR_ADJ_MID")</f>
        <v>2.5111974998675262</v>
      </c>
      <c r="F477">
        <f>_xll.BDP($C477,"OAS_SPREAD_DUR_MID")</f>
        <v>2.4210195462196555</v>
      </c>
      <c r="G477" t="str">
        <f>_xll.BDP($C477,"MATURITY")</f>
        <v>3/18/2029</v>
      </c>
      <c r="H477" t="str">
        <f>_xll.BDP($C477,"RTG_SP")</f>
        <v>A-</v>
      </c>
    </row>
    <row r="478" spans="1:8" x14ac:dyDescent="0.25">
      <c r="A478" s="1" t="s">
        <v>145</v>
      </c>
      <c r="B478" s="1" t="s">
        <v>2120</v>
      </c>
      <c r="C478" s="1" t="s">
        <v>2121</v>
      </c>
      <c r="D478" s="1" t="s">
        <v>2122</v>
      </c>
      <c r="E478">
        <f>_xll.BDP($C478,"DUR_ADJ_MID")</f>
        <v>3.1764264135833664</v>
      </c>
      <c r="F478">
        <f>_xll.BDP($C478,"OAS_SPREAD_DUR_MID")</f>
        <v>3.2290064989862843</v>
      </c>
      <c r="G478" t="str">
        <f>_xll.BDP($C478,"MATURITY")</f>
        <v>3/15/2030</v>
      </c>
      <c r="H478" t="str">
        <f>_xll.BDP($C478,"RTG_SP")</f>
        <v>A-</v>
      </c>
    </row>
    <row r="479" spans="1:8" x14ac:dyDescent="0.25">
      <c r="A479" s="1" t="s">
        <v>145</v>
      </c>
      <c r="B479" s="1" t="s">
        <v>2123</v>
      </c>
      <c r="C479" s="1" t="s">
        <v>2124</v>
      </c>
      <c r="D479" s="1" t="s">
        <v>2125</v>
      </c>
      <c r="E479">
        <f>_xll.BDP($C479,"DUR_ADJ_MID")</f>
        <v>3.9453840936123972</v>
      </c>
      <c r="F479">
        <f>_xll.BDP($C479,"OAS_SPREAD_DUR_MID")</f>
        <v>3.9470464366299987</v>
      </c>
      <c r="G479" t="str">
        <f>_xll.BDP($C479,"MATURITY")</f>
        <v>9/15/2030</v>
      </c>
      <c r="H479" t="str">
        <f>_xll.BDP($C479,"RTG_SP")</f>
        <v>BBB+</v>
      </c>
    </row>
    <row r="480" spans="1:8" x14ac:dyDescent="0.25">
      <c r="A480" s="1" t="s">
        <v>145</v>
      </c>
      <c r="B480" s="1" t="s">
        <v>2126</v>
      </c>
      <c r="C480" s="1" t="s">
        <v>2127</v>
      </c>
      <c r="D480" s="1" t="s">
        <v>2128</v>
      </c>
      <c r="E480">
        <f>_xll.BDP($C480,"DUR_ADJ_MID")</f>
        <v>3.2426347366618189</v>
      </c>
      <c r="F480">
        <f>_xll.BDP($C480,"OAS_SPREAD_DUR_MID")</f>
        <v>3.2666701619675358</v>
      </c>
      <c r="G480" t="str">
        <f>_xll.BDP($C480,"MATURITY")</f>
        <v>3/14/2030</v>
      </c>
      <c r="H480" t="str">
        <f>_xll.BDP($C480,"RTG_SP")</f>
        <v>A</v>
      </c>
    </row>
    <row r="481" spans="1:8" x14ac:dyDescent="0.25">
      <c r="A481" s="1" t="s">
        <v>145</v>
      </c>
      <c r="B481" s="1" t="s">
        <v>2129</v>
      </c>
      <c r="C481" s="1" t="s">
        <v>2130</v>
      </c>
      <c r="D481" s="1" t="s">
        <v>2131</v>
      </c>
      <c r="E481">
        <f>_xll.BDP($C481,"DUR_ADJ_MID")</f>
        <v>2.3174651295730042</v>
      </c>
      <c r="F481">
        <f>_xll.BDP($C481,"OAS_SPREAD_DUR_MID")</f>
        <v>2.3510236384711809</v>
      </c>
      <c r="G481" t="str">
        <f>_xll.BDP($C481,"MATURITY")</f>
        <v>2/15/2029</v>
      </c>
      <c r="H481" t="str">
        <f>_xll.BDP($C481,"RTG_SP")</f>
        <v>BBB-</v>
      </c>
    </row>
    <row r="482" spans="1:8" x14ac:dyDescent="0.25">
      <c r="A482" s="1" t="s">
        <v>145</v>
      </c>
      <c r="B482" s="1" t="s">
        <v>2132</v>
      </c>
      <c r="C482" s="1" t="s">
        <v>2133</v>
      </c>
      <c r="D482" s="1" t="s">
        <v>2134</v>
      </c>
      <c r="E482">
        <f>_xll.BDP($C482,"DUR_ADJ_MID")</f>
        <v>2.0574788734582117</v>
      </c>
      <c r="F482">
        <f>_xll.BDP($C482,"OAS_SPREAD_DUR_MID")</f>
        <v>1.961054960039996</v>
      </c>
      <c r="G482" t="str">
        <f>_xll.BDP($C482,"MATURITY")</f>
        <v>9/15/2028</v>
      </c>
      <c r="H482" t="str">
        <f>_xll.BDP($C482,"RTG_SP")</f>
        <v>BBB+</v>
      </c>
    </row>
    <row r="483" spans="1:8" x14ac:dyDescent="0.25">
      <c r="A483" s="1" t="s">
        <v>145</v>
      </c>
      <c r="B483" s="1" t="s">
        <v>2135</v>
      </c>
      <c r="C483" s="1" t="s">
        <v>2136</v>
      </c>
      <c r="D483" s="1" t="s">
        <v>2137</v>
      </c>
      <c r="E483">
        <f>_xll.BDP($C483,"DUR_ADJ_MID")</f>
        <v>3.1843618360189105</v>
      </c>
      <c r="F483" t="str">
        <f>_xll.BDP($C483,"OAS_SPREAD_DUR_MID")</f>
        <v>#N/A Field Not Applicable</v>
      </c>
      <c r="G483" t="str">
        <f>_xll.BDP($C483,"MATURITY")</f>
        <v>2/4/2031</v>
      </c>
      <c r="H483" t="str">
        <f>_xll.BDP($C483,"RTG_SP")</f>
        <v>A</v>
      </c>
    </row>
    <row r="484" spans="1:8" x14ac:dyDescent="0.25">
      <c r="A484" s="1" t="s">
        <v>145</v>
      </c>
      <c r="B484" s="1" t="s">
        <v>2138</v>
      </c>
      <c r="C484" s="1" t="s">
        <v>2139</v>
      </c>
      <c r="D484" s="1" t="s">
        <v>2140</v>
      </c>
      <c r="E484">
        <f>_xll.BDP($C484,"DUR_ADJ_MID")</f>
        <v>1.2809709091165249</v>
      </c>
      <c r="F484" t="str">
        <f>_xll.BDP($C484,"OAS_SPREAD_DUR_MID")</f>
        <v>#N/A Field Not Applicable</v>
      </c>
      <c r="G484" t="str">
        <f>_xll.BDP($C484,"MATURITY")</f>
        <v>11/3/2028</v>
      </c>
      <c r="H484" t="str">
        <f>_xll.BDP($C484,"RTG_SP")</f>
        <v>A</v>
      </c>
    </row>
    <row r="485" spans="1:8" x14ac:dyDescent="0.25">
      <c r="A485" s="1" t="s">
        <v>145</v>
      </c>
      <c r="B485" s="1" t="s">
        <v>2141</v>
      </c>
      <c r="C485" s="1" t="s">
        <v>2142</v>
      </c>
      <c r="D485" s="1" t="s">
        <v>2143</v>
      </c>
      <c r="E485">
        <f>_xll.BDP($C485,"DUR_ADJ_MID")</f>
        <v>3.4928745781256128</v>
      </c>
      <c r="F485">
        <f>_xll.BDP($C485,"OAS_SPREAD_DUR_MID")</f>
        <v>3.2740890124992128</v>
      </c>
      <c r="G485" t="str">
        <f>_xll.BDP($C485,"MATURITY")</f>
        <v>5/15/2030</v>
      </c>
      <c r="H485" t="str">
        <f>_xll.BDP($C485,"RTG_SP")</f>
        <v>BBB+</v>
      </c>
    </row>
    <row r="486" spans="1:8" x14ac:dyDescent="0.25">
      <c r="A486" s="1" t="s">
        <v>145</v>
      </c>
      <c r="B486" s="1" t="s">
        <v>2144</v>
      </c>
      <c r="C486" s="1" t="s">
        <v>2145</v>
      </c>
      <c r="D486" s="1" t="s">
        <v>2146</v>
      </c>
      <c r="E486">
        <f>_xll.BDP($C486,"DUR_ADJ_MID")</f>
        <v>1.6038059931149544</v>
      </c>
      <c r="F486">
        <f>_xll.BDP($C486,"OAS_SPREAD_DUR_MID")</f>
        <v>1.5642916083296161</v>
      </c>
      <c r="G486" t="str">
        <f>_xll.BDP($C486,"MATURITY")</f>
        <v>3/15/2028</v>
      </c>
      <c r="H486" t="str">
        <f>_xll.BDP($C486,"RTG_SP")</f>
        <v>A+</v>
      </c>
    </row>
    <row r="487" spans="1:8" x14ac:dyDescent="0.25">
      <c r="A487" s="1" t="s">
        <v>145</v>
      </c>
      <c r="B487" s="1" t="s">
        <v>2147</v>
      </c>
      <c r="C487" s="1" t="s">
        <v>2148</v>
      </c>
      <c r="D487" s="1" t="s">
        <v>2149</v>
      </c>
      <c r="E487">
        <f>_xll.BDP($C487,"DUR_ADJ_MID")</f>
        <v>2.4823783190296518</v>
      </c>
      <c r="F487">
        <f>_xll.BDP($C487,"OAS_SPREAD_DUR_MID")</f>
        <v>2.4382186764237761</v>
      </c>
      <c r="G487" t="str">
        <f>_xll.BDP($C487,"MATURITY")</f>
        <v>3/15/2029</v>
      </c>
      <c r="H487" t="str">
        <f>_xll.BDP($C487,"RTG_SP")</f>
        <v>A+</v>
      </c>
    </row>
    <row r="488" spans="1:8" x14ac:dyDescent="0.25">
      <c r="A488" s="1" t="s">
        <v>145</v>
      </c>
      <c r="B488" s="1" t="s">
        <v>2150</v>
      </c>
      <c r="C488" s="1" t="s">
        <v>2151</v>
      </c>
      <c r="D488" s="1" t="s">
        <v>2152</v>
      </c>
      <c r="E488">
        <f>_xll.BDP($C488,"DUR_ADJ_MID")</f>
        <v>1.5602323336198984</v>
      </c>
      <c r="F488" t="str">
        <f>_xll.BDP($C488,"OAS_SPREAD_DUR_MID")</f>
        <v>#N/A Field Not Applicable</v>
      </c>
      <c r="G488" t="str">
        <f>_xll.BDP($C488,"MATURITY")</f>
        <v>3/9/2029</v>
      </c>
      <c r="H488" t="str">
        <f>_xll.BDP($C488,"RTG_SP")</f>
        <v>BBB+</v>
      </c>
    </row>
    <row r="489" spans="1:8" x14ac:dyDescent="0.25">
      <c r="A489" s="1" t="s">
        <v>145</v>
      </c>
      <c r="B489" s="1" t="s">
        <v>2153</v>
      </c>
      <c r="C489" s="1" t="s">
        <v>2154</v>
      </c>
      <c r="D489" s="1" t="s">
        <v>2155</v>
      </c>
      <c r="E489">
        <f>_xll.BDP($C489,"DUR_ADJ_MID")</f>
        <v>2.1844117484211898</v>
      </c>
      <c r="F489" t="str">
        <f>_xll.BDP($C489,"OAS_SPREAD_DUR_MID")</f>
        <v>#N/A Field Not Applicable</v>
      </c>
      <c r="G489" t="str">
        <f>_xll.BDP($C489,"MATURITY")</f>
        <v>11/17/2029</v>
      </c>
      <c r="H489" t="str">
        <f>_xll.BDP($C489,"RTG_SP")</f>
        <v>A-</v>
      </c>
    </row>
    <row r="490" spans="1:8" x14ac:dyDescent="0.25">
      <c r="A490" s="1" t="s">
        <v>145</v>
      </c>
      <c r="B490" s="1" t="s">
        <v>2156</v>
      </c>
      <c r="C490" s="1" t="s">
        <v>2157</v>
      </c>
      <c r="D490" s="1" t="s">
        <v>2158</v>
      </c>
      <c r="E490">
        <f>_xll.BDP($C490,"DUR_ADJ_MID")</f>
        <v>1.4985815866375511</v>
      </c>
      <c r="F490">
        <f>_xll.BDP($C490,"OAS_SPREAD_DUR_MID")</f>
        <v>1.4812698485514793</v>
      </c>
      <c r="G490" t="str">
        <f>_xll.BDP($C490,"MATURITY")</f>
        <v>2/1/2028</v>
      </c>
      <c r="H490" t="str">
        <f>_xll.BDP($C490,"RTG_SP")</f>
        <v>BBB</v>
      </c>
    </row>
    <row r="491" spans="1:8" x14ac:dyDescent="0.25">
      <c r="A491" s="1" t="s">
        <v>145</v>
      </c>
      <c r="B491" s="1" t="s">
        <v>2159</v>
      </c>
      <c r="C491" s="1" t="s">
        <v>2160</v>
      </c>
      <c r="D491" s="1" t="s">
        <v>2161</v>
      </c>
      <c r="E491">
        <f>_xll.BDP($C491,"DUR_ADJ_MID")</f>
        <v>2.901685310320631</v>
      </c>
      <c r="F491">
        <f>_xll.BDP($C491,"OAS_SPREAD_DUR_MID")</f>
        <v>2.8757747954286388</v>
      </c>
      <c r="G491" t="str">
        <f>_xll.BDP($C491,"MATURITY")</f>
        <v>8/15/2029</v>
      </c>
      <c r="H491" t="str">
        <f>_xll.BDP($C491,"RTG_SP")</f>
        <v>BBB</v>
      </c>
    </row>
    <row r="492" spans="1:8" x14ac:dyDescent="0.25">
      <c r="A492" s="1" t="s">
        <v>145</v>
      </c>
      <c r="B492" s="1" t="s">
        <v>2162</v>
      </c>
      <c r="C492" s="1" t="s">
        <v>2163</v>
      </c>
      <c r="D492" s="1" t="s">
        <v>2164</v>
      </c>
      <c r="E492">
        <f>_xll.BDP($C492,"DUR_ADJ_MID")</f>
        <v>3.0012996643614929</v>
      </c>
      <c r="F492">
        <f>_xll.BDP($C492,"OAS_SPREAD_DUR_MID")</f>
        <v>2.9940939565400702</v>
      </c>
      <c r="G492" t="str">
        <f>_xll.BDP($C492,"MATURITY")</f>
        <v>9/13/2029</v>
      </c>
      <c r="H492" t="str">
        <f>_xll.BDP($C492,"RTG_SP")</f>
        <v>A</v>
      </c>
    </row>
    <row r="493" spans="1:8" x14ac:dyDescent="0.25">
      <c r="A493" s="1" t="s">
        <v>145</v>
      </c>
      <c r="B493" s="1" t="s">
        <v>2165</v>
      </c>
      <c r="C493" s="1" t="s">
        <v>2166</v>
      </c>
      <c r="D493" s="1" t="s">
        <v>2167</v>
      </c>
      <c r="E493">
        <f>_xll.BDP($C493,"DUR_ADJ_MID")</f>
        <v>2.3507425703181983</v>
      </c>
      <c r="F493">
        <f>_xll.BDP($C493,"OAS_SPREAD_DUR_MID")</f>
        <v>2.371649424497988</v>
      </c>
      <c r="G493" t="str">
        <f>_xll.BDP($C493,"MATURITY")</f>
        <v>3/1/2029</v>
      </c>
      <c r="H493" t="str">
        <f>_xll.BDP($C493,"RTG_SP")</f>
        <v>BBB</v>
      </c>
    </row>
    <row r="494" spans="1:8" x14ac:dyDescent="0.25">
      <c r="A494" s="1" t="s">
        <v>145</v>
      </c>
      <c r="B494" s="1" t="s">
        <v>2168</v>
      </c>
      <c r="C494" s="1" t="s">
        <v>2169</v>
      </c>
      <c r="D494" s="1" t="s">
        <v>2170</v>
      </c>
      <c r="E494">
        <f>_xll.BDP($C494,"DUR_ADJ_MID")</f>
        <v>2.601483956998349</v>
      </c>
      <c r="F494">
        <f>_xll.BDP($C494,"OAS_SPREAD_DUR_MID")</f>
        <v>2.6279300531782606</v>
      </c>
      <c r="G494" t="str">
        <f>_xll.BDP($C494,"MATURITY")</f>
        <v>6/1/2029</v>
      </c>
      <c r="H494" t="str">
        <f>_xll.BDP($C494,"RTG_SP")</f>
        <v>BBB+</v>
      </c>
    </row>
    <row r="495" spans="1:8" x14ac:dyDescent="0.25">
      <c r="A495" s="1" t="s">
        <v>145</v>
      </c>
      <c r="B495" s="1" t="s">
        <v>2171</v>
      </c>
      <c r="C495" s="1" t="s">
        <v>2172</v>
      </c>
      <c r="D495" s="1" t="s">
        <v>2173</v>
      </c>
      <c r="E495">
        <f>_xll.BDP($C495,"DUR_ADJ_MID")</f>
        <v>2.1650019637380891</v>
      </c>
      <c r="F495">
        <f>_xll.BDP($C495,"OAS_SPREAD_DUR_MID")</f>
        <v>2.1686881390904165</v>
      </c>
      <c r="G495" t="str">
        <f>_xll.BDP($C495,"MATURITY")</f>
        <v>11/15/2028</v>
      </c>
      <c r="H495" t="str">
        <f>_xll.BDP($C495,"RTG_SP")</f>
        <v>BBB+</v>
      </c>
    </row>
    <row r="496" spans="1:8" x14ac:dyDescent="0.25">
      <c r="A496" s="1" t="s">
        <v>145</v>
      </c>
      <c r="B496" s="1" t="s">
        <v>2174</v>
      </c>
      <c r="C496" s="1" t="s">
        <v>2175</v>
      </c>
      <c r="D496" s="1" t="s">
        <v>2176</v>
      </c>
      <c r="E496">
        <f>_xll.BDP($C496,"DUR_ADJ_MID")</f>
        <v>4.0452661503032719</v>
      </c>
      <c r="F496">
        <f>_xll.BDP($C496,"OAS_SPREAD_DUR_MID")</f>
        <v>4.0311579612640127</v>
      </c>
      <c r="G496" t="str">
        <f>_xll.BDP($C496,"MATURITY")</f>
        <v>11/15/2030</v>
      </c>
      <c r="H496" t="str">
        <f>_xll.BDP($C496,"RTG_SP")</f>
        <v>BBB+</v>
      </c>
    </row>
    <row r="497" spans="1:8" x14ac:dyDescent="0.25">
      <c r="A497" s="1" t="s">
        <v>145</v>
      </c>
      <c r="B497" s="1" t="s">
        <v>2177</v>
      </c>
      <c r="C497" s="1" t="s">
        <v>2178</v>
      </c>
      <c r="D497" s="1" t="s">
        <v>2179</v>
      </c>
      <c r="E497">
        <f>_xll.BDP($C497,"DUR_ADJ_MID")</f>
        <v>1.4834739286432328</v>
      </c>
      <c r="F497">
        <f>_xll.BDP($C497,"OAS_SPREAD_DUR_MID")</f>
        <v>1.5210017196388579</v>
      </c>
      <c r="G497" t="str">
        <f>_xll.BDP($C497,"MATURITY")</f>
        <v>2/28/2028</v>
      </c>
      <c r="H497" t="str">
        <f>_xll.BDP($C497,"RTG_SP")</f>
        <v>A</v>
      </c>
    </row>
    <row r="498" spans="1:8" x14ac:dyDescent="0.25">
      <c r="A498" s="1" t="s">
        <v>145</v>
      </c>
      <c r="B498" s="1" t="s">
        <v>2180</v>
      </c>
      <c r="C498" s="1" t="s">
        <v>2181</v>
      </c>
      <c r="D498" s="1" t="s">
        <v>2182</v>
      </c>
      <c r="E498">
        <f>_xll.BDP($C498,"DUR_ADJ_MID")</f>
        <v>2.1137198646911579</v>
      </c>
      <c r="F498">
        <f>_xll.BDP($C498,"OAS_SPREAD_DUR_MID")</f>
        <v>2.117363445725609</v>
      </c>
      <c r="G498" t="str">
        <f>_xll.BDP($C498,"MATURITY")</f>
        <v>9/17/2028</v>
      </c>
      <c r="H498" t="str">
        <f>_xll.BDP($C498,"RTG_SP")</f>
        <v>A-</v>
      </c>
    </row>
    <row r="499" spans="1:8" x14ac:dyDescent="0.25">
      <c r="A499" s="1" t="s">
        <v>145</v>
      </c>
      <c r="B499" s="1" t="s">
        <v>2183</v>
      </c>
      <c r="C499" s="1" t="s">
        <v>2184</v>
      </c>
      <c r="D499" s="1" t="s">
        <v>2185</v>
      </c>
      <c r="E499">
        <f>_xll.BDP($C499,"DUR_ADJ_MID")</f>
        <v>3.969267012672872</v>
      </c>
      <c r="F499" t="str">
        <f>_xll.BDP($C499,"OAS_SPREAD_DUR_MID")</f>
        <v>#N/A Field Not Applicable</v>
      </c>
      <c r="G499" t="str">
        <f>_xll.BDP($C499,"MATURITY")</f>
        <v>1/15/2032</v>
      </c>
      <c r="H499" t="str">
        <f>_xll.BDP($C499,"RTG_SP")</f>
        <v>A-</v>
      </c>
    </row>
    <row r="500" spans="1:8" x14ac:dyDescent="0.25">
      <c r="A500" s="1" t="s">
        <v>145</v>
      </c>
      <c r="B500" s="1" t="s">
        <v>2186</v>
      </c>
      <c r="C500" s="1" t="s">
        <v>2187</v>
      </c>
      <c r="D500" s="1" t="s">
        <v>2188</v>
      </c>
      <c r="E500">
        <f>_xll.BDP($C500,"DUR_ADJ_MID")</f>
        <v>3.4456762521136777</v>
      </c>
      <c r="F500">
        <f>_xll.BDP($C500,"OAS_SPREAD_DUR_MID")</f>
        <v>3.3709889418273593</v>
      </c>
      <c r="G500" t="str">
        <f>_xll.BDP($C500,"MATURITY")</f>
        <v>4/15/2030</v>
      </c>
      <c r="H500" t="str">
        <f>_xll.BDP($C500,"RTG_SP")</f>
        <v>BBB+</v>
      </c>
    </row>
    <row r="501" spans="1:8" x14ac:dyDescent="0.25">
      <c r="A501" s="1" t="s">
        <v>145</v>
      </c>
      <c r="B501" s="1" t="s">
        <v>2189</v>
      </c>
      <c r="C501" s="1" t="s">
        <v>2190</v>
      </c>
      <c r="D501" s="1" t="s">
        <v>2191</v>
      </c>
      <c r="E501">
        <f>_xll.BDP($C501,"DUR_ADJ_MID")</f>
        <v>2.509085873897777</v>
      </c>
      <c r="F501">
        <f>_xll.BDP($C501,"OAS_SPREAD_DUR_MID")</f>
        <v>2.4695518957256617</v>
      </c>
      <c r="G501" t="str">
        <f>_xll.BDP($C501,"MATURITY")</f>
        <v>3/24/2029</v>
      </c>
      <c r="H501" t="str">
        <f>_xll.BDP($C501,"RTG_SP")</f>
        <v>BBB</v>
      </c>
    </row>
    <row r="502" spans="1:8" x14ac:dyDescent="0.25">
      <c r="A502" s="1" t="s">
        <v>145</v>
      </c>
      <c r="B502" s="1" t="s">
        <v>2192</v>
      </c>
      <c r="C502" s="1" t="s">
        <v>2193</v>
      </c>
      <c r="D502" s="1" t="s">
        <v>2194</v>
      </c>
      <c r="E502">
        <f>_xll.BDP($C502,"DUR_ADJ_MID")</f>
        <v>2.6083032432573701</v>
      </c>
      <c r="F502">
        <f>_xll.BDP($C502,"OAS_SPREAD_DUR_MID")</f>
        <v>2.541520183430511</v>
      </c>
      <c r="G502" t="str">
        <f>_xll.BDP($C502,"MATURITY")</f>
        <v>4/15/2029</v>
      </c>
      <c r="H502" t="str">
        <f>_xll.BDP($C502,"RTG_SP")</f>
        <v>A</v>
      </c>
    </row>
    <row r="503" spans="1:8" x14ac:dyDescent="0.25">
      <c r="A503" s="1" t="s">
        <v>145</v>
      </c>
      <c r="B503" s="1" t="s">
        <v>2195</v>
      </c>
      <c r="C503" s="1" t="s">
        <v>2196</v>
      </c>
      <c r="D503" s="1" t="s">
        <v>2197</v>
      </c>
      <c r="E503">
        <f>_xll.BDP($C503,"DUR_ADJ_MID")</f>
        <v>2.3304893075998772</v>
      </c>
      <c r="F503">
        <f>_xll.BDP($C503,"OAS_SPREAD_DUR_MID")</f>
        <v>2.3451141784678406</v>
      </c>
      <c r="G503" t="str">
        <f>_xll.BDP($C503,"MATURITY")</f>
        <v>3/1/2029</v>
      </c>
      <c r="H503" t="str">
        <f>_xll.BDP($C503,"RTG_SP")</f>
        <v>BBB</v>
      </c>
    </row>
    <row r="504" spans="1:8" x14ac:dyDescent="0.25">
      <c r="A504" s="1" t="s">
        <v>145</v>
      </c>
      <c r="B504" s="1" t="s">
        <v>2198</v>
      </c>
      <c r="C504" s="1" t="s">
        <v>2199</v>
      </c>
      <c r="D504" s="1" t="s">
        <v>2200</v>
      </c>
      <c r="E504">
        <f>_xll.BDP($C504,"DUR_ADJ_MID")</f>
        <v>1.677964345083534</v>
      </c>
      <c r="F504">
        <f>_xll.BDP($C504,"OAS_SPREAD_DUR_MID")</f>
        <v>1.6794947505973676</v>
      </c>
      <c r="G504" t="str">
        <f>_xll.BDP($C504,"MATURITY")</f>
        <v>4/1/2028</v>
      </c>
      <c r="H504" t="str">
        <f>_xll.BDP($C504,"RTG_SP")</f>
        <v>BBB</v>
      </c>
    </row>
    <row r="505" spans="1:8" x14ac:dyDescent="0.25">
      <c r="A505" s="1" t="s">
        <v>145</v>
      </c>
      <c r="B505" s="1" t="s">
        <v>2201</v>
      </c>
      <c r="C505" s="1" t="s">
        <v>2202</v>
      </c>
      <c r="D505" s="1" t="s">
        <v>2203</v>
      </c>
      <c r="E505">
        <f>_xll.BDP($C505,"DUR_ADJ_MID")</f>
        <v>3.5133721802639823</v>
      </c>
      <c r="F505">
        <f>_xll.BDP($C505,"OAS_SPREAD_DUR_MID")</f>
        <v>3.514902413780745</v>
      </c>
      <c r="G505" t="str">
        <f>_xll.BDP($C505,"MATURITY")</f>
        <v>9/15/2030</v>
      </c>
      <c r="H505" t="str">
        <f>_xll.BDP($C505,"RTG_SP")</f>
        <v>BBB-</v>
      </c>
    </row>
    <row r="506" spans="1:8" x14ac:dyDescent="0.25">
      <c r="A506" s="1" t="s">
        <v>145</v>
      </c>
      <c r="B506" s="1" t="s">
        <v>2204</v>
      </c>
      <c r="C506" s="1" t="s">
        <v>2205</v>
      </c>
      <c r="D506" s="1" t="s">
        <v>2206</v>
      </c>
      <c r="E506">
        <f>_xll.BDP($C506,"DUR_ADJ_MID")</f>
        <v>2.9891565277120926</v>
      </c>
      <c r="F506">
        <f>_xll.BDP($C506,"OAS_SPREAD_DUR_MID")</f>
        <v>2.9835356583958537</v>
      </c>
      <c r="G506" t="str">
        <f>_xll.BDP($C506,"MATURITY")</f>
        <v>9/4/2029</v>
      </c>
      <c r="H506" t="str">
        <f>_xll.BDP($C506,"RTG_SP")</f>
        <v>A+</v>
      </c>
    </row>
    <row r="507" spans="1:8" x14ac:dyDescent="0.25">
      <c r="A507" s="1" t="s">
        <v>145</v>
      </c>
      <c r="B507" s="1" t="s">
        <v>2207</v>
      </c>
      <c r="C507" s="1" t="s">
        <v>2208</v>
      </c>
      <c r="D507" s="1" t="s">
        <v>2209</v>
      </c>
      <c r="E507">
        <f>_xll.BDP($C507,"DUR_ADJ_MID")</f>
        <v>2.4031481297542006</v>
      </c>
      <c r="F507">
        <f>_xll.BDP($C507,"OAS_SPREAD_DUR_MID")</f>
        <v>2.4279468187232061</v>
      </c>
      <c r="G507" t="str">
        <f>_xll.BDP($C507,"MATURITY")</f>
        <v>3/15/2029</v>
      </c>
      <c r="H507" t="str">
        <f>_xll.BDP($C507,"RTG_SP")</f>
        <v>BBB+</v>
      </c>
    </row>
    <row r="508" spans="1:8" x14ac:dyDescent="0.25">
      <c r="A508" s="1" t="s">
        <v>145</v>
      </c>
      <c r="B508" s="1" t="s">
        <v>2210</v>
      </c>
      <c r="C508" s="1" t="s">
        <v>2211</v>
      </c>
      <c r="D508" s="1" t="s">
        <v>2212</v>
      </c>
      <c r="E508">
        <f>_xll.BDP($C508,"DUR_ADJ_MID")</f>
        <v>3.5275400326448514</v>
      </c>
      <c r="F508">
        <f>_xll.BDP($C508,"OAS_SPREAD_DUR_MID")</f>
        <v>3.5284973433426532</v>
      </c>
      <c r="G508" t="str">
        <f>_xll.BDP($C508,"MATURITY")</f>
        <v>6/3/2030</v>
      </c>
      <c r="H508" t="str">
        <f>_xll.BDP($C508,"RTG_SP")</f>
        <v>A-</v>
      </c>
    </row>
    <row r="509" spans="1:8" x14ac:dyDescent="0.25">
      <c r="A509" s="1" t="s">
        <v>145</v>
      </c>
      <c r="B509" s="1" t="s">
        <v>2213</v>
      </c>
      <c r="C509" s="1" t="s">
        <v>2214</v>
      </c>
      <c r="D509" s="1" t="s">
        <v>2215</v>
      </c>
      <c r="E509">
        <f>_xll.BDP($C509,"DUR_ADJ_MID")</f>
        <v>3.2535510288637619</v>
      </c>
      <c r="F509">
        <f>_xll.BDP($C509,"OAS_SPREAD_DUR_MID")</f>
        <v>3.2301075952032869</v>
      </c>
      <c r="G509" t="str">
        <f>_xll.BDP($C509,"MATURITY")</f>
        <v>1/10/2030</v>
      </c>
      <c r="H509" t="str">
        <f>_xll.BDP($C509,"RTG_SP")</f>
        <v>A+</v>
      </c>
    </row>
    <row r="510" spans="1:8" x14ac:dyDescent="0.25">
      <c r="A510" s="1" t="s">
        <v>145</v>
      </c>
      <c r="B510" s="1" t="s">
        <v>2216</v>
      </c>
      <c r="C510" s="1" t="s">
        <v>2217</v>
      </c>
      <c r="D510" s="1" t="s">
        <v>2218</v>
      </c>
      <c r="E510">
        <f>_xll.BDP($C510,"DUR_ADJ_MID")</f>
        <v>2.2955182804353931</v>
      </c>
      <c r="F510">
        <f>_xll.BDP($C510,"OAS_SPREAD_DUR_MID")</f>
        <v>2.30000338028908</v>
      </c>
      <c r="G510" t="str">
        <f>_xll.BDP($C510,"MATURITY")</f>
        <v>1/5/2029</v>
      </c>
      <c r="H510" t="str">
        <f>_xll.BDP($C510,"RTG_SP")</f>
        <v>A+</v>
      </c>
    </row>
    <row r="511" spans="1:8" x14ac:dyDescent="0.25">
      <c r="A511" s="1" t="s">
        <v>145</v>
      </c>
      <c r="B511" s="1" t="s">
        <v>2219</v>
      </c>
      <c r="C511" s="1" t="s">
        <v>2220</v>
      </c>
      <c r="D511" s="1" t="s">
        <v>2221</v>
      </c>
      <c r="E511">
        <f>_xll.BDP($C511,"DUR_ADJ_MID")</f>
        <v>1.7703091218992937</v>
      </c>
      <c r="F511">
        <f>_xll.BDP($C511,"OAS_SPREAD_DUR_MID")</f>
        <v>1.6714583536193119</v>
      </c>
      <c r="G511" t="str">
        <f>_xll.BDP($C511,"MATURITY")</f>
        <v>5/15/2028</v>
      </c>
      <c r="H511" t="str">
        <f>_xll.BDP($C511,"RTG_SP")</f>
        <v>BBB+</v>
      </c>
    </row>
    <row r="512" spans="1:8" x14ac:dyDescent="0.25">
      <c r="A512" s="1" t="s">
        <v>145</v>
      </c>
      <c r="B512" s="1" t="s">
        <v>2222</v>
      </c>
      <c r="C512" s="1" t="s">
        <v>2223</v>
      </c>
      <c r="D512" s="1" t="s">
        <v>2224</v>
      </c>
      <c r="E512">
        <f>_xll.BDP($C512,"DUR_ADJ_MID")</f>
        <v>2.1190243025466016</v>
      </c>
      <c r="F512" t="str">
        <f>_xll.BDP($C512,"OAS_SPREAD_DUR_MID")</f>
        <v>#N/A Field Not Applicable</v>
      </c>
      <c r="G512" t="str">
        <f>_xll.BDP($C512,"MATURITY")</f>
        <v>10/30/2029</v>
      </c>
      <c r="H512" t="str">
        <f>_xll.BDP($C512,"RTG_SP")</f>
        <v>A-</v>
      </c>
    </row>
    <row r="513" spans="1:8" x14ac:dyDescent="0.25">
      <c r="A513" s="1" t="s">
        <v>145</v>
      </c>
      <c r="B513" s="1" t="s">
        <v>2225</v>
      </c>
      <c r="C513" s="1" t="s">
        <v>2226</v>
      </c>
      <c r="D513" s="1" t="s">
        <v>2227</v>
      </c>
      <c r="E513">
        <f>_xll.BDP($C513,"DUR_ADJ_MID")</f>
        <v>3.4756061114935211</v>
      </c>
      <c r="F513" t="str">
        <f>_xll.BDP($C513,"OAS_SPREAD_DUR_MID")</f>
        <v>#N/A Field Not Applicable</v>
      </c>
      <c r="G513" t="str">
        <f>_xll.BDP($C513,"MATURITY")</f>
        <v>5/20/2031</v>
      </c>
      <c r="H513" t="str">
        <f>_xll.BDP($C513,"RTG_SP")</f>
        <v>A-</v>
      </c>
    </row>
    <row r="514" spans="1:8" x14ac:dyDescent="0.25">
      <c r="A514" s="1" t="s">
        <v>145</v>
      </c>
      <c r="B514" s="1" t="s">
        <v>2228</v>
      </c>
      <c r="C514" s="1" t="s">
        <v>2229</v>
      </c>
      <c r="D514" s="1" t="s">
        <v>2230</v>
      </c>
      <c r="E514">
        <f>_xll.BDP($C514,"DUR_ADJ_MID")</f>
        <v>1.6385333289038058</v>
      </c>
      <c r="F514">
        <f>_xll.BDP($C514,"OAS_SPREAD_DUR_MID")</f>
        <v>1.5822640816294853</v>
      </c>
      <c r="G514" t="str">
        <f>_xll.BDP($C514,"MATURITY")</f>
        <v>3/22/2028</v>
      </c>
      <c r="H514" t="str">
        <f>_xll.BDP($C514,"RTG_SP")</f>
        <v>A+</v>
      </c>
    </row>
    <row r="515" spans="1:8" x14ac:dyDescent="0.25">
      <c r="A515" s="1" t="s">
        <v>145</v>
      </c>
      <c r="B515" s="1" t="s">
        <v>2231</v>
      </c>
      <c r="C515" s="1" t="s">
        <v>2232</v>
      </c>
      <c r="D515" s="1" t="s">
        <v>2233</v>
      </c>
      <c r="E515">
        <f>_xll.BDP($C515,"DUR_ADJ_MID")</f>
        <v>1.4823722105902783</v>
      </c>
      <c r="F515" t="str">
        <f>_xll.BDP($C515,"OAS_SPREAD_DUR_MID")</f>
        <v>#N/A Field Not Applicable</v>
      </c>
      <c r="G515" t="str">
        <f>_xll.BDP($C515,"MATURITY")</f>
        <v>2/1/2029</v>
      </c>
      <c r="H515" t="str">
        <f>_xll.BDP($C515,"RTG_SP")</f>
        <v>A</v>
      </c>
    </row>
    <row r="516" spans="1:8" x14ac:dyDescent="0.25">
      <c r="A516" s="1" t="s">
        <v>145</v>
      </c>
      <c r="B516" s="1" t="s">
        <v>2234</v>
      </c>
      <c r="C516" s="1" t="s">
        <v>2235</v>
      </c>
      <c r="D516" s="1" t="s">
        <v>2236</v>
      </c>
      <c r="E516">
        <f>_xll.BDP($C516,"DUR_ADJ_MID")</f>
        <v>3.4623832638458252</v>
      </c>
      <c r="F516" t="str">
        <f>_xll.BDP($C516,"OAS_SPREAD_DUR_MID")</f>
        <v>#N/A Field Not Applicable</v>
      </c>
      <c r="G516" t="str">
        <f>_xll.BDP($C516,"MATURITY")</f>
        <v>5/15/2031</v>
      </c>
      <c r="H516" t="str">
        <f>_xll.BDP($C516,"RTG_SP")</f>
        <v>A</v>
      </c>
    </row>
    <row r="517" spans="1:8" x14ac:dyDescent="0.25">
      <c r="A517" s="1" t="s">
        <v>145</v>
      </c>
      <c r="B517" s="1" t="s">
        <v>2237</v>
      </c>
      <c r="C517" s="1" t="s">
        <v>2238</v>
      </c>
      <c r="D517" s="1" t="s">
        <v>2239</v>
      </c>
      <c r="E517">
        <f>_xll.BDP($C517,"DUR_ADJ_MID")</f>
        <v>2.2260231952779925</v>
      </c>
      <c r="F517">
        <f>_xll.BDP($C517,"OAS_SPREAD_DUR_MID")</f>
        <v>2.1253811175830273</v>
      </c>
      <c r="G517" t="str">
        <f>_xll.BDP($C517,"MATURITY")</f>
        <v>11/16/2028</v>
      </c>
      <c r="H517" t="str">
        <f>_xll.BDP($C517,"RTG_SP")</f>
        <v>BBB+</v>
      </c>
    </row>
    <row r="518" spans="1:8" x14ac:dyDescent="0.25">
      <c r="A518" s="1" t="s">
        <v>145</v>
      </c>
      <c r="B518" s="1" t="s">
        <v>2240</v>
      </c>
      <c r="C518" s="1" t="s">
        <v>2241</v>
      </c>
      <c r="D518" s="1" t="s">
        <v>2242</v>
      </c>
      <c r="E518">
        <f>_xll.BDP($C518,"DUR_ADJ_MID")</f>
        <v>3.0752015715445644</v>
      </c>
      <c r="F518">
        <f>_xll.BDP($C518,"OAS_SPREAD_DUR_MID")</f>
        <v>3.1211390756128377</v>
      </c>
      <c r="G518" t="str">
        <f>_xll.BDP($C518,"MATURITY")</f>
        <v>2/15/2030</v>
      </c>
      <c r="H518" t="str">
        <f>_xll.BDP($C518,"RTG_SP")</f>
        <v>A+</v>
      </c>
    </row>
    <row r="519" spans="1:8" x14ac:dyDescent="0.25">
      <c r="A519" s="1" t="s">
        <v>145</v>
      </c>
      <c r="B519" s="1" t="s">
        <v>2243</v>
      </c>
      <c r="C519" s="1" t="s">
        <v>2244</v>
      </c>
      <c r="D519" s="1" t="s">
        <v>2245</v>
      </c>
      <c r="E519">
        <f>_xll.BDP($C519,"DUR_ADJ_MID")</f>
        <v>1.572020481895966</v>
      </c>
      <c r="F519">
        <f>_xll.BDP($C519,"OAS_SPREAD_DUR_MID")</f>
        <v>1.5077388645509802</v>
      </c>
      <c r="G519" t="str">
        <f>_xll.BDP($C519,"MATURITY")</f>
        <v>3/1/2028</v>
      </c>
      <c r="H519" t="str">
        <f>_xll.BDP($C519,"RTG_SP")</f>
        <v>BBB+</v>
      </c>
    </row>
    <row r="520" spans="1:8" x14ac:dyDescent="0.25">
      <c r="A520" s="1" t="s">
        <v>145</v>
      </c>
      <c r="B520" s="1" t="s">
        <v>2246</v>
      </c>
      <c r="C520" s="1" t="s">
        <v>2247</v>
      </c>
      <c r="D520" s="1" t="s">
        <v>2248</v>
      </c>
      <c r="E520">
        <f>_xll.BDP($C520,"DUR_ADJ_MID")</f>
        <v>4.3281316727703709</v>
      </c>
      <c r="F520">
        <f>_xll.BDP($C520,"OAS_SPREAD_DUR_MID")</f>
        <v>4.3086603473557155</v>
      </c>
      <c r="G520" t="str">
        <f>_xll.BDP($C520,"MATURITY")</f>
        <v>3/21/2031</v>
      </c>
      <c r="H520" t="str">
        <f>_xll.BDP($C520,"RTG_SP")</f>
        <v>BBB+</v>
      </c>
    </row>
    <row r="521" spans="1:8" x14ac:dyDescent="0.25">
      <c r="A521" s="1" t="s">
        <v>145</v>
      </c>
      <c r="B521" s="1" t="s">
        <v>2249</v>
      </c>
      <c r="C521" s="1" t="s">
        <v>2250</v>
      </c>
      <c r="D521" s="1" t="s">
        <v>2251</v>
      </c>
      <c r="E521">
        <f>_xll.BDP($C521,"DUR_ADJ_MID")</f>
        <v>3.564349935102475</v>
      </c>
      <c r="F521">
        <f>_xll.BDP($C521,"OAS_SPREAD_DUR_MID")</f>
        <v>3.554871301894158</v>
      </c>
      <c r="G521" t="str">
        <f>_xll.BDP($C521,"MATURITY")</f>
        <v>4/15/2030</v>
      </c>
      <c r="H521" t="str">
        <f>_xll.BDP($C521,"RTG_SP")</f>
        <v>AA-</v>
      </c>
    </row>
    <row r="522" spans="1:8" x14ac:dyDescent="0.25">
      <c r="A522" s="1" t="s">
        <v>145</v>
      </c>
      <c r="B522" s="1" t="s">
        <v>2252</v>
      </c>
      <c r="C522" s="1" t="s">
        <v>2253</v>
      </c>
      <c r="D522" s="1" t="s">
        <v>2254</v>
      </c>
      <c r="E522">
        <f>_xll.BDP($C522,"DUR_ADJ_MID")</f>
        <v>4.2016944838480113</v>
      </c>
      <c r="F522">
        <f>_xll.BDP($C522,"OAS_SPREAD_DUR_MID")</f>
        <v>4.1667172390644991</v>
      </c>
      <c r="G522" t="str">
        <f>_xll.BDP($C522,"MATURITY")</f>
        <v>4/30/2031</v>
      </c>
      <c r="H522" t="str">
        <f>_xll.BDP($C522,"RTG_SP")</f>
        <v>BBB-</v>
      </c>
    </row>
    <row r="523" spans="1:8" x14ac:dyDescent="0.25">
      <c r="A523" s="1" t="s">
        <v>145</v>
      </c>
      <c r="B523" s="1" t="s">
        <v>2255</v>
      </c>
      <c r="C523" s="1" t="s">
        <v>2256</v>
      </c>
      <c r="D523" s="1" t="s">
        <v>2257</v>
      </c>
      <c r="E523">
        <f>_xll.BDP($C523,"DUR_ADJ_MID")</f>
        <v>1.5297539615328573</v>
      </c>
      <c r="F523">
        <f>_xll.BDP($C523,"OAS_SPREAD_DUR_MID")</f>
        <v>1.5616772958283451</v>
      </c>
      <c r="G523" t="str">
        <f>_xll.BDP($C523,"MATURITY")</f>
        <v>3/15/2028</v>
      </c>
      <c r="H523" t="str">
        <f>_xll.BDP($C523,"RTG_SP")</f>
        <v>A-</v>
      </c>
    </row>
    <row r="524" spans="1:8" x14ac:dyDescent="0.25">
      <c r="A524" s="1" t="s">
        <v>145</v>
      </c>
      <c r="B524" s="1" t="s">
        <v>2258</v>
      </c>
      <c r="C524" s="1" t="s">
        <v>2259</v>
      </c>
      <c r="D524" s="1" t="s">
        <v>2260</v>
      </c>
      <c r="E524">
        <f>_xll.BDP($C524,"DUR_ADJ_MID")</f>
        <v>3.3973702619256629</v>
      </c>
      <c r="F524" t="str">
        <f>_xll.BDP($C524,"OAS_SPREAD_DUR_MID")</f>
        <v>#N/A Field Not Applicable</v>
      </c>
      <c r="G524" t="str">
        <f>_xll.BDP($C524,"MATURITY")</f>
        <v>4/23/2031</v>
      </c>
      <c r="H524" t="str">
        <f>_xll.BDP($C524,"RTG_SP")</f>
        <v>BBB+</v>
      </c>
    </row>
    <row r="525" spans="1:8" x14ac:dyDescent="0.25">
      <c r="A525" s="1" t="s">
        <v>145</v>
      </c>
      <c r="B525" s="1" t="s">
        <v>2261</v>
      </c>
      <c r="C525" s="1" t="s">
        <v>2262</v>
      </c>
      <c r="D525" s="1" t="s">
        <v>2263</v>
      </c>
      <c r="E525">
        <f>_xll.BDP($C525,"DUR_ADJ_MID")</f>
        <v>2.7860580600817353</v>
      </c>
      <c r="F525" t="str">
        <f>_xll.BDP($C525,"OAS_SPREAD_DUR_MID")</f>
        <v>#N/A Field Not Applicable</v>
      </c>
      <c r="G525" t="str">
        <f>_xll.BDP($C525,"MATURITY")</f>
        <v>7/24/2034</v>
      </c>
      <c r="H525" t="str">
        <f>_xll.BDP($C525,"RTG_SP")</f>
        <v>A-</v>
      </c>
    </row>
    <row r="526" spans="1:8" x14ac:dyDescent="0.25">
      <c r="A526" s="1" t="s">
        <v>145</v>
      </c>
      <c r="B526" s="1" t="s">
        <v>2264</v>
      </c>
      <c r="C526" s="1" t="s">
        <v>2265</v>
      </c>
      <c r="D526" s="1" t="s">
        <v>2266</v>
      </c>
      <c r="E526">
        <f>_xll.BDP($C526,"DUR_ADJ_MID")</f>
        <v>2.2865435044982965</v>
      </c>
      <c r="F526">
        <f>_xll.BDP($C526,"OAS_SPREAD_DUR_MID")</f>
        <v>2.2904041246618063</v>
      </c>
      <c r="G526" t="str">
        <f>_xll.BDP($C526,"MATURITY")</f>
        <v>11/20/2028</v>
      </c>
      <c r="H526" t="str">
        <f>_xll.BDP($C526,"RTG_SP")</f>
        <v>AA-</v>
      </c>
    </row>
    <row r="527" spans="1:8" x14ac:dyDescent="0.25">
      <c r="A527" s="1" t="s">
        <v>145</v>
      </c>
      <c r="B527" s="1" t="s">
        <v>2267</v>
      </c>
      <c r="C527" s="1" t="s">
        <v>2268</v>
      </c>
      <c r="D527" s="1" t="s">
        <v>2269</v>
      </c>
      <c r="E527">
        <f>_xll.BDP($C527,"DUR_ADJ_MID")</f>
        <v>3.3853839671629782</v>
      </c>
      <c r="F527">
        <f>_xll.BDP($C527,"OAS_SPREAD_DUR_MID")</f>
        <v>3.4073688829699242</v>
      </c>
      <c r="G527" t="str">
        <f>_xll.BDP($C527,"MATURITY")</f>
        <v>5/19/2030</v>
      </c>
      <c r="H527" t="str">
        <f>_xll.BDP($C527,"RTG_SP")</f>
        <v>BBB+</v>
      </c>
    </row>
    <row r="528" spans="1:8" x14ac:dyDescent="0.25">
      <c r="A528" s="1" t="s">
        <v>151</v>
      </c>
      <c r="B528" s="1" t="s">
        <v>2270</v>
      </c>
      <c r="C528" s="1" t="s">
        <v>2271</v>
      </c>
      <c r="D528" s="1" t="s">
        <v>2272</v>
      </c>
      <c r="E528">
        <f>_xll.BDP($C528,"DUR_ADJ_MID")</f>
        <v>0.8957548618199086</v>
      </c>
      <c r="F528">
        <f>_xll.BDP($C528,"OAS_SPREAD_DUR_MID")</f>
        <v>0.89489929386148337</v>
      </c>
      <c r="G528" t="str">
        <f>_xll.BDP($C528,"MATURITY")</f>
        <v>5/31/2027</v>
      </c>
      <c r="H528" t="str">
        <f>_xll.BDP($C528,"RTG_SP")</f>
        <v>#N/A N/A</v>
      </c>
    </row>
    <row r="529" spans="1:8" x14ac:dyDescent="0.25">
      <c r="A529" s="1" t="s">
        <v>164</v>
      </c>
      <c r="B529" s="1" t="s">
        <v>2273</v>
      </c>
      <c r="C529" s="1" t="s">
        <v>2274</v>
      </c>
      <c r="D529" s="1" t="s">
        <v>2275</v>
      </c>
      <c r="E529">
        <f>_xll.BDP($C529,"DUR_ADJ_MID")</f>
        <v>0.81375313786349202</v>
      </c>
      <c r="F529">
        <f>_xll.BDP($C529,"OAS_SPREAD_DUR_MID")</f>
        <v>0.81181201755887367</v>
      </c>
      <c r="G529" t="str">
        <f>_xll.BDP($C529,"MATURITY")</f>
        <v>4/30/2027</v>
      </c>
      <c r="H529" t="str">
        <f>_xll.BDP($C529,"RTG_SP")</f>
        <v>#N/A N/A</v>
      </c>
    </row>
    <row r="530" spans="1:8" x14ac:dyDescent="0.25">
      <c r="A530" s="1" t="s">
        <v>187</v>
      </c>
      <c r="B530" s="1" t="s">
        <v>2270</v>
      </c>
      <c r="C530" s="1" t="s">
        <v>2271</v>
      </c>
      <c r="D530" s="1" t="s">
        <v>2276</v>
      </c>
      <c r="E530">
        <f>_xll.BDP($C530,"DUR_ADJ_MID")</f>
        <v>0.8957548618199086</v>
      </c>
      <c r="F530">
        <f>_xll.BDP($C530,"OAS_SPREAD_DUR_MID")</f>
        <v>0.89489929386148337</v>
      </c>
      <c r="G530" t="str">
        <f>_xll.BDP($C530,"MATURITY")</f>
        <v>5/31/2027</v>
      </c>
      <c r="H530" t="str">
        <f>_xll.BDP($C530,"RTG_SP")</f>
        <v>#N/A N/A</v>
      </c>
    </row>
    <row r="531" spans="1:8" x14ac:dyDescent="0.25">
      <c r="A531" s="1" t="s">
        <v>192</v>
      </c>
      <c r="B531" s="1" t="s">
        <v>2277</v>
      </c>
      <c r="C531" s="1" t="s">
        <v>2278</v>
      </c>
      <c r="D531" s="1" t="s">
        <v>2279</v>
      </c>
      <c r="E531">
        <f>_xll.BDP($C531,"DUR_ADJ_MID")</f>
        <v>0.80595113953514008</v>
      </c>
      <c r="F531">
        <f>_xll.BDP($C531,"OAS_SPREAD_DUR_MID")</f>
        <v>0.80407984506075703</v>
      </c>
      <c r="G531" t="str">
        <f>_xll.BDP($C531,"MATURITY")</f>
        <v>4/30/2027</v>
      </c>
      <c r="H531" t="str">
        <f>_xll.BDP($C531,"RTG_SP")</f>
        <v>#N/A N/A</v>
      </c>
    </row>
    <row r="532" spans="1:8" x14ac:dyDescent="0.25">
      <c r="A532" s="1" t="s">
        <v>200</v>
      </c>
      <c r="B532" s="1" t="s">
        <v>2280</v>
      </c>
      <c r="C532" s="1" t="s">
        <v>2281</v>
      </c>
      <c r="D532" s="1" t="s">
        <v>2282</v>
      </c>
      <c r="E532">
        <f>_xll.BDP($C532,"DUR_ADJ_MID")</f>
        <v>1.3022218395608958</v>
      </c>
      <c r="F532">
        <f>_xll.BDP($C532,"OAS_SPREAD_DUR_MID")</f>
        <v>1.3042267997868631</v>
      </c>
      <c r="G532" t="str">
        <f>_xll.BDP($C532,"MATURITY")</f>
        <v>11/15/2027</v>
      </c>
      <c r="H532" t="str">
        <f>_xll.BDP($C532,"RTG_SP")</f>
        <v>#N/A N/A</v>
      </c>
    </row>
    <row r="533" spans="1:8" x14ac:dyDescent="0.25">
      <c r="A533" s="1" t="s">
        <v>200</v>
      </c>
      <c r="B533" s="1" t="s">
        <v>2283</v>
      </c>
      <c r="C533" s="1" t="s">
        <v>2284</v>
      </c>
      <c r="D533" s="1" t="s">
        <v>2285</v>
      </c>
      <c r="E533">
        <f>_xll.BDP($C533,"DUR_ADJ_MID")</f>
        <v>2.2039576757896517</v>
      </c>
      <c r="F533">
        <f>_xll.BDP($C533,"OAS_SPREAD_DUR_MID")</f>
        <v>2.2076970916289675</v>
      </c>
      <c r="G533" t="str">
        <f>_xll.BDP($C533,"MATURITY")</f>
        <v>11/15/2028</v>
      </c>
      <c r="H533" t="str">
        <f>_xll.BDP($C533,"RTG_SP")</f>
        <v>#N/A N/A</v>
      </c>
    </row>
    <row r="534" spans="1:8" x14ac:dyDescent="0.25">
      <c r="A534" s="1" t="s">
        <v>200</v>
      </c>
      <c r="B534" s="1" t="s">
        <v>2286</v>
      </c>
      <c r="C534" s="1" t="s">
        <v>2287</v>
      </c>
      <c r="D534" s="1" t="s">
        <v>2288</v>
      </c>
      <c r="E534">
        <f>_xll.BDP($C534,"DUR_ADJ_MID")</f>
        <v>1.0850250784061493</v>
      </c>
      <c r="F534">
        <f>_xll.BDP($C534,"OAS_SPREAD_DUR_MID")</f>
        <v>1.0832889712838367</v>
      </c>
      <c r="G534" t="str">
        <f>_xll.BDP($C534,"MATURITY")</f>
        <v>8/15/2027</v>
      </c>
      <c r="H534" t="str">
        <f>_xll.BDP($C534,"RTG_SP")</f>
        <v>#N/A N/A</v>
      </c>
    </row>
    <row r="535" spans="1:8" x14ac:dyDescent="0.25">
      <c r="A535" s="1" t="s">
        <v>200</v>
      </c>
      <c r="B535" s="1" t="s">
        <v>2289</v>
      </c>
      <c r="C535" s="1" t="s">
        <v>2290</v>
      </c>
      <c r="D535" s="1" t="s">
        <v>2291</v>
      </c>
      <c r="E535">
        <f>_xll.BDP($C535,"DUR_ADJ_MID")</f>
        <v>1.3278966139201094</v>
      </c>
      <c r="F535">
        <f>_xll.BDP($C535,"OAS_SPREAD_DUR_MID")</f>
        <v>1.329970960353769</v>
      </c>
      <c r="G535" t="str">
        <f>_xll.BDP($C535,"MATURITY")</f>
        <v>11/15/2027</v>
      </c>
      <c r="H535" t="str">
        <f>_xll.BDP($C535,"RTG_SP")</f>
        <v>#N/A N/A</v>
      </c>
    </row>
    <row r="536" spans="1:8" x14ac:dyDescent="0.25">
      <c r="A536" s="1" t="s">
        <v>200</v>
      </c>
      <c r="B536" s="1" t="s">
        <v>2292</v>
      </c>
      <c r="C536" s="1" t="s">
        <v>2293</v>
      </c>
      <c r="D536" s="1" t="s">
        <v>2294</v>
      </c>
      <c r="E536">
        <f>_xll.BDP($C536,"DUR_ADJ_MID")</f>
        <v>1.5511576437367165</v>
      </c>
      <c r="F536">
        <f>_xll.BDP($C536,"OAS_SPREAD_DUR_MID")</f>
        <v>1.553022134026133</v>
      </c>
      <c r="G536" t="str">
        <f>_xll.BDP($C536,"MATURITY")</f>
        <v>2/15/2028</v>
      </c>
      <c r="H536" t="str">
        <f>_xll.BDP($C536,"RTG_SP")</f>
        <v>#N/A N/A</v>
      </c>
    </row>
    <row r="537" spans="1:8" x14ac:dyDescent="0.25">
      <c r="A537" s="1" t="s">
        <v>200</v>
      </c>
      <c r="B537" s="1" t="s">
        <v>2295</v>
      </c>
      <c r="C537" s="1" t="s">
        <v>2296</v>
      </c>
      <c r="D537" s="1" t="s">
        <v>2297</v>
      </c>
      <c r="E537">
        <f>_xll.BDP($C537,"DUR_ADJ_MID")</f>
        <v>1.7924572950493605</v>
      </c>
      <c r="F537">
        <f>_xll.BDP($C537,"OAS_SPREAD_DUR_MID")</f>
        <v>1.7928570626470779</v>
      </c>
      <c r="G537" t="str">
        <f>_xll.BDP($C537,"MATURITY")</f>
        <v>5/15/2028</v>
      </c>
      <c r="H537" t="str">
        <f>_xll.BDP($C537,"RTG_SP")</f>
        <v>#N/A N/A</v>
      </c>
    </row>
    <row r="538" spans="1:8" x14ac:dyDescent="0.25">
      <c r="A538" s="1" t="s">
        <v>200</v>
      </c>
      <c r="B538" s="1" t="s">
        <v>2298</v>
      </c>
      <c r="C538" s="1" t="s">
        <v>2299</v>
      </c>
      <c r="D538" s="1" t="s">
        <v>2300</v>
      </c>
      <c r="E538">
        <f>_xll.BDP($C538,"DUR_ADJ_MID")</f>
        <v>2.0114828135780405</v>
      </c>
      <c r="F538">
        <f>_xll.BDP($C538,"OAS_SPREAD_DUR_MID")</f>
        <v>2.0116994941361224</v>
      </c>
      <c r="G538" t="str">
        <f>_xll.BDP($C538,"MATURITY")</f>
        <v>8/15/2028</v>
      </c>
      <c r="H538" t="str">
        <f>_xll.BDP($C538,"RTG_SP")</f>
        <v>#N/A N/A</v>
      </c>
    </row>
    <row r="539" spans="1:8" x14ac:dyDescent="0.25">
      <c r="A539" s="1" t="s">
        <v>200</v>
      </c>
      <c r="B539" s="1" t="s">
        <v>2301</v>
      </c>
      <c r="C539" s="1" t="s">
        <v>2302</v>
      </c>
      <c r="D539" s="1" t="s">
        <v>2303</v>
      </c>
      <c r="E539">
        <f>_xll.BDP($C539,"DUR_ADJ_MID")</f>
        <v>2.2487892598684245</v>
      </c>
      <c r="F539">
        <f>_xll.BDP($C539,"OAS_SPREAD_DUR_MID")</f>
        <v>2.2526898999260618</v>
      </c>
      <c r="G539" t="str">
        <f>_xll.BDP($C539,"MATURITY")</f>
        <v>11/15/2028</v>
      </c>
      <c r="H539" t="str">
        <f>_xll.BDP($C539,"RTG_SP")</f>
        <v>#N/A N/A</v>
      </c>
    </row>
    <row r="540" spans="1:8" x14ac:dyDescent="0.25">
      <c r="A540" s="1" t="s">
        <v>200</v>
      </c>
      <c r="B540" s="1" t="s">
        <v>2304</v>
      </c>
      <c r="C540" s="1" t="s">
        <v>2305</v>
      </c>
      <c r="D540" s="1" t="s">
        <v>2306</v>
      </c>
      <c r="E540">
        <f>_xll.BDP($C540,"DUR_ADJ_MID")</f>
        <v>2.4749149066326366</v>
      </c>
      <c r="F540">
        <f>_xll.BDP($C540,"OAS_SPREAD_DUR_MID")</f>
        <v>2.4786277707101285</v>
      </c>
      <c r="G540" t="str">
        <f>_xll.BDP($C540,"MATURITY")</f>
        <v>2/15/2029</v>
      </c>
      <c r="H540" t="str">
        <f>_xll.BDP($C540,"RTG_SP")</f>
        <v>#N/A N/A</v>
      </c>
    </row>
    <row r="541" spans="1:8" x14ac:dyDescent="0.25">
      <c r="A541" s="1" t="s">
        <v>200</v>
      </c>
      <c r="B541" s="1" t="s">
        <v>2307</v>
      </c>
      <c r="C541" s="1" t="s">
        <v>2308</v>
      </c>
      <c r="D541" s="1" t="s">
        <v>2309</v>
      </c>
      <c r="E541">
        <f>_xll.BDP($C541,"DUR_ADJ_MID")</f>
        <v>2.7265155038618856</v>
      </c>
      <c r="F541">
        <f>_xll.BDP($C541,"OAS_SPREAD_DUR_MID")</f>
        <v>2.7262713808093455</v>
      </c>
      <c r="G541" t="str">
        <f>_xll.BDP($C541,"MATURITY")</f>
        <v>5/15/2029</v>
      </c>
      <c r="H541" t="str">
        <f>_xll.BDP($C541,"RTG_SP")</f>
        <v>#N/A N/A</v>
      </c>
    </row>
    <row r="542" spans="1:8" x14ac:dyDescent="0.25">
      <c r="A542" s="1" t="s">
        <v>200</v>
      </c>
      <c r="B542" s="1" t="s">
        <v>2270</v>
      </c>
      <c r="C542" s="1" t="s">
        <v>2271</v>
      </c>
      <c r="D542" s="1" t="s">
        <v>2310</v>
      </c>
      <c r="E542">
        <f>_xll.BDP($C542,"DUR_ADJ_MID")</f>
        <v>0.8957548618199086</v>
      </c>
      <c r="F542">
        <f>_xll.BDP($C542,"OAS_SPREAD_DUR_MID")</f>
        <v>0.89489929386148337</v>
      </c>
      <c r="G542" t="str">
        <f>_xll.BDP($C542,"MATURITY")</f>
        <v>5/31/2027</v>
      </c>
      <c r="H542" t="str">
        <f>_xll.BDP($C542,"RTG_SP")</f>
        <v>#N/A N/A</v>
      </c>
    </row>
    <row r="543" spans="1:8" x14ac:dyDescent="0.25">
      <c r="A543" s="1" t="s">
        <v>200</v>
      </c>
      <c r="B543" s="1" t="s">
        <v>2311</v>
      </c>
      <c r="C543" s="1" t="s">
        <v>2312</v>
      </c>
      <c r="D543" s="1" t="s">
        <v>2313</v>
      </c>
      <c r="E543">
        <f>_xll.BDP($C543,"DUR_ADJ_MID")</f>
        <v>0.97598819572355633</v>
      </c>
      <c r="F543">
        <f>_xll.BDP($C543,"OAS_SPREAD_DUR_MID")</f>
        <v>0.97529642276860695</v>
      </c>
      <c r="G543" t="str">
        <f>_xll.BDP($C543,"MATURITY")</f>
        <v>6/30/2027</v>
      </c>
      <c r="H543" t="str">
        <f>_xll.BDP($C543,"RTG_SP")</f>
        <v>#N/A N/A</v>
      </c>
    </row>
    <row r="544" spans="1:8" x14ac:dyDescent="0.25">
      <c r="A544" s="1" t="s">
        <v>200</v>
      </c>
      <c r="B544" s="1" t="s">
        <v>2314</v>
      </c>
      <c r="C544" s="1" t="s">
        <v>2315</v>
      </c>
      <c r="D544" s="1" t="s">
        <v>2316</v>
      </c>
      <c r="E544">
        <f>_xll.BDP($C544,"DUR_ADJ_MID")</f>
        <v>1.0581578060871</v>
      </c>
      <c r="F544">
        <f>_xll.BDP($C544,"OAS_SPREAD_DUR_MID")</f>
        <v>1.0567465723466432</v>
      </c>
      <c r="G544" t="str">
        <f>_xll.BDP($C544,"MATURITY")</f>
        <v>7/31/2027</v>
      </c>
      <c r="H544" t="str">
        <f>_xll.BDP($C544,"RTG_SP")</f>
        <v>#N/A N/A</v>
      </c>
    </row>
    <row r="545" spans="1:8" x14ac:dyDescent="0.25">
      <c r="A545" s="1" t="s">
        <v>200</v>
      </c>
      <c r="B545" s="1" t="s">
        <v>2317</v>
      </c>
      <c r="C545" s="1" t="s">
        <v>2318</v>
      </c>
      <c r="D545" s="1" t="s">
        <v>2319</v>
      </c>
      <c r="E545">
        <f>_xll.BDP($C545,"DUR_ADJ_MID")</f>
        <v>1.1384579100783614</v>
      </c>
      <c r="F545">
        <f>_xll.BDP($C545,"OAS_SPREAD_DUR_MID")</f>
        <v>1.1390136401594855</v>
      </c>
      <c r="G545" t="str">
        <f>_xll.BDP($C545,"MATURITY")</f>
        <v>8/31/2027</v>
      </c>
      <c r="H545" t="str">
        <f>_xll.BDP($C545,"RTG_SP")</f>
        <v>#N/A N/A</v>
      </c>
    </row>
    <row r="546" spans="1:8" x14ac:dyDescent="0.25">
      <c r="A546" s="1" t="s">
        <v>200</v>
      </c>
      <c r="B546" s="1" t="s">
        <v>2320</v>
      </c>
      <c r="C546" s="1" t="s">
        <v>2321</v>
      </c>
      <c r="D546" s="1" t="s">
        <v>2322</v>
      </c>
      <c r="E546">
        <f>_xll.BDP($C546,"DUR_ADJ_MID")</f>
        <v>1.2205538682188133</v>
      </c>
      <c r="F546">
        <f>_xll.BDP($C546,"OAS_SPREAD_DUR_MID")</f>
        <v>1.2203771396396603</v>
      </c>
      <c r="G546" t="str">
        <f>_xll.BDP($C546,"MATURITY")</f>
        <v>9/30/2027</v>
      </c>
      <c r="H546" t="str">
        <f>_xll.BDP($C546,"RTG_SP")</f>
        <v>#N/A N/A</v>
      </c>
    </row>
    <row r="547" spans="1:8" x14ac:dyDescent="0.25">
      <c r="A547" s="1" t="s">
        <v>200</v>
      </c>
      <c r="B547" s="1" t="s">
        <v>2323</v>
      </c>
      <c r="C547" s="1" t="s">
        <v>2324</v>
      </c>
      <c r="D547" s="1" t="s">
        <v>2325</v>
      </c>
      <c r="E547">
        <f>_xll.BDP($C547,"DUR_ADJ_MID")</f>
        <v>1.3007119328448402</v>
      </c>
      <c r="F547">
        <f>_xll.BDP($C547,"OAS_SPREAD_DUR_MID")</f>
        <v>1.3025137547384908</v>
      </c>
      <c r="G547" t="str">
        <f>_xll.BDP($C547,"MATURITY")</f>
        <v>10/31/2027</v>
      </c>
      <c r="H547" t="str">
        <f>_xll.BDP($C547,"RTG_SP")</f>
        <v>#N/A N/A</v>
      </c>
    </row>
    <row r="548" spans="1:8" x14ac:dyDescent="0.25">
      <c r="A548" s="1" t="s">
        <v>200</v>
      </c>
      <c r="B548" s="1" t="s">
        <v>2326</v>
      </c>
      <c r="C548" s="1" t="s">
        <v>2327</v>
      </c>
      <c r="D548" s="1" t="s">
        <v>2328</v>
      </c>
      <c r="E548">
        <f>_xll.BDP($C548,"DUR_ADJ_MID")</f>
        <v>1.3818767174029762</v>
      </c>
      <c r="F548">
        <f>_xll.BDP($C548,"OAS_SPREAD_DUR_MID")</f>
        <v>1.3820415140293618</v>
      </c>
      <c r="G548" t="str">
        <f>_xll.BDP($C548,"MATURITY")</f>
        <v>11/30/2027</v>
      </c>
      <c r="H548" t="str">
        <f>_xll.BDP($C548,"RTG_SP")</f>
        <v>#N/A N/A</v>
      </c>
    </row>
    <row r="549" spans="1:8" x14ac:dyDescent="0.25">
      <c r="A549" s="1" t="s">
        <v>200</v>
      </c>
      <c r="B549" s="1" t="s">
        <v>2329</v>
      </c>
      <c r="C549" s="1" t="s">
        <v>2330</v>
      </c>
      <c r="D549" s="1" t="s">
        <v>2331</v>
      </c>
      <c r="E549">
        <f>_xll.BDP($C549,"DUR_ADJ_MID")</f>
        <v>1.4621389281206694</v>
      </c>
      <c r="F549">
        <f>_xll.BDP($C549,"OAS_SPREAD_DUR_MID")</f>
        <v>1.4651859217561931</v>
      </c>
      <c r="G549" t="str">
        <f>_xll.BDP($C549,"MATURITY")</f>
        <v>12/31/2027</v>
      </c>
      <c r="H549" t="str">
        <f>_xll.BDP($C549,"RTG_SP")</f>
        <v>#N/A N/A</v>
      </c>
    </row>
    <row r="550" spans="1:8" x14ac:dyDescent="0.25">
      <c r="A550" s="1" t="s">
        <v>200</v>
      </c>
      <c r="B550" s="1" t="s">
        <v>2332</v>
      </c>
      <c r="C550" s="1" t="s">
        <v>2333</v>
      </c>
      <c r="D550" s="1" t="s">
        <v>2334</v>
      </c>
      <c r="E550">
        <f>_xll.BDP($C550,"DUR_ADJ_MID")</f>
        <v>1.5392857358353427</v>
      </c>
      <c r="F550">
        <f>_xll.BDP($C550,"OAS_SPREAD_DUR_MID")</f>
        <v>1.5415987625945768</v>
      </c>
      <c r="G550" t="str">
        <f>_xll.BDP($C550,"MATURITY")</f>
        <v>1/31/2028</v>
      </c>
      <c r="H550" t="str">
        <f>_xll.BDP($C550,"RTG_SP")</f>
        <v>#N/A N/A</v>
      </c>
    </row>
    <row r="551" spans="1:8" x14ac:dyDescent="0.25">
      <c r="A551" s="1" t="s">
        <v>200</v>
      </c>
      <c r="B551" s="1" t="s">
        <v>2335</v>
      </c>
      <c r="C551" s="1" t="s">
        <v>2336</v>
      </c>
      <c r="D551" s="1" t="s">
        <v>2337</v>
      </c>
      <c r="E551">
        <f>_xll.BDP($C551,"DUR_ADJ_MID")</f>
        <v>1.6149959989629963</v>
      </c>
      <c r="F551">
        <f>_xll.BDP($C551,"OAS_SPREAD_DUR_MID")</f>
        <v>1.6138493433064378</v>
      </c>
      <c r="G551" t="str">
        <f>_xll.BDP($C551,"MATURITY")</f>
        <v>2/29/2028</v>
      </c>
      <c r="H551" t="str">
        <f>_xll.BDP($C551,"RTG_SP")</f>
        <v>#N/A N/A</v>
      </c>
    </row>
    <row r="552" spans="1:8" x14ac:dyDescent="0.25">
      <c r="A552" s="1" t="s">
        <v>200</v>
      </c>
      <c r="B552" s="1" t="s">
        <v>2338</v>
      </c>
      <c r="C552" s="1" t="s">
        <v>2339</v>
      </c>
      <c r="D552" s="1" t="s">
        <v>2340</v>
      </c>
      <c r="E552">
        <f>_xll.BDP($C552,"DUR_ADJ_MID")</f>
        <v>1.6943042599410234</v>
      </c>
      <c r="F552">
        <f>_xll.BDP($C552,"OAS_SPREAD_DUR_MID")</f>
        <v>1.6951201887113359</v>
      </c>
      <c r="G552" t="str">
        <f>_xll.BDP($C552,"MATURITY")</f>
        <v>3/31/2028</v>
      </c>
      <c r="H552" t="str">
        <f>_xll.BDP($C552,"RTG_SP")</f>
        <v>#N/A N/A</v>
      </c>
    </row>
    <row r="553" spans="1:8" x14ac:dyDescent="0.25">
      <c r="A553" s="1" t="s">
        <v>200</v>
      </c>
      <c r="B553" s="1" t="s">
        <v>2341</v>
      </c>
      <c r="C553" s="1" t="s">
        <v>2342</v>
      </c>
      <c r="D553" s="1" t="s">
        <v>2343</v>
      </c>
      <c r="E553">
        <f>_xll.BDP($C553,"DUR_ADJ_MID")</f>
        <v>1.775559591131503</v>
      </c>
      <c r="F553">
        <f>_xll.BDP($C553,"OAS_SPREAD_DUR_MID")</f>
        <v>1.775657728394318</v>
      </c>
      <c r="G553" t="str">
        <f>_xll.BDP($C553,"MATURITY")</f>
        <v>4/30/2028</v>
      </c>
      <c r="H553" t="str">
        <f>_xll.BDP($C553,"RTG_SP")</f>
        <v>#N/A N/A</v>
      </c>
    </row>
    <row r="554" spans="1:8" x14ac:dyDescent="0.25">
      <c r="A554" s="1" t="s">
        <v>200</v>
      </c>
      <c r="B554" s="1" t="s">
        <v>2344</v>
      </c>
      <c r="C554" s="1" t="s">
        <v>2345</v>
      </c>
      <c r="D554" s="1" t="s">
        <v>2346</v>
      </c>
      <c r="E554">
        <f>_xll.BDP($C554,"DUR_ADJ_MID")</f>
        <v>1.857622362664245</v>
      </c>
      <c r="F554">
        <f>_xll.BDP($C554,"OAS_SPREAD_DUR_MID")</f>
        <v>1.8587778579605327</v>
      </c>
      <c r="G554" t="str">
        <f>_xll.BDP($C554,"MATURITY")</f>
        <v>5/31/2028</v>
      </c>
      <c r="H554" t="str">
        <f>_xll.BDP($C554,"RTG_SP")</f>
        <v>#N/A N/A</v>
      </c>
    </row>
    <row r="555" spans="1:8" x14ac:dyDescent="0.25">
      <c r="A555" s="1" t="s">
        <v>200</v>
      </c>
      <c r="B555" s="1" t="s">
        <v>2347</v>
      </c>
      <c r="C555" s="1" t="s">
        <v>2348</v>
      </c>
      <c r="D555" s="1" t="s">
        <v>2349</v>
      </c>
      <c r="E555">
        <f>_xll.BDP($C555,"DUR_ADJ_MID")</f>
        <v>1.9379041979610074</v>
      </c>
      <c r="F555">
        <f>_xll.BDP($C555,"OAS_SPREAD_DUR_MID")</f>
        <v>1.9392490529457047</v>
      </c>
      <c r="G555" t="str">
        <f>_xll.BDP($C555,"MATURITY")</f>
        <v>6/30/2028</v>
      </c>
      <c r="H555" t="str">
        <f>_xll.BDP($C555,"RTG_SP")</f>
        <v>#N/A N/A</v>
      </c>
    </row>
    <row r="556" spans="1:8" x14ac:dyDescent="0.25">
      <c r="A556" s="1" t="s">
        <v>200</v>
      </c>
      <c r="B556" s="1" t="s">
        <v>2350</v>
      </c>
      <c r="C556" s="1" t="s">
        <v>2351</v>
      </c>
      <c r="D556" s="1" t="s">
        <v>2352</v>
      </c>
      <c r="E556">
        <f>_xll.BDP($C556,"DUR_ADJ_MID")</f>
        <v>2.01521348131944</v>
      </c>
      <c r="F556">
        <f>_xll.BDP($C556,"OAS_SPREAD_DUR_MID")</f>
        <v>2.0158307909996114</v>
      </c>
      <c r="G556" t="str">
        <f>_xll.BDP($C556,"MATURITY")</f>
        <v>7/31/2028</v>
      </c>
      <c r="H556" t="str">
        <f>_xll.BDP($C556,"RTG_SP")</f>
        <v>#N/A N/A</v>
      </c>
    </row>
    <row r="557" spans="1:8" x14ac:dyDescent="0.25">
      <c r="A557" s="1" t="s">
        <v>200</v>
      </c>
      <c r="B557" s="1" t="s">
        <v>2353</v>
      </c>
      <c r="C557" s="1" t="s">
        <v>2354</v>
      </c>
      <c r="D557" s="1" t="s">
        <v>2355</v>
      </c>
      <c r="E557">
        <f>_xll.BDP($C557,"DUR_ADJ_MID")</f>
        <v>2.0932938181588034</v>
      </c>
      <c r="F557">
        <f>_xll.BDP($C557,"OAS_SPREAD_DUR_MID")</f>
        <v>2.0958108965771296</v>
      </c>
      <c r="G557" t="str">
        <f>_xll.BDP($C557,"MATURITY")</f>
        <v>8/31/2028</v>
      </c>
      <c r="H557" t="str">
        <f>_xll.BDP($C557,"RTG_SP")</f>
        <v>#N/A N/A</v>
      </c>
    </row>
    <row r="558" spans="1:8" x14ac:dyDescent="0.25">
      <c r="A558" s="1" t="s">
        <v>200</v>
      </c>
      <c r="B558" s="1" t="s">
        <v>2356</v>
      </c>
      <c r="C558" s="1" t="s">
        <v>2357</v>
      </c>
      <c r="D558" s="1" t="s">
        <v>2358</v>
      </c>
      <c r="E558">
        <f>_xll.BDP($C558,"DUR_ADJ_MID")</f>
        <v>2.171419550968277</v>
      </c>
      <c r="F558">
        <f>_xll.BDP($C558,"OAS_SPREAD_DUR_MID")</f>
        <v>2.1732214872793421</v>
      </c>
      <c r="G558" t="str">
        <f>_xll.BDP($C558,"MATURITY")</f>
        <v>9/30/2028</v>
      </c>
      <c r="H558" t="str">
        <f>_xll.BDP($C558,"RTG_SP")</f>
        <v>#N/A N/A</v>
      </c>
    </row>
    <row r="559" spans="1:8" x14ac:dyDescent="0.25">
      <c r="A559" s="1" t="s">
        <v>200</v>
      </c>
      <c r="B559" s="1" t="s">
        <v>2359</v>
      </c>
      <c r="C559" s="1" t="s">
        <v>2360</v>
      </c>
      <c r="D559" s="1" t="s">
        <v>2361</v>
      </c>
      <c r="E559">
        <f>_xll.BDP($C559,"DUR_ADJ_MID")</f>
        <v>2.2494929084455015</v>
      </c>
      <c r="F559">
        <f>_xll.BDP($C559,"OAS_SPREAD_DUR_MID")</f>
        <v>2.2532335600256022</v>
      </c>
      <c r="G559" t="str">
        <f>_xll.BDP($C559,"MATURITY")</f>
        <v>10/31/2028</v>
      </c>
      <c r="H559" t="str">
        <f>_xll.BDP($C559,"RTG_SP")</f>
        <v>#N/A N/A</v>
      </c>
    </row>
    <row r="560" spans="1:8" x14ac:dyDescent="0.25">
      <c r="A560" s="1" t="s">
        <v>200</v>
      </c>
      <c r="B560" s="1" t="s">
        <v>2362</v>
      </c>
      <c r="C560" s="1" t="s">
        <v>2363</v>
      </c>
      <c r="D560" s="1" t="s">
        <v>2364</v>
      </c>
      <c r="E560">
        <f>_xll.BDP($C560,"DUR_ADJ_MID")</f>
        <v>2.3286169339820399</v>
      </c>
      <c r="F560">
        <f>_xll.BDP($C560,"OAS_SPREAD_DUR_MID")</f>
        <v>2.3307441482640878</v>
      </c>
      <c r="G560" t="str">
        <f>_xll.BDP($C560,"MATURITY")</f>
        <v>11/30/2028</v>
      </c>
      <c r="H560" t="str">
        <f>_xll.BDP($C560,"RTG_SP")</f>
        <v>#N/A N/A</v>
      </c>
    </row>
    <row r="561" spans="1:8" x14ac:dyDescent="0.25">
      <c r="A561" s="1" t="s">
        <v>200</v>
      </c>
      <c r="B561" s="1" t="s">
        <v>2365</v>
      </c>
      <c r="C561" s="1" t="s">
        <v>2366</v>
      </c>
      <c r="D561" s="1" t="s">
        <v>2367</v>
      </c>
      <c r="E561">
        <f>_xll.BDP($C561,"DUR_ADJ_MID")</f>
        <v>2.411887263287201</v>
      </c>
      <c r="F561">
        <f>_xll.BDP($C561,"OAS_SPREAD_DUR_MID")</f>
        <v>2.4168769622110076</v>
      </c>
      <c r="G561" t="str">
        <f>_xll.BDP($C561,"MATURITY")</f>
        <v>12/31/2028</v>
      </c>
      <c r="H561" t="str">
        <f>_xll.BDP($C561,"RTG_SP")</f>
        <v>#N/A N/A</v>
      </c>
    </row>
    <row r="562" spans="1:8" x14ac:dyDescent="0.25">
      <c r="A562" s="1" t="s">
        <v>200</v>
      </c>
      <c r="B562" s="1" t="s">
        <v>2368</v>
      </c>
      <c r="C562" s="1" t="s">
        <v>2369</v>
      </c>
      <c r="D562" s="1" t="s">
        <v>2370</v>
      </c>
      <c r="E562">
        <f>_xll.BDP($C562,"DUR_ADJ_MID")</f>
        <v>2.4645391624539008</v>
      </c>
      <c r="F562">
        <f>_xll.BDP($C562,"OAS_SPREAD_DUR_MID")</f>
        <v>2.4687240602600258</v>
      </c>
      <c r="G562" t="str">
        <f>_xll.BDP($C562,"MATURITY")</f>
        <v>1/31/2029</v>
      </c>
      <c r="H562" t="str">
        <f>_xll.BDP($C562,"RTG_SP")</f>
        <v>#N/A N/A</v>
      </c>
    </row>
    <row r="563" spans="1:8" x14ac:dyDescent="0.25">
      <c r="A563" s="1" t="s">
        <v>200</v>
      </c>
      <c r="B563" s="1" t="s">
        <v>2371</v>
      </c>
      <c r="C563" s="1" t="s">
        <v>2372</v>
      </c>
      <c r="D563" s="1" t="s">
        <v>2373</v>
      </c>
      <c r="E563">
        <f>_xll.BDP($C563,"DUR_ADJ_MID")</f>
        <v>2.5414771321192791</v>
      </c>
      <c r="F563">
        <f>_xll.BDP($C563,"OAS_SPREAD_DUR_MID")</f>
        <v>2.5396746921888576</v>
      </c>
      <c r="G563" t="str">
        <f>_xll.BDP($C563,"MATURITY")</f>
        <v>2/28/2029</v>
      </c>
      <c r="H563" t="str">
        <f>_xll.BDP($C563,"RTG_SP")</f>
        <v>#N/A N/A</v>
      </c>
    </row>
    <row r="564" spans="1:8" x14ac:dyDescent="0.25">
      <c r="A564" s="1" t="s">
        <v>200</v>
      </c>
      <c r="B564" s="1" t="s">
        <v>2374</v>
      </c>
      <c r="C564" s="1" t="s">
        <v>2375</v>
      </c>
      <c r="D564" s="1" t="s">
        <v>2376</v>
      </c>
      <c r="E564">
        <f>_xll.BDP($C564,"DUR_ADJ_MID")</f>
        <v>2.6052385643829057</v>
      </c>
      <c r="F564">
        <f>_xll.BDP($C564,"OAS_SPREAD_DUR_MID")</f>
        <v>2.6053408624007961</v>
      </c>
      <c r="G564" t="str">
        <f>_xll.BDP($C564,"MATURITY")</f>
        <v>3/31/2029</v>
      </c>
      <c r="H564" t="str">
        <f>_xll.BDP($C564,"RTG_SP")</f>
        <v>#N/A N/A</v>
      </c>
    </row>
    <row r="565" spans="1:8" x14ac:dyDescent="0.25">
      <c r="A565" s="1" t="s">
        <v>200</v>
      </c>
      <c r="B565" s="1" t="s">
        <v>2377</v>
      </c>
      <c r="C565" s="1" t="s">
        <v>2378</v>
      </c>
      <c r="D565" s="1" t="s">
        <v>2379</v>
      </c>
      <c r="E565">
        <f>_xll.BDP($C565,"DUR_ADJ_MID")</f>
        <v>2.6695397396145748</v>
      </c>
      <c r="F565">
        <f>_xll.BDP($C565,"OAS_SPREAD_DUR_MID")</f>
        <v>2.6689947731973547</v>
      </c>
      <c r="G565" t="str">
        <f>_xll.BDP($C565,"MATURITY")</f>
        <v>4/30/2029</v>
      </c>
      <c r="H565" t="str">
        <f>_xll.BDP($C565,"RTG_SP")</f>
        <v>#N/A N/A</v>
      </c>
    </row>
    <row r="566" spans="1:8" x14ac:dyDescent="0.25">
      <c r="A566" s="1" t="s">
        <v>200</v>
      </c>
      <c r="B566" s="1" t="s">
        <v>2380</v>
      </c>
      <c r="C566" s="1" t="s">
        <v>2381</v>
      </c>
      <c r="D566" s="1" t="s">
        <v>2382</v>
      </c>
      <c r="E566">
        <f>_xll.BDP($C566,"DUR_ADJ_MID")</f>
        <v>0.89057589465508191</v>
      </c>
      <c r="F566">
        <f>_xll.BDP($C566,"OAS_SPREAD_DUR_MID")</f>
        <v>0.88974097223093473</v>
      </c>
      <c r="G566" t="str">
        <f>_xll.BDP($C566,"MATURITY")</f>
        <v>5/31/2027</v>
      </c>
      <c r="H566" t="str">
        <f>_xll.BDP($C566,"RTG_SP")</f>
        <v>#N/A N/A</v>
      </c>
    </row>
    <row r="567" spans="1:8" x14ac:dyDescent="0.25">
      <c r="A567" s="1" t="s">
        <v>200</v>
      </c>
      <c r="B567" s="1" t="s">
        <v>2383</v>
      </c>
      <c r="C567" s="1" t="s">
        <v>2384</v>
      </c>
      <c r="D567" s="1" t="s">
        <v>2385</v>
      </c>
      <c r="E567">
        <f>_xll.BDP($C567,"DUR_ADJ_MID")</f>
        <v>0.96938322679098154</v>
      </c>
      <c r="F567">
        <f>_xll.BDP($C567,"OAS_SPREAD_DUR_MID")</f>
        <v>0.96875332661496627</v>
      </c>
      <c r="G567" t="str">
        <f>_xll.BDP($C567,"MATURITY")</f>
        <v>6/30/2027</v>
      </c>
      <c r="H567" t="str">
        <f>_xll.BDP($C567,"RTG_SP")</f>
        <v>#N/A N/A</v>
      </c>
    </row>
    <row r="568" spans="1:8" x14ac:dyDescent="0.25">
      <c r="A568" s="1" t="s">
        <v>200</v>
      </c>
      <c r="B568" s="1" t="s">
        <v>2386</v>
      </c>
      <c r="C568" s="1" t="s">
        <v>2387</v>
      </c>
      <c r="D568" s="1" t="s">
        <v>2388</v>
      </c>
      <c r="E568">
        <f>_xll.BDP($C568,"DUR_ADJ_MID")</f>
        <v>1.0409375694922378</v>
      </c>
      <c r="F568">
        <f>_xll.BDP($C568,"OAS_SPREAD_DUR_MID")</f>
        <v>1.0395827824774737</v>
      </c>
      <c r="G568" t="str">
        <f>_xll.BDP($C568,"MATURITY")</f>
        <v>7/31/2027</v>
      </c>
      <c r="H568" t="str">
        <f>_xll.BDP($C568,"RTG_SP")</f>
        <v>#N/A N/A</v>
      </c>
    </row>
    <row r="569" spans="1:8" x14ac:dyDescent="0.25">
      <c r="A569" s="1" t="s">
        <v>200</v>
      </c>
      <c r="B569" s="1" t="s">
        <v>2389</v>
      </c>
      <c r="C569" s="1" t="s">
        <v>2390</v>
      </c>
      <c r="D569" s="1" t="s">
        <v>2391</v>
      </c>
      <c r="E569">
        <f>_xll.BDP($C569,"DUR_ADJ_MID")</f>
        <v>1.1195654142558387</v>
      </c>
      <c r="F569">
        <f>_xll.BDP($C569,"OAS_SPREAD_DUR_MID")</f>
        <v>1.1200742536489483</v>
      </c>
      <c r="G569" t="str">
        <f>_xll.BDP($C569,"MATURITY")</f>
        <v>8/31/2027</v>
      </c>
      <c r="H569" t="str">
        <f>_xll.BDP($C569,"RTG_SP")</f>
        <v>#N/A N/A</v>
      </c>
    </row>
    <row r="570" spans="1:8" x14ac:dyDescent="0.25">
      <c r="A570" s="1" t="s">
        <v>200</v>
      </c>
      <c r="B570" s="1" t="s">
        <v>2392</v>
      </c>
      <c r="C570" s="1" t="s">
        <v>2393</v>
      </c>
      <c r="D570" s="1" t="s">
        <v>2394</v>
      </c>
      <c r="E570">
        <f>_xll.BDP($C570,"DUR_ADJ_MID")</f>
        <v>1.1938886915578193</v>
      </c>
      <c r="F570">
        <f>_xll.BDP($C570,"OAS_SPREAD_DUR_MID")</f>
        <v>1.1936908548607905</v>
      </c>
      <c r="G570" t="str">
        <f>_xll.BDP($C570,"MATURITY")</f>
        <v>9/30/2027</v>
      </c>
      <c r="H570" t="str">
        <f>_xll.BDP($C570,"RTG_SP")</f>
        <v>#N/A N/A</v>
      </c>
    </row>
    <row r="571" spans="1:8" x14ac:dyDescent="0.25">
      <c r="A571" s="1" t="s">
        <v>200</v>
      </c>
      <c r="B571" s="1" t="s">
        <v>2395</v>
      </c>
      <c r="C571" s="1" t="s">
        <v>2396</v>
      </c>
      <c r="D571" s="1" t="s">
        <v>2397</v>
      </c>
      <c r="E571">
        <f>_xll.BDP($C571,"DUR_ADJ_MID")</f>
        <v>1.2749606639797395</v>
      </c>
      <c r="F571">
        <f>_xll.BDP($C571,"OAS_SPREAD_DUR_MID")</f>
        <v>1.276692181935478</v>
      </c>
      <c r="G571" t="str">
        <f>_xll.BDP($C571,"MATURITY")</f>
        <v>10/31/2027</v>
      </c>
      <c r="H571" t="str">
        <f>_xll.BDP($C571,"RTG_SP")</f>
        <v>#N/A N/A</v>
      </c>
    </row>
    <row r="572" spans="1:8" x14ac:dyDescent="0.25">
      <c r="A572" s="1" t="s">
        <v>200</v>
      </c>
      <c r="B572" s="1" t="s">
        <v>2398</v>
      </c>
      <c r="C572" s="1" t="s">
        <v>2399</v>
      </c>
      <c r="D572" s="1" t="s">
        <v>2400</v>
      </c>
      <c r="E572">
        <f>_xll.BDP($C572,"DUR_ADJ_MID")</f>
        <v>1.3587757343636753</v>
      </c>
      <c r="F572">
        <f>_xll.BDP($C572,"OAS_SPREAD_DUR_MID")</f>
        <v>1.3589200176769198</v>
      </c>
      <c r="G572" t="str">
        <f>_xll.BDP($C572,"MATURITY")</f>
        <v>11/30/2027</v>
      </c>
      <c r="H572" t="str">
        <f>_xll.BDP($C572,"RTG_SP")</f>
        <v>#N/A N/A</v>
      </c>
    </row>
    <row r="573" spans="1:8" x14ac:dyDescent="0.25">
      <c r="A573" s="1" t="s">
        <v>200</v>
      </c>
      <c r="B573" s="1" t="s">
        <v>2401</v>
      </c>
      <c r="C573" s="1" t="s">
        <v>2402</v>
      </c>
      <c r="D573" s="1" t="s">
        <v>2403</v>
      </c>
      <c r="E573">
        <f>_xll.BDP($C573,"DUR_ADJ_MID")</f>
        <v>1.4390258487247696</v>
      </c>
      <c r="F573">
        <f>_xll.BDP($C573,"OAS_SPREAD_DUR_MID")</f>
        <v>1.4420099661507071</v>
      </c>
      <c r="G573" t="str">
        <f>_xll.BDP($C573,"MATURITY")</f>
        <v>12/31/2027</v>
      </c>
      <c r="H573" t="str">
        <f>_xll.BDP($C573,"RTG_SP")</f>
        <v>#N/A N/A</v>
      </c>
    </row>
    <row r="574" spans="1:8" x14ac:dyDescent="0.25">
      <c r="A574" s="1" t="s">
        <v>200</v>
      </c>
      <c r="B574" s="1" t="s">
        <v>2404</v>
      </c>
      <c r="C574" s="1" t="s">
        <v>2405</v>
      </c>
      <c r="D574" s="1" t="s">
        <v>2406</v>
      </c>
      <c r="E574">
        <f>_xll.BDP($C574,"DUR_ADJ_MID")</f>
        <v>1.5003160329990366</v>
      </c>
      <c r="F574">
        <f>_xll.BDP($C574,"OAS_SPREAD_DUR_MID")</f>
        <v>1.5025263393992099</v>
      </c>
      <c r="G574" t="str">
        <f>_xll.BDP($C574,"MATURITY")</f>
        <v>1/31/2028</v>
      </c>
      <c r="H574" t="str">
        <f>_xll.BDP($C574,"RTG_SP")</f>
        <v>#N/A N/A</v>
      </c>
    </row>
    <row r="575" spans="1:8" x14ac:dyDescent="0.25">
      <c r="A575" s="1" t="s">
        <v>200</v>
      </c>
      <c r="B575" s="1" t="s">
        <v>2407</v>
      </c>
      <c r="C575" s="1" t="s">
        <v>2408</v>
      </c>
      <c r="D575" s="1" t="s">
        <v>2409</v>
      </c>
      <c r="E575">
        <f>_xll.BDP($C575,"DUR_ADJ_MID")</f>
        <v>1.5749758673834822</v>
      </c>
      <c r="F575">
        <f>_xll.BDP($C575,"OAS_SPREAD_DUR_MID")</f>
        <v>1.5738288355611192</v>
      </c>
      <c r="G575" t="str">
        <f>_xll.BDP($C575,"MATURITY")</f>
        <v>2/29/2028</v>
      </c>
      <c r="H575" t="str">
        <f>_xll.BDP($C575,"RTG_SP")</f>
        <v>#N/A N/A</v>
      </c>
    </row>
    <row r="576" spans="1:8" x14ac:dyDescent="0.25">
      <c r="A576" s="1" t="s">
        <v>200</v>
      </c>
      <c r="B576" s="1" t="s">
        <v>2410</v>
      </c>
      <c r="C576" s="1" t="s">
        <v>2411</v>
      </c>
      <c r="D576" s="1" t="s">
        <v>2412</v>
      </c>
      <c r="E576">
        <f>_xll.BDP($C576,"DUR_ADJ_MID")</f>
        <v>1.6610474059104914</v>
      </c>
      <c r="F576">
        <f>_xll.BDP($C576,"OAS_SPREAD_DUR_MID")</f>
        <v>1.6617968720037255</v>
      </c>
      <c r="G576" t="str">
        <f>_xll.BDP($C576,"MATURITY")</f>
        <v>3/31/2028</v>
      </c>
      <c r="H576" t="str">
        <f>_xll.BDP($C576,"RTG_SP")</f>
        <v>#N/A N/A</v>
      </c>
    </row>
    <row r="577" spans="1:8" x14ac:dyDescent="0.25">
      <c r="A577" s="1" t="s">
        <v>200</v>
      </c>
      <c r="B577" s="1" t="s">
        <v>2413</v>
      </c>
      <c r="C577" s="1" t="s">
        <v>2414</v>
      </c>
      <c r="D577" s="1" t="s">
        <v>2415</v>
      </c>
      <c r="E577">
        <f>_xll.BDP($C577,"DUR_ADJ_MID")</f>
        <v>1.7439526064203366</v>
      </c>
      <c r="F577">
        <f>_xll.BDP($C577,"OAS_SPREAD_DUR_MID")</f>
        <v>1.7440451626235369</v>
      </c>
      <c r="G577" t="str">
        <f>_xll.BDP($C577,"MATURITY")</f>
        <v>4/30/2028</v>
      </c>
      <c r="H577" t="str">
        <f>_xll.BDP($C577,"RTG_SP")</f>
        <v>#N/A N/A</v>
      </c>
    </row>
    <row r="578" spans="1:8" x14ac:dyDescent="0.25">
      <c r="A578" s="1" t="s">
        <v>200</v>
      </c>
      <c r="B578" s="1" t="s">
        <v>2416</v>
      </c>
      <c r="C578" s="1" t="s">
        <v>2417</v>
      </c>
      <c r="D578" s="1" t="s">
        <v>2418</v>
      </c>
      <c r="E578">
        <f>_xll.BDP($C578,"DUR_ADJ_MID")</f>
        <v>1.8244088122386606</v>
      </c>
      <c r="F578">
        <f>_xll.BDP($C578,"OAS_SPREAD_DUR_MID")</f>
        <v>1.8254930385568311</v>
      </c>
      <c r="G578" t="str">
        <f>_xll.BDP($C578,"MATURITY")</f>
        <v>5/31/2028</v>
      </c>
      <c r="H578" t="str">
        <f>_xll.BDP($C578,"RTG_SP")</f>
        <v>#N/A N/A</v>
      </c>
    </row>
    <row r="579" spans="1:8" x14ac:dyDescent="0.25">
      <c r="A579" s="1" t="s">
        <v>200</v>
      </c>
      <c r="B579" s="1" t="s">
        <v>2419</v>
      </c>
      <c r="C579" s="1" t="s">
        <v>2420</v>
      </c>
      <c r="D579" s="1" t="s">
        <v>2421</v>
      </c>
      <c r="E579">
        <f>_xll.BDP($C579,"DUR_ADJ_MID")</f>
        <v>1.8997491832750384</v>
      </c>
      <c r="F579">
        <f>_xll.BDP($C579,"OAS_SPREAD_DUR_MID")</f>
        <v>1.9010850189337436</v>
      </c>
      <c r="G579" t="str">
        <f>_xll.BDP($C579,"MATURITY")</f>
        <v>6/30/2028</v>
      </c>
      <c r="H579" t="str">
        <f>_xll.BDP($C579,"RTG_SP")</f>
        <v>#N/A N/A</v>
      </c>
    </row>
    <row r="580" spans="1:8" x14ac:dyDescent="0.25">
      <c r="A580" s="1" t="s">
        <v>200</v>
      </c>
      <c r="B580" s="1" t="s">
        <v>2422</v>
      </c>
      <c r="C580" s="1" t="s">
        <v>2423</v>
      </c>
      <c r="D580" s="1" t="s">
        <v>2424</v>
      </c>
      <c r="E580">
        <f>_xll.BDP($C580,"DUR_ADJ_MID")</f>
        <v>1.9435644864075803</v>
      </c>
      <c r="F580">
        <f>_xll.BDP($C580,"OAS_SPREAD_DUR_MID")</f>
        <v>1.9441387743056204</v>
      </c>
      <c r="G580" t="str">
        <f>_xll.BDP($C580,"MATURITY")</f>
        <v>7/31/2028</v>
      </c>
      <c r="H580" t="str">
        <f>_xll.BDP($C580,"RTG_SP")</f>
        <v>#N/A N/A</v>
      </c>
    </row>
    <row r="581" spans="1:8" x14ac:dyDescent="0.25">
      <c r="A581" s="1" t="s">
        <v>200</v>
      </c>
      <c r="B581" s="1" t="s">
        <v>2425</v>
      </c>
      <c r="C581" s="1" t="s">
        <v>2426</v>
      </c>
      <c r="D581" s="1" t="s">
        <v>2427</v>
      </c>
      <c r="E581">
        <f>_xll.BDP($C581,"DUR_ADJ_MID")</f>
        <v>2.0194395890539005</v>
      </c>
      <c r="F581">
        <f>_xll.BDP($C581,"OAS_SPREAD_DUR_MID")</f>
        <v>2.0216965145753725</v>
      </c>
      <c r="G581" t="str">
        <f>_xll.BDP($C581,"MATURITY")</f>
        <v>8/31/2028</v>
      </c>
      <c r="H581" t="str">
        <f>_xll.BDP($C581,"RTG_SP")</f>
        <v>#N/A N/A</v>
      </c>
    </row>
    <row r="582" spans="1:8" x14ac:dyDescent="0.25">
      <c r="A582" s="1" t="s">
        <v>200</v>
      </c>
      <c r="B582" s="1" t="s">
        <v>2428</v>
      </c>
      <c r="C582" s="1" t="s">
        <v>2429</v>
      </c>
      <c r="D582" s="1" t="s">
        <v>2430</v>
      </c>
      <c r="E582">
        <f>_xll.BDP($C582,"DUR_ADJ_MID")</f>
        <v>2.0954071568433683</v>
      </c>
      <c r="F582">
        <f>_xll.BDP($C582,"OAS_SPREAD_DUR_MID")</f>
        <v>2.0970211133510475</v>
      </c>
      <c r="G582" t="str">
        <f>_xll.BDP($C582,"MATURITY")</f>
        <v>9/30/2028</v>
      </c>
      <c r="H582" t="str">
        <f>_xll.BDP($C582,"RTG_SP")</f>
        <v>#N/A N/A</v>
      </c>
    </row>
    <row r="583" spans="1:8" x14ac:dyDescent="0.25">
      <c r="A583" s="1" t="s">
        <v>200</v>
      </c>
      <c r="B583" s="1" t="s">
        <v>2431</v>
      </c>
      <c r="C583" s="1" t="s">
        <v>2432</v>
      </c>
      <c r="D583" s="1" t="s">
        <v>2433</v>
      </c>
      <c r="E583">
        <f>_xll.BDP($C583,"DUR_ADJ_MID")</f>
        <v>2.1713666477430249</v>
      </c>
      <c r="F583">
        <f>_xll.BDP($C583,"OAS_SPREAD_DUR_MID")</f>
        <v>2.1748267367357301</v>
      </c>
      <c r="G583" t="str">
        <f>_xll.BDP($C583,"MATURITY")</f>
        <v>10/31/2028</v>
      </c>
      <c r="H583" t="str">
        <f>_xll.BDP($C583,"RTG_SP")</f>
        <v>#N/A N/A</v>
      </c>
    </row>
    <row r="584" spans="1:8" x14ac:dyDescent="0.25">
      <c r="A584" s="1" t="s">
        <v>200</v>
      </c>
      <c r="B584" s="1" t="s">
        <v>2434</v>
      </c>
      <c r="C584" s="1" t="s">
        <v>2435</v>
      </c>
      <c r="D584" s="1" t="s">
        <v>2436</v>
      </c>
      <c r="E584">
        <f>_xll.BDP($C584,"DUR_ADJ_MID")</f>
        <v>2.2638334426817566</v>
      </c>
      <c r="F584">
        <f>_xll.BDP($C584,"OAS_SPREAD_DUR_MID")</f>
        <v>2.2657976138482319</v>
      </c>
      <c r="G584" t="str">
        <f>_xll.BDP($C584,"MATURITY")</f>
        <v>11/30/2028</v>
      </c>
      <c r="H584" t="str">
        <f>_xll.BDP($C584,"RTG_SP")</f>
        <v>#N/A N/A</v>
      </c>
    </row>
    <row r="585" spans="1:8" x14ac:dyDescent="0.25">
      <c r="A585" s="1" t="s">
        <v>200</v>
      </c>
      <c r="B585" s="1" t="s">
        <v>2437</v>
      </c>
      <c r="C585" s="1" t="s">
        <v>2438</v>
      </c>
      <c r="D585" s="1" t="s">
        <v>2439</v>
      </c>
      <c r="E585">
        <f>_xll.BDP($C585,"DUR_ADJ_MID")</f>
        <v>2.3574404785941887</v>
      </c>
      <c r="F585">
        <f>_xll.BDP($C585,"OAS_SPREAD_DUR_MID")</f>
        <v>2.3622362975793045</v>
      </c>
      <c r="G585" t="str">
        <f>_xll.BDP($C585,"MATURITY")</f>
        <v>12/31/2028</v>
      </c>
      <c r="H585" t="str">
        <f>_xll.BDP($C585,"RTG_SP")</f>
        <v>#N/A N/A</v>
      </c>
    </row>
    <row r="586" spans="1:8" x14ac:dyDescent="0.25">
      <c r="A586" s="1" t="s">
        <v>200</v>
      </c>
      <c r="B586" s="1" t="s">
        <v>2440</v>
      </c>
      <c r="C586" s="1" t="s">
        <v>2441</v>
      </c>
      <c r="D586" s="1" t="s">
        <v>2442</v>
      </c>
      <c r="E586">
        <f>_xll.BDP($C586,"DUR_ADJ_MID")</f>
        <v>2.3895639536395081</v>
      </c>
      <c r="F586">
        <f>_xll.BDP($C586,"OAS_SPREAD_DUR_MID")</f>
        <v>2.3935085726387246</v>
      </c>
      <c r="G586" t="str">
        <f>_xll.BDP($C586,"MATURITY")</f>
        <v>1/31/2029</v>
      </c>
      <c r="H586" t="str">
        <f>_xll.BDP($C586,"RTG_SP")</f>
        <v>#N/A N/A</v>
      </c>
    </row>
    <row r="587" spans="1:8" x14ac:dyDescent="0.25">
      <c r="A587" s="1" t="s">
        <v>200</v>
      </c>
      <c r="B587" s="1" t="s">
        <v>2443</v>
      </c>
      <c r="C587" s="1" t="s">
        <v>2444</v>
      </c>
      <c r="D587" s="1" t="s">
        <v>2445</v>
      </c>
      <c r="E587">
        <f>_xll.BDP($C587,"DUR_ADJ_MID")</f>
        <v>2.4631361166917136</v>
      </c>
      <c r="F587">
        <f>_xll.BDP($C587,"OAS_SPREAD_DUR_MID")</f>
        <v>2.4613662209068057</v>
      </c>
      <c r="G587" t="str">
        <f>_xll.BDP($C587,"MATURITY")</f>
        <v>2/28/2029</v>
      </c>
      <c r="H587" t="str">
        <f>_xll.BDP($C587,"RTG_SP")</f>
        <v>#N/A N/A</v>
      </c>
    </row>
    <row r="588" spans="1:8" x14ac:dyDescent="0.25">
      <c r="A588" s="1" t="s">
        <v>200</v>
      </c>
      <c r="B588" s="1" t="s">
        <v>2446</v>
      </c>
      <c r="C588" s="1" t="s">
        <v>2447</v>
      </c>
      <c r="D588" s="1" t="s">
        <v>2448</v>
      </c>
      <c r="E588">
        <f>_xll.BDP($C588,"DUR_ADJ_MID")</f>
        <v>2.5481548324681995</v>
      </c>
      <c r="F588">
        <f>_xll.BDP($C588,"OAS_SPREAD_DUR_MID")</f>
        <v>2.5482144922526873</v>
      </c>
      <c r="G588" t="str">
        <f>_xll.BDP($C588,"MATURITY")</f>
        <v>3/31/2029</v>
      </c>
      <c r="H588" t="str">
        <f>_xll.BDP($C588,"RTG_SP")</f>
        <v>#N/A N/A</v>
      </c>
    </row>
    <row r="589" spans="1:8" x14ac:dyDescent="0.25">
      <c r="A589" s="1" t="s">
        <v>200</v>
      </c>
      <c r="B589" s="1" t="s">
        <v>2449</v>
      </c>
      <c r="C589" s="1" t="s">
        <v>2450</v>
      </c>
      <c r="D589" s="1" t="s">
        <v>2451</v>
      </c>
      <c r="E589">
        <f>_xll.BDP($C589,"DUR_ADJ_MID")</f>
        <v>2.6140839227950905</v>
      </c>
      <c r="F589">
        <f>_xll.BDP($C589,"OAS_SPREAD_DUR_MID")</f>
        <v>2.61356043319303</v>
      </c>
      <c r="G589" t="str">
        <f>_xll.BDP($C589,"MATURITY")</f>
        <v>4/30/2029</v>
      </c>
      <c r="H589" t="str">
        <f>_xll.BDP($C589,"RTG_SP")</f>
        <v>#N/A N/A</v>
      </c>
    </row>
    <row r="590" spans="1:8" x14ac:dyDescent="0.25">
      <c r="A590" s="1" t="s">
        <v>200</v>
      </c>
      <c r="B590" s="1" t="s">
        <v>2452</v>
      </c>
      <c r="C590" s="1" t="s">
        <v>2453</v>
      </c>
      <c r="D590" s="1" t="s">
        <v>2454</v>
      </c>
      <c r="E590">
        <f>_xll.BDP($C590,"DUR_ADJ_MID")</f>
        <v>0.9260602704476969</v>
      </c>
      <c r="F590">
        <f>_xll.BDP($C590,"OAS_SPREAD_DUR_MID")</f>
        <v>0.92532556534196786</v>
      </c>
      <c r="G590" t="str">
        <f>_xll.BDP($C590,"MATURITY")</f>
        <v>6/15/2027</v>
      </c>
      <c r="H590" t="str">
        <f>_xll.BDP($C590,"RTG_SP")</f>
        <v>#N/A N/A</v>
      </c>
    </row>
    <row r="591" spans="1:8" x14ac:dyDescent="0.25">
      <c r="A591" s="1" t="s">
        <v>200</v>
      </c>
      <c r="B591" s="1" t="s">
        <v>2455</v>
      </c>
      <c r="C591" s="1" t="s">
        <v>2456</v>
      </c>
      <c r="D591" s="1" t="s">
        <v>2457</v>
      </c>
      <c r="E591">
        <f>_xll.BDP($C591,"DUR_ADJ_MID")</f>
        <v>0.98662668604042558</v>
      </c>
      <c r="F591">
        <f>_xll.BDP($C591,"OAS_SPREAD_DUR_MID")</f>
        <v>0.98570299902423519</v>
      </c>
      <c r="G591" t="str">
        <f>_xll.BDP($C591,"MATURITY")</f>
        <v>7/15/2027</v>
      </c>
      <c r="H591" t="str">
        <f>_xll.BDP($C591,"RTG_SP")</f>
        <v>#N/A N/A</v>
      </c>
    </row>
    <row r="592" spans="1:8" x14ac:dyDescent="0.25">
      <c r="A592" s="1" t="s">
        <v>200</v>
      </c>
      <c r="B592" s="1" t="s">
        <v>2458</v>
      </c>
      <c r="C592" s="1" t="s">
        <v>2459</v>
      </c>
      <c r="D592" s="1" t="s">
        <v>2460</v>
      </c>
      <c r="E592">
        <f>_xll.BDP($C592,"DUR_ADJ_MID")</f>
        <v>1.0746125362732117</v>
      </c>
      <c r="F592">
        <f>_xll.BDP($C592,"OAS_SPREAD_DUR_MID")</f>
        <v>1.0729099642704276</v>
      </c>
      <c r="G592" t="str">
        <f>_xll.BDP($C592,"MATURITY")</f>
        <v>8/15/2027</v>
      </c>
      <c r="H592" t="str">
        <f>_xll.BDP($C592,"RTG_SP")</f>
        <v>#N/A N/A</v>
      </c>
    </row>
    <row r="593" spans="1:8" x14ac:dyDescent="0.25">
      <c r="A593" s="1" t="s">
        <v>200</v>
      </c>
      <c r="B593" s="1" t="s">
        <v>2461</v>
      </c>
      <c r="C593" s="1" t="s">
        <v>2462</v>
      </c>
      <c r="D593" s="1" t="s">
        <v>2463</v>
      </c>
      <c r="E593">
        <f>_xll.BDP($C593,"DUR_ADJ_MID")</f>
        <v>1.1577267854484614</v>
      </c>
      <c r="F593">
        <f>_xll.BDP($C593,"OAS_SPREAD_DUR_MID")</f>
        <v>1.1585373373722367</v>
      </c>
      <c r="G593" t="str">
        <f>_xll.BDP($C593,"MATURITY")</f>
        <v>9/15/2027</v>
      </c>
      <c r="H593" t="str">
        <f>_xll.BDP($C593,"RTG_SP")</f>
        <v>#N/A N/A</v>
      </c>
    </row>
    <row r="594" spans="1:8" x14ac:dyDescent="0.25">
      <c r="A594" s="1" t="s">
        <v>200</v>
      </c>
      <c r="B594" s="1" t="s">
        <v>2464</v>
      </c>
      <c r="C594" s="1" t="s">
        <v>2465</v>
      </c>
      <c r="D594" s="1" t="s">
        <v>2466</v>
      </c>
      <c r="E594">
        <f>_xll.BDP($C594,"DUR_ADJ_MID")</f>
        <v>1.2356324906705256</v>
      </c>
      <c r="F594">
        <f>_xll.BDP($C594,"OAS_SPREAD_DUR_MID")</f>
        <v>1.2355222461247268</v>
      </c>
      <c r="G594" t="str">
        <f>_xll.BDP($C594,"MATURITY")</f>
        <v>10/15/2027</v>
      </c>
      <c r="H594" t="str">
        <f>_xll.BDP($C594,"RTG_SP")</f>
        <v>#N/A N/A</v>
      </c>
    </row>
    <row r="595" spans="1:8" x14ac:dyDescent="0.25">
      <c r="A595" s="1" t="s">
        <v>200</v>
      </c>
      <c r="B595" s="1" t="s">
        <v>2467</v>
      </c>
      <c r="C595" s="1" t="s">
        <v>2468</v>
      </c>
      <c r="D595" s="1" t="s">
        <v>2469</v>
      </c>
      <c r="E595">
        <f>_xll.BDP($C595,"DUR_ADJ_MID")</f>
        <v>1.3149139300205284</v>
      </c>
      <c r="F595">
        <f>_xll.BDP($C595,"OAS_SPREAD_DUR_MID")</f>
        <v>1.3169535959742158</v>
      </c>
      <c r="G595" t="str">
        <f>_xll.BDP($C595,"MATURITY")</f>
        <v>11/15/2027</v>
      </c>
      <c r="H595" t="str">
        <f>_xll.BDP($C595,"RTG_SP")</f>
        <v>#N/A N/A</v>
      </c>
    </row>
    <row r="596" spans="1:8" x14ac:dyDescent="0.25">
      <c r="A596" s="1" t="s">
        <v>200</v>
      </c>
      <c r="B596" s="1" t="s">
        <v>2470</v>
      </c>
      <c r="C596" s="1" t="s">
        <v>2471</v>
      </c>
      <c r="D596" s="1" t="s">
        <v>2472</v>
      </c>
      <c r="E596">
        <f>_xll.BDP($C596,"DUR_ADJ_MID")</f>
        <v>1.3980535574291768</v>
      </c>
      <c r="F596">
        <f>_xll.BDP($C596,"OAS_SPREAD_DUR_MID")</f>
        <v>1.3982806648950248</v>
      </c>
      <c r="G596" t="str">
        <f>_xll.BDP($C596,"MATURITY")</f>
        <v>12/15/2027</v>
      </c>
      <c r="H596" t="str">
        <f>_xll.BDP($C596,"RTG_SP")</f>
        <v>#N/A N/A</v>
      </c>
    </row>
    <row r="597" spans="1:8" x14ac:dyDescent="0.25">
      <c r="A597" s="1" t="s">
        <v>200</v>
      </c>
      <c r="B597" s="1" t="s">
        <v>2473</v>
      </c>
      <c r="C597" s="1" t="s">
        <v>2474</v>
      </c>
      <c r="D597" s="1" t="s">
        <v>2475</v>
      </c>
      <c r="E597">
        <f>_xll.BDP($C597,"DUR_ADJ_MID")</f>
        <v>1.4471120401587043</v>
      </c>
      <c r="F597">
        <f>_xll.BDP($C597,"OAS_SPREAD_DUR_MID")</f>
        <v>1.4496969321921003</v>
      </c>
      <c r="G597" t="str">
        <f>_xll.BDP($C597,"MATURITY")</f>
        <v>1/15/2028</v>
      </c>
      <c r="H597" t="str">
        <f>_xll.BDP($C597,"RTG_SP")</f>
        <v>#N/A N/A</v>
      </c>
    </row>
    <row r="598" spans="1:8" x14ac:dyDescent="0.25">
      <c r="A598" s="1" t="s">
        <v>200</v>
      </c>
      <c r="B598" s="1" t="s">
        <v>2476</v>
      </c>
      <c r="C598" s="1" t="s">
        <v>2477</v>
      </c>
      <c r="D598" s="1" t="s">
        <v>2478</v>
      </c>
      <c r="E598">
        <f>_xll.BDP($C598,"DUR_ADJ_MID")</f>
        <v>1.5309987008247672</v>
      </c>
      <c r="F598">
        <f>_xll.BDP($C598,"OAS_SPREAD_DUR_MID")</f>
        <v>1.5328082172946615</v>
      </c>
      <c r="G598" t="str">
        <f>_xll.BDP($C598,"MATURITY")</f>
        <v>2/15/2028</v>
      </c>
      <c r="H598" t="str">
        <f>_xll.BDP($C598,"RTG_SP")</f>
        <v>#N/A N/A</v>
      </c>
    </row>
    <row r="599" spans="1:8" x14ac:dyDescent="0.25">
      <c r="A599" s="1" t="s">
        <v>200</v>
      </c>
      <c r="B599" s="1" t="s">
        <v>2479</v>
      </c>
      <c r="C599" s="1" t="s">
        <v>2480</v>
      </c>
      <c r="D599" s="1" t="s">
        <v>2481</v>
      </c>
      <c r="E599">
        <f>_xll.BDP($C599,"DUR_ADJ_MID")</f>
        <v>1.6165508514215876</v>
      </c>
      <c r="F599">
        <f>_xll.BDP($C599,"OAS_SPREAD_DUR_MID")</f>
        <v>1.6157080062085185</v>
      </c>
      <c r="G599" t="str">
        <f>_xll.BDP($C599,"MATURITY")</f>
        <v>3/15/2028</v>
      </c>
      <c r="H599" t="str">
        <f>_xll.BDP($C599,"RTG_SP")</f>
        <v>#N/A N/A</v>
      </c>
    </row>
    <row r="600" spans="1:8" x14ac:dyDescent="0.25">
      <c r="A600" s="1" t="s">
        <v>200</v>
      </c>
      <c r="B600" s="1" t="s">
        <v>2482</v>
      </c>
      <c r="C600" s="1" t="s">
        <v>2483</v>
      </c>
      <c r="D600" s="1" t="s">
        <v>2484</v>
      </c>
      <c r="E600">
        <f>_xll.BDP($C600,"DUR_ADJ_MID")</f>
        <v>1.6995832411107652</v>
      </c>
      <c r="F600">
        <f>_xll.BDP($C600,"OAS_SPREAD_DUR_MID")</f>
        <v>1.7004115064805978</v>
      </c>
      <c r="G600" t="str">
        <f>_xll.BDP($C600,"MATURITY")</f>
        <v>4/15/2028</v>
      </c>
      <c r="H600" t="str">
        <f>_xll.BDP($C600,"RTG_SP")</f>
        <v>#N/A N/A</v>
      </c>
    </row>
    <row r="601" spans="1:8" x14ac:dyDescent="0.25">
      <c r="A601" s="1" t="s">
        <v>200</v>
      </c>
      <c r="B601" s="1" t="s">
        <v>2485</v>
      </c>
      <c r="C601" s="1" t="s">
        <v>2486</v>
      </c>
      <c r="D601" s="1" t="s">
        <v>2487</v>
      </c>
      <c r="E601">
        <f>_xll.BDP($C601,"DUR_ADJ_MID")</f>
        <v>1.7805783067421119</v>
      </c>
      <c r="F601">
        <f>_xll.BDP($C601,"OAS_SPREAD_DUR_MID")</f>
        <v>1.7809757854723767</v>
      </c>
      <c r="G601" t="str">
        <f>_xll.BDP($C601,"MATURITY")</f>
        <v>5/15/2028</v>
      </c>
      <c r="H601" t="str">
        <f>_xll.BDP($C601,"RTG_SP")</f>
        <v>#N/A N/A</v>
      </c>
    </row>
    <row r="602" spans="1:8" x14ac:dyDescent="0.25">
      <c r="A602" s="1" t="s">
        <v>200</v>
      </c>
      <c r="B602" s="1" t="s">
        <v>2488</v>
      </c>
      <c r="C602" s="1" t="s">
        <v>2489</v>
      </c>
      <c r="D602" s="1" t="s">
        <v>2490</v>
      </c>
      <c r="E602">
        <f>_xll.BDP($C602,"DUR_ADJ_MID")</f>
        <v>0.8876576465707896</v>
      </c>
      <c r="F602">
        <f>_xll.BDP($C602,"OAS_SPREAD_DUR_MID")</f>
        <v>0.88683340848990122</v>
      </c>
      <c r="G602" t="str">
        <f>_xll.BDP($C602,"MATURITY")</f>
        <v>5/31/2027</v>
      </c>
      <c r="H602" t="str">
        <f>_xll.BDP($C602,"RTG_SP")</f>
        <v>#N/A N/A</v>
      </c>
    </row>
    <row r="603" spans="1:8" x14ac:dyDescent="0.25">
      <c r="A603" s="1" t="s">
        <v>200</v>
      </c>
      <c r="B603" s="1" t="s">
        <v>2491</v>
      </c>
      <c r="C603" s="1" t="s">
        <v>2492</v>
      </c>
      <c r="D603" s="1" t="s">
        <v>2493</v>
      </c>
      <c r="E603">
        <f>_xll.BDP($C603,"DUR_ADJ_MID")</f>
        <v>1.8612220049669901</v>
      </c>
      <c r="F603">
        <f>_xll.BDP($C603,"OAS_SPREAD_DUR_MID")</f>
        <v>1.8623821160385245</v>
      </c>
      <c r="G603" t="str">
        <f>_xll.BDP($C603,"MATURITY")</f>
        <v>6/15/2028</v>
      </c>
      <c r="H603" t="str">
        <f>_xll.BDP($C603,"RTG_SP")</f>
        <v>#N/A N/A</v>
      </c>
    </row>
    <row r="604" spans="1:8" x14ac:dyDescent="0.25">
      <c r="A604" s="1" t="s">
        <v>200</v>
      </c>
      <c r="B604" s="1" t="s">
        <v>2494</v>
      </c>
      <c r="C604" s="1" t="s">
        <v>2495</v>
      </c>
      <c r="D604" s="1" t="s">
        <v>2496</v>
      </c>
      <c r="E604">
        <f>_xll.BDP($C604,"DUR_ADJ_MID")</f>
        <v>0.96820096054002736</v>
      </c>
      <c r="F604">
        <f>_xll.BDP($C604,"OAS_SPREAD_DUR_MID")</f>
        <v>0.96758081704582588</v>
      </c>
      <c r="G604" t="str">
        <f>_xll.BDP($C604,"MATURITY")</f>
        <v>6/30/2027</v>
      </c>
      <c r="H604" t="str">
        <f>_xll.BDP($C604,"RTG_SP")</f>
        <v>#N/A N/A</v>
      </c>
    </row>
    <row r="605" spans="1:8" x14ac:dyDescent="0.25">
      <c r="A605" s="1" t="s">
        <v>200</v>
      </c>
      <c r="B605" s="1" t="s">
        <v>2497</v>
      </c>
      <c r="C605" s="1" t="s">
        <v>2498</v>
      </c>
      <c r="D605" s="1" t="s">
        <v>2499</v>
      </c>
      <c r="E605">
        <f>_xll.BDP($C605,"DUR_ADJ_MID")</f>
        <v>1.9055036117372306</v>
      </c>
      <c r="F605">
        <f>_xll.BDP($C605,"OAS_SPREAD_DUR_MID")</f>
        <v>1.9064827537380173</v>
      </c>
      <c r="G605" t="str">
        <f>_xll.BDP($C605,"MATURITY")</f>
        <v>7/15/2028</v>
      </c>
      <c r="H605" t="str">
        <f>_xll.BDP($C605,"RTG_SP")</f>
        <v>#N/A N/A</v>
      </c>
    </row>
    <row r="606" spans="1:8" x14ac:dyDescent="0.25">
      <c r="A606" s="1" t="s">
        <v>200</v>
      </c>
      <c r="B606" s="1" t="s">
        <v>2500</v>
      </c>
      <c r="C606" s="1" t="s">
        <v>2501</v>
      </c>
      <c r="D606" s="1" t="s">
        <v>2502</v>
      </c>
      <c r="E606">
        <f>_xll.BDP($C606,"DUR_ADJ_MID")</f>
        <v>1.0332037792801048</v>
      </c>
      <c r="F606">
        <f>_xll.BDP($C606,"OAS_SPREAD_DUR_MID")</f>
        <v>1.0318750386370543</v>
      </c>
      <c r="G606" t="str">
        <f>_xll.BDP($C606,"MATURITY")</f>
        <v>7/31/2027</v>
      </c>
      <c r="H606" t="str">
        <f>_xll.BDP($C606,"RTG_SP")</f>
        <v>#N/A N/A</v>
      </c>
    </row>
    <row r="607" spans="1:8" x14ac:dyDescent="0.25">
      <c r="A607" s="1" t="s">
        <v>200</v>
      </c>
      <c r="B607" s="1" t="s">
        <v>2503</v>
      </c>
      <c r="C607" s="1" t="s">
        <v>2504</v>
      </c>
      <c r="D607" s="1" t="s">
        <v>2505</v>
      </c>
      <c r="E607">
        <f>_xll.BDP($C607,"DUR_ADJ_MID")</f>
        <v>1.9948436185964795</v>
      </c>
      <c r="F607">
        <f>_xll.BDP($C607,"OAS_SPREAD_DUR_MID")</f>
        <v>1.9950492130136506</v>
      </c>
      <c r="G607" t="str">
        <f>_xll.BDP($C607,"MATURITY")</f>
        <v>8/15/2028</v>
      </c>
      <c r="H607" t="str">
        <f>_xll.BDP($C607,"RTG_SP")</f>
        <v>#N/A N/A</v>
      </c>
    </row>
    <row r="608" spans="1:8" x14ac:dyDescent="0.25">
      <c r="A608" s="1" t="s">
        <v>200</v>
      </c>
      <c r="B608" s="1" t="s">
        <v>2506</v>
      </c>
      <c r="C608" s="1" t="s">
        <v>2507</v>
      </c>
      <c r="D608" s="1" t="s">
        <v>2508</v>
      </c>
      <c r="E608">
        <f>_xll.BDP($C608,"DUR_ADJ_MID")</f>
        <v>1.1161065321252113</v>
      </c>
      <c r="F608">
        <f>_xll.BDP($C608,"OAS_SPREAD_DUR_MID")</f>
        <v>1.1166059374765021</v>
      </c>
      <c r="G608" t="str">
        <f>_xll.BDP($C608,"MATURITY")</f>
        <v>8/31/2027</v>
      </c>
      <c r="H608" t="str">
        <f>_xll.BDP($C608,"RTG_SP")</f>
        <v>#N/A N/A</v>
      </c>
    </row>
    <row r="609" spans="1:8" x14ac:dyDescent="0.25">
      <c r="A609" s="1" t="s">
        <v>200</v>
      </c>
      <c r="B609" s="1" t="s">
        <v>2509</v>
      </c>
      <c r="C609" s="1" t="s">
        <v>2510</v>
      </c>
      <c r="D609" s="1" t="s">
        <v>2511</v>
      </c>
      <c r="E609">
        <f>_xll.BDP($C609,"DUR_ADJ_MID")</f>
        <v>2.0808295327837558</v>
      </c>
      <c r="F609">
        <f>_xll.BDP($C609,"OAS_SPREAD_DUR_MID")</f>
        <v>2.0834665363218869</v>
      </c>
      <c r="G609" t="str">
        <f>_xll.BDP($C609,"MATURITY")</f>
        <v>9/15/2028</v>
      </c>
      <c r="H609" t="str">
        <f>_xll.BDP($C609,"RTG_SP")</f>
        <v>#N/A N/A</v>
      </c>
    </row>
    <row r="610" spans="1:8" x14ac:dyDescent="0.25">
      <c r="A610" s="1" t="s">
        <v>200</v>
      </c>
      <c r="B610" s="1" t="s">
        <v>2512</v>
      </c>
      <c r="C610" s="1" t="s">
        <v>2513</v>
      </c>
      <c r="D610" s="1" t="s">
        <v>2514</v>
      </c>
      <c r="E610">
        <f>_xll.BDP($C610,"DUR_ADJ_MID")</f>
        <v>1.1981030525950658</v>
      </c>
      <c r="F610">
        <f>_xll.BDP($C610,"OAS_SPREAD_DUR_MID")</f>
        <v>1.197912538111094</v>
      </c>
      <c r="G610" t="str">
        <f>_xll.BDP($C610,"MATURITY")</f>
        <v>9/30/2027</v>
      </c>
      <c r="H610" t="str">
        <f>_xll.BDP($C610,"RTG_SP")</f>
        <v>#N/A N/A</v>
      </c>
    </row>
    <row r="611" spans="1:8" x14ac:dyDescent="0.25">
      <c r="A611" s="1" t="s">
        <v>200</v>
      </c>
      <c r="B611" s="1" t="s">
        <v>2515</v>
      </c>
      <c r="C611" s="1" t="s">
        <v>2516</v>
      </c>
      <c r="D611" s="1" t="s">
        <v>2517</v>
      </c>
      <c r="E611">
        <f>_xll.BDP($C611,"DUR_ADJ_MID")</f>
        <v>2.1594438834358933</v>
      </c>
      <c r="F611">
        <f>_xll.BDP($C611,"OAS_SPREAD_DUR_MID")</f>
        <v>2.1611995263948205</v>
      </c>
      <c r="G611" t="str">
        <f>_xll.BDP($C611,"MATURITY")</f>
        <v>10/15/2028</v>
      </c>
      <c r="H611" t="str">
        <f>_xll.BDP($C611,"RTG_SP")</f>
        <v>#N/A N/A</v>
      </c>
    </row>
    <row r="612" spans="1:8" x14ac:dyDescent="0.25">
      <c r="A612" s="1" t="s">
        <v>200</v>
      </c>
      <c r="B612" s="1" t="s">
        <v>2518</v>
      </c>
      <c r="C612" s="1" t="s">
        <v>2519</v>
      </c>
      <c r="D612" s="1" t="s">
        <v>2520</v>
      </c>
      <c r="E612">
        <f>_xll.BDP($C612,"DUR_ADJ_MID")</f>
        <v>1.2791937359606838</v>
      </c>
      <c r="F612">
        <f>_xll.BDP($C612,"OAS_SPREAD_DUR_MID")</f>
        <v>1.2809357759148547</v>
      </c>
      <c r="G612" t="str">
        <f>_xll.BDP($C612,"MATURITY")</f>
        <v>10/31/2027</v>
      </c>
      <c r="H612" t="str">
        <f>_xll.BDP($C612,"RTG_SP")</f>
        <v>#N/A N/A</v>
      </c>
    </row>
    <row r="613" spans="1:8" x14ac:dyDescent="0.25">
      <c r="A613" s="1" t="s">
        <v>200</v>
      </c>
      <c r="B613" s="1" t="s">
        <v>2521</v>
      </c>
      <c r="C613" s="1" t="s">
        <v>2522</v>
      </c>
      <c r="D613" s="1" t="s">
        <v>2523</v>
      </c>
      <c r="E613">
        <f>_xll.BDP($C613,"DUR_ADJ_MID")</f>
        <v>2.2404526380400172</v>
      </c>
      <c r="F613">
        <f>_xll.BDP($C613,"OAS_SPREAD_DUR_MID")</f>
        <v>2.2443235248045554</v>
      </c>
      <c r="G613" t="str">
        <f>_xll.BDP($C613,"MATURITY")</f>
        <v>11/15/2028</v>
      </c>
      <c r="H613" t="str">
        <f>_xll.BDP($C613,"RTG_SP")</f>
        <v>#N/A N/A</v>
      </c>
    </row>
    <row r="614" spans="1:8" x14ac:dyDescent="0.25">
      <c r="A614" s="1" t="s">
        <v>200</v>
      </c>
      <c r="B614" s="1" t="s">
        <v>2524</v>
      </c>
      <c r="C614" s="1" t="s">
        <v>2525</v>
      </c>
      <c r="D614" s="1" t="s">
        <v>2526</v>
      </c>
      <c r="E614">
        <f>_xll.BDP($C614,"DUR_ADJ_MID")</f>
        <v>1.3621507782409874</v>
      </c>
      <c r="F614">
        <f>_xll.BDP($C614,"OAS_SPREAD_DUR_MID")</f>
        <v>1.3622980388289714</v>
      </c>
      <c r="G614" t="str">
        <f>_xll.BDP($C614,"MATURITY")</f>
        <v>11/30/2027</v>
      </c>
      <c r="H614" t="str">
        <f>_xll.BDP($C614,"RTG_SP")</f>
        <v>#N/A N/A</v>
      </c>
    </row>
    <row r="615" spans="1:8" x14ac:dyDescent="0.25">
      <c r="A615" s="1" t="s">
        <v>200</v>
      </c>
      <c r="B615" s="1" t="s">
        <v>2527</v>
      </c>
      <c r="C615" s="1" t="s">
        <v>2528</v>
      </c>
      <c r="D615" s="1" t="s">
        <v>2529</v>
      </c>
      <c r="E615">
        <f>_xll.BDP($C615,"DUR_ADJ_MID")</f>
        <v>2.3227684242994959</v>
      </c>
      <c r="F615">
        <f>_xll.BDP($C615,"OAS_SPREAD_DUR_MID")</f>
        <v>2.324864104096612</v>
      </c>
      <c r="G615" t="str">
        <f>_xll.BDP($C615,"MATURITY")</f>
        <v>12/15/2028</v>
      </c>
      <c r="H615" t="str">
        <f>_xll.BDP($C615,"RTG_SP")</f>
        <v>#N/A N/A</v>
      </c>
    </row>
    <row r="616" spans="1:8" x14ac:dyDescent="0.25">
      <c r="A616" s="1" t="s">
        <v>200</v>
      </c>
      <c r="B616" s="1" t="s">
        <v>2530</v>
      </c>
      <c r="C616" s="1" t="s">
        <v>2531</v>
      </c>
      <c r="D616" s="1" t="s">
        <v>2532</v>
      </c>
      <c r="E616">
        <f>_xll.BDP($C616,"DUR_ADJ_MID")</f>
        <v>1.442398053806502</v>
      </c>
      <c r="F616">
        <f>_xll.BDP($C616,"OAS_SPREAD_DUR_MID")</f>
        <v>1.445391395872319</v>
      </c>
      <c r="G616" t="str">
        <f>_xll.BDP($C616,"MATURITY")</f>
        <v>12/31/2027</v>
      </c>
      <c r="H616" t="str">
        <f>_xll.BDP($C616,"RTG_SP")</f>
        <v>#N/A N/A</v>
      </c>
    </row>
    <row r="617" spans="1:8" x14ac:dyDescent="0.25">
      <c r="A617" s="1" t="s">
        <v>200</v>
      </c>
      <c r="B617" s="1" t="s">
        <v>2533</v>
      </c>
      <c r="C617" s="1" t="s">
        <v>2534</v>
      </c>
      <c r="D617" s="1" t="s">
        <v>2535</v>
      </c>
      <c r="E617">
        <f>_xll.BDP($C617,"DUR_ADJ_MID")</f>
        <v>2.3621126262747674</v>
      </c>
      <c r="F617">
        <f>_xll.BDP($C617,"OAS_SPREAD_DUR_MID")</f>
        <v>2.3665109574439636</v>
      </c>
      <c r="G617" t="str">
        <f>_xll.BDP($C617,"MATURITY")</f>
        <v>1/15/2029</v>
      </c>
      <c r="H617" t="str">
        <f>_xll.BDP($C617,"RTG_SP")</f>
        <v>#N/A N/A</v>
      </c>
    </row>
    <row r="618" spans="1:8" x14ac:dyDescent="0.25">
      <c r="A618" s="1" t="s">
        <v>200</v>
      </c>
      <c r="B618" s="1" t="s">
        <v>2536</v>
      </c>
      <c r="C618" s="1" t="s">
        <v>2537</v>
      </c>
      <c r="D618" s="1" t="s">
        <v>2538</v>
      </c>
      <c r="E618">
        <f>_xll.BDP($C618,"DUR_ADJ_MID")</f>
        <v>2.4460347748908511</v>
      </c>
      <c r="F618">
        <f>_xll.BDP($C618,"OAS_SPREAD_DUR_MID")</f>
        <v>2.4496535170935974</v>
      </c>
      <c r="G618" t="str">
        <f>_xll.BDP($C618,"MATURITY")</f>
        <v>2/15/2029</v>
      </c>
      <c r="H618" t="str">
        <f>_xll.BDP($C618,"RTG_SP")</f>
        <v>#N/A N/A</v>
      </c>
    </row>
    <row r="619" spans="1:8" x14ac:dyDescent="0.25">
      <c r="A619" s="1" t="s">
        <v>200</v>
      </c>
      <c r="B619" s="1" t="s">
        <v>2539</v>
      </c>
      <c r="C619" s="1" t="s">
        <v>2540</v>
      </c>
      <c r="D619" s="1" t="s">
        <v>2541</v>
      </c>
      <c r="E619">
        <f>_xll.BDP($C619,"DUR_ADJ_MID")</f>
        <v>1.5833451010184154</v>
      </c>
      <c r="F619">
        <f>_xll.BDP($C619,"OAS_SPREAD_DUR_MID")</f>
        <v>1.5821981056790173</v>
      </c>
      <c r="G619" t="str">
        <f>_xll.BDP($C619,"MATURITY")</f>
        <v>2/29/2028</v>
      </c>
      <c r="H619" t="str">
        <f>_xll.BDP($C619,"RTG_SP")</f>
        <v>#N/A N/A</v>
      </c>
    </row>
    <row r="620" spans="1:8" x14ac:dyDescent="0.25">
      <c r="A620" s="1" t="s">
        <v>200</v>
      </c>
      <c r="B620" s="1" t="s">
        <v>2542</v>
      </c>
      <c r="C620" s="1" t="s">
        <v>2543</v>
      </c>
      <c r="D620" s="1" t="s">
        <v>2511</v>
      </c>
      <c r="E620">
        <f>_xll.BDP($C620,"DUR_ADJ_MID")</f>
        <v>2.5266974406031379</v>
      </c>
      <c r="F620">
        <f>_xll.BDP($C620,"OAS_SPREAD_DUR_MID")</f>
        <v>2.5252222526967962</v>
      </c>
      <c r="G620" t="str">
        <f>_xll.BDP($C620,"MATURITY")</f>
        <v>3/15/2029</v>
      </c>
      <c r="H620" t="str">
        <f>_xll.BDP($C620,"RTG_SP")</f>
        <v>#N/A N/A</v>
      </c>
    </row>
    <row r="621" spans="1:8" x14ac:dyDescent="0.25">
      <c r="A621" s="1" t="s">
        <v>200</v>
      </c>
      <c r="B621" s="1" t="s">
        <v>2544</v>
      </c>
      <c r="C621" s="1" t="s">
        <v>2545</v>
      </c>
      <c r="D621" s="1" t="s">
        <v>2546</v>
      </c>
      <c r="E621">
        <f>_xll.BDP($C621,"DUR_ADJ_MID")</f>
        <v>1.6577715649166855</v>
      </c>
      <c r="F621">
        <f>_xll.BDP($C621,"OAS_SPREAD_DUR_MID")</f>
        <v>1.6585144630854463</v>
      </c>
      <c r="G621" t="str">
        <f>_xll.BDP($C621,"MATURITY")</f>
        <v>3/31/2028</v>
      </c>
      <c r="H621" t="str">
        <f>_xll.BDP($C621,"RTG_SP")</f>
        <v>#N/A N/A</v>
      </c>
    </row>
    <row r="622" spans="1:8" x14ac:dyDescent="0.25">
      <c r="A622" s="1" t="s">
        <v>200</v>
      </c>
      <c r="B622" s="1" t="s">
        <v>2547</v>
      </c>
      <c r="C622" s="1" t="s">
        <v>2548</v>
      </c>
      <c r="D622" s="1" t="s">
        <v>2549</v>
      </c>
      <c r="E622">
        <f>_xll.BDP($C622,"DUR_ADJ_MID")</f>
        <v>2.5961597997697781</v>
      </c>
      <c r="F622">
        <f>_xll.BDP($C622,"OAS_SPREAD_DUR_MID")</f>
        <v>2.5963080381992825</v>
      </c>
      <c r="G622" t="str">
        <f>_xll.BDP($C622,"MATURITY")</f>
        <v>4/15/2029</v>
      </c>
      <c r="H622" t="str">
        <f>_xll.BDP($C622,"RTG_SP")</f>
        <v>#N/A N/A</v>
      </c>
    </row>
    <row r="623" spans="1:8" x14ac:dyDescent="0.25">
      <c r="A623" s="1" t="s">
        <v>200</v>
      </c>
      <c r="B623" s="1" t="s">
        <v>2550</v>
      </c>
      <c r="C623" s="1" t="s">
        <v>2551</v>
      </c>
      <c r="D623" s="1" t="s">
        <v>2552</v>
      </c>
      <c r="E623">
        <f>_xll.BDP($C623,"DUR_ADJ_MID")</f>
        <v>1.7407040570841767</v>
      </c>
      <c r="F623">
        <f>_xll.BDP($C623,"OAS_SPREAD_DUR_MID")</f>
        <v>1.7407961018522773</v>
      </c>
      <c r="G623" t="str">
        <f>_xll.BDP($C623,"MATURITY")</f>
        <v>4/30/2028</v>
      </c>
      <c r="H623" t="str">
        <f>_xll.BDP($C623,"RTG_SP")</f>
        <v>#N/A N/A</v>
      </c>
    </row>
    <row r="624" spans="1:8" x14ac:dyDescent="0.25">
      <c r="A624" s="1" t="s">
        <v>200</v>
      </c>
      <c r="B624" s="1" t="s">
        <v>2553</v>
      </c>
      <c r="C624" s="1" t="s">
        <v>2554</v>
      </c>
      <c r="D624" s="1" t="s">
        <v>2555</v>
      </c>
      <c r="E624">
        <f>_xll.BDP($C624,"DUR_ADJ_MID")</f>
        <v>2.6772087446515105</v>
      </c>
      <c r="F624">
        <f>_xll.BDP($C624,"OAS_SPREAD_DUR_MID")</f>
        <v>2.6769834570904592</v>
      </c>
      <c r="G624" t="str">
        <f>_xll.BDP($C624,"MATURITY")</f>
        <v>5/15/2029</v>
      </c>
      <c r="H624" t="str">
        <f>_xll.BDP($C624,"RTG_SP")</f>
        <v>#N/A N/A</v>
      </c>
    </row>
    <row r="625" spans="1:8" x14ac:dyDescent="0.25">
      <c r="A625" s="1" t="s">
        <v>214</v>
      </c>
      <c r="B625" s="1" t="s">
        <v>2270</v>
      </c>
      <c r="C625" s="1" t="s">
        <v>2271</v>
      </c>
      <c r="D625" s="1" t="s">
        <v>2556</v>
      </c>
      <c r="E625">
        <f>_xll.BDP($C625,"DUR_ADJ_MID")</f>
        <v>0.8957548618199086</v>
      </c>
      <c r="F625">
        <f>_xll.BDP($C625,"OAS_SPREAD_DUR_MID")</f>
        <v>0.89489929386148337</v>
      </c>
      <c r="G625" t="str">
        <f>_xll.BDP($C625,"MATURITY")</f>
        <v>5/31/2027</v>
      </c>
      <c r="H625" t="str">
        <f>_xll.BDP($C625,"RTG_SP")</f>
        <v>#N/A N/A</v>
      </c>
    </row>
    <row r="626" spans="1:8" x14ac:dyDescent="0.25">
      <c r="A626" s="1" t="s">
        <v>222</v>
      </c>
      <c r="B626" s="1" t="s">
        <v>2277</v>
      </c>
      <c r="C626" s="1" t="s">
        <v>2278</v>
      </c>
      <c r="D626" s="1" t="s">
        <v>2557</v>
      </c>
      <c r="E626">
        <f>_xll.BDP($C626,"DUR_ADJ_MID")</f>
        <v>0.80595113953514008</v>
      </c>
      <c r="F626">
        <f>_xll.BDP($C626,"OAS_SPREAD_DUR_MID")</f>
        <v>0.80407984506075703</v>
      </c>
      <c r="G626" t="str">
        <f>_xll.BDP($C626,"MATURITY")</f>
        <v>4/30/2027</v>
      </c>
      <c r="H626" t="str">
        <f>_xll.BDP($C626,"RTG_SP")</f>
        <v>#N/A N/A</v>
      </c>
    </row>
    <row r="627" spans="1:8" x14ac:dyDescent="0.25">
      <c r="A627" s="1" t="s">
        <v>290</v>
      </c>
      <c r="B627" s="1" t="s">
        <v>2270</v>
      </c>
      <c r="C627" s="1" t="s">
        <v>2271</v>
      </c>
      <c r="D627" s="1" t="s">
        <v>2558</v>
      </c>
      <c r="E627">
        <f>_xll.BDP($C627,"DUR_ADJ_MID")</f>
        <v>0.8957548618199086</v>
      </c>
      <c r="F627">
        <f>_xll.BDP($C627,"OAS_SPREAD_DUR_MID")</f>
        <v>0.89489929386148337</v>
      </c>
      <c r="G627" t="str">
        <f>_xll.BDP($C627,"MATURITY")</f>
        <v>5/31/2027</v>
      </c>
      <c r="H627" t="str">
        <f>_xll.BDP($C627,"RTG_SP")</f>
        <v>#N/A N/A</v>
      </c>
    </row>
    <row r="628" spans="1:8" x14ac:dyDescent="0.25">
      <c r="A628" s="1" t="s">
        <v>296</v>
      </c>
      <c r="B628" s="1" t="s">
        <v>2277</v>
      </c>
      <c r="C628" s="1" t="s">
        <v>2278</v>
      </c>
      <c r="D628" s="1" t="s">
        <v>2559</v>
      </c>
      <c r="E628">
        <f>_xll.BDP($C628,"DUR_ADJ_MID")</f>
        <v>0.80595113953514008</v>
      </c>
      <c r="F628">
        <f>_xll.BDP($C628,"OAS_SPREAD_DUR_MID")</f>
        <v>0.80407984506075703</v>
      </c>
      <c r="G628" t="str">
        <f>_xll.BDP($C628,"MATURITY")</f>
        <v>4/30/2027</v>
      </c>
      <c r="H628" t="str">
        <f>_xll.BDP($C628,"RTG_SP")</f>
        <v>#N/A N/A</v>
      </c>
    </row>
    <row r="629" spans="1:8" x14ac:dyDescent="0.25">
      <c r="A629" s="1" t="s">
        <v>310</v>
      </c>
      <c r="B629" s="1" t="s">
        <v>2270</v>
      </c>
      <c r="C629" s="1" t="s">
        <v>2271</v>
      </c>
      <c r="D629" s="1" t="s">
        <v>2560</v>
      </c>
      <c r="E629">
        <f>_xll.BDP($C629,"DUR_ADJ_MID")</f>
        <v>0.8957548618199086</v>
      </c>
      <c r="F629">
        <f>_xll.BDP($C629,"OAS_SPREAD_DUR_MID")</f>
        <v>0.89489929386148337</v>
      </c>
      <c r="G629" t="str">
        <f>_xll.BDP($C629,"MATURITY")</f>
        <v>5/31/2027</v>
      </c>
      <c r="H629" t="str">
        <f>_xll.BDP($C629,"RTG_SP")</f>
        <v>#N/A N/A</v>
      </c>
    </row>
    <row r="630" spans="1:8" x14ac:dyDescent="0.25">
      <c r="A630" s="1" t="s">
        <v>319</v>
      </c>
      <c r="B630" s="1" t="s">
        <v>2277</v>
      </c>
      <c r="C630" s="1" t="s">
        <v>2278</v>
      </c>
      <c r="D630" s="1" t="s">
        <v>2561</v>
      </c>
      <c r="E630">
        <f>_xll.BDP($C630,"DUR_ADJ_MID")</f>
        <v>0.80595113953514008</v>
      </c>
      <c r="F630">
        <f>_xll.BDP($C630,"OAS_SPREAD_DUR_MID")</f>
        <v>0.80407984506075703</v>
      </c>
      <c r="G630" t="str">
        <f>_xll.BDP($C630,"MATURITY")</f>
        <v>4/30/2027</v>
      </c>
      <c r="H630" t="str">
        <f>_xll.BDP($C630,"RTG_SP")</f>
        <v>#N/A N/A</v>
      </c>
    </row>
    <row r="631" spans="1:8" x14ac:dyDescent="0.25">
      <c r="A631" s="1" t="s">
        <v>333</v>
      </c>
      <c r="B631" s="1" t="s">
        <v>2270</v>
      </c>
      <c r="C631" s="1" t="s">
        <v>2271</v>
      </c>
      <c r="D631" s="1" t="s">
        <v>2562</v>
      </c>
      <c r="E631">
        <f>_xll.BDP($C631,"DUR_ADJ_MID")</f>
        <v>0.8957548618199086</v>
      </c>
      <c r="F631">
        <f>_xll.BDP($C631,"OAS_SPREAD_DUR_MID")</f>
        <v>0.89489929386148337</v>
      </c>
      <c r="G631" t="str">
        <f>_xll.BDP($C631,"MATURITY")</f>
        <v>5/31/2027</v>
      </c>
      <c r="H631" t="str">
        <f>_xll.BDP($C631,"RTG_SP")</f>
        <v>#N/A N/A</v>
      </c>
    </row>
    <row r="632" spans="1:8" x14ac:dyDescent="0.25">
      <c r="A632" s="1" t="s">
        <v>371</v>
      </c>
      <c r="B632" s="1" t="s">
        <v>2273</v>
      </c>
      <c r="C632" s="1" t="s">
        <v>2274</v>
      </c>
      <c r="D632" s="1" t="s">
        <v>2563</v>
      </c>
      <c r="E632">
        <f>_xll.BDP($C632,"DUR_ADJ_MID")</f>
        <v>0.81375313786349202</v>
      </c>
      <c r="F632">
        <f>_xll.BDP($C632,"OAS_SPREAD_DUR_MID")</f>
        <v>0.81181201755887367</v>
      </c>
      <c r="G632" t="str">
        <f>_xll.BDP($C632,"MATURITY")</f>
        <v>4/30/2027</v>
      </c>
      <c r="H632" t="str">
        <f>_xll.BDP($C632,"RTG_SP")</f>
        <v>#N/A N/A</v>
      </c>
    </row>
    <row r="633" spans="1:8" x14ac:dyDescent="0.25">
      <c r="A633" s="1" t="s">
        <v>423</v>
      </c>
      <c r="B633" s="1" t="s">
        <v>2270</v>
      </c>
      <c r="C633" s="1" t="s">
        <v>2271</v>
      </c>
      <c r="D633" s="1" t="s">
        <v>2276</v>
      </c>
      <c r="E633">
        <f>_xll.BDP($C633,"DUR_ADJ_MID")</f>
        <v>0.8957548618199086</v>
      </c>
      <c r="F633">
        <f>_xll.BDP($C633,"OAS_SPREAD_DUR_MID")</f>
        <v>0.89489929386148337</v>
      </c>
      <c r="G633" t="str">
        <f>_xll.BDP($C633,"MATURITY")</f>
        <v>5/31/2027</v>
      </c>
      <c r="H633" t="str">
        <f>_xll.BDP($C633,"RTG_SP")</f>
        <v>#N/A N/A</v>
      </c>
    </row>
    <row r="634" spans="1:8" x14ac:dyDescent="0.25">
      <c r="A634" s="1" t="s">
        <v>430</v>
      </c>
      <c r="B634" s="1" t="s">
        <v>2277</v>
      </c>
      <c r="C634" s="1" t="s">
        <v>2278</v>
      </c>
      <c r="D634" s="1" t="s">
        <v>2564</v>
      </c>
      <c r="E634">
        <f>_xll.BDP($C634,"DUR_ADJ_MID")</f>
        <v>0.80595113953514008</v>
      </c>
      <c r="F634">
        <f>_xll.BDP($C634,"OAS_SPREAD_DUR_MID")</f>
        <v>0.80407984506075703</v>
      </c>
      <c r="G634" t="str">
        <f>_xll.BDP($C634,"MATURITY")</f>
        <v>4/30/2027</v>
      </c>
      <c r="H634" t="str">
        <f>_xll.BDP($C634,"RTG_SP")</f>
        <v>#N/A N/A</v>
      </c>
    </row>
    <row r="635" spans="1:8" x14ac:dyDescent="0.25">
      <c r="A635" s="1" t="s">
        <v>438</v>
      </c>
      <c r="B635" s="1" t="s">
        <v>2270</v>
      </c>
      <c r="C635" s="1" t="s">
        <v>2271</v>
      </c>
      <c r="D635" s="1" t="s">
        <v>2565</v>
      </c>
      <c r="E635">
        <f>_xll.BDP($C635,"DUR_ADJ_MID")</f>
        <v>0.8957548618199086</v>
      </c>
      <c r="F635">
        <f>_xll.BDP($C635,"OAS_SPREAD_DUR_MID")</f>
        <v>0.89489929386148337</v>
      </c>
      <c r="G635" t="str">
        <f>_xll.BDP($C635,"MATURITY")</f>
        <v>5/31/2027</v>
      </c>
      <c r="H635" t="str">
        <f>_xll.BDP($C635,"RTG_SP")</f>
        <v>#N/A N/A</v>
      </c>
    </row>
    <row r="636" spans="1:8" x14ac:dyDescent="0.25">
      <c r="A636" s="1" t="s">
        <v>444</v>
      </c>
      <c r="B636" s="1" t="s">
        <v>2273</v>
      </c>
      <c r="C636" s="1" t="s">
        <v>2274</v>
      </c>
      <c r="D636" s="1" t="s">
        <v>2566</v>
      </c>
      <c r="E636">
        <f>_xll.BDP($C636,"DUR_ADJ_MID")</f>
        <v>0.81375313786349202</v>
      </c>
      <c r="F636">
        <f>_xll.BDP($C636,"OAS_SPREAD_DUR_MID")</f>
        <v>0.81181201755887367</v>
      </c>
      <c r="G636" t="str">
        <f>_xll.BDP($C636,"MATURITY")</f>
        <v>4/30/2027</v>
      </c>
      <c r="H636" t="str">
        <f>_xll.BDP($C636,"RTG_SP")</f>
        <v>#N/A N/A</v>
      </c>
    </row>
    <row r="637" spans="1:8" x14ac:dyDescent="0.25">
      <c r="A637" s="1" t="s">
        <v>457</v>
      </c>
      <c r="B637" s="1" t="s">
        <v>2270</v>
      </c>
      <c r="C637" s="1" t="s">
        <v>2271</v>
      </c>
      <c r="D637" s="1" t="s">
        <v>2567</v>
      </c>
      <c r="E637">
        <f>_xll.BDP($C637,"DUR_ADJ_MID")</f>
        <v>0.8957548618199086</v>
      </c>
      <c r="F637">
        <f>_xll.BDP($C637,"OAS_SPREAD_DUR_MID")</f>
        <v>0.89489929386148337</v>
      </c>
      <c r="G637" t="str">
        <f>_xll.BDP($C637,"MATURITY")</f>
        <v>5/31/2027</v>
      </c>
      <c r="H637" t="str">
        <f>_xll.BDP($C637,"RTG_SP")</f>
        <v>#N/A N/A</v>
      </c>
    </row>
    <row r="638" spans="1:8" x14ac:dyDescent="0.25">
      <c r="A638" s="1" t="s">
        <v>464</v>
      </c>
      <c r="B638" s="1" t="s">
        <v>2277</v>
      </c>
      <c r="C638" s="1" t="s">
        <v>2278</v>
      </c>
      <c r="D638" s="1" t="s">
        <v>2568</v>
      </c>
      <c r="E638">
        <f>_xll.BDP($C638,"DUR_ADJ_MID")</f>
        <v>0.80595113953514008</v>
      </c>
      <c r="F638">
        <f>_xll.BDP($C638,"OAS_SPREAD_DUR_MID")</f>
        <v>0.80407984506075703</v>
      </c>
      <c r="G638" t="str">
        <f>_xll.BDP($C638,"MATURITY")</f>
        <v>4/30/2027</v>
      </c>
      <c r="H638" t="str">
        <f>_xll.BDP($C638,"RTG_SP")</f>
        <v>#N/A N/A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filing</vt:lpstr>
      <vt:lpstr>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damien@corgi.insure</cp:lastModifiedBy>
  <dcterms:created xsi:type="dcterms:W3CDTF">2026-06-25T18:21:04Z</dcterms:created>
  <dcterms:modified xsi:type="dcterms:W3CDTF">2026-06-30T19:12:08Z</dcterms:modified>
</cp:coreProperties>
</file>